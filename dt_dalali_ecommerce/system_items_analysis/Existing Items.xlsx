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Item propertie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'Item properties'!$A$1:$T$1876</definedName>
  </definedNames>
  <calcPr calcId="144525"/>
</workbook>
</file>

<file path=xl/sharedStrings.xml><?xml version="1.0" encoding="utf-8"?>
<sst xmlns="http://schemas.openxmlformats.org/spreadsheetml/2006/main" count="16527" uniqueCount="4336">
  <si>
    <t>Item Code</t>
  </si>
  <si>
    <t>Enabled</t>
  </si>
  <si>
    <t>Item Name</t>
  </si>
  <si>
    <t>Item Name Excists</t>
  </si>
  <si>
    <t>Existing Names</t>
  </si>
  <si>
    <t>UOM</t>
  </si>
  <si>
    <t>Balance</t>
  </si>
  <si>
    <t>Current Balance Difference</t>
  </si>
  <si>
    <t>Valuation Rate</t>
  </si>
  <si>
    <t>Current Valuation Rate Difference</t>
  </si>
  <si>
    <t>Warehouse</t>
  </si>
  <si>
    <t>Price List</t>
  </si>
  <si>
    <t>Rate</t>
  </si>
  <si>
    <t>Current Rate Difference</t>
  </si>
  <si>
    <t>Image</t>
  </si>
  <si>
    <t>Thumbnail</t>
  </si>
  <si>
    <t>Brand</t>
  </si>
  <si>
    <t>Item Group</t>
  </si>
  <si>
    <t>Varietal</t>
  </si>
  <si>
    <t>Vintage</t>
  </si>
  <si>
    <t>Coke 350ml</t>
  </si>
  <si>
    <t>Pcs</t>
  </si>
  <si>
    <t>Warehouse A - Godown - DML</t>
  </si>
  <si>
    <t>Standard Selling</t>
  </si>
  <si>
    <t>/files/media/product/coke350ml.jpg_480Wx480H</t>
  </si>
  <si>
    <t>Coke</t>
  </si>
  <si>
    <t>Beverage</t>
  </si>
  <si>
    <t>Soda</t>
  </si>
  <si>
    <t>SPORTSMAN KING SIZE</t>
  </si>
  <si>
    <t>/files/media/product/SPORTSMAN KING SIZE.jpeg</t>
  </si>
  <si>
    <t>SPORTSMAN</t>
  </si>
  <si>
    <t>Cigarette</t>
  </si>
  <si>
    <t>MONTIFAUD VSOP 700ML</t>
  </si>
  <si>
    <t>/files/media/product/MONTIFAUD VSOP 700ML.jpg</t>
  </si>
  <si>
    <t>MONTIFAUD</t>
  </si>
  <si>
    <t>cognac</t>
  </si>
  <si>
    <t>VSOP</t>
  </si>
  <si>
    <t>6500 PUFFS GRAPE ICE COLOUR , 18694</t>
  </si>
  <si>
    <t>/files/media/product/6500 PUFFS GRAPE ICE COLOUR , 18694.webp</t>
  </si>
  <si>
    <t>Vape</t>
  </si>
  <si>
    <t>grape ice</t>
  </si>
  <si>
    <t>JUPITER 13000 GRAPE ICE , 74363</t>
  </si>
  <si>
    <t>/files/media/product/JUPITER 13000 GRAPE ICE , 74363.webp</t>
  </si>
  <si>
    <t>6500 PUFFS LIME MINT, 94867</t>
  </si>
  <si>
    <t>/files/media/product/6500 PUFFS LIME MINT, 94867.webp</t>
  </si>
  <si>
    <t>lime mint</t>
  </si>
  <si>
    <t>13000 PASSION FRUIT KIWI GUAVA , 88004</t>
  </si>
  <si>
    <t>/files/media/product/13000 PASSION FRUIT KIWI GUAVA , 88004.jpeg</t>
  </si>
  <si>
    <t>passion</t>
  </si>
  <si>
    <t>13000 PEACH GRAPE , 88006</t>
  </si>
  <si>
    <t>/files/media/product/13000 PEACH GRAPE , 88006.webp</t>
  </si>
  <si>
    <t>peach</t>
  </si>
  <si>
    <t>13000 PEACH MANGO ICE, 84957</t>
  </si>
  <si>
    <t>/files/media/product/13000 PEACH MANGO ICE, 84957.jpeg</t>
  </si>
  <si>
    <t>6500 PUFFS PEACH MANGO ICE COLOUR, 18801</t>
  </si>
  <si>
    <t>/files/media/product/6500 PUFFS PEACH MANGO ICE COLOUR, 18801.webp</t>
  </si>
  <si>
    <t>6500 PUFFS PINEAPPLE PASSION FRUIT COLOUR , 18800</t>
  </si>
  <si>
    <t>/files/media/product/6500 PUFFS PINEAPPLE PASSION FRUIT COLOUR , 18800.webp</t>
  </si>
  <si>
    <t>pineapple</t>
  </si>
  <si>
    <t>JUPITER 13000 RASPBERRY LEMON , 29716</t>
  </si>
  <si>
    <t>/files/media/product/JUPITER 13000 RASPBERRY LEMON , 29716.jpeg</t>
  </si>
  <si>
    <t>raspberry</t>
  </si>
  <si>
    <t>6500 PUFFS WATERMELON ICE COLOUR, 18687</t>
  </si>
  <si>
    <t>/files/media/product/6500 PUFFS WATERMELON ICE COLOUR, 18687.webp</t>
  </si>
  <si>
    <t>watermelon</t>
  </si>
  <si>
    <t>ROSSO NOBILE VANILLA 750ML</t>
  </si>
  <si>
    <t>/files/media/product/rossonobilevanilla750ml.webp</t>
  </si>
  <si>
    <t>Rosso nobile</t>
  </si>
  <si>
    <t>Wine</t>
  </si>
  <si>
    <t>Sweet White</t>
  </si>
  <si>
    <t>JOSE CUERVO GOLD 750 ML</t>
  </si>
  <si>
    <t>/files/media/product/jose-cuervo-gold.png</t>
  </si>
  <si>
    <t>Jose Quervo</t>
  </si>
  <si>
    <t>Tequila</t>
  </si>
  <si>
    <t>Gold</t>
  </si>
  <si>
    <t>BEST GIN 750ML</t>
  </si>
  <si>
    <t>/files/media/product/bestgin750ml.png</t>
  </si>
  <si>
    <t>Best</t>
  </si>
  <si>
    <t>Gin</t>
  </si>
  <si>
    <t>PINTA NEGRA DRY RED WINE 750ML</t>
  </si>
  <si>
    <t>/files/media/product/PINTA NEGRA DRY RED WINE 750ML.jpg</t>
  </si>
  <si>
    <t>Pinta Negra</t>
  </si>
  <si>
    <t>Dry Red</t>
  </si>
  <si>
    <t>JOSE CUERVO SILVER 750ML</t>
  </si>
  <si>
    <t>/files/media/product/Jose-Cuervo-Silver-Tequila-1L.png</t>
  </si>
  <si>
    <t>Silver</t>
  </si>
  <si>
    <t>PINTA NEGRA SWEET RED WINE 750ML</t>
  </si>
  <si>
    <t>/files/media/product/PINTA NEGRA SWEET RED WINE 750ML.jpeg</t>
  </si>
  <si>
    <t>Sweet Red</t>
  </si>
  <si>
    <t>BLACK RAM WHISKY 1LTR</t>
  </si>
  <si>
    <t>/files/media/product/black_rum.webp</t>
  </si>
  <si>
    <t>Black ram</t>
  </si>
  <si>
    <t>Whisky</t>
  </si>
  <si>
    <t>Malt</t>
  </si>
  <si>
    <t>CORONA EXTRA 355ML</t>
  </si>
  <si>
    <t>/files/media/product/coronaextra355ml.webp</t>
  </si>
  <si>
    <t>Corona</t>
  </si>
  <si>
    <t>Beer</t>
  </si>
  <si>
    <t>Lager</t>
  </si>
  <si>
    <t>MARTEL VS COGNAC 700ML</t>
  </si>
  <si>
    <t>/files/media/product/Martell-VS-Single-Distillery.jpg</t>
  </si>
  <si>
    <t>Martell</t>
  </si>
  <si>
    <t>Cognac</t>
  </si>
  <si>
    <t>VS</t>
  </si>
  <si>
    <t>MARTEL VSOP COGNAC 1LTR</t>
  </si>
  <si>
    <t>/files/media/product/martellvsop_1024x.webp</t>
  </si>
  <si>
    <t>ST REMY VSOP FRENCH BRANDY 750ML</t>
  </si>
  <si>
    <t>/files/media/product/stremy.jpeg</t>
  </si>
  <si>
    <t>St Remy</t>
  </si>
  <si>
    <t>Brandy</t>
  </si>
  <si>
    <t>BLACK RAM APPLE 1 LITRE</t>
  </si>
  <si>
    <t>/files/media/product/BLACK RAM APPLE 1 LITRE.png</t>
  </si>
  <si>
    <t>BLACK RAM</t>
  </si>
  <si>
    <t>whisky</t>
  </si>
  <si>
    <t>Blended</t>
  </si>
  <si>
    <t>CELLAR J'BURG WHITE 750ML</t>
  </si>
  <si>
    <t>/files/media/product/cellarjburg.jpg</t>
  </si>
  <si>
    <t>Cellar j'burg</t>
  </si>
  <si>
    <t>4TH STREET WHITE 750ML</t>
  </si>
  <si>
    <t>/files/media/product/4thstreetwhite750ml.jpeg</t>
  </si>
  <si>
    <t>4Th Street</t>
  </si>
  <si>
    <t>4TH STREET RED 750ML</t>
  </si>
  <si>
    <t>/files/media/product/4thstreetred.jpg</t>
  </si>
  <si>
    <t>UNDERBERG NATURAL HERBAL BITTER 20ML</t>
  </si>
  <si>
    <t>/files/media/product/UNDERBERG NATURAL HERBAL BITTER 20ML.jpeg</t>
  </si>
  <si>
    <t>Underburg</t>
  </si>
  <si>
    <t>Liqueur</t>
  </si>
  <si>
    <t>KO PINEAPPLE &amp; MINT 330ML</t>
  </si>
  <si>
    <t>/files/media/product/KO-pineapple-mint-600x600.jpg</t>
  </si>
  <si>
    <t>Kenyan Originals</t>
  </si>
  <si>
    <t>Breezer</t>
  </si>
  <si>
    <t>JOHNNIE WALKER DOUBLE BLACK 1 LTR</t>
  </si>
  <si>
    <t>/files/media/product/double-black.webp</t>
  </si>
  <si>
    <t>Johnnie walker</t>
  </si>
  <si>
    <t>Scotch</t>
  </si>
  <si>
    <t>FOUR COUSINS WHITE 750ML</t>
  </si>
  <si>
    <t>/files/media/product/fourcousin.png</t>
  </si>
  <si>
    <t>Four cousins</t>
  </si>
  <si>
    <t>SOUTHERN COMFORT 750ML</t>
  </si>
  <si>
    <t>/files/media/product/southern comfort.png</t>
  </si>
  <si>
    <t>Southern Comfort</t>
  </si>
  <si>
    <t>BLUE WARRIOR WHISY LITRE</t>
  </si>
  <si>
    <t>/files/media/product/BLUE WARRIOR WHISY LITRE.png</t>
  </si>
  <si>
    <t>BLUE WARRIOR</t>
  </si>
  <si>
    <t>BOTTLES DEPOSIT</t>
  </si>
  <si>
    <t>/files/media/product/BOTTLES DEPOSIT.jpg</t>
  </si>
  <si>
    <t>Others</t>
  </si>
  <si>
    <t>KO PASSION&amp;LIME 330ML</t>
  </si>
  <si>
    <t>/files/media/product/KO-passion-lime.jpg</t>
  </si>
  <si>
    <t xml:space="preserve">JAGERMEISTER WITH CORK  1LTR </t>
  </si>
  <si>
    <t>/files/media/product/jagermesiter1ltr.png</t>
  </si>
  <si>
    <t>Jagermeister</t>
  </si>
  <si>
    <t>digestif</t>
  </si>
  <si>
    <t>BACARDI CARTA BLANCA WHITE 1LTR</t>
  </si>
  <si>
    <t>/files/media/product/bacardicartablancawhite1ltr.jpg</t>
  </si>
  <si>
    <t>BACARDI</t>
  </si>
  <si>
    <t>Rum</t>
  </si>
  <si>
    <t>White</t>
  </si>
  <si>
    <t>KINGFISHER STRAWBERRY 300ML</t>
  </si>
  <si>
    <t>/files/media/product/Kingfisher-Strawberry-300ml-600x600-1.jpg</t>
  </si>
  <si>
    <t>Kingfisher</t>
  </si>
  <si>
    <t>strawberry</t>
  </si>
  <si>
    <t>CHIVAS REGAL 12YRS WHISKY 1LTR</t>
  </si>
  <si>
    <t>/files/media/product/images (3).jpeg</t>
  </si>
  <si>
    <t>Chivas regal</t>
  </si>
  <si>
    <t>PINTA NEGRA SWEET WHITE WINE 2024 750ML</t>
  </si>
  <si>
    <t>/files/media/product/PINTA NEGRA SWEET WHITE WINE 2024 750ML.jpg</t>
  </si>
  <si>
    <t>PINTA NEGRA RED 5L</t>
  </si>
  <si>
    <t>/files/media/product/PINTA NEGRA RED 5L.webp</t>
  </si>
  <si>
    <t>Red</t>
  </si>
  <si>
    <t>COUNTY BRANDY 250ML</t>
  </si>
  <si>
    <t>/files/media/product/county 250ml.jpeg</t>
  </si>
  <si>
    <t>County</t>
  </si>
  <si>
    <t>SAVANNA DRY BOTTLE 330ML</t>
  </si>
  <si>
    <t>/files/media/product/savanadrybottle330ml.jpg_480Wx480H</t>
  </si>
  <si>
    <t>Savana</t>
  </si>
  <si>
    <t>Cider</t>
  </si>
  <si>
    <t>BALOZI CANS 500ML</t>
  </si>
  <si>
    <t>/files/media/product/balozicans500ml.png</t>
  </si>
  <si>
    <t>Balozi</t>
  </si>
  <si>
    <t>MARTEL VSOP COGNAC 700ML</t>
  </si>
  <si>
    <t>/files/media/product/martellvsop_1024x (1).webp</t>
  </si>
  <si>
    <t>TUSKER CIDER CAN 500ML</t>
  </si>
  <si>
    <t>/files/media/product/tuskercider500ml.jpg</t>
  </si>
  <si>
    <t>Tusker</t>
  </si>
  <si>
    <t>TUSKER LAGER CAN 500ML</t>
  </si>
  <si>
    <t>/files/media/product/tuskerlager500ml.jpg</t>
  </si>
  <si>
    <t xml:space="preserve">BUDWEISER 330ML BOTTLE </t>
  </si>
  <si>
    <t>/files/media/product/SMIRNOFF ICE PINEAPPLE PUNCH 330ML.avif</t>
  </si>
  <si>
    <t>Smirnoff</t>
  </si>
  <si>
    <t>SMIRNOFF BLACK ICE CAN 330ML</t>
  </si>
  <si>
    <t>/files/media/product/BUDWEISER 330ML BOTTLE.webp</t>
  </si>
  <si>
    <t>Budweiser</t>
  </si>
  <si>
    <t>CAPTAIN MORGAN SPICED 1LTR</t>
  </si>
  <si>
    <t>/files/media/product/MUCHO MAS ROSE 750ML.webp</t>
  </si>
  <si>
    <t>MUCHO MAS</t>
  </si>
  <si>
    <t>Sweet Rose</t>
  </si>
  <si>
    <t>TANQUERAY  NO. 10 1LTR</t>
  </si>
  <si>
    <t>/files/media/product/smirnoffblackice330ml.jpg</t>
  </si>
  <si>
    <t>HENNESSY VS COGNAC 1LTR</t>
  </si>
  <si>
    <t>/files/media/product/captainmorgangold.png</t>
  </si>
  <si>
    <t>Captain Morgan</t>
  </si>
  <si>
    <t>Spiced</t>
  </si>
  <si>
    <t>JACK DANIELS  700ML</t>
  </si>
  <si>
    <t>/files/media/product/nederburgcarbsauv75cl.jpg</t>
  </si>
  <si>
    <t>Nederburg</t>
  </si>
  <si>
    <t>Cabernet Sauvignon</t>
  </si>
  <si>
    <t>GILBEYS GIN 250ML</t>
  </si>
  <si>
    <t>/files/media/product/2SHARE 750ML.jpeg</t>
  </si>
  <si>
    <t>2SHARE</t>
  </si>
  <si>
    <t>SMIRNOFF ICE GUARANA 330ML</t>
  </si>
  <si>
    <t>/files/media/product/Untitled design(1).png</t>
  </si>
  <si>
    <t>Heineken</t>
  </si>
  <si>
    <t>KAHLUA  1LTR</t>
  </si>
  <si>
    <t>/files/media/product/MANYATTA CAN PINEAPPLE &amp; MINT 330ML.webp</t>
  </si>
  <si>
    <t>MANYATTA</t>
  </si>
  <si>
    <t>beverage</t>
  </si>
  <si>
    <t>BUSHMILLS ORIGINAL 750ML</t>
  </si>
  <si>
    <t>/files/media/product/Heineken.jpg</t>
  </si>
  <si>
    <t>SIR EDWARDS WHISKY  1LTR</t>
  </si>
  <si>
    <t>/files/media/product/tanqueray101ltr.webp</t>
  </si>
  <si>
    <t>Tanqueray</t>
  </si>
  <si>
    <t>NO 10</t>
  </si>
  <si>
    <t>SMIRNOFF RED VODKA 250ML</t>
  </si>
  <si>
    <t>/files/media/product/BLACK RAM HONEY 1 LITRE.jpeg</t>
  </si>
  <si>
    <t>CAPTAIN MORGAN GOLD 250ML</t>
  </si>
  <si>
    <t>/files/media/product/VS_0.png</t>
  </si>
  <si>
    <t>Hennessy</t>
  </si>
  <si>
    <t>GILBEYS GIN 750ML</t>
  </si>
  <si>
    <t>/files/media/product/heineken0.0330ml.jpg</t>
  </si>
  <si>
    <t>Zero</t>
  </si>
  <si>
    <t>TUSKER LITE CAN 500ML</t>
  </si>
  <si>
    <t>/files/media/product/ADEGAMAE MAR LINDO DRY RED 750ML.webp</t>
  </si>
  <si>
    <t>Adegamae</t>
  </si>
  <si>
    <t>CAPTAIN MORGAN DARK 1LTR</t>
  </si>
  <si>
    <t>/files/media/product/jackdaniels1ltr.jpg</t>
  </si>
  <si>
    <t>Jack daniel's</t>
  </si>
  <si>
    <t>Tennessee</t>
  </si>
  <si>
    <t>SMIRNOFF ICE RASPBERRY TWIST CAN 330ML</t>
  </si>
  <si>
    <t>DALALI</t>
  </si>
  <si>
    <t>Water</t>
  </si>
  <si>
    <t>TUSKER MALT CAN 500ML</t>
  </si>
  <si>
    <t>/files/media/product/images (6).jpeg</t>
  </si>
  <si>
    <t xml:space="preserve">VERSUS RED DRY 1LTR </t>
  </si>
  <si>
    <t>/files/media/product/gilbeys250ml.jpg</t>
  </si>
  <si>
    <t>Gilbeys</t>
  </si>
  <si>
    <t>CLASE AZUL TEQUILA REPOSADO 750ML</t>
  </si>
  <si>
    <t>/files/media/product/KENYA CANE LEMON &amp; GINGER 750ML.webp</t>
  </si>
  <si>
    <t>KENYA CANE</t>
  </si>
  <si>
    <t>lemon &amp; Ginger</t>
  </si>
  <si>
    <t>SMIRNOFF RED VODKA 350ML</t>
  </si>
  <si>
    <t>/files/media/product/blackramwhisky700ml.jpeg</t>
  </si>
  <si>
    <t>premium</t>
  </si>
  <si>
    <t>GILBEYS GIN 350ML</t>
  </si>
  <si>
    <t>/files/media/product/bombaysaphire.jpg</t>
  </si>
  <si>
    <t>Bombay</t>
  </si>
  <si>
    <t>Sapphire</t>
  </si>
  <si>
    <t>SIR EDWARDS SMOKY  1L</t>
  </si>
  <si>
    <t>/files/media/product/1800 TEQUILA REPOSADO 700ML.jpeg</t>
  </si>
  <si>
    <t>818 TEQUILA</t>
  </si>
  <si>
    <t>Reposado</t>
  </si>
  <si>
    <t>PIERRE MARCEL SWEET RED  1.5LTR</t>
  </si>
  <si>
    <t>/files/media/product/sir-edwards-smokey-black.jpg</t>
  </si>
  <si>
    <t>Sir edward's</t>
  </si>
  <si>
    <t>CAPTAIN MORGAN MUCK PIT 250ML</t>
  </si>
  <si>
    <t>/files/media/product/6TH SENSE LONDON DRY GIN 1 LITRE.png</t>
  </si>
  <si>
    <t>6TH SENSE</t>
  </si>
  <si>
    <t>SPRITE 1.25L</t>
  </si>
  <si>
    <t>/files/media/product/jameson40%.jpg</t>
  </si>
  <si>
    <t>Jameson</t>
  </si>
  <si>
    <t>CAPTAIN MORGAN MUCK PIT 750ML</t>
  </si>
  <si>
    <t>SMIRNOFF RED VODKA 750ML</t>
  </si>
  <si>
    <t>/files/media/product/fourcousinsred750ml.webp</t>
  </si>
  <si>
    <t>JOHNNIE WALKER GOLD RESERVE  1LTR</t>
  </si>
  <si>
    <t>/files/media/product/jamesonblackbarrel.webp</t>
  </si>
  <si>
    <t>Black Barell</t>
  </si>
  <si>
    <t>MINUTE MAID MANGO 400ML</t>
  </si>
  <si>
    <t>/files/media/product/beefeater-pink-gin.webp</t>
  </si>
  <si>
    <t>Beefeater</t>
  </si>
  <si>
    <t>KO LIME &amp; GINGER 330ML</t>
  </si>
  <si>
    <t>/files/media/product/SMIRNOFF - ICE GUARANA 330ML.webp</t>
  </si>
  <si>
    <t xml:space="preserve"> CRATES DEPOSIT</t>
  </si>
  <si>
    <t>/files/media/product/ROYAL CHALLENGE WHISKY RED 750ML.webp</t>
  </si>
  <si>
    <t>ROYAL CHALLANGE</t>
  </si>
  <si>
    <t>scotch</t>
  </si>
  <si>
    <t xml:space="preserve">AMARULA RASPBERRY CHOCOLATE 750ML  </t>
  </si>
  <si>
    <t>/files/media/product/ADEGAMAE MAR LINDO SWEET WHITE 750ML.png</t>
  </si>
  <si>
    <t>TALL HORSE -  PINOTAGE 750ML</t>
  </si>
  <si>
    <t>/files/media/product/ADEGAMAE TERRAS DE LISBOA DRY RED 750ML.webp</t>
  </si>
  <si>
    <t>BACARDI CARTA ORO GOLD 1LTR</t>
  </si>
  <si>
    <t>/files/media/product/BLACK RAM BOURBON FINISH 700 ML.png</t>
  </si>
  <si>
    <t>BUTLERS ESPRESSO LIQUEUR  750ML</t>
  </si>
  <si>
    <t>/files/media/product/1800 Tequila Blanco 700ML.jpg</t>
  </si>
  <si>
    <t>1800 Tequila</t>
  </si>
  <si>
    <t>blanco</t>
  </si>
  <si>
    <t>SPRITE 2L</t>
  </si>
  <si>
    <t>/files/media/product/PINTA NEGRA VINHO VERDE WHITE WINE 750ML.jpg</t>
  </si>
  <si>
    <t>white</t>
  </si>
  <si>
    <t>HENDRICKS LUNAR GIN 750ML</t>
  </si>
  <si>
    <t>/files/media/product/kahlua.webp</t>
  </si>
  <si>
    <t>Kahlua</t>
  </si>
  <si>
    <t>coffee</t>
  </si>
  <si>
    <t>BACARDI CARTA ORO GOLD 750ML</t>
  </si>
  <si>
    <t>/files/media/product/CANADIAN CLUB 1ltr .jpeg</t>
  </si>
  <si>
    <t>Canadian Club</t>
  </si>
  <si>
    <t>CONSIGNIA  MERLOT 750ML</t>
  </si>
  <si>
    <t>/files/media/product/bushmils.jpg</t>
  </si>
  <si>
    <t>Bushmills</t>
  </si>
  <si>
    <t>ROSSO NOBILE CHERRY  750ML</t>
  </si>
  <si>
    <t>/files/media/product/Best-Whisky-750ml-600x600-1.jpg</t>
  </si>
  <si>
    <t xml:space="preserve">WHITLEY NEILL BLACK BERRY GIN 750ML </t>
  </si>
  <si>
    <t>/files/media/product/johnnie-walker-red-label-600x800.jpg</t>
  </si>
  <si>
    <t xml:space="preserve">ERISTOFF 750ML </t>
  </si>
  <si>
    <t>/files/media/product/PINTA NEGRA SWEET WHITE WINE 2025 750ML.jpg</t>
  </si>
  <si>
    <t xml:space="preserve">CARLO ROSSI DRY WHITE 3LTR </t>
  </si>
  <si>
    <t>BUTLERS  CRÈME DE BANANA 750ML</t>
  </si>
  <si>
    <t>/files/media/product/kibao250ml.jpeg</t>
  </si>
  <si>
    <t>Kibao</t>
  </si>
  <si>
    <t>Vodka</t>
  </si>
  <si>
    <t>EMBER PINE POA 750  ML</t>
  </si>
  <si>
    <t>/files/media/product/rosso_nobile_chocolata.webp</t>
  </si>
  <si>
    <t>Rosso Nobile</t>
  </si>
  <si>
    <t>Chocolate</t>
  </si>
  <si>
    <t>JAMESON SINGLE  POT STILL 750ML</t>
  </si>
  <si>
    <t>/files/media/product/PLATINUM VODKA LITRE.webp</t>
  </si>
  <si>
    <t>PLATINUM</t>
  </si>
  <si>
    <t>PENASOL TEMPRANILLO GARNACHA 750ML</t>
  </si>
  <si>
    <t>/files/media/product/offred250ml.png</t>
  </si>
  <si>
    <t>TASSENBERG  750ML</t>
  </si>
  <si>
    <t>/files/media/product/pilsnercan500ml.jpg</t>
  </si>
  <si>
    <t>Pilsner</t>
  </si>
  <si>
    <t>MAISON CASTEL  SAUV BLANC 750ML</t>
  </si>
  <si>
    <t>/files/media/product/SIERRA TROPICAL CHILI, PASSIONFRUIT &amp; MANGO 700ML.webp</t>
  </si>
  <si>
    <t>Sierra</t>
  </si>
  <si>
    <t>Chili</t>
  </si>
  <si>
    <t>GREY GOOSE VODKA  750ML</t>
  </si>
  <si>
    <t>/files/media/product/Captain-Morgan-Gold-250ml.jpg</t>
  </si>
  <si>
    <t>EXPRESSION SWEET WHITE  750ml</t>
  </si>
  <si>
    <t>/files/media/product/gilbeys.jpg</t>
  </si>
  <si>
    <t xml:space="preserve">WHITLEY NEILL BLOOD ORANGE  GIN 750ML </t>
  </si>
  <si>
    <t>/files/media/product/Tonic-Water.jpg</t>
  </si>
  <si>
    <t>Schweppes</t>
  </si>
  <si>
    <t>Tonic</t>
  </si>
  <si>
    <t>LIONS DRY WHITE  750ML</t>
  </si>
  <si>
    <t>/files/media/product/delushsweetred750ml.jpeg</t>
  </si>
  <si>
    <t>Delush</t>
  </si>
  <si>
    <t>SWARTLAND  SYRAH 750ML</t>
  </si>
  <si>
    <t>/files/media/product/gordonsoriginal1ltr.jpg_480Wx480H</t>
  </si>
  <si>
    <t>Gordon's</t>
  </si>
  <si>
    <t>HENDRICKS ORBIUM GIN 700ML</t>
  </si>
  <si>
    <t>/files/media/product/snappapplecan330ml.webp</t>
  </si>
  <si>
    <t>Snapp</t>
  </si>
  <si>
    <t>Apple</t>
  </si>
  <si>
    <t>BUSHMILL BLACK BUSH 750ML</t>
  </si>
  <si>
    <t>/files/media/product/tanqueray.webp</t>
  </si>
  <si>
    <t>Malacca</t>
  </si>
  <si>
    <t>LEOPARDS LEAP CAB SAUV  MERLOT 750ML</t>
  </si>
  <si>
    <t>/files/media/product/absolutblue1ltr.png</t>
  </si>
  <si>
    <t>Absolut</t>
  </si>
  <si>
    <t>Blue</t>
  </si>
  <si>
    <t xml:space="preserve">WOOSH 9000 PUFFS BLUE RAZZ </t>
  </si>
  <si>
    <t>/files/media/product/famous-grouse-blended-scotch-whisky-1l.jpg</t>
  </si>
  <si>
    <t>Famous grouse</t>
  </si>
  <si>
    <t xml:space="preserve">INVERROCHE CLASSIC 750ML </t>
  </si>
  <si>
    <t>/files/media/product/glenfiddich-18-years.webp</t>
  </si>
  <si>
    <t>GLENFIDDICH</t>
  </si>
  <si>
    <t xml:space="preserve">WHITLEY NEILL PROTEA &amp; HIBISCUS GIN 750ML </t>
  </si>
  <si>
    <t>/files/media/product/NEDERBURG - MERLOT 750ML.webp</t>
  </si>
  <si>
    <t>NEDERBURG</t>
  </si>
  <si>
    <t>Merlot</t>
  </si>
  <si>
    <t>GLENMORANGIE 18YRS WHISKY EXTREME  700ML</t>
  </si>
  <si>
    <t>/files/media/product/ORIJIN BITTERS 250ML.jpeg</t>
  </si>
  <si>
    <t>ORIJIN</t>
  </si>
  <si>
    <t>Bitters</t>
  </si>
  <si>
    <t>JOHNNIE WALKER BLUE LABEL GHOST &amp; RARE 750ML</t>
  </si>
  <si>
    <t>/files/media/product/beefeater-clear-gin.webp</t>
  </si>
  <si>
    <t>LEOPARDS LEAP  CAB SAuv 750ML</t>
  </si>
  <si>
    <t>LAURENT- PERRIER ROSE CHAMPAGNE  750ML</t>
  </si>
  <si>
    <t>/files/media/product/tuskerlite500ml.jpg</t>
  </si>
  <si>
    <t>Lite</t>
  </si>
  <si>
    <t>PENASOL MEDIUM SWEET WHITE 1L</t>
  </si>
  <si>
    <t>/files/media/product/vat69750ml.jpg</t>
  </si>
  <si>
    <t>Vat</t>
  </si>
  <si>
    <t xml:space="preserve">JP AZEITAO RED 750ML </t>
  </si>
  <si>
    <t>/files/media/product/735-7351769_captain-morgan-black-label-1-ltr-captain-morgan.png</t>
  </si>
  <si>
    <t>Black</t>
  </si>
  <si>
    <t xml:space="preserve">JP AZEITAO WHITE 750ML </t>
  </si>
  <si>
    <t xml:space="preserve">BOWMORE 12YRS WHISKY 700ML </t>
  </si>
  <si>
    <t>/files/media/product/richot250ml.png</t>
  </si>
  <si>
    <t>Richot</t>
  </si>
  <si>
    <t>BACARDI SUPERIOR  350ML</t>
  </si>
  <si>
    <t>/files/media/product/chromelemon250ml</t>
  </si>
  <si>
    <t>Chrome</t>
  </si>
  <si>
    <t>Lemon</t>
  </si>
  <si>
    <t>WOOSH 9000 PUFFS COLA LIME</t>
  </si>
  <si>
    <t>/files/media/product/SMIRNOFF ICE RASBERRY CAN 330ML.jpg</t>
  </si>
  <si>
    <t>MARTINI  BIANCO 1LTR</t>
  </si>
  <si>
    <t>/files/media/product/NEDERBURG - SAUV. BLANC 750 ML.webp</t>
  </si>
  <si>
    <t>Sauvignon blanc</t>
  </si>
  <si>
    <t>JACK DANIELS SINATRA  1LTR</t>
  </si>
  <si>
    <t>/files/media/product/martellxo40700ml.jpeg</t>
  </si>
  <si>
    <t>XO</t>
  </si>
  <si>
    <t>SIX  DOGS KAROO 750ML</t>
  </si>
  <si>
    <t>/files/media/product/cellarj'burgwhite5ltr.jpeg</t>
  </si>
  <si>
    <t>AUCHENTOSHAN AMERICAN  OAK 700ML</t>
  </si>
  <si>
    <t>/files/media/product/campari-bitter.webp</t>
  </si>
  <si>
    <t>Campari</t>
  </si>
  <si>
    <t>TALISKER  PORT RUIGHE WHISKY 700ML</t>
  </si>
  <si>
    <t>/files/media/product/jdfire.jpg</t>
  </si>
  <si>
    <t>HAUTE CABRIERE CHARDONNAY  PINOT 750ML750ML</t>
  </si>
  <si>
    <t>/files/media/product/tusker-malt.png</t>
  </si>
  <si>
    <t>WAVE DANCER SWT WHITE  700ML</t>
  </si>
  <si>
    <t>/files/media/product/richot-350ml.webp</t>
  </si>
  <si>
    <t>WHITLEY NEILL LEMON GRASS  GIN 1LTR</t>
  </si>
  <si>
    <t>/files/media/product/KIBAO GIN 350ML.webp</t>
  </si>
  <si>
    <t>KIBAO</t>
  </si>
  <si>
    <t>MAISON CASTEL CUVEE ROSEE  750ML</t>
  </si>
  <si>
    <t>/files/media/product/chromegin250ml.jpg</t>
  </si>
  <si>
    <t>ANGOVE  MCLAREN VALE SHIRAZ 2016 750ML</t>
  </si>
  <si>
    <t>/files/media/product/MOET &amp; CHANDON NECTAR IMPERIAL ROSE 750ML.webp</t>
  </si>
  <si>
    <t>Moet &amp; Chandon</t>
  </si>
  <si>
    <t>nectar</t>
  </si>
  <si>
    <t xml:space="preserve">WOOSH PEN 1800 PUFFS COLA LIME </t>
  </si>
  <si>
    <t>/files/media/product/JAGERMEISTER 750ML.jpg</t>
  </si>
  <si>
    <t xml:space="preserve">WOOSH 9000 PUFFS WATERMELON ICE </t>
  </si>
  <si>
    <t>/files/media/product/remy-martin-vsop-1l.jpg</t>
  </si>
  <si>
    <t>Remy Martin</t>
  </si>
  <si>
    <t>FRONTERA CAB SAUV  750ML</t>
  </si>
  <si>
    <t>/files/media/product/chrome_vodka.jpg</t>
  </si>
  <si>
    <t>WOOSH 9000 PUFFS SUN KISSED GRAPE</t>
  </si>
  <si>
    <t>/files/media/product/black label375.jpg</t>
  </si>
  <si>
    <t>JOHNNIE WALKER RED LABEL  1LTR</t>
  </si>
  <si>
    <t>/files/media/product/Dewar_sWhiteLabelScratchedCaskBlendedScotch.webp</t>
  </si>
  <si>
    <t>Dewar's</t>
  </si>
  <si>
    <t>STARCHASER  750ML</t>
  </si>
  <si>
    <t>/files/media/product/CHROME BRANDY 250 ML.webp</t>
  </si>
  <si>
    <t>ROOIBERG WINERY RED MUSCADEL  750ML</t>
  </si>
  <si>
    <t>/files/media/product/INDEPENDENCE BLENDED IRISH 700ML.jpg</t>
  </si>
  <si>
    <t>INDEPENDENCE</t>
  </si>
  <si>
    <t>ROSSO BIANCO NOBILE ALLA VANIGLIA 750ML</t>
  </si>
  <si>
    <t>/files/media/product/ABSOLUT LIME LITRE.webp</t>
  </si>
  <si>
    <t>Lime</t>
  </si>
  <si>
    <t>MANYATTA  MANGO &amp; GINGER 330ML</t>
  </si>
  <si>
    <t>/files/media/product/ROYAL CIRCLE WHISKY COLA 330ML.avif</t>
  </si>
  <si>
    <t>ROYAL CIRCLE</t>
  </si>
  <si>
    <t xml:space="preserve">KO LIME AND GINGER 330 ML CAN </t>
  </si>
  <si>
    <t>/files/media/product/Absolut_Ruby_Red_750ml.jpg</t>
  </si>
  <si>
    <t>ABSOLUT</t>
  </si>
  <si>
    <t>ruby red</t>
  </si>
  <si>
    <t>KO  DRY CIDER 500ML</t>
  </si>
  <si>
    <t>/files/media/product/versus-sweet-red-.jpg</t>
  </si>
  <si>
    <t>Versus</t>
  </si>
  <si>
    <t>RED BULL ENERGY DRINK 250ML</t>
  </si>
  <si>
    <t>/files/media/product/johnnie-walker-gold-label-reserve.webp</t>
  </si>
  <si>
    <t>FANTA  BLACKCURRANT 1.25L</t>
  </si>
  <si>
    <t>/files/media/product/KERINGET MINERAL WATER 1LTR.jpg</t>
  </si>
  <si>
    <t>KERINGET</t>
  </si>
  <si>
    <t>water</t>
  </si>
  <si>
    <t>FANTA BLACKCURRANT 2L</t>
  </si>
  <si>
    <t>/files/media/product/1000010707.jpg</t>
  </si>
  <si>
    <t>FANTA BLACKCURRANT 500ML</t>
  </si>
  <si>
    <t>/files/media/product/olmecadarkchocolate750ml.jpeg</t>
  </si>
  <si>
    <t>Olmeca</t>
  </si>
  <si>
    <t>FANTA BLACKCURRANT 350ML</t>
  </si>
  <si>
    <t>/files/media/product/KONYAGI 250 ML.avif</t>
  </si>
  <si>
    <t>KONYAGI</t>
  </si>
  <si>
    <t>Spirit</t>
  </si>
  <si>
    <t>HENNESSY MASTER BLENDER'S  500ml</t>
  </si>
  <si>
    <t>/files/media/product/chrome_vodka.avif</t>
  </si>
  <si>
    <t>MARTEL V.S  COGNAC 1LTR</t>
  </si>
  <si>
    <t>/files/media/product/williamlawsons1l.jpg</t>
  </si>
  <si>
    <t>William lawson's</t>
  </si>
  <si>
    <t xml:space="preserve">FOUR COUSINS MARULA CREAM 500ML </t>
  </si>
  <si>
    <t>/files/media/product/donjulioreposado750ml.jpg</t>
  </si>
  <si>
    <t>Don Julio</t>
  </si>
  <si>
    <t xml:space="preserve">WHITLEY NEILL LEMON GRASS  GIN 750ML </t>
  </si>
  <si>
    <t>/files/media/product/COKE-500ML-1.jpg</t>
  </si>
  <si>
    <t>GILBEYS BERRY BRAMBLE COCKTAIL 750ML</t>
  </si>
  <si>
    <t>/files/media/product/COUNTY 750ML.jpeg</t>
  </si>
  <si>
    <t xml:space="preserve">WHITLEY NEILL RASPBERRY GIN 750ML </t>
  </si>
  <si>
    <t>/files/media/product/SMIRNOFF - RED 1LT.webp</t>
  </si>
  <si>
    <t>SMIRNOFF</t>
  </si>
  <si>
    <t>GREENALL WILDBERRY  1LTR</t>
  </si>
  <si>
    <t>/files/media/product/whitecap crisp 330ml.jpeg</t>
  </si>
  <si>
    <t>Whitecap</t>
  </si>
  <si>
    <t>Crisp</t>
  </si>
  <si>
    <t xml:space="preserve">KO CLASSIC GIN 750ML </t>
  </si>
  <si>
    <t>/files/media/product/GORDON'S &amp;TONIC PURPLE 330ML.jpg</t>
  </si>
  <si>
    <t>IRISH  MIST 1LTR</t>
  </si>
  <si>
    <t>/files/media/product/KIBAO GIN 750ML.webp</t>
  </si>
  <si>
    <t>WHITLEY NEILL ORIGINAL  GIN 1LTR</t>
  </si>
  <si>
    <t>/files/media/product/Hennessy-VSOP-600x600.png</t>
  </si>
  <si>
    <t xml:space="preserve">WHITLEY NEILL ORIGINAL  GIN 750ML </t>
  </si>
  <si>
    <t>/files/media/product/CLASE AZUL REPOSADO 750ml.jpeg</t>
  </si>
  <si>
    <t>CLASE AZUL</t>
  </si>
  <si>
    <t>GINBERYS LONDON DRY GIN  700ML</t>
  </si>
  <si>
    <t>/files/media/product/kenya-cane-smooth250ml.jpeg</t>
  </si>
  <si>
    <t>Kenya Cane</t>
  </si>
  <si>
    <t>TANG SOUR  - APPLE 750ML</t>
  </si>
  <si>
    <t>/files/media/product/bond7.avif</t>
  </si>
  <si>
    <t>Bond 7</t>
  </si>
  <si>
    <t>JAGERMEISTER 1.75L</t>
  </si>
  <si>
    <t>/files/media/product/TANQUERAY - IMPORTED 1LT.jpg</t>
  </si>
  <si>
    <t xml:space="preserve">JAGERMEISTER WITH CORK  750ML </t>
  </si>
  <si>
    <t>/files/media/product/JINRO BLUE SOJU 360ML.webp</t>
  </si>
  <si>
    <t>Jinro</t>
  </si>
  <si>
    <t>Soju</t>
  </si>
  <si>
    <t>Blue Soju</t>
  </si>
  <si>
    <t>CAPTAIN MORGAN DARK 750ML</t>
  </si>
  <si>
    <t>/files/media/product/blackwhite1ltr.webp</t>
  </si>
  <si>
    <t>Black and White</t>
  </si>
  <si>
    <t>CAPTAIN MORGAN SPICED GOLD 750ML</t>
  </si>
  <si>
    <t>/files/media/product/teachers1ltr.jpeg</t>
  </si>
  <si>
    <t>Teachers</t>
  </si>
  <si>
    <t>BACARDI LIMON 1 LITRE</t>
  </si>
  <si>
    <t>/files/media/product/PINTA NEGRA WHITE 5L.jpeg</t>
  </si>
  <si>
    <t>BACARDI CARTA BLANCA 700 ML</t>
  </si>
  <si>
    <t>/files/media/product/whisky-tullamore-dew-blended-irish.jpg</t>
  </si>
  <si>
    <t>Tullamore dew</t>
  </si>
  <si>
    <t>Irish</t>
  </si>
  <si>
    <t xml:space="preserve">OLMECA ANEJO 750ML </t>
  </si>
  <si>
    <t>/files/media/product/robertsonwhitesweet15ltr.jpg</t>
  </si>
  <si>
    <t>Robertson winery</t>
  </si>
  <si>
    <t xml:space="preserve">CLASE AZUL ANEJO 700ML </t>
  </si>
  <si>
    <t>/files/media/product/KIBAO GIN 250ML.jpeg</t>
  </si>
  <si>
    <t>WOOSH PEN 1800 PUFFS BLUEBERRY ICE</t>
  </si>
  <si>
    <t>/files/media/product/Smirnoff-Red-Vodka-350ml.webp</t>
  </si>
  <si>
    <t>MARTINI BIANCO 750ML</t>
  </si>
  <si>
    <t>/files/media/product/kenyacanesmooth350ml.webp</t>
  </si>
  <si>
    <t>PETROVSKAIA CHOCOLATE VODKA LITRE</t>
  </si>
  <si>
    <t>/files/media/product/CROWN ROYAL FINE DE LUXE LITRE.jpeg</t>
  </si>
  <si>
    <t>CROWN ROYAL</t>
  </si>
  <si>
    <t>FLIRT VODKA LEMON  1LTR</t>
  </si>
  <si>
    <t>/files/media/product/MOET &amp; CHANDON BRUT IMPERIAL 750ML.jpeg</t>
  </si>
  <si>
    <t>brut</t>
  </si>
  <si>
    <t>FLIRT VODKA ORANGE  1LTR</t>
  </si>
  <si>
    <t>/files/media/product/NEDERBURG CUVEE BRUT 750ML.jpg</t>
  </si>
  <si>
    <t>wine</t>
  </si>
  <si>
    <t>sparkling</t>
  </si>
  <si>
    <t>PETROVSKAIA CRANBERRY VODKA LITRE</t>
  </si>
  <si>
    <t>/files/media/product/STRETTON`S TRIPPLE BERRY 750ML.jpeg</t>
  </si>
  <si>
    <t>STRETTON`S</t>
  </si>
  <si>
    <t>Tripple Berry</t>
  </si>
  <si>
    <t>PETROVSKAIA PLATIMUM VODKA LITRE</t>
  </si>
  <si>
    <t>/files/media/product/gato nagro whit.webp</t>
  </si>
  <si>
    <t>GATO NEGRO</t>
  </si>
  <si>
    <t>medium sweet white</t>
  </si>
  <si>
    <t>KETEL ONE VODKA 750ML</t>
  </si>
  <si>
    <t>/files/media/product/fourcousinswhitedry15ltr.jpg</t>
  </si>
  <si>
    <t>Dry White</t>
  </si>
  <si>
    <t>SIR EDWARDS WHISKY  700ML</t>
  </si>
  <si>
    <t>/files/media/product/fourcousinsweetred15ltr.jpeg</t>
  </si>
  <si>
    <t xml:space="preserve">GRANT'S WITHOUT GLASS 750ML </t>
  </si>
  <si>
    <t>/files/media/product/LUC BELAIRE BRUT GOLD 1.5LTR.webp</t>
  </si>
  <si>
    <t>LUC BELAIRE</t>
  </si>
  <si>
    <t>Champagne</t>
  </si>
  <si>
    <t xml:space="preserve">DALWHINNE 15YRS WHISKY 750ML </t>
  </si>
  <si>
    <t>/files/media/product/ketel-one.webp</t>
  </si>
  <si>
    <t>Ketelone</t>
  </si>
  <si>
    <t>THE GLENLIVET GEORGE SMITH 12 YO  750ML</t>
  </si>
  <si>
    <t>/files/media/product/627_VersusSweetWhite-750ml.webp</t>
  </si>
  <si>
    <t>ABERLOUR 16 YRS  DOUBLE CASK WHISKY 700ML</t>
  </si>
  <si>
    <t>/files/media/product/KLUNQ-1.jpg</t>
  </si>
  <si>
    <t>Grey goose</t>
  </si>
  <si>
    <t xml:space="preserve">ROYAL CIRCLE HONEY 750ML  </t>
  </si>
  <si>
    <t>/files/media/product/KERINGET MINERAL WATER 500ML.webp</t>
  </si>
  <si>
    <t>Keringet</t>
  </si>
  <si>
    <t>JAMESON WHISKY  4.5LTR</t>
  </si>
  <si>
    <t>/files/media/product/richot750ml.jpg</t>
  </si>
  <si>
    <t>HIGH COMMISSIONER  1LTR</t>
  </si>
  <si>
    <t>/files/media/product/va250ml.jpg_480Wx480H</t>
  </si>
  <si>
    <t>V &amp; A</t>
  </si>
  <si>
    <t>VAT 69 1L</t>
  </si>
  <si>
    <t>/files/media/product/KANE EXTRA 250ML.avif</t>
  </si>
  <si>
    <t>KANE EXTRA</t>
  </si>
  <si>
    <t xml:space="preserve">GLENFIDDICH 25YRS WHISKY 750ML </t>
  </si>
  <si>
    <t>/files/media/product/Best-Cream-750ml.jpg</t>
  </si>
  <si>
    <t>Cream</t>
  </si>
  <si>
    <t xml:space="preserve">GRANTS 12YRS WHISKY 750ML </t>
  </si>
  <si>
    <t>/files/media/product/STRETTON`S WILD BERRIES 750ML.jpeg</t>
  </si>
  <si>
    <t>Wildberry</t>
  </si>
  <si>
    <t>HARRINGTON  WHISKY 750ML</t>
  </si>
  <si>
    <t>/files/media/product/images (19).jpeg</t>
  </si>
  <si>
    <t>CARIBIA</t>
  </si>
  <si>
    <t>JOHNNIE WALKER BLONDE  750ml</t>
  </si>
  <si>
    <t>/files/media/product/hennesy.jpeg</t>
  </si>
  <si>
    <t>JOHNNIE WALKER  PLATINUM WHISKY 1LTR</t>
  </si>
  <si>
    <t>/files/media/product/cirocvodka1ltr.jpg</t>
  </si>
  <si>
    <t>Ciroc</t>
  </si>
  <si>
    <t>SIR EDWARDS WHISKY  4.5LTR</t>
  </si>
  <si>
    <t>/files/media/product/jb.jpeg</t>
  </si>
  <si>
    <t>J $ B</t>
  </si>
  <si>
    <t>TALISKER  NEIST POINT 700ml</t>
  </si>
  <si>
    <t>/files/media/product/black bird sweet red.jpg</t>
  </si>
  <si>
    <t>Black bird</t>
  </si>
  <si>
    <t>LUC BELAIRE  RARE BRUT 750ML</t>
  </si>
  <si>
    <t>/files/media/product/delush-white.webp</t>
  </si>
  <si>
    <t>FRONTERA CAB  BLUSH 750ML</t>
  </si>
  <si>
    <t>/files/media/product/gilbeys350ml.jpg</t>
  </si>
  <si>
    <t>FRONTERA CAB SAUV  1.5LTR</t>
  </si>
  <si>
    <t>/files/media/product/absolutmango.gif</t>
  </si>
  <si>
    <t>Mango</t>
  </si>
  <si>
    <t xml:space="preserve">ROCHE MAZET CAB SAUV  750ml </t>
  </si>
  <si>
    <t>/files/media/product/SIR EDWARDS SMOKY 1L.webp</t>
  </si>
  <si>
    <t xml:space="preserve">ROCHE MAZET CHARDONNAY 750ML </t>
  </si>
  <si>
    <t>/files/media/product/Zappa-Original-Sambuca-1.jpg</t>
  </si>
  <si>
    <t>Zappa</t>
  </si>
  <si>
    <t>Clear</t>
  </si>
  <si>
    <t>ROBERTSON  WINERY CHENIN BLANC 750ML</t>
  </si>
  <si>
    <t>/files/media/product/glenfidich12yo1ltr.jpeg</t>
  </si>
  <si>
    <t xml:space="preserve">NAMAQUA DRY RED  5LTR </t>
  </si>
  <si>
    <t>/files/media/product/VAPENGIN 13000 PODS PUFFS.jpg</t>
  </si>
  <si>
    <t>vapengin</t>
  </si>
  <si>
    <t>Pod</t>
  </si>
  <si>
    <t xml:space="preserve"> EXPRESSION MOJITO 750ML</t>
  </si>
  <si>
    <t>/files/media/product/MARTEL NOBLIGE 1 LITRE.webp</t>
  </si>
  <si>
    <t>MARTELL</t>
  </si>
  <si>
    <t>noblige</t>
  </si>
  <si>
    <t>BIG OAK  RED 750ML</t>
  </si>
  <si>
    <t>TOMMASI AMARONE DELLA VALPOLICELLA CLASSICO  750ML</t>
  </si>
  <si>
    <t>/files/media/product/guiness.jpg</t>
  </si>
  <si>
    <t>Guiness</t>
  </si>
  <si>
    <t xml:space="preserve"> BITOLA RED 750ML</t>
  </si>
  <si>
    <t>/files/media/product/rupert-roth.webp</t>
  </si>
  <si>
    <t>Rupert &amp; Rothschild</t>
  </si>
  <si>
    <t>Classique</t>
  </si>
  <si>
    <t>FRONTERA SAUV BLANC  750ML</t>
  </si>
  <si>
    <t>/files/media/product/theglenlivet18yo43700ml.webp</t>
  </si>
  <si>
    <t>Glenlivet</t>
  </si>
  <si>
    <t>BRUCE JACK  SAUV BLANC 2021 750ML</t>
  </si>
  <si>
    <t>/files/media/product/JACK DANIELS BLACK BERRY 700ML.webp</t>
  </si>
  <si>
    <t>Jack Daniel's</t>
  </si>
  <si>
    <t>Black Berry</t>
  </si>
  <si>
    <t>KLEINE RUST  SAVIGNON BLANC 1.5LTR</t>
  </si>
  <si>
    <t>/files/media/product/singleton12years750ml.webp</t>
  </si>
  <si>
    <t>Singleton</t>
  </si>
  <si>
    <t>MAISON CASTEL ICE  750ML</t>
  </si>
  <si>
    <t>/files/media/product/bombaybrumble.webp</t>
  </si>
  <si>
    <t>Bramble</t>
  </si>
  <si>
    <t>MAISON CASTEL ICE ROSE  750ML</t>
  </si>
  <si>
    <t>/files/media/product/butlerscherrykirsch750ml.webp</t>
  </si>
  <si>
    <t>Butlers</t>
  </si>
  <si>
    <t>Cherry Kirsch</t>
  </si>
  <si>
    <t xml:space="preserve">CASALDOMO CUVEE BRUT 750ML </t>
  </si>
  <si>
    <t>/files/media/product/Glenfiddich-15yrs-1ltr.jpeg</t>
  </si>
  <si>
    <t>CHAMDOR RED  750ML</t>
  </si>
  <si>
    <t>/files/media/product/ABSOLUT PEACH 1LTR.webp</t>
  </si>
  <si>
    <t>Peach</t>
  </si>
  <si>
    <t>SILK &amp;SPICE  750ML</t>
  </si>
  <si>
    <t>/files/media/product/JACK DANIELS 1.75L.webp</t>
  </si>
  <si>
    <t>VINUM IL ROSSO DABRUZZO ORGANIC 750ML</t>
  </si>
  <si>
    <t>/files/media/product/HENKES GIN 750ML.png</t>
  </si>
  <si>
    <t>HENKES</t>
  </si>
  <si>
    <t>CIROC RED BERRY LITRE</t>
  </si>
  <si>
    <t>/files/media/product/CIROC RED BERRY LITRE.jpeg</t>
  </si>
  <si>
    <t>CIROC</t>
  </si>
  <si>
    <t>RUPERT &amp; ROTHS RED 750ML</t>
  </si>
  <si>
    <t>/files/media/product/images (8).jpeg</t>
  </si>
  <si>
    <t>HUNTERS GOLD 330ML</t>
  </si>
  <si>
    <t>/files/media/product/huntersgold330ml.jpg</t>
  </si>
  <si>
    <t>Hunters</t>
  </si>
  <si>
    <t>GORDON'S PINK&amp;TONIC 330ml</t>
  </si>
  <si>
    <t>/files/media/product/GORDON'S PINK&amp;TONIC 330ML.jpeg</t>
  </si>
  <si>
    <t>DASANI DRINKING WATER 1LTR</t>
  </si>
  <si>
    <t>/files/media/product/DASANI DRINKING WATER 1L.webp</t>
  </si>
  <si>
    <t>Dasani</t>
  </si>
  <si>
    <t>DON JULIO BLANCO 750ML</t>
  </si>
  <si>
    <t>/files/media/product/DON JULIO BLANCO 750ML.webp</t>
  </si>
  <si>
    <t>DON JULIO</t>
  </si>
  <si>
    <t>ROBERTSON - WHITE SWEET 750ML</t>
  </si>
  <si>
    <t>/files/media/product/robertsonwhitesweet750ml.jpeg</t>
  </si>
  <si>
    <t>SANTA HELENA TINTO 750ML</t>
  </si>
  <si>
    <t>/files/media/product/SANTA HELENA TINTO 750ML.jpg</t>
  </si>
  <si>
    <t>Santa Helena</t>
  </si>
  <si>
    <t>DROSTDY-HOF CLARET 750ML</t>
  </si>
  <si>
    <t>/files/media/product/drostdy-hofclaret750ml.jpg</t>
  </si>
  <si>
    <t>Drostdy hof</t>
  </si>
  <si>
    <t>PREDATOR ENERGY</t>
  </si>
  <si>
    <t>/files/media/product/PREDATOR ENERGY.avif</t>
  </si>
  <si>
    <t>PREDATOR</t>
  </si>
  <si>
    <t>Energy Drink</t>
  </si>
  <si>
    <t>NEON PINEAPPLE VODKA 750ML</t>
  </si>
  <si>
    <t>/files/media/product/NEON PINEAPPLE VODKA 750ML.jpg</t>
  </si>
  <si>
    <t>NEON</t>
  </si>
  <si>
    <t>Pineapple</t>
  </si>
  <si>
    <t>JOHNNIE WALKER BLACK LABEL WHISKY 750ML</t>
  </si>
  <si>
    <t>/files/media/product/JOHNNIE WALKER BLACK LABEL WHISKY 750ML.webp</t>
  </si>
  <si>
    <t>Johnnie Walker</t>
  </si>
  <si>
    <t>GLEN SCANLAN LITRE</t>
  </si>
  <si>
    <t>/files/media/product/GLEN SCANLAN LITRE.jpg</t>
  </si>
  <si>
    <t>GLEN SCANLAN</t>
  </si>
  <si>
    <t>FOUR COUSINS SWEET WHITE 1.5LTR</t>
  </si>
  <si>
    <t>/files/media/product/fourcousins1.5l.png</t>
  </si>
  <si>
    <t>BRANDY MARNAT XO 750ML</t>
  </si>
  <si>
    <t>/files/media/product/BRANDY MARNAT XO 750ML.webp</t>
  </si>
  <si>
    <t>MARNAT</t>
  </si>
  <si>
    <t>HENNESSY PURE WHITE 700ML</t>
  </si>
  <si>
    <t>/files/media/product/HENNESSY PURE WHITE 700ML.webp</t>
  </si>
  <si>
    <t>pure white</t>
  </si>
  <si>
    <t>BALLANTINES FINEST WHISKY 12YRS 750ml</t>
  </si>
  <si>
    <t>/files/media/product/BALLANTINES FINEST WHISKY 12YRS 750ml.jpeg</t>
  </si>
  <si>
    <t>Ballantine's</t>
  </si>
  <si>
    <t>CAPTAIN MORGAN BLACK SPICED 1LTR</t>
  </si>
  <si>
    <t>/files/media/product/captainmorganblackspiced1ltr.jpg</t>
  </si>
  <si>
    <t>Captain morgan</t>
  </si>
  <si>
    <t>BOLS BLUE CURACAO 750ML</t>
  </si>
  <si>
    <t>/files/media/product/BOLS BLUE CURACAO 750ML.jpg</t>
  </si>
  <si>
    <t>BOLLS</t>
  </si>
  <si>
    <t>Blue Curacao</t>
  </si>
  <si>
    <t>CARLO ROSSI WHITE 750ML</t>
  </si>
  <si>
    <t>/files/media/product/CARLO ROSSI WHITE 750ML.jpeg</t>
  </si>
  <si>
    <t>CARLO ROSSI</t>
  </si>
  <si>
    <t>KREST 500ML</t>
  </si>
  <si>
    <t>/files/media/product/krestbitterlemon500mlpet.jpg</t>
  </si>
  <si>
    <t>Krest</t>
  </si>
  <si>
    <t>SPRITE 500ML</t>
  </si>
  <si>
    <t>/files/media/product/Sprite-500ml.jpeg</t>
  </si>
  <si>
    <t>Sprite</t>
  </si>
  <si>
    <t>STRETTON RUBY ORANGE 750ML</t>
  </si>
  <si>
    <t>/files/media/product/STRETTON RUBY ORANGE 750ML.jpeg</t>
  </si>
  <si>
    <t>Orange</t>
  </si>
  <si>
    <t>CHROME GIN 750ML</t>
  </si>
  <si>
    <t>/files/media/product/chromegin750ml.jpeg</t>
  </si>
  <si>
    <t>EMBER PINE POA 250 ML</t>
  </si>
  <si>
    <t>/files/media/product/EMBER PINE POA 250 ML.webp</t>
  </si>
  <si>
    <t>EMBER</t>
  </si>
  <si>
    <t>V &amp; A 750ML</t>
  </si>
  <si>
    <t>/files/media/product/va750ml.jpg</t>
  </si>
  <si>
    <t>HUNTERS 250 ML</t>
  </si>
  <si>
    <t>/files/media/product/hunters250ml.jpg_480Wx480H</t>
  </si>
  <si>
    <t>JAMESON STOUT 750ML</t>
  </si>
  <si>
    <t>/files/media/product/JAMESON STOUT 750ML.jpeg</t>
  </si>
  <si>
    <t>JAMESON</t>
  </si>
  <si>
    <t>MONKEY SHOULDER 750ML</t>
  </si>
  <si>
    <t>/files/media/product/monkeyshoulder750ml.webp</t>
  </si>
  <si>
    <t>Monkey Shoulder</t>
  </si>
  <si>
    <t>/files/media/product/pierre-marcel.webp</t>
  </si>
  <si>
    <t>Pierre marcel</t>
  </si>
  <si>
    <t>/files/media/product/DEWARS 15YRS 1LTR.webp</t>
  </si>
  <si>
    <t>/files/media/product/GRACA WHITE 750ML.webp</t>
  </si>
  <si>
    <t>GRACA</t>
  </si>
  <si>
    <t>/files/media/product/CAPTAIN MUCK PIT 250ML.webp</t>
  </si>
  <si>
    <t>muckpit</t>
  </si>
  <si>
    <t>/files/media/product/JINRO CHAMISUL FRESH SOJU 360 ML.jpg</t>
  </si>
  <si>
    <t>Chamisul</t>
  </si>
  <si>
    <t>/files/media/product/don montego 250ml.png</t>
  </si>
  <si>
    <t>Don montego</t>
  </si>
  <si>
    <t>/files/media/product/GENTLEMAN JACK 1LTR.jpg</t>
  </si>
  <si>
    <t>/files/media/product/luc-belaire-gold-brut-fantome-75-cl.jpg</t>
  </si>
  <si>
    <t>Luc belaire</t>
  </si>
  <si>
    <t>champagne</t>
  </si>
  <si>
    <t>/files/media/product/SPRITE1.25Ltr.jpg</t>
  </si>
  <si>
    <t>/files/media/product/COKE 1LITRE.webp</t>
  </si>
  <si>
    <t>COKE</t>
  </si>
  <si>
    <t>/files/media/product/viceroy375ml.webp</t>
  </si>
  <si>
    <t>Viceroy</t>
  </si>
  <si>
    <t>/files/media/product/CARIBIA GIN 250ML.jpeg</t>
  </si>
  <si>
    <t>/files/media/product/jagermisrer350ml.png</t>
  </si>
  <si>
    <t>/files/media/product/CAPTAIN MORGAN MUCKPIT 750ML.webp</t>
  </si>
  <si>
    <t>/files/media/product/tripleacevodka750ml.webp</t>
  </si>
  <si>
    <t>Triple Ace</t>
  </si>
  <si>
    <t>/files/media/product/off red.jpg</t>
  </si>
  <si>
    <t>/files/media/product/kibao350ml.jpeg</t>
  </si>
  <si>
    <t>/files/media/product/saintanna750ml.jpg</t>
  </si>
  <si>
    <t>Saint Anna</t>
  </si>
  <si>
    <t>/files/media/product/blackbird.jpeg</t>
  </si>
  <si>
    <t>/files/media/product/cutty sark.jpeg</t>
  </si>
  <si>
    <t>Cutty</t>
  </si>
  <si>
    <t>/files/media/product/jw-black-label-1.webp</t>
  </si>
  <si>
    <t>/files/media/product/desperadosteqbeer330ml.webp</t>
  </si>
  <si>
    <t>Desperados</t>
  </si>
  <si>
    <t>tequila</t>
  </si>
  <si>
    <t>/files/media/product/kenya_cane_smooth_750ml.png</t>
  </si>
  <si>
    <t>/files/media/product/WILD TURKEY 101 LITRE.jpg</t>
  </si>
  <si>
    <t>WILD TURKEY</t>
  </si>
  <si>
    <t>/files/media/product/belvederevodka1ltr.webp</t>
  </si>
  <si>
    <t>Belvedere</t>
  </si>
  <si>
    <t>/files/media/product/jackdaniesapple.jpg</t>
  </si>
  <si>
    <t>/files/media/product/johnwalkergoldreserve1ltr.webp</t>
  </si>
  <si>
    <t>/files/media/product/GLENMORANGIE X 700ML.jpeg</t>
  </si>
  <si>
    <t>GLENMORANGIE</t>
  </si>
  <si>
    <t>/files/media/product/35south750ml.jpg</t>
  </si>
  <si>
    <t>35 South</t>
  </si>
  <si>
    <t>/files/media/product/PROPER TWELVE IRISH WHISKY 1LTR.png</t>
  </si>
  <si>
    <t>Proper Twelve</t>
  </si>
  <si>
    <t>/files/media/product/SANTA HELLENA DULCEE 750ml.webp</t>
  </si>
  <si>
    <t>Dulcee</t>
  </si>
  <si>
    <t>/files/media/product/beefeaterpinkgin1ltr.webp</t>
  </si>
  <si>
    <t>Pink</t>
  </si>
  <si>
    <t>/files/media/product/MINUTE MAID APPLE 400ML.jpeg</t>
  </si>
  <si>
    <t>MINUTE MAID</t>
  </si>
  <si>
    <t>Juice</t>
  </si>
  <si>
    <t>/files/media/product/rosed'argentstrawberrygin700ml.jpeg</t>
  </si>
  <si>
    <t>D' ARGENT</t>
  </si>
  <si>
    <t>/files/media/product/FRANGELICO 1LTR.webp</t>
  </si>
  <si>
    <t>FRANGELICO</t>
  </si>
  <si>
    <t>/files/media/product/Hunters-Choice-Whisky-750ml.png</t>
  </si>
  <si>
    <t>/files/media/product/bond-7-whisky_grande.webp</t>
  </si>
  <si>
    <t>/files/media/product/APPLETON ESTATE 12 YEARS LITRE.webp</t>
  </si>
  <si>
    <t>APPLETON</t>
  </si>
  <si>
    <t>/files/media/product/martinirosso1ltr.jpg</t>
  </si>
  <si>
    <t>Martini</t>
  </si>
  <si>
    <t>Vermouth</t>
  </si>
  <si>
    <t>Rosso</t>
  </si>
  <si>
    <t>/files/media/product/images (5).jpeg</t>
  </si>
  <si>
    <t>/files/media/product/Olmeca_Blanco_Tequila_700ml.jpg</t>
  </si>
  <si>
    <t>Blanco</t>
  </si>
  <si>
    <t>/files/media/product/remymartinxo1ltr.jpeg</t>
  </si>
  <si>
    <t>/files/media/product/Southern-Comfort-1ltr.jpeg</t>
  </si>
  <si>
    <t>/files/media/product/KO MUKHOMBERO 10% GIN COCTAIL 330ML CAN.jpg</t>
  </si>
  <si>
    <t>/files/media/product/58 VERY BERRY G&amp;T 330ML CAN.webp</t>
  </si>
  <si>
    <t>58 KO</t>
  </si>
  <si>
    <t>/files/media/product/Courvoisier-VSOP-Cognac-750-ml_1.png</t>
  </si>
  <si>
    <t>Courvoisier</t>
  </si>
  <si>
    <t>/files/media/product/courvoisiervsop700ml.jpeg</t>
  </si>
  <si>
    <t>/files/media/product/JACK DANIEL'S APPLE 350ML.webp</t>
  </si>
  <si>
    <t>tenessee</t>
  </si>
  <si>
    <t>/files/media/product/donjulioanejo750ml.jpg</t>
  </si>
  <si>
    <t>Anejo</t>
  </si>
  <si>
    <t>/files/media/product/roccadeifortired750ml.jpeg</t>
  </si>
  <si>
    <t>Rocca dei Forti</t>
  </si>
  <si>
    <t>/files/media/product/SOUTHERN COMFORT LIME 700ML.jpeg</t>
  </si>
  <si>
    <t>SOUTHERN COMFORT</t>
  </si>
  <si>
    <t>/files/media/product/JOHNNIE WALKER BLUE LABEL 1LTR.jpg</t>
  </si>
  <si>
    <t>JOHNNIE WALKER</t>
  </si>
  <si>
    <t>/files/media/product/NEDERBURG - LYRIC 750ML.jpg</t>
  </si>
  <si>
    <t>Lyric</t>
  </si>
  <si>
    <t>/files/media/product/lucbelairebleu750ml.webp</t>
  </si>
  <si>
    <t>Sparkling</t>
  </si>
  <si>
    <t>/files/media/product/cellar_red_5ltr.467.png</t>
  </si>
  <si>
    <t>/files/media/product/tiliacarbanetsauvignon750ml.webp</t>
  </si>
  <si>
    <t>Tilia</t>
  </si>
  <si>
    <t>/files/media/product/MINUTE MAID APPPLE 1 LTR.jpg</t>
  </si>
  <si>
    <t>/files/media/product/MINUTE MANGO 400ML.jpg</t>
  </si>
  <si>
    <t>/files/media/product/coke2ltr.jpg</t>
  </si>
  <si>
    <t>/files/media/product/pimms-no-1.png</t>
  </si>
  <si>
    <t>Pimms</t>
  </si>
  <si>
    <t>/files/media/product/BACARDI CARTA NEGRA 1ltr.webp</t>
  </si>
  <si>
    <t>carta negra</t>
  </si>
  <si>
    <t>/files/media/product/jackd.singlebarrel750ml.webp</t>
  </si>
  <si>
    <t>single barrel</t>
  </si>
  <si>
    <t>/files/media/product/CANDY FLOSS SWEET WHITE WINE 750ML.webp</t>
  </si>
  <si>
    <t>CANDY FLOSS</t>
  </si>
  <si>
    <t>/files/media/product/NEON VANILLA VODKA 750ML.jpg</t>
  </si>
  <si>
    <t>Vanilla</t>
  </si>
  <si>
    <t>/files/media/product/GREENALLS WILD BERRY PINK 700ML.webp</t>
  </si>
  <si>
    <t>Greenalls</t>
  </si>
  <si>
    <t>Berry Pink</t>
  </si>
  <si>
    <t>/files/media/product/patronsilver750ml.jpeg</t>
  </si>
  <si>
    <t>Patron xo</t>
  </si>
  <si>
    <t>/files/media/product/CIROC PINEAPPLE VODKA 1LTR.png</t>
  </si>
  <si>
    <t>/files/media/product/glenlivet15years.jpg</t>
  </si>
  <si>
    <t>/files/media/product/catenacarbanetsauvignon750ml.webp</t>
  </si>
  <si>
    <t>Catena</t>
  </si>
  <si>
    <t>/files/media/product/DON JULIO 1942 750ml.webp</t>
  </si>
  <si>
    <t>/files/media/product/SANTA HELENA BLANCO 750ML.jpg</t>
  </si>
  <si>
    <t>SANTA HELENA</t>
  </si>
  <si>
    <t>/files/media/product/MATEUS 1LTR.jpeg</t>
  </si>
  <si>
    <t>MATEUS</t>
  </si>
  <si>
    <t>/files/media/product/KO LEMON CELLO 10% GIN COCKTAIL 330ML CAN.jpg</t>
  </si>
  <si>
    <t>/files/media/product/58 CLASSIC G&amp;T 330ML CAN.png</t>
  </si>
  <si>
    <t>/files/media/product/kolimeginger.webp</t>
  </si>
  <si>
    <t>/files/media/product/CRATES DEPOSIT.png</t>
  </si>
  <si>
    <t>/files/media/product/WHITE MISCHIEF 750ML.webp</t>
  </si>
  <si>
    <t>WHITE MISCHIEF</t>
  </si>
  <si>
    <t>/files/media/product/royalwhytehallhoney1ltr.jpeg</t>
  </si>
  <si>
    <t>WHYTEHALL</t>
  </si>
  <si>
    <t>Honey</t>
  </si>
  <si>
    <t>/files/media/product/PENASOL BRUT 750ML.webp</t>
  </si>
  <si>
    <t>PENASOL</t>
  </si>
  <si>
    <t>Brut</t>
  </si>
  <si>
    <t>/files/media/product/KWV-Merlot-750ML.png</t>
  </si>
  <si>
    <t>Kwv</t>
  </si>
  <si>
    <t>/files/media/product/ROCHE MAZET GRENACHE 750ML.jpeg</t>
  </si>
  <si>
    <t>ROCHE MAZET</t>
  </si>
  <si>
    <t>/files/media/product/kwvclassicshiraz750ml.ashx</t>
  </si>
  <si>
    <t>Shiraz</t>
  </si>
  <si>
    <t>/files/media/product/SAINT CLAIRE NATURAL SWEET ROSE 750ML.jpg</t>
  </si>
  <si>
    <t>ST CLAIRE</t>
  </si>
  <si>
    <t>/files/media/product/KIBAO-750ML-BOTTLE-RGB-WS-scaled.png</t>
  </si>
  <si>
    <t>/files/media/product/CIROC PEACH 1LTR.jpg</t>
  </si>
  <si>
    <t>/files/media/product/EROS POD 20000 PUFFS.webp</t>
  </si>
  <si>
    <t>Eros</t>
  </si>
  <si>
    <t>/files/media/product/AMARULA RASPBERRY CHOCOLATE 750ML.webp</t>
  </si>
  <si>
    <t>AMARULA</t>
  </si>
  <si>
    <t>Raspberry Chocolate</t>
  </si>
  <si>
    <t>/files/media/product/patronreposado750ml.jpeg</t>
  </si>
  <si>
    <t>/files/media/product/tall horse.jpeg</t>
  </si>
  <si>
    <t>Tall horse</t>
  </si>
  <si>
    <t>Pinotage</t>
  </si>
  <si>
    <t>/files/media/product/CASTEL SYRAH 750ML.webp</t>
  </si>
  <si>
    <t>Maison castel</t>
  </si>
  <si>
    <t>Syrah</t>
  </si>
  <si>
    <t>/files/media/product/CARIBIA GIN 750ML.jpg</t>
  </si>
  <si>
    <t>/files/media/product/chivas-Regal18years.jpg</t>
  </si>
  <si>
    <t>Chivas Regal</t>
  </si>
  <si>
    <t>/files/media/product/BLACK BIRD SWEET ROSE 750ML.webp</t>
  </si>
  <si>
    <t>BLACK BIRD</t>
  </si>
  <si>
    <t>/files/media/product/SCOTTISH LEADER ORIGINAL 1LTR.jpg</t>
  </si>
  <si>
    <t>Amarula</t>
  </si>
  <si>
    <t>Cofffe</t>
  </si>
  <si>
    <t>/files/media/product/VAPENGIN 6500 PODS PUFFS.webp</t>
  </si>
  <si>
    <t>/files/media/product/Dasani Drinking Water 500ml.jpeg</t>
  </si>
  <si>
    <t>/files/media/product/ORIJIN BITTERS 750ml.jpg</t>
  </si>
  <si>
    <t>/files/media/product/LORDSON DRY GIN 750ML.jpeg</t>
  </si>
  <si>
    <t>LORDSON</t>
  </si>
  <si>
    <t>/files/media/product/THE MACALLAN 15YR 700ML.jpg</t>
  </si>
  <si>
    <t>Macallan</t>
  </si>
  <si>
    <t>/files/media/product/blackramwhiskyhoney700ml.jpg</t>
  </si>
  <si>
    <t>/files/media/product/MOET &amp; CHANDON ICE IMPERIAL 750ML.jpeg</t>
  </si>
  <si>
    <t>/files/media/product/nederburgduet750ml.jpeg</t>
  </si>
  <si>
    <t>Duet</t>
  </si>
  <si>
    <t>/files/media/product/SAINT RAPHAEL SMOOTH RED 750ML.jpeg</t>
  </si>
  <si>
    <t>ST RAPHAEL</t>
  </si>
  <si>
    <t>/files/media/product/PIERRE MARCEL ROSE 750ML.jpg</t>
  </si>
  <si>
    <t>PIERRE MARCEL</t>
  </si>
  <si>
    <t>/files/media/product/carlorossiwhite15ltr.jpg</t>
  </si>
  <si>
    <t>Carlo rossi</t>
  </si>
  <si>
    <t>/files/media/product/KING ROBERT DARK RUM 1LTR.jpeg</t>
  </si>
  <si>
    <t>KING ROBERT</t>
  </si>
  <si>
    <t>/files/media/product/capricereddrytetra1ltr.jpg</t>
  </si>
  <si>
    <t>Caprice</t>
  </si>
  <si>
    <t>/files/media/product/DROSTDY HOF CLARET 3LTR.webp</t>
  </si>
  <si>
    <t>DROSTDY HOF</t>
  </si>
  <si>
    <t>/files/media/product/EXPRESSION SWEET RED 750ml.jpg</t>
  </si>
  <si>
    <t>Expression</t>
  </si>
  <si>
    <t>/files/media/product/JIM BEAM APPLE 750ML.webp</t>
  </si>
  <si>
    <t>JIM BEAM</t>
  </si>
  <si>
    <t>/files/media/product/oldmonk750ml.jpeg</t>
  </si>
  <si>
    <t>OLD MONK</t>
  </si>
  <si>
    <t>/files/media/product/LIBERTY SPIRIT 250ML.webp</t>
  </si>
  <si>
    <t>LIBERTY</t>
  </si>
  <si>
    <t>/files/media/product/Zappa-Sambuca-Green-750ml.jpg</t>
  </si>
  <si>
    <t>Green</t>
  </si>
  <si>
    <t>/files/media/product/1800 REPOSADO RF LITRE.jpg</t>
  </si>
  <si>
    <t>reposado</t>
  </si>
  <si>
    <t>/files/media/product/TULLAMORE DEW WHISKY 700ML.webp</t>
  </si>
  <si>
    <t>TULLAMORE DEW</t>
  </si>
  <si>
    <t>/files/media/product/brucejackreservechardonnay750ml.ashx</t>
  </si>
  <si>
    <t>Bruce jack</t>
  </si>
  <si>
    <t>Chardonnay</t>
  </si>
  <si>
    <t>/files/media/product/THE GUVNOR RED 1.5LTR.jpeg</t>
  </si>
  <si>
    <t>guv nor</t>
  </si>
  <si>
    <t>/files/media/product/patronanejotequilla750ml.jpeg</t>
  </si>
  <si>
    <t>/files/media/product/STOLICHNAYA 375ML.webp</t>
  </si>
  <si>
    <t>STOLICHNAYA</t>
  </si>
  <si>
    <t>/files/media/product/MOET &amp; CHANDON ROSE IMPERIAL 750ml.jpg</t>
  </si>
  <si>
    <t>/files/media/product/images (11).jpeg</t>
  </si>
  <si>
    <t>rose</t>
  </si>
  <si>
    <t>/files/media/product/ADEGAMAE TERRAS DE LISBOA SWEET WHITE WINE 850ML.webp</t>
  </si>
  <si>
    <t>/files/media/product/ten.webp</t>
  </si>
  <si>
    <t>/files/media/product/FOUR COUSINS DRY RED 5LTR.webp</t>
  </si>
  <si>
    <t>FOUR COUSINS</t>
  </si>
  <si>
    <t>/files/media/product/ROBERTSON SAUV BLANC 750ML.png</t>
  </si>
  <si>
    <t>ROBERTSON WINERY</t>
  </si>
  <si>
    <t>/files/media/product/BACARDIGOLDRUM.webp</t>
  </si>
  <si>
    <t>Bacardi</t>
  </si>
  <si>
    <t>/files/media/product/MINUTE MAID TROPICAL 400ML.avif</t>
  </si>
  <si>
    <t>/files/media/product/sodawater.jpg</t>
  </si>
  <si>
    <t>/files/media/product/MYER'S RUM 375ML.jpeg</t>
  </si>
  <si>
    <t>MYER'S</t>
  </si>
  <si>
    <t>/files/media/product/ROYAL CIRCLE 350ML.jpeg</t>
  </si>
  <si>
    <t>/files/media/product/ROYAL CHALLENGE 375ML.webp</t>
  </si>
  <si>
    <t>/files/media/product/GLENMORANGIE ORIGINAL 10YRS 1LTR.webp</t>
  </si>
  <si>
    <t>/files/media/product/Bond-7-350Ml-1.jpg.webp</t>
  </si>
  <si>
    <t>/files/media/product/ASCONI CAB SAUV ROSE 750ML.webp</t>
  </si>
  <si>
    <t>ASCONI</t>
  </si>
  <si>
    <t>/files/media/product/ANDRE MOSCATO SPUMANTE 750ML.jpg</t>
  </si>
  <si>
    <t>ANDRE</t>
  </si>
  <si>
    <t>Moscato</t>
  </si>
  <si>
    <t>/files/media/product/BUTLERS ESPRESSO 750ML.jpeg</t>
  </si>
  <si>
    <t>cream</t>
  </si>
  <si>
    <t>/files/media/product/capricewhitedrytetra1ltr.jpg</t>
  </si>
  <si>
    <t>/files/media/product/SPRITE 2LTR.jpg</t>
  </si>
  <si>
    <t>SPRITE</t>
  </si>
  <si>
    <t>LONDON HILL DRY GIN 1LTR</t>
  </si>
  <si>
    <t>/files/media/product/London-Hill-Dry-Gin-1lt-bottle-of-italy-min.webp</t>
  </si>
  <si>
    <t>London hill</t>
  </si>
  <si>
    <t>/files/media/product/gin-hendrick-s-lunar-70cl.jpg</t>
  </si>
  <si>
    <t>Hendricks</t>
  </si>
  <si>
    <t>/files/media/product/PATRON SILVER 1LTR.jpeg</t>
  </si>
  <si>
    <t>/files/media/product/flirt-strawberry-600x600.png</t>
  </si>
  <si>
    <t>Flirt</t>
  </si>
  <si>
    <t>/files/media/product/MOLINA RESERVA 750ML.webp</t>
  </si>
  <si>
    <t>CASTILLO DEL MOLINA</t>
  </si>
  <si>
    <t>dry</t>
  </si>
  <si>
    <t>/files/media/product/TIA MARIA VANILLA 1LTR.jpg</t>
  </si>
  <si>
    <t>TIA MARIA</t>
  </si>
  <si>
    <t>/files/media/product/Harveys-Bristol-Cream-750ml-600x600-1.jpg</t>
  </si>
  <si>
    <t>Harveys</t>
  </si>
  <si>
    <t>cherry</t>
  </si>
  <si>
    <t>/files/media/product/williamlawson.jpg</t>
  </si>
  <si>
    <t>/files/media/product/POWER PLAY.avif</t>
  </si>
  <si>
    <t>POWER PLAY</t>
  </si>
  <si>
    <t>/files/media/product/MINUTE MAID MANGO 1 LTR.jpeg</t>
  </si>
  <si>
    <t>/files/media/product/three_barrels_1l.webp</t>
  </si>
  <si>
    <t>Three Barrels</t>
  </si>
  <si>
    <t>/files/media/product/kensington.webp</t>
  </si>
  <si>
    <t>Kensington</t>
  </si>
  <si>
    <t>/files/media/product/THE BOTANIST GIN 1LTR.jpeg</t>
  </si>
  <si>
    <t>THE BOTANIST</t>
  </si>
  <si>
    <t>/files/media/product/hendricks750ml.jpg</t>
  </si>
  <si>
    <t>/files/media/product/muscador750ml.jpg_480Wx480H</t>
  </si>
  <si>
    <t>Fruit ville</t>
  </si>
  <si>
    <t>/files/media/product/Cointreau_original_v4.jpg</t>
  </si>
  <si>
    <t>Cointreau</t>
  </si>
  <si>
    <t>tripple sec</t>
  </si>
  <si>
    <t>/files/media/product/bacardigold.png</t>
  </si>
  <si>
    <t>/files/media/product/teachers750ml.jpeg</t>
  </si>
  <si>
    <t>/files/media/product/TALL HORSE - CHARDONNAY 750ML.webp</t>
  </si>
  <si>
    <t>TALL HORSE</t>
  </si>
  <si>
    <t>/files/media/product/CONSIGNA MERLOT 750ML.webp</t>
  </si>
  <si>
    <t>CONSIGNIA</t>
  </si>
  <si>
    <t>/files/media/product/GRAHAM'S FINE RUBY.webp</t>
  </si>
  <si>
    <t>GRAHAM'S</t>
  </si>
  <si>
    <t>/files/media/product/DUCHESALIA FRAGOLINO RED 750ML.png</t>
  </si>
  <si>
    <t>DUCHESA LIA</t>
  </si>
  <si>
    <t>/files/media/product/rossonobilecherry750ml.webp</t>
  </si>
  <si>
    <t>Sweet red</t>
  </si>
  <si>
    <t>/files/media/product/rossonobilemarzipan750ml.jpg</t>
  </si>
  <si>
    <t>/files/media/product/rosso-nobile-nougat.jpg</t>
  </si>
  <si>
    <t>/files/media/product/MIRADOR DARK BLEND 750ML.jpg</t>
  </si>
  <si>
    <t>MIRADOR</t>
  </si>
  <si>
    <t>/files/media/product/ST REMY XO FRENCH BRANDY 750ML.jpeg</t>
  </si>
  <si>
    <t>/files/media/product/andrerubyred750ml.jpg</t>
  </si>
  <si>
    <t>Andre</t>
  </si>
  <si>
    <t>/files/media/product/KING ROBERT VODKA 1LTR.jpeg</t>
  </si>
  <si>
    <t>/files/media/product/kwvpinotage750ml.ashx</t>
  </si>
  <si>
    <t>/files/media/product/Asconi-Moscato-Rose-750ml-600x600-1.jpg</t>
  </si>
  <si>
    <t>Asconi</t>
  </si>
  <si>
    <t>Rose</t>
  </si>
  <si>
    <t>/files/media/product/malibu.png</t>
  </si>
  <si>
    <t>Malibu</t>
  </si>
  <si>
    <t>coconut</t>
  </si>
  <si>
    <t>/files/media/product/MAKER'S MARK 101 1L.webp</t>
  </si>
  <si>
    <t>Maker's Mark</t>
  </si>
  <si>
    <t>/files/media/product/casasoliscarbanetsavignon750ml.png</t>
  </si>
  <si>
    <t>Casa solis</t>
  </si>
  <si>
    <t>/files/media/product/Greenspoon-Kenya-2020-Cabernet-Sauvignon-Bruce-Jack.webp</t>
  </si>
  <si>
    <t>/files/media/product/TRUMPETER PINOT NOIR 750ml.png</t>
  </si>
  <si>
    <t>TRUMPETER</t>
  </si>
  <si>
    <t>Pinot Noir</t>
  </si>
  <si>
    <t>/files/media/product/MAISON CASTEL TOURAINE SAUV BLANC 750ML.jpeg</t>
  </si>
  <si>
    <t>/files/media/product/ARMAND DE BRIGNAC BRUT GOLD 750ML.jpg</t>
  </si>
  <si>
    <t>ARMAND DE BRIGNAC</t>
  </si>
  <si>
    <t>/files/media/product/frontera_rose.jpeg</t>
  </si>
  <si>
    <t>FRONTERA</t>
  </si>
  <si>
    <t>/files/media/product/chamdor-white-grape-sparkling.png</t>
  </si>
  <si>
    <t>Chamdor</t>
  </si>
  <si>
    <t>/files/media/product/NAMAQUA SWEET WHITE 5LTR.jpg</t>
  </si>
  <si>
    <t>NAMAQUA</t>
  </si>
  <si>
    <t>/files/media/product/talisker-storm-whisky.webp</t>
  </si>
  <si>
    <t>Talisker</t>
  </si>
  <si>
    <t>/files/media/product/JOHNNIE WALKER RED LABEL 500ML.jpg</t>
  </si>
  <si>
    <t>/files/media/product/chivasregal18years.jpeg</t>
  </si>
  <si>
    <t>/files/media/product/JOSE CUERVO RESERVA 700ML.jpeg</t>
  </si>
  <si>
    <t>JOSE QUERVO</t>
  </si>
  <si>
    <t>Reserva</t>
  </si>
  <si>
    <t>/files/media/product/FANTA ORANGE 500ML.jpg</t>
  </si>
  <si>
    <t>FANTA</t>
  </si>
  <si>
    <t>/files/media/product/whitleyneillblackberrygin750ml.jpg</t>
  </si>
  <si>
    <t>WHITLEY NEIL</t>
  </si>
  <si>
    <t>/files/media/product/BUTLERS GINGER 750ML.jpeg</t>
  </si>
  <si>
    <t>Ginger</t>
  </si>
  <si>
    <t>/files/media/product/BOLS DRY ORANGE 750ML.jpeg</t>
  </si>
  <si>
    <t>/files/media/product/absolut-pears-750ml.webp</t>
  </si>
  <si>
    <t>Pears</t>
  </si>
  <si>
    <t>/files/media/product/ERISTOFF 750ML.jpeg</t>
  </si>
  <si>
    <t>ERISTOFF</t>
  </si>
  <si>
    <t>/files/media/product/NEMIROFF CRANBERRY 1LTR.jpg</t>
  </si>
  <si>
    <t>NEMIROFF</t>
  </si>
  <si>
    <t>/files/media/product/ROYAL CIRCLE 750ML.jpeg</t>
  </si>
  <si>
    <t>/files/media/product/PERNOD 1LTR.jpeg</t>
  </si>
  <si>
    <t>PERNODE</t>
  </si>
  <si>
    <t>/files/media/product/jackdanielssourmashno7,-legacyedition7700ml.webp</t>
  </si>
  <si>
    <t>Sour Mash</t>
  </si>
  <si>
    <t>/files/media/product/trumpetercabernetfranc2021750ml.jpg</t>
  </si>
  <si>
    <t>Trumpeter</t>
  </si>
  <si>
    <t>Cabernet Franc</t>
  </si>
  <si>
    <t>/files/media/product/FOUR COUSINS COLLECTION CAB SAUV 750ml.webp</t>
  </si>
  <si>
    <t>/files/media/product/DROSTDY HOF RED 375ML.jpeg</t>
  </si>
  <si>
    <t>/files/media/product/fronteramerlot15ltr.jpg</t>
  </si>
  <si>
    <t>Frontera</t>
  </si>
  <si>
    <t>/files/media/product/Trumpeter-Cab-Sauv-750ml-600x600-1.jpg</t>
  </si>
  <si>
    <t>/files/media/product/BAIN'S WAY SWEET RED 750ML.webp</t>
  </si>
  <si>
    <t>BAIN'S WAY</t>
  </si>
  <si>
    <t>/files/media/product/Gato-Negro-Chardonnay-750ml.png</t>
  </si>
  <si>
    <t>/files/media/product/Abbazia-san-gaudenzio-fiorino-oro-asti-spumante-docg.jpg</t>
  </si>
  <si>
    <t>Spumante</t>
  </si>
  <si>
    <t>/files/media/product/peplimejuice15ltr.jpeg</t>
  </si>
  <si>
    <t>Pep lime</t>
  </si>
  <si>
    <t>/files/media/product/CARLO ROSSI DRY WHITE 3LTR.webp</t>
  </si>
  <si>
    <t>/files/media/product/GRAHAM'S FINE TAWNY 750ML.jpg</t>
  </si>
  <si>
    <t>/files/media/product/CASA SOLIS MERLOT 750ML.webp</t>
  </si>
  <si>
    <t>CASA SOLIS</t>
  </si>
  <si>
    <t>/files/media/product/RUSSIAN BEAR VODKA 750ML.webp</t>
  </si>
  <si>
    <t>RUSSIAN BEAR</t>
  </si>
  <si>
    <t>vodka</t>
  </si>
  <si>
    <t>/files/media/product/JOHNNIE WALKER SWING 750ML.jpeg</t>
  </si>
  <si>
    <t>/files/media/product/laphroaigpxcask1ltr.webp</t>
  </si>
  <si>
    <t>Laphroaig</t>
  </si>
  <si>
    <t>Cask</t>
  </si>
  <si>
    <t>/files/media/product/themacallannightonearth700ml.jpeg</t>
  </si>
  <si>
    <t>/files/media/product/Talisker-10-Years-Old-700ML.jpg</t>
  </si>
  <si>
    <t>/files/media/product/fronterachardonay.jpeg</t>
  </si>
  <si>
    <t>/files/media/product/CASA SOLIS SAUV BLANC 750ML.jpeg</t>
  </si>
  <si>
    <r>
      <rPr>
        <sz val="11"/>
        <color theme="1"/>
        <rFont val="C059"/>
        <charset val="134"/>
      </rPr>
      <t>/files/media/product/BUTLERS CR</t>
    </r>
    <r>
      <rPr>
        <sz val="11"/>
        <color theme="1"/>
        <rFont val="Calibri"/>
        <charset val="134"/>
      </rPr>
      <t>閼寸嚖</t>
    </r>
    <r>
      <rPr>
        <sz val="11"/>
        <color theme="1"/>
        <rFont val="C059"/>
        <charset val="134"/>
      </rPr>
      <t>E DE BANANA 750ML.jpeg</t>
    </r>
  </si>
  <si>
    <t>Banana</t>
  </si>
  <si>
    <t>/files/media/product/BLACK RAM BOURBON FINISH 1 LITRE.png</t>
  </si>
  <si>
    <t>/files/media/product/bluelabel.webp</t>
  </si>
  <si>
    <t>/files/media/product/CICERO BRANDY 250ML.webp</t>
  </si>
  <si>
    <t>CICERO</t>
  </si>
  <si>
    <t>/files/media/product/ORIGIN 250ML.avif</t>
  </si>
  <si>
    <t>Origin</t>
  </si>
  <si>
    <t>/files/media/product/zappa blue.jpg</t>
  </si>
  <si>
    <t>/files/media/product/BOWMORE 10YRS 1LTR.jpeg</t>
  </si>
  <si>
    <t>BOWMORE</t>
  </si>
  <si>
    <t>/files/media/product/robertsonchardonnay750ml.jpeg</t>
  </si>
  <si>
    <t>/files/media/product/CH VALAC MEDIUM SWEET WHITE 750ML.jpeg</t>
  </si>
  <si>
    <t>CH VALAC</t>
  </si>
  <si>
    <t>/files/media/product/58orangegin750ml.jpg</t>
  </si>
  <si>
    <t>/files/media/product/gibsons-pink-gin.webp</t>
  </si>
  <si>
    <t>Gibson's</t>
  </si>
  <si>
    <t>/files/media/product/EMBER PINE POA 750 ML.avif</t>
  </si>
  <si>
    <t>/files/media/product/SMIRNOFF COSMO COCKTAIL 750ML.webp</t>
  </si>
  <si>
    <t>/files/media/product/JAMESON SINGLE POT STILL 750ML.webp</t>
  </si>
  <si>
    <t>/files/media/product/THE FAMOUS GROUSE BOURBON CASK LITRE.webp</t>
  </si>
  <si>
    <t>/files/media/product/CARDHU AMBER ROCK 700ML.jpeg</t>
  </si>
  <si>
    <t>Cardhu</t>
  </si>
  <si>
    <t>/files/media/product/BELLS 750ML.jpeg</t>
  </si>
  <si>
    <t>BELLS</t>
  </si>
  <si>
    <t>Premium</t>
  </si>
  <si>
    <t>/files/media/product/redlabel.jpg</t>
  </si>
  <si>
    <t>/files/media/product/BARON DE LIRONDEAU BLANC 750ML.webp</t>
  </si>
  <si>
    <t>BARON</t>
  </si>
  <si>
    <t>Blanc</t>
  </si>
  <si>
    <t>/files/media/product/MAISON CASTEL MEDOC 750ML.webp</t>
  </si>
  <si>
    <t>MAISON CASTEL</t>
  </si>
  <si>
    <t>Medoc</t>
  </si>
  <si>
    <t>/files/media/product/B&amp;G BORDEAUX MEDOC 750ML.webp</t>
  </si>
  <si>
    <t>B&amp;G</t>
  </si>
  <si>
    <t>/files/media/product/B&amp;G BORDEAUX ROUGE 750ML.webp</t>
  </si>
  <si>
    <t>Rouge</t>
  </si>
  <si>
    <t>/files/media/product/penasol.png</t>
  </si>
  <si>
    <t>Penasol</t>
  </si>
  <si>
    <t>/files/media/product/brucejacksauvignonblanc750ml.webp</t>
  </si>
  <si>
    <t>/files/media/product/bellinghamhomesteadsauvignonblanc750ml.ashx</t>
  </si>
  <si>
    <t>Bellingham homestead</t>
  </si>
  <si>
    <t>/files/media/product/TERRA LINDA GARNACHA RED 750ML.avif</t>
  </si>
  <si>
    <t>TERRA LINDA</t>
  </si>
  <si>
    <t>/files/media/product/casabuenasweetred1ltr.jpg</t>
  </si>
  <si>
    <t>Casa buena</t>
  </si>
  <si>
    <t>/files/media/product/Sweet-Lips-Red-1Ltr.jpg</t>
  </si>
  <si>
    <t>Sweet lips</t>
  </si>
  <si>
    <t>/files/media/product/TASSENBERG 750ML.png</t>
  </si>
  <si>
    <t>TASSENBERG</t>
  </si>
  <si>
    <t>/files/media/product/CHROME BRANDY 750 ML.png</t>
  </si>
  <si>
    <t>/files/media/product/JOHNNIE WALKER BLACK RUBY LITRE.jpg</t>
  </si>
  <si>
    <t>Black Ruby</t>
  </si>
  <si>
    <t>/files/media/product/SIGNORE GIUSEPPE PROSECCO SPUMANTE WHITE 750ML.webp</t>
  </si>
  <si>
    <t>Signore Guiseppe</t>
  </si>
  <si>
    <t>Prosecco</t>
  </si>
  <si>
    <t>/files/media/product/beefeater40350ml.png</t>
  </si>
  <si>
    <t>/files/media/product/SCOTTISH STAG 1LTR.jpeg</t>
  </si>
  <si>
    <t>SCOTTISH STAG</t>
  </si>
  <si>
    <t>/files/media/product/whyte-mackay.webp</t>
  </si>
  <si>
    <t>Whyte &amp; Mackay</t>
  </si>
  <si>
    <t>/files/media/product/FLIRT STRAWBERRY 700ML.webp</t>
  </si>
  <si>
    <t>FLIRT</t>
  </si>
  <si>
    <t>/files/media/product/mrdowellsno1reservewhisky75cl.jpeg</t>
  </si>
  <si>
    <t>MR. DOWELLS</t>
  </si>
  <si>
    <t>Reserve</t>
  </si>
  <si>
    <t>/files/media/product/MaisonCastelSauvignonBlanc_grande.webp</t>
  </si>
  <si>
    <t>/files/media/product/amarula_raspberry.jpg</t>
  </si>
  <si>
    <t>/files/media/product/TANQUERAY STERLING.png</t>
  </si>
  <si>
    <t>Sterling</t>
  </si>
  <si>
    <t>/files/media/product/grey_goose.png</t>
  </si>
  <si>
    <t>/files/media/product/jdfineold.jpg</t>
  </si>
  <si>
    <t>Fine old</t>
  </si>
  <si>
    <t>/files/media/product/CH VALAC MEDIUM SWEET RED 750ML.jpeg</t>
  </si>
  <si>
    <t>Medium sweet Red</t>
  </si>
  <si>
    <t>/files/media/product/OVEERMEER CELLAR NATURAL SWEET ROSE 5LITRES.webp</t>
  </si>
  <si>
    <t>Overmeer</t>
  </si>
  <si>
    <t>/files/media/product/EXPRESSION SWEET WHITE 750ML.jpeg</t>
  </si>
  <si>
    <t>/files/media/product/MOULLON VSOP 700ML.jpeg</t>
  </si>
  <si>
    <t>MOULLON</t>
  </si>
  <si>
    <t>/files/media/product/WhitleyNeillBloodOrangeGin.webp</t>
  </si>
  <si>
    <t>blood orange</t>
  </si>
  <si>
    <t>/files/media/product/GIBSON ORANGE 700ml.webp</t>
  </si>
  <si>
    <t>/files/media/product/ginmare-botella.webp</t>
  </si>
  <si>
    <t>Gin Mare</t>
  </si>
  <si>
    <t>/files/media/product/LAPHROAIG 10YEARS 700ML.png</t>
  </si>
  <si>
    <t>/files/media/product/MAKERS MARK BOURBON 1LITRE.png</t>
  </si>
  <si>
    <t>Bourbon</t>
  </si>
  <si>
    <t>/files/media/product/glenfiddich-18-years (1).webp</t>
  </si>
  <si>
    <t>MAISON CASTEL CHABLIS 2022 750ML</t>
  </si>
  <si>
    <t>/files/media/product/MAISON CASTEL CHABLIS 2022 750ML.webp</t>
  </si>
  <si>
    <t>Chablis</t>
  </si>
  <si>
    <t>MOET &amp; CHANDON NECTAR IMPERIAL 750ml</t>
  </si>
  <si>
    <t>/files/media/product/MOET &amp; CHANDON NECTAR IMPERIAL 750ml.webp</t>
  </si>
  <si>
    <t>CASA SOLIS CHARDONNAY 750ML</t>
  </si>
  <si>
    <t>/files/media/product/CASA SOLIS CHARDONNAY 750ML.webp</t>
  </si>
  <si>
    <t>CATENA CHARDONNAY 750ML</t>
  </si>
  <si>
    <t>/files/media/product/catena-alta-chardonnay.webp</t>
  </si>
  <si>
    <t>/files/media/product/LIONS DRY WHITE 750ML.jpg</t>
  </si>
  <si>
    <t>LIONS</t>
  </si>
  <si>
    <t>/files/media/product/KWV-Classic-Chenin-Blanc-Wine-750ml.jpg</t>
  </si>
  <si>
    <t>KWV</t>
  </si>
  <si>
    <t>/files/media/product/ASCONI MUSCAT SWEET WHITE 750ML.webp</t>
  </si>
  <si>
    <t>/files/media/product/Pearly Bay Sweet White 750Ml.jpg</t>
  </si>
  <si>
    <t>Pearly bay</t>
  </si>
  <si>
    <t>/files/media/product/TONS DE DUORUM WHITE 750ML.webp</t>
  </si>
  <si>
    <t>TONS DE DUORUM</t>
  </si>
  <si>
    <t>/files/media/product/HENNESSY XO COGNAC 1.5L.webp</t>
  </si>
  <si>
    <t>/files/media/product/PEARLY BAY SWEET RED 750ml.jpg</t>
  </si>
  <si>
    <t>Pearly Bay</t>
  </si>
  <si>
    <t>/files/media/product/Kenyan-Originals-58-Classic-Gin.webp</t>
  </si>
  <si>
    <t>/files/media/product/SIERRA TEQUILA SILVER 700ML.webp</t>
  </si>
  <si>
    <t>/files/media/product/dimple15yo1ltr.jpeg</t>
  </si>
  <si>
    <t>Dimple</t>
  </si>
  <si>
    <t>/files/media/product/martinirosso.jpg</t>
  </si>
  <si>
    <t>/files/media/product/martelcordonbleu700ml.jpeg</t>
  </si>
  <si>
    <t>CORDON BLEU</t>
  </si>
  <si>
    <t>/files/media/product/hennessy xo.avif</t>
  </si>
  <si>
    <t>/files/media/product/malfy-grapefruit-gin_500x.webp</t>
  </si>
  <si>
    <t>Malfy</t>
  </si>
  <si>
    <t>rosa</t>
  </si>
  <si>
    <t>/files/media/product/chivasregal13years1ltr.jpeg</t>
  </si>
  <si>
    <t>/files/media/product/MURVIEDRO CAB SAV 750ML.jpg</t>
  </si>
  <si>
    <t>MURVIEDRO</t>
  </si>
  <si>
    <t>/files/media/product/versus-white.png</t>
  </si>
  <si>
    <t>/files/media/product/BUTLERS BLUE CURACAO 750ML.jpeg</t>
  </si>
  <si>
    <t>/files/media/product/robertsonwinerycarbernetsauvignon750ml.jpeg</t>
  </si>
  <si>
    <t>/files/media/product/Kiss-Me-Now-front.jpg</t>
  </si>
  <si>
    <t>/files/media/product/SAVANA ANGRY LEMON 330ML.jpg</t>
  </si>
  <si>
    <t>/files/media/product/58 SPICED ORANGE 330ML CAN.webp</t>
  </si>
  <si>
    <t>/files/media/product/MINUTE MAID TROPICAL MIXED FRUIT 1 LTR.jpg</t>
  </si>
  <si>
    <t>/files/media/product/FANTA PASSION 500ML.jpeg</t>
  </si>
  <si>
    <t>/files/media/product/fernetbranca700ml.jpeg</t>
  </si>
  <si>
    <t>Fernet Branca</t>
  </si>
  <si>
    <t>/files/media/product/KLIPDRIFT 750ML.jpeg</t>
  </si>
  <si>
    <t>KLIPDRIFT</t>
  </si>
  <si>
    <t>/files/media/product/viceroy250ml.webp</t>
  </si>
  <si>
    <t>/files/media/product/BEEFEATER BLOOD ORANGE 750ML.jpg</t>
  </si>
  <si>
    <t>BEEFEATER</t>
  </si>
  <si>
    <t>/files/media/product/bloomjasminerosegin700ml.jpg</t>
  </si>
  <si>
    <t>Bloom jasmine</t>
  </si>
  <si>
    <t>Jasmin &amp; Rose</t>
  </si>
  <si>
    <t>/files/media/product/58 SPICED ORANGE GIN 350ML.webp</t>
  </si>
  <si>
    <t>orange</t>
  </si>
  <si>
    <t>/files/media/product/Hendricks-Gin.jpg</t>
  </si>
  <si>
    <t>/files/media/product/bloomlondongin.jpg</t>
  </si>
  <si>
    <t>Bloom london</t>
  </si>
  <si>
    <t>/files/media/product/TANG SOUR CHERRY 750ML.jpeg</t>
  </si>
  <si>
    <t>TANG SOUR</t>
  </si>
  <si>
    <t>Cherry</t>
  </si>
  <si>
    <t>/files/media/product/KANE EXTRA 750ML.jpg</t>
  </si>
  <si>
    <t>/files/media/product/CIROC MANGO 750ML.jpg</t>
  </si>
  <si>
    <t>/files/media/product/MR BOSTON VODKA 1LTR.png</t>
  </si>
  <si>
    <t>MR BOSTON</t>
  </si>
  <si>
    <t>/files/media/product/LAPHROAIG FOUR OAK 1LTR.jpeg</t>
  </si>
  <si>
    <t>/files/media/product/DEWARS 18YEARS LITRE.jpeg</t>
  </si>
  <si>
    <t>/files/media/product/all seasons reserve whisky 1ltr.jpeg</t>
  </si>
  <si>
    <t>All Seasons</t>
  </si>
  <si>
    <t>/files/media/product/SOMETHING SPECIAL 1LTR.jpeg</t>
  </si>
  <si>
    <t>SOMETHING SPECIAL</t>
  </si>
  <si>
    <t>/files/media/product/WHYTE &amp; MACKAY WHISKY 1LTR.webp</t>
  </si>
  <si>
    <t>WHYTE &amp; MACKAY</t>
  </si>
  <si>
    <t>THE FAMOUS GROUSE SMOKY BLACK 1LTR</t>
  </si>
  <si>
    <t>/files/media/product/FAMOUS SMOKY BLACK 1LTR.jpg</t>
  </si>
  <si>
    <t>THE GLENLIVET FOUNDERS RESERVE WHISKY 700ML</t>
  </si>
  <si>
    <t>/files/media/product/glenlivetfoundersreserve___00486.webp</t>
  </si>
  <si>
    <t>KING ROBERT WHISKY 1LTR</t>
  </si>
  <si>
    <t>/files/media/product/kingrobertwhisky1ltr.jpeg</t>
  </si>
  <si>
    <t>King Robert</t>
  </si>
  <si>
    <t>JOHNNIE WALKER ISLAND GREEN WHISKY 1LTR</t>
  </si>
  <si>
    <t>/files/media/product/johnniewalkerislandgreen1ltr.jpeg</t>
  </si>
  <si>
    <t>LAGAVULIN ISLAY SINGLE MALT 16YRS 750ML</t>
  </si>
  <si>
    <t>/files/media/product/lagavulin.webp</t>
  </si>
  <si>
    <t>Lagavulin</t>
  </si>
  <si>
    <t>Single malt</t>
  </si>
  <si>
    <t>ABERLOUR SPEYSIDE SINGLE MALT 12YRS 700ML</t>
  </si>
  <si>
    <t>/files/media/product/ABERLOUR SPEYSIDE 12YRS 700ML.jpeg</t>
  </si>
  <si>
    <t>Aberlour</t>
  </si>
  <si>
    <t>CARDHU 12YRS 750ML</t>
  </si>
  <si>
    <t>/files/media/product/cardhu12yo75cl.jpg</t>
  </si>
  <si>
    <t>UNDURRAGA CAB SAUV 750ML</t>
  </si>
  <si>
    <t>/files/media/product/UNDURRAGA CAB SAUV 750ML.webp</t>
  </si>
  <si>
    <t>UNDURRAGA</t>
  </si>
  <si>
    <t>TWO OCEANS CAB SAUV MERLOT 750ML</t>
  </si>
  <si>
    <t>/files/media/product/twooceanscarbanetsauvignonmerlot750ml.ashx</t>
  </si>
  <si>
    <t>Two Oceans</t>
  </si>
  <si>
    <t>B&amp;G CAB SAV IGP PAYS DOC 750ML</t>
  </si>
  <si>
    <t>/files/media/product/B&amp;G CAB SAV IGP PAYS DOC 750ML.jpg</t>
  </si>
  <si>
    <t>WELMOED CHARDONNAY 750ML</t>
  </si>
  <si>
    <t>/files/media/product/welmoedchardonnay750ml.jpeg</t>
  </si>
  <si>
    <t>Welmoed</t>
  </si>
  <si>
    <t>AUSTRALIAN BUSH CHARDONNAY 750ML</t>
  </si>
  <si>
    <t>/files/media/product/AUSTRALIAN BUSH CHARDONNAY 750ML.webp</t>
  </si>
  <si>
    <t>AUSTRALIAN BUSH</t>
  </si>
  <si>
    <t>LEOPARDS LEAP CHENIN BLANC750ML</t>
  </si>
  <si>
    <t>/files/media/product/LEOPARDS LEAP CHENIN BLANC750ML.png</t>
  </si>
  <si>
    <t>LEOPARDS LEAP</t>
  </si>
  <si>
    <t>Chenin Blanc</t>
  </si>
  <si>
    <t>LA CAPRA CHENIN BLANC 750ML</t>
  </si>
  <si>
    <t>/files/media/product/LA CAPRA CHENIN BLANC 750ML.webp</t>
  </si>
  <si>
    <t>LA CAPRA</t>
  </si>
  <si>
    <t>ARGENTO ORGANIC MALBEC 750ml</t>
  </si>
  <si>
    <t>/files/media/product/ARGENTO ORGANIC MALBEC 750ml.webp</t>
  </si>
  <si>
    <t>ARGENTO</t>
  </si>
  <si>
    <t>Malbec</t>
  </si>
  <si>
    <t>UNDURRAGA MERLOT</t>
  </si>
  <si>
    <t>/files/media/product/UNDURRAGA MERLOT.webp</t>
  </si>
  <si>
    <t>BRUCE JACK MERLOT 750ML</t>
  </si>
  <si>
    <t>/files/media/product/brucejackmerlot750ml.webp</t>
  </si>
  <si>
    <t>ANDRE MOSCATO 750ML</t>
  </si>
  <si>
    <t>/files/media/product/ANDRE MOSCATO 750ML.jpeg</t>
  </si>
  <si>
    <t>LEOPARDS LEAP CHARDONNAY PINOT NOIR 750ML</t>
  </si>
  <si>
    <t>/files/media/product/LEOPARDS LEAP CHARDONNAY PINOT NOIR 750ML.webp</t>
  </si>
  <si>
    <t>TONS DE DUORUM RED 750ML</t>
  </si>
  <si>
    <t>/files/media/product/TONS DE DUORUM RED 750ML.webp</t>
  </si>
  <si>
    <t>LA MAUQUELINE 750ML</t>
  </si>
  <si>
    <t>/files/media/product/LA MAUQUELINE 750ML.webp</t>
  </si>
  <si>
    <t>LA MAUQUELINE</t>
  </si>
  <si>
    <t>WELMOED SHIRAZ 750ML</t>
  </si>
  <si>
    <t>/files/media/product/welmoedshiraz750ml.jpeg</t>
  </si>
  <si>
    <t>JP CHENET ORIGINAL BRUT-SPARKLING 750ML</t>
  </si>
  <si>
    <t>/files/media/product/jp chenet.webp</t>
  </si>
  <si>
    <t>JP CHENET</t>
  </si>
  <si>
    <t>CANDY FLOSS SWEET RED WINE 750ML</t>
  </si>
  <si>
    <t>/files/media/product/CANDY FLOSS SWEET RED WINE 750ML.webp</t>
  </si>
  <si>
    <t>DELUSH SWEET ROSE 750ML</t>
  </si>
  <si>
    <t>/files/media/product/Delush-Sweet-Rose-750ml.jpg</t>
  </si>
  <si>
    <t>PIERRE MARCEL SWEET WHITE 750ML</t>
  </si>
  <si>
    <t>/files/media/product/pierre_mercel_White.png</t>
  </si>
  <si>
    <t>CASA BUENA SWEET WHITE 1LTR</t>
  </si>
  <si>
    <t>/files/media/product/casabuenasweetwhite1ltr.png</t>
  </si>
  <si>
    <t>TERRA LINDA SYRAH RED 750ML</t>
  </si>
  <si>
    <t>/files/media/product/TERRA LINDA SYRAH RED 750ML.jpeg</t>
  </si>
  <si>
    <t>/files/media/product/SWARTLAND SYRAH 750ML.jpg</t>
  </si>
  <si>
    <t>SWARTLAND</t>
  </si>
  <si>
    <t>/files/media/product/VEUVE CLICQUOT DEMI-SEC 750ML.jpeg</t>
  </si>
  <si>
    <t>Veuve Clicquot</t>
  </si>
  <si>
    <t>/files/media/product/BACARDI LIMON 750ML.webp</t>
  </si>
  <si>
    <t>Limon</t>
  </si>
  <si>
    <t>/files/media/product/BUSHMILL SHERRY CASK 1LTR.webp</t>
  </si>
  <si>
    <t>/files/media/product/chivasregal12yo40lcradle4.5ltr.jpeg</t>
  </si>
  <si>
    <t>/files/media/product/Gato-Negro-Cab-Merlot-750ml-600x600-1.jpg</t>
  </si>
  <si>
    <t>/files/media/product/HENDRICKS 350ML.png</t>
  </si>
  <si>
    <t>/files/media/product/B&amp;G AOP CHATEAUNEUF DU PAPE 750ML.jpeg</t>
  </si>
  <si>
    <t>/files/media/product/HENNESSY VSOP 350ML.png</t>
  </si>
  <si>
    <t>HENNESSY</t>
  </si>
  <si>
    <t>/files/media/product/OBC-Spirits-Four-Pillars-Rare-Dry-Gin.webp</t>
  </si>
  <si>
    <t>Four pillars</t>
  </si>
  <si>
    <t>/files/media/product/MAKER'S MARK 750ML.jpeg</t>
  </si>
  <si>
    <t>/files/media/product/FAIRVIEW SHIRAZ 750ML.webp</t>
  </si>
  <si>
    <t>FAIRVIEW</t>
  </si>
  <si>
    <t>shiraz</t>
  </si>
  <si>
    <t>/files/media/product/EROS KIT WATERMELON ICE.webp</t>
  </si>
  <si>
    <t>Watermelon</t>
  </si>
  <si>
    <t>/files/media/product/VAPENGIN BATTERY , 96800.jpeg</t>
  </si>
  <si>
    <t>Battery</t>
  </si>
  <si>
    <t>THE GLENLIVET FOUNDERS RESERVE 1LTR</t>
  </si>
  <si>
    <t>/files/media/product/glenlivetfoundersreserve.webp</t>
  </si>
  <si>
    <t>JOHNNIE WALKER A SONG OF FIRE 1LTR</t>
  </si>
  <si>
    <t>/files/media/product/johnniewalkerasongoffire1ltr.jpg</t>
  </si>
  <si>
    <t>NEDERBURG - CHARDONNAY 750ML</t>
  </si>
  <si>
    <t>/files/media/product/nederburgchardonnay750ml.webp</t>
  </si>
  <si>
    <t>BRUCE JACK PINOTAGE MALBEC 750ML</t>
  </si>
  <si>
    <t>/files/media/product/brucejack.webp</t>
  </si>
  <si>
    <t>CH VALAC RED 750ML</t>
  </si>
  <si>
    <t>/files/media/product/CH VALAC RED 750ML.webp</t>
  </si>
  <si>
    <t>LA CAPRA SAUV BLANC 750ML</t>
  </si>
  <si>
    <t>/files/media/product/LA CAPRA SAUV BLANC 750ML.jpg</t>
  </si>
  <si>
    <t>EROS KIT COOL MINT</t>
  </si>
  <si>
    <t>/files/media/product/EROS KIT COOL MINT.webp</t>
  </si>
  <si>
    <t>cool mint</t>
  </si>
  <si>
    <t>KWV 12YRS BRANDY 750ML</t>
  </si>
  <si>
    <t>/files/media/product/kwvbrandy12years750ml.jpeg</t>
  </si>
  <si>
    <t>HENDRICK'S AMAZONIA GIN 1LTR</t>
  </si>
  <si>
    <t>/files/media/product/hendrick'samarziniagin1ltr.jpeg</t>
  </si>
  <si>
    <t>Amazonia</t>
  </si>
  <si>
    <t>MALFY GINS BLOOD ORANGE 750ML</t>
  </si>
  <si>
    <t>/files/media/product/malfyorange.webp</t>
  </si>
  <si>
    <t>/files/media/product/Hendricks-Orbium-Gin-700ml.webp</t>
  </si>
  <si>
    <t>Orbium</t>
  </si>
  <si>
    <t>BROKER'S PINK GIN 750ML</t>
  </si>
  <si>
    <t>/files/media/product/BROKER'S PINK GIN 750ML.webp</t>
  </si>
  <si>
    <t>BROKERS</t>
  </si>
  <si>
    <t>INVERROCHE GIN VERDANT 750ML</t>
  </si>
  <si>
    <t>/files/media/product/inverrocheginverdant750ml.jpeg</t>
  </si>
  <si>
    <t>Inverroche</t>
  </si>
  <si>
    <t>Verdant</t>
  </si>
  <si>
    <t>HAYMAN'S OLD TOM 700ML</t>
  </si>
  <si>
    <t>/files/media/product/HAYMAN'S OLD TOM 700ML.png</t>
  </si>
  <si>
    <t>Haymans</t>
  </si>
  <si>
    <t>ZACAPPA 1LTR</t>
  </si>
  <si>
    <t>/files/media/product/ZACAPPA 1LTR.jpg</t>
  </si>
  <si>
    <t>ZACAPPA</t>
  </si>
  <si>
    <t>TEQUILA AGAVITA BLANCO 700ML</t>
  </si>
  <si>
    <t>/files/media/product/tequilaagavitablanco700ml.jpeg</t>
  </si>
  <si>
    <t>Tequila Agavita</t>
  </si>
  <si>
    <t>CLASE AZUL PLATA 700ML</t>
  </si>
  <si>
    <t>/files/media/product/CLASE AZUL PLATA 700ML.jpeg</t>
  </si>
  <si>
    <t>Plata</t>
  </si>
  <si>
    <t>THE FAMOUS GROUSE CHERRY CASK 700ML</t>
  </si>
  <si>
    <t>/files/media/product/THE FAMOUS GROUSE CHERRY CASK 700ML.jpg</t>
  </si>
  <si>
    <t>TALISKER SKYE 700ML</t>
  </si>
  <si>
    <t>/files/media/product/TALISKER SKYE 700ML.jpeg</t>
  </si>
  <si>
    <t>TALISKER</t>
  </si>
  <si>
    <t>TALISKER SKYE 1ltr</t>
  </si>
  <si>
    <t>/files/media/product/talisker skye 1ltr.jpg</t>
  </si>
  <si>
    <t>/files/media/product/Bushmills-80-20-bottle-and-container.jpg</t>
  </si>
  <si>
    <t>TOMMASI BARDOLINO 750ML</t>
  </si>
  <si>
    <t>/files/media/product/TOMMASI BARDOLINO 750ML.png</t>
  </si>
  <si>
    <t>TOMMASI</t>
  </si>
  <si>
    <t>Bardolino</t>
  </si>
  <si>
    <t>RUINART BRUT 750ML</t>
  </si>
  <si>
    <t>/files/media/product/RUINART BRUT 750ML.jpg</t>
  </si>
  <si>
    <t>Ruinart</t>
  </si>
  <si>
    <t>SAN FELIPE CLASSIC CAB SAUV 750ML</t>
  </si>
  <si>
    <t>/files/media/product/SAN FELIPE CLASSIC CAB SAUV 750ML.png</t>
  </si>
  <si>
    <t>SAN FELIPE</t>
  </si>
  <si>
    <t>/files/media/product/LEOPARDS LEAP CAB SAUV MERLOT 750ML.png</t>
  </si>
  <si>
    <t>BOLAND CELLAR CAB SHIRAZ 750ML</t>
  </si>
  <si>
    <t>/files/media/product/bolandcellarcabernetshiraz750ml.webp</t>
  </si>
  <si>
    <t>Boland cellar</t>
  </si>
  <si>
    <t>Cabernet Shiraz</t>
  </si>
  <si>
    <t>CONSIGNIA CHARDONNAY 750ML</t>
  </si>
  <si>
    <t>/files/media/product/CONSIGNIA CHARDONNAY 750ML.jpeg</t>
  </si>
  <si>
    <t>RIGAL ORIGINAL MALBEC 750ML</t>
  </si>
  <si>
    <t>/files/media/product/regalmalbec.png</t>
  </si>
  <si>
    <t>Rigal original</t>
  </si>
  <si>
    <t>MANDALA MALBEC 750ml</t>
  </si>
  <si>
    <t>/files/media/product/ALAMOS MALBEC 750ML.webp</t>
  </si>
  <si>
    <t>MANDALA</t>
  </si>
  <si>
    <t>ZONIN MERLOT FRIULI DOC AQUIEIA 750ML</t>
  </si>
  <si>
    <t>/files/media/product/ZONIN MERLOT FRIULI DOC AQUIEIA 750ML.jpg</t>
  </si>
  <si>
    <t>ZONIN</t>
  </si>
  <si>
    <t>LEOPARDS LEAP MERLOT 750ML</t>
  </si>
  <si>
    <t>/files/media/product/LEOPARDS LEAP MERLOT 750ML.jpg</t>
  </si>
  <si>
    <t>WELMOED PINOTAGE 750ML</t>
  </si>
  <si>
    <t>/files/media/product/WELMOED PINOTAGE 750ML.jpg</t>
  </si>
  <si>
    <t>WELMOED</t>
  </si>
  <si>
    <t>KWV CLASSIC ROSE 750ML</t>
  </si>
  <si>
    <t>/files/media/product/KWV CLASSIC ROSE 750ML.jpg</t>
  </si>
  <si>
    <t>G.H. MUMM ROSEE 750ML</t>
  </si>
  <si>
    <t>/files/media/product/Mumm-GrandCordonRose-75cl-Packshot1-1320x0-c-default.png</t>
  </si>
  <si>
    <t>Gh mumm</t>
  </si>
  <si>
    <t>GATONEGRO SAUV BLANC 1.5LTR</t>
  </si>
  <si>
    <t>/files/media/product/GATONEGRO SAUV BLANC 1.5LTR.jpeg</t>
  </si>
  <si>
    <t>SAN FELIPE CLASSIC SAUV BLANC 750ML</t>
  </si>
  <si>
    <t>/files/media/product/sanfelipeclassicsauvignonblanc750ml.jpeg</t>
  </si>
  <si>
    <t>San felipe</t>
  </si>
  <si>
    <t>LODEZ CABERENT SAUV BLANC 750ML</t>
  </si>
  <si>
    <t>/files/media/product/lodezsauvblanc.webp</t>
  </si>
  <si>
    <t>Lodez</t>
  </si>
  <si>
    <t>B&amp;G BISTRO SAUVIGNON BLANC 750ML</t>
  </si>
  <si>
    <t>/files/media/product/B&amp;G BISTRO SAUVIGNON BLANC 750ML.png</t>
  </si>
  <si>
    <t>PIERRE MARCEL SPARKLING WHITE 750ML</t>
  </si>
  <si>
    <t>/files/media/product/PIERRE MARCEL SPARKLING WHITE 750ML.jpg</t>
  </si>
  <si>
    <t>MAJESTY SEMI-SWEET RED WINE</t>
  </si>
  <si>
    <t>/files/media/product/MAJESTY SEMI-SWEET RED WINE.png</t>
  </si>
  <si>
    <t>MAJESTY</t>
  </si>
  <si>
    <t>FOUR COUSINS SWEET SPARKLING BLUSH 750ML</t>
  </si>
  <si>
    <t>/files/media/product/FOUR COUSINS SWEET SPARKLING BLUSH 750ML.jpg</t>
  </si>
  <si>
    <t>EXPRESION SWEET ROSE 750ML</t>
  </si>
  <si>
    <t>/files/media/product/EXPRESION SWEET ROSE 750ML.jpg</t>
  </si>
  <si>
    <t>WATERFORD PEBBLE HILL 750ML</t>
  </si>
  <si>
    <t>/files/media/product/WATERFORD PEBBLE HILL 750ML.avif</t>
  </si>
  <si>
    <t>WATERFORD</t>
  </si>
  <si>
    <t>ASCONI AGOR LUX 750ML</t>
  </si>
  <si>
    <t>/files/media/product/ASCONI AGOR LUX 750ML.jpg</t>
  </si>
  <si>
    <t>MIRADO RESERVA 750ML</t>
  </si>
  <si>
    <t>/files/media/product/MIRADO RESERVA 750ML.png</t>
  </si>
  <si>
    <t>BRUCE JACK CHENIN BLANC 750ML</t>
  </si>
  <si>
    <t>/files/media/product/BRUCE JACK CHENIN BLANC 750ML.webp</t>
  </si>
  <si>
    <t>Bruce Jack</t>
  </si>
  <si>
    <t>CALVET CHARDONNAY WHITE 750ML</t>
  </si>
  <si>
    <t>/files/media/product/CALVET CHARDONNAY WHITE 750ML.webp</t>
  </si>
  <si>
    <t>Calvet</t>
  </si>
  <si>
    <t>CALVET CINSUALT ROSE 750ML</t>
  </si>
  <si>
    <t>/files/media/product/CALVET CINSUALT ROSE 750ML.jpg</t>
  </si>
  <si>
    <t>SIGNORE GIUSEPPE PROSECCO SPUMANTE ROSE 750ML</t>
  </si>
  <si>
    <t>/files/media/product/SIGNORE GIUSEPPE PROSECCO SPUMANTE ROSE 750ML.jpg</t>
  </si>
  <si>
    <t>TERRA LINDA CHARDONNAY WHITE 750ML</t>
  </si>
  <si>
    <t>/files/media/product/TERRA LINDA CHARDONNAY WHITE 750ML.jpeg</t>
  </si>
  <si>
    <t>Terra Linda</t>
  </si>
  <si>
    <t>RIVAGE GIN 1LTR</t>
  </si>
  <si>
    <t>/files/media/product/RIVAGE GIN 1LTR.jpg</t>
  </si>
  <si>
    <t>RIVAGE</t>
  </si>
  <si>
    <t>JOHNNIE WALKER WHITE WALKER 1LTR</t>
  </si>
  <si>
    <t>/files/media/product/jwwhitewalke.webp</t>
  </si>
  <si>
    <t>NOTOLA RED 750ML</t>
  </si>
  <si>
    <t>/files/media/product/NOTOLA RED 750ML.jpeg</t>
  </si>
  <si>
    <t>NOTOLA</t>
  </si>
  <si>
    <t>MURVIEDRO TEMPRANILO 750ML</t>
  </si>
  <si>
    <t>/files/media/product/MURVIEDRO TEMPRANILO 750ML.png</t>
  </si>
  <si>
    <t>Tempranilo</t>
  </si>
  <si>
    <t>GRAHAM'S FINE WHITE 750ML</t>
  </si>
  <si>
    <t>/files/media/product/GRAHAM'S FINE WHITE 750ML.jpg</t>
  </si>
  <si>
    <t>TOMMASI SOAVE CLASSICO 750ML</t>
  </si>
  <si>
    <t>/files/media/product/TOMMASI SOAVE CLASSICO 750ML.webp</t>
  </si>
  <si>
    <t>/files/media/product/BLUE RAZZ 9000 PUFFS.jpg</t>
  </si>
  <si>
    <t>blue razz</t>
  </si>
  <si>
    <t>ABSOLUT CITRON VODKA 1LTR</t>
  </si>
  <si>
    <t>/files/media/product/absolute.jpeg</t>
  </si>
  <si>
    <t>Citron</t>
  </si>
  <si>
    <t>LAURENT BRUT CHAMPAGNE 750ML</t>
  </si>
  <si>
    <t>/files/media/product/LAURENT 750ML.jpeg</t>
  </si>
  <si>
    <t>Laurent</t>
  </si>
  <si>
    <t>MAISON CASTEL ICE CUVEE BLANC 750ML</t>
  </si>
  <si>
    <t>/files/media/product/MAISON CASTEL ICE CUVEE BLANC 750ML.jpg</t>
  </si>
  <si>
    <t>Cuvee blanc</t>
  </si>
  <si>
    <t>ROBERTSON - RED SWEET 750ML</t>
  </si>
  <si>
    <t>/files/media/product/robertson-sweet-red-750.png</t>
  </si>
  <si>
    <t>sweet red</t>
  </si>
  <si>
    <t>SPUMANTE FESTA WHITE 750ML</t>
  </si>
  <si>
    <t>/files/media/product/Signore-Guiseppe-Prosecco-Spumante-White-750ml-wpp1692317171758.webp</t>
  </si>
  <si>
    <t>EROS KIT TROPICAL ICE</t>
  </si>
  <si>
    <t>/files/media/product/EROS KIT TROPICAL ICE.webp</t>
  </si>
  <si>
    <t>Tropical</t>
  </si>
  <si>
    <t>MARTEL CORDON BLEU 1LTR</t>
  </si>
  <si>
    <t>/files/media/product/MARTEL CORDON BLEU 1LTR.webp</t>
  </si>
  <si>
    <t>/files/media/product/INVERROCHE CLASSIC 750ML.jpeg</t>
  </si>
  <si>
    <t>INVERROCHE</t>
  </si>
  <si>
    <t>BOWMORE 18YRS WHISKY 700ML</t>
  </si>
  <si>
    <t>/files/media/product/bowmore18years.jpg</t>
  </si>
  <si>
    <t>Bowmore</t>
  </si>
  <si>
    <t>CUTTY SARK WHISKY 1LTR</t>
  </si>
  <si>
    <t>/files/media/product/cutty sark.jpg</t>
  </si>
  <si>
    <t>EROS KIT GRAPE ICE</t>
  </si>
  <si>
    <t>/files/media/product/EROS KIT GRAPE ICE.webp</t>
  </si>
  <si>
    <t>GRANTS SUMMER ORANGE 700ML</t>
  </si>
  <si>
    <t>/files/media/product/GRANTS SUMMER ORANGE 700ML.webp</t>
  </si>
  <si>
    <t>Grants</t>
  </si>
  <si>
    <t>GIBSON'S GIN 700ML</t>
  </si>
  <si>
    <t>/files/media/product/gibson'sgin70c.jpg</t>
  </si>
  <si>
    <t>ALPACA CAB SAUVIGNON 750ML</t>
  </si>
  <si>
    <t>/files/media/product/ALPACA CAB SAUVIGNON 750ML.webp</t>
  </si>
  <si>
    <t>ALPACA</t>
  </si>
  <si>
    <t>MURVIEDRO CHARDONNAY 750ML</t>
  </si>
  <si>
    <t>/files/media/product/MURVIEDRO CHARDONNAY 750ML.png</t>
  </si>
  <si>
    <t>GATO NEGRO CREMENERE 750ML</t>
  </si>
  <si>
    <t>/files/media/product/GATO NEGRO CARMENERE 750ML.webp</t>
  </si>
  <si>
    <t>Cremenere</t>
  </si>
  <si>
    <t>JOHNNIE WALKER XR 19YRS 750ML</t>
  </si>
  <si>
    <t>/files/media/product/JOHNNIE WALKER XR 19YRS 750ML.jpg</t>
  </si>
  <si>
    <t>XR</t>
  </si>
  <si>
    <t>GILBEYS PINK 250ML</t>
  </si>
  <si>
    <t>/files/media/product/GILBEYS PINK 250ML.png</t>
  </si>
  <si>
    <t>GILBEYS</t>
  </si>
  <si>
    <t>TANQUERAY MALACCA 700ML</t>
  </si>
  <si>
    <t>/files/media/product/TANQUERAY MALACCA 700ML.webp</t>
  </si>
  <si>
    <t>WILD TIGER SPICED 750ML</t>
  </si>
  <si>
    <t>/files/media/product/WILD TIGER SPICED 750ML.webp</t>
  </si>
  <si>
    <t>WILD TIGER</t>
  </si>
  <si>
    <t>JOHNNIE WALKER A SONG OF ICE 1LTR</t>
  </si>
  <si>
    <t>/files/media/product/johnniewalkerice.webp</t>
  </si>
  <si>
    <t>18 MERLOT 750ML</t>
  </si>
  <si>
    <t>/files/media/product/18 MERLOT 750ML.png</t>
  </si>
  <si>
    <t>JP CHENET ORIGINAL SAUV BLANC 750ML</t>
  </si>
  <si>
    <t>/files/media/product/jpchenetsauvblanc.jpg</t>
  </si>
  <si>
    <t>Jp Chenet</t>
  </si>
  <si>
    <t>RIGAL ORIGINAL SAUV BLANC 750ML</t>
  </si>
  <si>
    <t>/files/media/product/rigalsauvblanc.avif</t>
  </si>
  <si>
    <t>EARLY TIMES WHISKY 700ML</t>
  </si>
  <si>
    <t>/files/media/product/EARLY TIMES WHISKY 700ML.webp</t>
  </si>
  <si>
    <t>Early Times</t>
  </si>
  <si>
    <t>KERINGET SPARKLING WATER 1L</t>
  </si>
  <si>
    <t>/files/media/product/KERINGET DRINKING WATER 1L.jpg</t>
  </si>
  <si>
    <t>MORPHEUS 750ML</t>
  </si>
  <si>
    <t>/files/media/product/MORPHEUS 750ML.jpeg</t>
  </si>
  <si>
    <t>MORPHEUS</t>
  </si>
  <si>
    <t>JJ WHITLEY NEIL PINK CHERRY GIN 750ML</t>
  </si>
  <si>
    <t>/files/media/product/JJ WHITLEY NEIL PINK CHERRY GIN 750ML.jpg</t>
  </si>
  <si>
    <t>Pink Cherry</t>
  </si>
  <si>
    <t>VALE PINK GIN 750ML</t>
  </si>
  <si>
    <t>/files/media/product/VALE PINK GIN 750ML.jpeg</t>
  </si>
  <si>
    <t>VALE</t>
  </si>
  <si>
    <t>Pink Gin</t>
  </si>
  <si>
    <t>/files/media/product/whitleyneillproteahibiscusgin750ml.jpg</t>
  </si>
  <si>
    <t>Protea &amp; hibiscus</t>
  </si>
  <si>
    <t>BOMBAY SAPPHIRE PREMIER CRU 700ML</t>
  </si>
  <si>
    <t>/files/media/product/BOMBAY SAPPHIRE PREMIER CRU 700ML.webp</t>
  </si>
  <si>
    <t>BOMBAY</t>
  </si>
  <si>
    <t>VICTORIA STAG GIN 750ML</t>
  </si>
  <si>
    <t>/files/media/product/VICTORIA STAG GIN 750ML.jpg</t>
  </si>
  <si>
    <t>VICTORIA STAG</t>
  </si>
  <si>
    <t>HAYMAN'S SLOE GIN 700ML</t>
  </si>
  <si>
    <t>/files/media/product/HAYMAN'S SLOE GIN 700ML.webp</t>
  </si>
  <si>
    <t>GLEN'S GIN 1LTR</t>
  </si>
  <si>
    <t>/files/media/product/GLEN'S GIN 1LTR.jpeg</t>
  </si>
  <si>
    <t>GLEN'S</t>
  </si>
  <si>
    <t>PLY MOUTH GIN 1LTR</t>
  </si>
  <si>
    <t>/files/media/product/PLY MOUTH GIN 1LTR.jpeg</t>
  </si>
  <si>
    <t>PLY MOUTH</t>
  </si>
  <si>
    <t>MALFY GINS ORIGINAL 750ML</t>
  </si>
  <si>
    <t>/files/media/product/malfyginsoriginal750ml.jpeg</t>
  </si>
  <si>
    <t>TANQUERY - EXPORT 750ML</t>
  </si>
  <si>
    <t>TANQUERAY</t>
  </si>
  <si>
    <t>GORDON'S GIN 750ML</t>
  </si>
  <si>
    <t>/files/media/product/gordons-london-dry-gin.png</t>
  </si>
  <si>
    <t>DRUMSHANBO GUN POWDER ORIENTAL BOTANICAL 700ML</t>
  </si>
  <si>
    <t>/files/media/product/DRUMSHANBO GUN POWDER ORIENTAL BOTANICAL 700ML.webp</t>
  </si>
  <si>
    <t>DRUMSHANBO</t>
  </si>
  <si>
    <t>GRAND MARNIER 350ML</t>
  </si>
  <si>
    <t>/files/media/product/grandmanier350ml.jpg</t>
  </si>
  <si>
    <t>Grand marnier</t>
  </si>
  <si>
    <t>CAPTAIN MORGAN WHITE RUM 1LTR</t>
  </si>
  <si>
    <t>/files/media/product/captainmorganwhiterum1ltr.webp</t>
  </si>
  <si>
    <t>RED HEART 750ML</t>
  </si>
  <si>
    <t>/files/media/product/RED HEART 750ML.png</t>
  </si>
  <si>
    <t>RED HEART</t>
  </si>
  <si>
    <t>NEGRITA BARDINET WHITE 700ML</t>
  </si>
  <si>
    <t>/files/media/product/NEGRITA BARDINET WHITE 700ML.webp</t>
  </si>
  <si>
    <t>NEGRITA</t>
  </si>
  <si>
    <t>CIROC PEACH 700ML</t>
  </si>
  <si>
    <t>/files/media/product/CIROC PEACH 700ML.jpg</t>
  </si>
  <si>
    <t>ABSOLUT PEPPAR VODKA 1LTR</t>
  </si>
  <si>
    <t>/files/media/product/ABSOLUT PEPPAR VODKA 1LTR.jpeg</t>
  </si>
  <si>
    <t>Peppar</t>
  </si>
  <si>
    <t>AMRUT SINGLE MALT WHISKY 700ML</t>
  </si>
  <si>
    <t>/files/media/product/AMRUT SINGLE MALT WHISKY 700ML.webp</t>
  </si>
  <si>
    <t>AMRUT</t>
  </si>
  <si>
    <t>/files/media/product/GLENMORANGIE 18YRS WHISKY EXTREME 700ML.jpg</t>
  </si>
  <si>
    <t>BALLANTINES FINEST WHISKY 1LTR</t>
  </si>
  <si>
    <t>/files/media/product/ballentinesfinest.jpg</t>
  </si>
  <si>
    <t>BALLANTINE BRASIL 750ML</t>
  </si>
  <si>
    <t>/files/media/product/BALLANTINE BRASIL 750ML.webp</t>
  </si>
  <si>
    <t>/files/media/product/JOHNNIE WALKER GHOST &amp; RARE 750ML.webp</t>
  </si>
  <si>
    <t>SAZERAC RYE 700ML</t>
  </si>
  <si>
    <t>/files/media/product/SAZERAC RYE 700ML.webp</t>
  </si>
  <si>
    <t>SAZERAC</t>
  </si>
  <si>
    <t>GLENMORANGIE 18YRS THE INFINITA 700ML</t>
  </si>
  <si>
    <t>/files/media/product/GLENMORANGIE 18YRS THE INFINITA 700ML.png</t>
  </si>
  <si>
    <t>blended</t>
  </si>
  <si>
    <t>BUSHMILLS STEAMSHIP 1LTR</t>
  </si>
  <si>
    <t>/files/media/product/BUSHMILLS STEAMSHIP 1LTR.webp</t>
  </si>
  <si>
    <t>BUSHMILLS</t>
  </si>
  <si>
    <t>SHACKLETON 1LTR</t>
  </si>
  <si>
    <t>/files/media/product/SHACKLETON 1LTR.webp</t>
  </si>
  <si>
    <t>SHACKLETON</t>
  </si>
  <si>
    <t>AUCHENTOSHAN 12YRS 700ML</t>
  </si>
  <si>
    <t>/files/media/product/AUCHENTOSHAN 12YRS 700ML.jpg</t>
  </si>
  <si>
    <t>AUCHENTOSHAN</t>
  </si>
  <si>
    <t>DEWARS WHITE LABEL WHISKY 750ML</t>
  </si>
  <si>
    <t>/files/media/product/DEWARS WHITE LABEL WHISKY 750ML.jpeg</t>
  </si>
  <si>
    <t>ROYAL CIRCLE 1LTR</t>
  </si>
  <si>
    <t>/files/media/product/ROYAL CIRCLE 1LTR.jpeg</t>
  </si>
  <si>
    <t>LAUDERS SCOTH WHISKY 1LTR</t>
  </si>
  <si>
    <t>/files/media/product/LAUDERS SCOTH WHISKY 1LTR.webp</t>
  </si>
  <si>
    <t>LAUDERS</t>
  </si>
  <si>
    <t>NAKED GROUSE CAB SAUV 750ML</t>
  </si>
  <si>
    <t>/files/media/product/NAKED GROUSE 750ML.jpg</t>
  </si>
  <si>
    <t>SOLAN NO. ONE BLACK 750ML</t>
  </si>
  <si>
    <t>/files/media/product/SOLAN NO. ONE BLACK 750ML.jpeg</t>
  </si>
  <si>
    <t>SOLAN</t>
  </si>
  <si>
    <t>POMMERY ROYAL BRUT 750ML</t>
  </si>
  <si>
    <t>/files/media/product/POMMERY ROYAL BRUT 750ML.jpeg</t>
  </si>
  <si>
    <t>POMMERY</t>
  </si>
  <si>
    <t>/files/media/product/LEOPARDS LEAP CAB SAuv 750ML.webp</t>
  </si>
  <si>
    <t>/files/media/product/LAURENT- PERRIER ROSE CHAMPAGNE 750ML.jpg</t>
  </si>
  <si>
    <t>Laurent Perrier</t>
  </si>
  <si>
    <t>LUC BELAIRE ROSE FANTOM 1.5LTR</t>
  </si>
  <si>
    <t>/files/media/product/LUC BELAIRE ROSE FANTOM 1.5LTR.jpeg</t>
  </si>
  <si>
    <t>BELLINGHAM HOMESTEAD CHARDONNAY 750ML</t>
  </si>
  <si>
    <t>/files/media/product/bellinghamhomesteadchardonnay750ml.webp</t>
  </si>
  <si>
    <t>BRAZOS MALBEC 750ML</t>
  </si>
  <si>
    <t>/files/media/product/brazosmalbec750ml.png</t>
  </si>
  <si>
    <t>Brazos</t>
  </si>
  <si>
    <t>TRUMPETER MALBEC 750ML</t>
  </si>
  <si>
    <t>/files/media/product/trumpetermalbec750ml.jpg</t>
  </si>
  <si>
    <t>AG FORTY SEVEN MALBEC SHIRAZ 750ML</t>
  </si>
  <si>
    <t>/files/media/product/AG FORTY SEVEN MALBEC SHIRAZ 750ML.jpg</t>
  </si>
  <si>
    <t>AG FORTY SEVEN</t>
  </si>
  <si>
    <t>Malbec Shiraz</t>
  </si>
  <si>
    <t>ASCONI RED-SEMIDRY WINE 750ML</t>
  </si>
  <si>
    <t>/files/media/product/asconired-semidrywine750ml.jpeg</t>
  </si>
  <si>
    <t>/files/media/product/PENASOL MEDIUM SWEET WHITE 750ML.webp</t>
  </si>
  <si>
    <t>LODEZ MERLOT RED 750ML</t>
  </si>
  <si>
    <t>/files/media/product/lodezmerlotred750ml.jpeg</t>
  </si>
  <si>
    <t>BRUCE JACK RESERVE PINOTAGE 750ML</t>
  </si>
  <si>
    <t>/files/media/product/bruce jack reserve.png</t>
  </si>
  <si>
    <t>CHILINERO RED 750ML</t>
  </si>
  <si>
    <t>/files/media/product/CHILINERO RED 750ML.avif</t>
  </si>
  <si>
    <t>CHILINERO</t>
  </si>
  <si>
    <t>/files/media/product/JP AZEITAO RED 750ML.webp</t>
  </si>
  <si>
    <t>JP AZEITAO</t>
  </si>
  <si>
    <t>MOSCATEL DE SETUBAL 750ML</t>
  </si>
  <si>
    <t>/files/media/product/moscateldesetubal750ml.webp</t>
  </si>
  <si>
    <t>Moscatel</t>
  </si>
  <si>
    <t>WELMOED ROSÉ 750ML</t>
  </si>
  <si>
    <t>/files/media/product/welmoed-rose.webp</t>
  </si>
  <si>
    <t>POMMERY ROYAL BRUT ROSE 750ML</t>
  </si>
  <si>
    <t>/files/media/product/POMMERY ROYAL BRUT ROSE 750ML.png</t>
  </si>
  <si>
    <t>ARTHUR METS CREMANT DALSACE ROSE 750ML</t>
  </si>
  <si>
    <t>/files/media/product/ARTHUR METS CREMANT DALSACE ROSE 750ML.jpg</t>
  </si>
  <si>
    <t>ARTHUR METS CREMANT DALSACE</t>
  </si>
  <si>
    <t>ANGOVE SAV BLANC 750ML</t>
  </si>
  <si>
    <t>/files/media/product/ANGOVE SAV BLANC 750ML.webp</t>
  </si>
  <si>
    <t>ANGOVE</t>
  </si>
  <si>
    <t>TRUMPETER SAUV BLANC 2021 750ML</t>
  </si>
  <si>
    <t>LEOPARDS LEAP SAUV BLANC 750ML</t>
  </si>
  <si>
    <t>/files/media/product/LEOPARDS LEAP SAUV BLANC 750ML.webp</t>
  </si>
  <si>
    <t>CONSIGNIA SHIRAZ 750ML</t>
  </si>
  <si>
    <t>/files/media/product/CONSIGNIA SHIRAZ 750ML.jpeg</t>
  </si>
  <si>
    <t>CANSIGNIA</t>
  </si>
  <si>
    <t>BENARD LANCLAS BRUT 750ML</t>
  </si>
  <si>
    <t>/files/media/product/BENARD LANCLAS BRUT 750ML.avif</t>
  </si>
  <si>
    <t>BENARD</t>
  </si>
  <si>
    <t>BARON DE RUBI SPARKLING WHITE BRUT 750ML</t>
  </si>
  <si>
    <t>/files/media/product/BARON DE RUBI SPARKLING WHITE BRUT 750ML.jpg</t>
  </si>
  <si>
    <t>BARON DE RUBI</t>
  </si>
  <si>
    <t>Sparkling Brut</t>
  </si>
  <si>
    <t>CARLO ROSSI SWEET RED 3LTR</t>
  </si>
  <si>
    <t>/files/media/product/carlo rossi.webp</t>
  </si>
  <si>
    <t>DOMPO SWT ROSE 750ML</t>
  </si>
  <si>
    <t>/files/media/product/DOMPO SWT ROSE 750ML.png</t>
  </si>
  <si>
    <t>DOMPO</t>
  </si>
  <si>
    <t>FORMENTERA WHITE OCEAN SWEET 750ML</t>
  </si>
  <si>
    <t>/files/media/product/formentera-white-ocean.webp</t>
  </si>
  <si>
    <t>Formentera</t>
  </si>
  <si>
    <t>CAPRICE NATURAL SWT WHITE 1LTR</t>
  </si>
  <si>
    <t>/files/media/product/capricenaturalswtwhite1ltr.jpg</t>
  </si>
  <si>
    <t>DUCHESALIA FRAGOLINO WHITE 750ML</t>
  </si>
  <si>
    <t>/files/media/product/fragolinowhite.jpg</t>
  </si>
  <si>
    <t>Duchesa lia</t>
  </si>
  <si>
    <t>/files/media/product/JP AZEITAO WHITE 750ML.webp</t>
  </si>
  <si>
    <t>ANGOVE RIESLING 750ML</t>
  </si>
  <si>
    <t>/files/media/product/ANGOVE 750ML.webp</t>
  </si>
  <si>
    <t>ZONIN OG BARBERA VENTO 750ML</t>
  </si>
  <si>
    <t>/files/media/product/ZONIN OG BARBERA VENTO 750ML.webp</t>
  </si>
  <si>
    <t>FRONTERA LATE HARVEST 750ML</t>
  </si>
  <si>
    <t>/files/media/product/frontera-late-harvest.webp</t>
  </si>
  <si>
    <t>UNDURRAGA CARMENERE</t>
  </si>
  <si>
    <t>/files/media/product/UNDURRAGA CARMENERE.webp</t>
  </si>
  <si>
    <t>ICE TROPEZ 275ML</t>
  </si>
  <si>
    <t>/files/media/product/ICE TROPEZ 275ML.webp</t>
  </si>
  <si>
    <t>Ice Tropez</t>
  </si>
  <si>
    <t>CANADIAN BLACK VELVET 1L</t>
  </si>
  <si>
    <t>/files/media/product/CANADIAN BLACK VELVET 1L.jpeg</t>
  </si>
  <si>
    <t>Canadian</t>
  </si>
  <si>
    <t>GLENGRANT 12YRS  MALT SCOTCH WHISKY 700ML</t>
  </si>
  <si>
    <t>/files/media/product/GLENGRANT 12YRS MALT SCOTCH WHISKY 700ML.webp</t>
  </si>
  <si>
    <t>Glengrant</t>
  </si>
  <si>
    <t>MONKEY 47 DRY GIN 500ML</t>
  </si>
  <si>
    <t>/files/media/product/monkey47500ml.png</t>
  </si>
  <si>
    <t>Monkey 47</t>
  </si>
  <si>
    <t>KO TAMBUZI GIN 750ML</t>
  </si>
  <si>
    <t>/files/media/product/kotambuzi.webp</t>
  </si>
  <si>
    <t>SANDEMAN FINE WHITE 1ltr</t>
  </si>
  <si>
    <t>/files/media/product/SANDEMAN FINE WHITE 1000ML.webp</t>
  </si>
  <si>
    <t>Sandeman</t>
  </si>
  <si>
    <t>THE GLENLIVET 21 YO 43% 700ML</t>
  </si>
  <si>
    <t>/files/media/product/THE GLENLIVET 21 YO 43% 700ML.jpeg</t>
  </si>
  <si>
    <t>TIA MARIA COFFEE LIQUOR 1LT</t>
  </si>
  <si>
    <t>/files/media/product/Tia maria coffee.webp</t>
  </si>
  <si>
    <t>Tia maria</t>
  </si>
  <si>
    <t>Coffee</t>
  </si>
  <si>
    <t>GLENMORANGIE 10YRS ORIGINAL WHISKY 750ML</t>
  </si>
  <si>
    <t>/files/media/product/GLENMORANGIE 10YRS ORIGINAL WHISKY 750ML.webp</t>
  </si>
  <si>
    <t>LEGENDE BLACK 750ML</t>
  </si>
  <si>
    <t>/files/media/product/LEGENDE BLACK 750ML.png</t>
  </si>
  <si>
    <t>Legende</t>
  </si>
  <si>
    <t>ALPACA CHARDONNAY 750ML</t>
  </si>
  <si>
    <t>/files/media/product/ALPACA CHARDONNAY 750ML.jpeg</t>
  </si>
  <si>
    <t>DOM PERIGNON ROSE 750ML</t>
  </si>
  <si>
    <t>/files/media/product/domperignonrose750ml.jpeg</t>
  </si>
  <si>
    <t>Dom Perignon</t>
  </si>
  <si>
    <t>FOUR COUSINS SAUV BLANC 750ml</t>
  </si>
  <si>
    <t>/files/media/product/Four-Cousins-Rose-750ml.png</t>
  </si>
  <si>
    <t>FOUR PILLARS BLOODY GIN 700ML</t>
  </si>
  <si>
    <t>/files/media/product/fourpillars_bloody.jpg</t>
  </si>
  <si>
    <t>Bloody</t>
  </si>
  <si>
    <t>BOMBAY SAPPHIRE SUNSET SPERCIAL 500ML</t>
  </si>
  <si>
    <t>/files/media/product/BOMBAY SAPPHIRE SUNSET SPERCIAL 500ML.webp</t>
  </si>
  <si>
    <t>FOUR PILLARS SPICED NEGRONI GIN 700ML</t>
  </si>
  <si>
    <t>/files/media/product/four-pillars-spiced-negroni-gin-1.png</t>
  </si>
  <si>
    <t>ABSOLUT CITRON VODKA 750ML</t>
  </si>
  <si>
    <t>/files/media/product/Absolut-Citron-Vodka-750ml.jpg</t>
  </si>
  <si>
    <t>CHIVAS REGAL XV 15YRS WHISKY 750ML</t>
  </si>
  <si>
    <t>/files/media/product/CHIVAS REGAL XV 15YRS WHISKY 750ML.jpeg</t>
  </si>
  <si>
    <t>CHIVAS REGAL</t>
  </si>
  <si>
    <t>/files/media/product/bowmore12yrs700ml.webp</t>
  </si>
  <si>
    <t>BAREFOOT CHARDONNAY 750ML</t>
  </si>
  <si>
    <t>/files/media/product/BAREFOOT CHARDONNAY 750ML.jpeg</t>
  </si>
  <si>
    <t>BAREFOOT</t>
  </si>
  <si>
    <t>CULEMBORG S.A RED 750ML</t>
  </si>
  <si>
    <t>/files/media/product/culemborgs.ared75cl.jpeg</t>
  </si>
  <si>
    <t>Culemborg</t>
  </si>
  <si>
    <t>CHILINERO WHITE 750ML</t>
  </si>
  <si>
    <t>/files/media/product/CHILINERO WHITE 750ML.avif</t>
  </si>
  <si>
    <t>FOUR PILLARS OLIVE LEAF GIN 700ML</t>
  </si>
  <si>
    <t>/files/media/product/FOUR PILLARS OLIVE LEAF GIN 700ML.webp</t>
  </si>
  <si>
    <t>Four Pillars</t>
  </si>
  <si>
    <t>COURVOISIER V.S 1LTR</t>
  </si>
  <si>
    <t>/files/media/product/courvoisiervs1ltr.jpeg</t>
  </si>
  <si>
    <t>/files/media/product/BACARDI SUPERIOR 350ML.webp</t>
  </si>
  <si>
    <t>/files/media/product/COLA LIME 9000 PUFFS.jpg</t>
  </si>
  <si>
    <t>cola</t>
  </si>
  <si>
    <t>BELVEDERE VODKA 750ML</t>
  </si>
  <si>
    <t>/files/media/product/belvederevodka75cl.jpeg</t>
  </si>
  <si>
    <t>JOHNNIE WALKER GREEN LABEL AGED 15YRS 750ML</t>
  </si>
  <si>
    <t>/files/media/product/JOHNNIE WALKER GREEN LABEL AGED 15YRS 750ML.jpeg</t>
  </si>
  <si>
    <t>KWV CLASSIC CHARDONNAY 750ML</t>
  </si>
  <si>
    <t>/files/media/product/kwvclassicchardonnay750ml.jpeg</t>
  </si>
  <si>
    <t>AUSTRALIAN BUSH CHARDONNAY 3LTR</t>
  </si>
  <si>
    <t>/files/media/product/australianbushchardonnay3ltr.webp</t>
  </si>
  <si>
    <t>Australian bush</t>
  </si>
  <si>
    <t>BELLINGHAM HOMESTEAD GRAND CRU 750ML</t>
  </si>
  <si>
    <t>/files/media/product/BELLINGHAM HOMESTEAD GRAND CRU 750ML.jpg</t>
  </si>
  <si>
    <t>BELLINGHAM</t>
  </si>
  <si>
    <t>AUSTRALIAN BUSH SHIRAZ 3LTR</t>
  </si>
  <si>
    <t>/files/media/product/images (15).jpeg</t>
  </si>
  <si>
    <t>SUNRISE 3LTR</t>
  </si>
  <si>
    <t>SUNRISE</t>
  </si>
  <si>
    <t>/files/media/product/martini blanco.jpg</t>
  </si>
  <si>
    <t>Bianco</t>
  </si>
  <si>
    <t>GLENFIDDICH 12YRS 750ML GIFT PACK</t>
  </si>
  <si>
    <t>/files/media/product/glenfidich12years.jpg</t>
  </si>
  <si>
    <t>/files/media/product/jdsinatra.webp</t>
  </si>
  <si>
    <t>Sunatra</t>
  </si>
  <si>
    <t>MOET &amp; CHANDON ROSE 1.5LTR</t>
  </si>
  <si>
    <t>/files/media/product/moetchandonrose.jpg</t>
  </si>
  <si>
    <t>THE GUV'NOR WHITE 750ML</t>
  </si>
  <si>
    <t>/files/media/product/THE GUV'NOR WHITE 750ML.jpg</t>
  </si>
  <si>
    <t>SANDEMAN FINE RUBY 700ML</t>
  </si>
  <si>
    <t>/files/media/product/SANDEMAN FINE RUBY 700ML.jpg</t>
  </si>
  <si>
    <t>SANDEMAN</t>
  </si>
  <si>
    <t>Fine Ruby</t>
  </si>
  <si>
    <t>MENARD VSOP 700ML</t>
  </si>
  <si>
    <t>/files/media/product/MENARD VSOP 700ML.webp</t>
  </si>
  <si>
    <t>MENARD</t>
  </si>
  <si>
    <t>/files/media/product/SIX DOGS KAROO 750ML.png</t>
  </si>
  <si>
    <t>SIX DOGS</t>
  </si>
  <si>
    <t>SIPSMITH LONDON DRY GIN 1LTR</t>
  </si>
  <si>
    <t>/files/media/product/SIPSMINTH LONDON LTR.jpeg</t>
  </si>
  <si>
    <t>SIPSMITH</t>
  </si>
  <si>
    <t>BROKERS GIN 700ml</t>
  </si>
  <si>
    <t>/files/media/product/BROKERS GIN 700ml.webp</t>
  </si>
  <si>
    <t>TOBERMORY GIN 750ML</t>
  </si>
  <si>
    <t>/files/media/product/TOBERMORY GIN 750ML.jpeg</t>
  </si>
  <si>
    <t>TOBERMORY</t>
  </si>
  <si>
    <t>JJ WHITLEY NEIL LONDON DRY GIN 750ML</t>
  </si>
  <si>
    <t>/files/media/product/JJ WHITLEY NEIL LONDON DRY GIN 750ML.jpg</t>
  </si>
  <si>
    <t>BROKER'S GIN 1ltr</t>
  </si>
  <si>
    <t>/files/media/product/BROKER'S GIN 1LTR.jpg</t>
  </si>
  <si>
    <t>Brokers</t>
  </si>
  <si>
    <t>FRANGELICO LIQUEUR 750ML</t>
  </si>
  <si>
    <t>Frangelico</t>
  </si>
  <si>
    <t>ABSOLUT BLUE VODKA 4.5LTR</t>
  </si>
  <si>
    <t>/files/media/product/absolutblue4045ltr.jpg</t>
  </si>
  <si>
    <t>STOLICHNAYA VANILLA 750ML</t>
  </si>
  <si>
    <t>/files/media/product/stoli vanil-800x1000.jpeg</t>
  </si>
  <si>
    <t>Stolichnaya</t>
  </si>
  <si>
    <t>RUSSIAN BEAR ENERGY FUDION EXPORT 750ML</t>
  </si>
  <si>
    <t>/files/media/product/RUSSIAN BEAR ENERGY FUDION EXPORT 750ML.jpg</t>
  </si>
  <si>
    <t>RUSSIAN BEAR PASSION FRUIT 750ML</t>
  </si>
  <si>
    <t>/files/media/product/RUSSIAN BEAR PASSION FRUIT 750ML.jpeg</t>
  </si>
  <si>
    <t>CIROC LIMONATA 700ML</t>
  </si>
  <si>
    <t>/files/media/product/CIROC LIMONATA 700ML.png</t>
  </si>
  <si>
    <t>CIROC COCONUT 700ML</t>
  </si>
  <si>
    <t>/files/media/product/CIROC COCONUT 700ML.jpg</t>
  </si>
  <si>
    <t>LAPHROAIG QUARTER CASK 750ML</t>
  </si>
  <si>
    <t>/files/media/product/LAPHROAIG QUARTER CASK 750ML.png</t>
  </si>
  <si>
    <t>JURA 18YEARS 700ML</t>
  </si>
  <si>
    <t>/files/media/product/JURA 18YEARS 700ML.jpg</t>
  </si>
  <si>
    <t>JURA</t>
  </si>
  <si>
    <t>WILD TURKEY 750ML</t>
  </si>
  <si>
    <t>/files/media/product/wildturkey.jpg</t>
  </si>
  <si>
    <t>Wild turkey</t>
  </si>
  <si>
    <t>8PM WHISKY HONEY 750ML</t>
  </si>
  <si>
    <t>/files/media/product/8PM WHISKY HONEY 750ML.jpg</t>
  </si>
  <si>
    <t>8Pm</t>
  </si>
  <si>
    <t>GLENFIDDICH FIRE &amp; CANE WHISKY 700ML</t>
  </si>
  <si>
    <t>/files/media/product/glenfiddich-fire-and-cane.webp</t>
  </si>
  <si>
    <t>JURA FRENCH OAK 700ML</t>
  </si>
  <si>
    <t>/files/media/product/JURA FRENCH OAK 700ML.jpg</t>
  </si>
  <si>
    <t>/files/media/product/AUCHENTOSHAN AMERICAN OAK 700ML.png</t>
  </si>
  <si>
    <t>MONKEY SHOULDER 1LT</t>
  </si>
  <si>
    <t>/files/media/product/monkeyshoulder1l.jpeg</t>
  </si>
  <si>
    <t>/files/media/product/taliskerportruighe700ml.jpeg</t>
  </si>
  <si>
    <t>TALISKER 10YRS WHISKY 1LTR</t>
  </si>
  <si>
    <t>/files/media/product/Buy-Talisker-10yrs-750ml-online-in-Nairobi.jpg</t>
  </si>
  <si>
    <t>HUNTING LODGE WHISKY 750ML</t>
  </si>
  <si>
    <t>/files/media/product/huntinglodgewhisky750ml.jpg</t>
  </si>
  <si>
    <t>HUNTING LODGE</t>
  </si>
  <si>
    <t>CHIVAS REGAL 12YRS WHISKY 750ML</t>
  </si>
  <si>
    <t>/files/media/product/chivasregal12yo40750ml.webp</t>
  </si>
  <si>
    <t>GLENFIDDICH 21YRS WHISKY 700ML</t>
  </si>
  <si>
    <t>/files/media/product/glenfindich21years.jpg</t>
  </si>
  <si>
    <t>Glenfiddich</t>
  </si>
  <si>
    <t>HAVANA CLUB RHUM ESPECIA LITRE</t>
  </si>
  <si>
    <t>/files/media/product/HAVANA CLUB RHUM ESPECIA LITRE.webp</t>
  </si>
  <si>
    <t>HAVANA CLUB</t>
  </si>
  <si>
    <t>HAVANA CLUB RHUM ANEJO 3YRS LITRE</t>
  </si>
  <si>
    <t>/files/media/product/HAVANA CLUB RHUM ANEJO 3YRS LITRE.png</t>
  </si>
  <si>
    <t>NAMAQUA BLANC DE BLANC 5LTR</t>
  </si>
  <si>
    <t>/files/media/product/Namaqua_blanc.webp</t>
  </si>
  <si>
    <t>Namaqua</t>
  </si>
  <si>
    <t>ALAMOS CAB SAUV 750ML</t>
  </si>
  <si>
    <t>/files/media/product/alamos_cab_18_750.jpeg</t>
  </si>
  <si>
    <t>Alamos</t>
  </si>
  <si>
    <t>PAINTED WOLF CAB SAUV 750ML</t>
  </si>
  <si>
    <t>/files/media/product/PAINTED WOLF CAB SAUV 750ML.webp</t>
  </si>
  <si>
    <t>PAINTED WOLF</t>
  </si>
  <si>
    <t>VAN LOVEREN CAB SAUV 700ML</t>
  </si>
  <si>
    <t>/files/media/product/VAN LOVEREN CAB SAUV 700ML.webp</t>
  </si>
  <si>
    <t>VAN LOVEREN</t>
  </si>
  <si>
    <t>TALL HORSE - CARB.SAUV. 750ML</t>
  </si>
  <si>
    <t>/files/media/product/tallhorsecarb.sauv.750ml.jpeg</t>
  </si>
  <si>
    <t>MOET &amp; CHANDON - GRAND VINTAGE 750ML</t>
  </si>
  <si>
    <t>/files/media/product/moet&amp;chandongrandvintage750ml.webp</t>
  </si>
  <si>
    <t>LANSON CHAMPAIGN 750ML</t>
  </si>
  <si>
    <t>/files/media/product/LANSON CHAMPAIGN 750ML.webp</t>
  </si>
  <si>
    <t>LANSON</t>
  </si>
  <si>
    <t>PIPER HEIDSIECK BRUT CHAMPAGNE 750ML</t>
  </si>
  <si>
    <t>/files/media/product/piperheidsieckbrutchampagnebottles750ml.jpeg</t>
  </si>
  <si>
    <t>Piper</t>
  </si>
  <si>
    <t>LUC BELAIRE ROSE 1.5LTR</t>
  </si>
  <si>
    <t>/files/media/product/LUC BELAIRE ROSE 1.5LTR.jpg</t>
  </si>
  <si>
    <t>Luc Belaire</t>
  </si>
  <si>
    <t>HAUTE CABRIERE UNWOODED CHARDONNAY 750ML</t>
  </si>
  <si>
    <t>/files/media/product/HAUTE CABRIERE UNWOODED CHARDONNAY 750ML.webp</t>
  </si>
  <si>
    <t>HAUTE CABRIERE</t>
  </si>
  <si>
    <t>/files/media/product/HAUTE CABRIERE CHARDONNAY PINOT 750ML750ML.webp</t>
  </si>
  <si>
    <t>WELMOED CHENIN BLANC 750ML</t>
  </si>
  <si>
    <t>/files/media/product/welmoedcheninblanc750ml.webp</t>
  </si>
  <si>
    <t>NOBLE DRY RED 750ML</t>
  </si>
  <si>
    <t>/files/media/product/nobledryred750ml.webp</t>
  </si>
  <si>
    <t>Noble</t>
  </si>
  <si>
    <t>Asconi Sweet Flavored Grapefruit Red Wine</t>
  </si>
  <si>
    <t>/files/media/product/Asconi Sweet Flavored Grapefruit Red Wine.webp</t>
  </si>
  <si>
    <t>Grape</t>
  </si>
  <si>
    <t>ARGENTO RESERVA MALBEC 750ml</t>
  </si>
  <si>
    <t>/files/media/product/ARGENTO RESERVA MALBEC 750ml.jpg</t>
  </si>
  <si>
    <t>SAN FELIPE OAK MALBEC 750ML</t>
  </si>
  <si>
    <t>/files/media/product/sanfelipeoakmalbec750ml.jpeg</t>
  </si>
  <si>
    <t>SANDEMAN SEMI SWEET 750ML</t>
  </si>
  <si>
    <t>/files/media/product/SANDEMAN SEMI SWEET 750ML.webp</t>
  </si>
  <si>
    <t>medium sweet</t>
  </si>
  <si>
    <t>ZAPALLARES MERLOT 1500ML</t>
  </si>
  <si>
    <t>/files/media/product/ZAPALLARES MERLOT 1500ML.webp</t>
  </si>
  <si>
    <t>ZAPALLARES</t>
  </si>
  <si>
    <t>ASCONI KISS ME NOW MERLOT 750ML</t>
  </si>
  <si>
    <t>/files/media/product/ASCONI KISS ME NOW MERLOT 750ML.jpg</t>
  </si>
  <si>
    <t>JP CHENET ORIGINAL MERLOT ORIGINAL 750ML</t>
  </si>
  <si>
    <t>/files/media/product/jp chenet merlot.jpg</t>
  </si>
  <si>
    <t>MAISON CASTEL MERLOT 750ML</t>
  </si>
  <si>
    <t>/files/media/product/MAISON CASTEL MERLOT 750ML.jpg</t>
  </si>
  <si>
    <t>TALL HORSE MERLOT 750ML</t>
  </si>
  <si>
    <t>/files/media/product/Tall Horse Merlot 750mL-1Q0I7SbR52.jpg</t>
  </si>
  <si>
    <t>Asconi Sweet Flavored Passion Fruit White Wine</t>
  </si>
  <si>
    <t>/files/media/product/Asconi Sweet Flavored Passion Fruit White Wine.webp</t>
  </si>
  <si>
    <t>BELLINGHAM HOMESTEAD PINOTAGE 750ML</t>
  </si>
  <si>
    <t>/files/media/product/bellinghamhomesteadpinotage750ml.jpg</t>
  </si>
  <si>
    <t>ARNEGUI RIOJA 750ML</t>
  </si>
  <si>
    <t>/files/media/product/ARNEGUI RIOJA 750ML.jpeg</t>
  </si>
  <si>
    <t>ARNEGUI</t>
  </si>
  <si>
    <t>BARON DE LESTAC BORDEAUX 750ML</t>
  </si>
  <si>
    <t>/files/media/product/BARON DE LESTAC BORDEAUX 750ML.jpeg</t>
  </si>
  <si>
    <t>red</t>
  </si>
  <si>
    <t>B&amp;G MERLOT IGP PAYS DOC 750ML</t>
  </si>
  <si>
    <t>/files/media/product/B&amp;G MERLOT IGP PAYS DOC 750ML.jpeg</t>
  </si>
  <si>
    <t>CASAL MENDES RED 750ML</t>
  </si>
  <si>
    <t>/files/media/product/CASAL MENDES RED 750ML.webp</t>
  </si>
  <si>
    <t>CASAL MENDES</t>
  </si>
  <si>
    <t>TONS DE DUORUM ROSE 750</t>
  </si>
  <si>
    <t>/files/media/product/TONS DE DUORUM ROSE 750.jpg</t>
  </si>
  <si>
    <t>BRUCE JACK RESERVE SAUV BLANC 750ML</t>
  </si>
  <si>
    <t>/files/media/product/brucejackreservesauvignonblanc750ml.jpg</t>
  </si>
  <si>
    <t>ROCHE MAZET SAUVIGNON 750ML</t>
  </si>
  <si>
    <t>/files/media/product/ROCHE MAZET SAUVIGNON 750ML.jpeg</t>
  </si>
  <si>
    <t>AUSTRALIAN BUSH SHIRAZ 750ML</t>
  </si>
  <si>
    <t>/files/media/product/AUSTRALIAN BUSH SHIRAZ 750ML.jpeg</t>
  </si>
  <si>
    <t>VEUVE DU VERNAY BRUT ROSE 750ML</t>
  </si>
  <si>
    <t>/files/media/product/veuveduvernaybrutrose750ml.jpeg</t>
  </si>
  <si>
    <t>Veuve du vernay</t>
  </si>
  <si>
    <t>SANDARA Premium Sparkling Sangria 750ML</t>
  </si>
  <si>
    <t>/files/media/product/sandara_sangria.png</t>
  </si>
  <si>
    <t>Sandara</t>
  </si>
  <si>
    <t>EXPRESION BRUT SPARKLING 750ML</t>
  </si>
  <si>
    <t>/files/media/product/EXPRESION BRUT SPARKLING 750ML.jpg</t>
  </si>
  <si>
    <t>PIERRE JOURDAN TRANQUILLE 750ML</t>
  </si>
  <si>
    <t>/files/media/product/PIERRE JOURDAN TRANQUILLE 750ML.jpg</t>
  </si>
  <si>
    <t>PIERRE JOURDAN</t>
  </si>
  <si>
    <t>TEELING WHISKY 700ML</t>
  </si>
  <si>
    <t>/files/media/product/TEELING WHISKY 700ML.jpg</t>
  </si>
  <si>
    <t>Teeling</t>
  </si>
  <si>
    <t>THE YAMAZAKI 12YRS 700ML</t>
  </si>
  <si>
    <t>/files/media/product/THE YAMAZAKI 12YRS 700ML.png</t>
  </si>
  <si>
    <t>Yamazaki</t>
  </si>
  <si>
    <t>FANTINEL SPUMANTE ZUCCOLO PROSECCO EXTRA-DRY 750ML</t>
  </si>
  <si>
    <t>/files/media/product/FANTINEL SPUMANTE ZUCCOLO PROSECCO EXTRA-DRY 750ML.webp</t>
  </si>
  <si>
    <t>Zuccolo</t>
  </si>
  <si>
    <t>PIMMS LIQUEUR 1LTR</t>
  </si>
  <si>
    <t>/files/media/product/pimms 1l.webp</t>
  </si>
  <si>
    <t>NEGRITA BARDINET ORIGINAL CARIBEAN RUM 1LTR</t>
  </si>
  <si>
    <t>/files/media/product/NEGRITA BARDINET ORIGINAL CARIBBEAN RUM 1LTR.jpeg</t>
  </si>
  <si>
    <t>JOHNNIE WALKER XR 21YRS WHISKY 700ML</t>
  </si>
  <si>
    <t>/files/media/product/JohnnieWalkerXR_600x.png</t>
  </si>
  <si>
    <t>18 CAB SAUV 750ML</t>
  </si>
  <si>
    <t>/files/media/product/18 Cabernet Sauvignon 750ML.avif</t>
  </si>
  <si>
    <t>MICHEL TORINO COLECCION MALBEC 750ML</t>
  </si>
  <si>
    <t>/files/media/product/michelTorino.jpg</t>
  </si>
  <si>
    <t>Michel torino</t>
  </si>
  <si>
    <t>LA CAPRA MERLOT 750ML</t>
  </si>
  <si>
    <t>/files/media/product/LA CAPRA MERLOT 750ML.jpg</t>
  </si>
  <si>
    <t>RIB SHACK RED 750ML</t>
  </si>
  <si>
    <t>/files/media/product/RIB SHACK RED 750ML.jpeg</t>
  </si>
  <si>
    <t>RIB SHACK</t>
  </si>
  <si>
    <t>CALIFORNIA ROOTS ROSE 750ML</t>
  </si>
  <si>
    <t>/files/media/product/californiarootsrose750ml.jpg</t>
  </si>
  <si>
    <t>California roots</t>
  </si>
  <si>
    <t>CASAL MENDES SANGRIA 750ML</t>
  </si>
  <si>
    <t>/files/media/product/CASAL MENDES SANGRIA 750ML.jpg</t>
  </si>
  <si>
    <t>Sangria</t>
  </si>
  <si>
    <t>/files/media/product/WAVE DANCER SWT WHITE 700ML.webp</t>
  </si>
  <si>
    <t>WAVE DANCER</t>
  </si>
  <si>
    <t>ARGENTO TORRONTES 750ML</t>
  </si>
  <si>
    <t>/files/media/product/ARGENTO TORRONTES 750ML.jpg</t>
  </si>
  <si>
    <t>/files/media/product/whitleyneil.png</t>
  </si>
  <si>
    <t>lemon grass</t>
  </si>
  <si>
    <t>1659 CLASSIC RED 750ML</t>
  </si>
  <si>
    <t>/files/media/product/1659.png</t>
  </si>
  <si>
    <t>1659 Spier</t>
  </si>
  <si>
    <t>TUSSOCK JUMPER CAB SAUV 750ml</t>
  </si>
  <si>
    <t>/files/media/product/TUSSOCK JUMPER CAB SAUV 750ml.png</t>
  </si>
  <si>
    <t>TUSSOCK</t>
  </si>
  <si>
    <t>COCKBURN FINE TAWNY 1LTR</t>
  </si>
  <si>
    <t>/files/media/product/COCKBURN FINE TAWNY 1LTR.webp</t>
  </si>
  <si>
    <t>COCKBURN</t>
  </si>
  <si>
    <t>port wine</t>
  </si>
  <si>
    <t>TWO OCEANS SAUV BLANC 750ML</t>
  </si>
  <si>
    <t>/files/media/product/TWO OCEANS SAUV BLANC 750ML.jpeg</t>
  </si>
  <si>
    <t>TWO OCEANS</t>
  </si>
  <si>
    <t>TUSSOCK JUMPER SAUV BLANC 750ml</t>
  </si>
  <si>
    <t>/files/media/product/TUSSOCK JUMPER SAUV BLANC 750ml.webp</t>
  </si>
  <si>
    <t>GATO NEGRO SAUV BLANC 750ML</t>
  </si>
  <si>
    <t>/files/media/product/maisoncastel.jpg</t>
  </si>
  <si>
    <t>FAIRVIEW GOATS DO ROAM 750ML</t>
  </si>
  <si>
    <t>/files/media/product/wine-fairview-goats-do-roam-51229821206862.webp</t>
  </si>
  <si>
    <t>LEGENDARY ABSOLUTE PREMIUM VODKA AK-47 700ML</t>
  </si>
  <si>
    <t>/files/media/product/LEGENDARY ABSOLUTE PREMIUM VODKA AK-47 700ML.jpg</t>
  </si>
  <si>
    <t>LEGENDARY ABSOLUTE</t>
  </si>
  <si>
    <t>GLEN SCANLAN 4.5L</t>
  </si>
  <si>
    <t>/files/media/product/GLEN SCANLAN 4.5L.jpg</t>
  </si>
  <si>
    <t>Glen Scanlan</t>
  </si>
  <si>
    <t>CAMUS XO 1LTR</t>
  </si>
  <si>
    <t>/files/media/product/CAMUS XO 1LTR.webp</t>
  </si>
  <si>
    <t>CAMUS</t>
  </si>
  <si>
    <t>JACK DANIELS SOUR MASH NO 7 LEGACY EDITION 2 WHISKY 750ML</t>
  </si>
  <si>
    <t>/files/media/product/jackdanielssourmash.webp</t>
  </si>
  <si>
    <t>7EVEN BOUQUET BLANC 750ML</t>
  </si>
  <si>
    <t>/files/media/product/7EVEN BOUQUET BLANC 750ML.webp</t>
  </si>
  <si>
    <t>7EVEN</t>
  </si>
  <si>
    <t>AMA LA VIDA SIGNATURE SWT RED 750ML</t>
  </si>
  <si>
    <t>/files/media/product/AMA LA VIDA SIGNATURE SWT RED 750ML.jpg</t>
  </si>
  <si>
    <t>AMA LA VIDA</t>
  </si>
  <si>
    <t>DOUGLAS GREEN MERLOT 750ML</t>
  </si>
  <si>
    <t>/files/media/product/douglas-green-merlot.jpg</t>
  </si>
  <si>
    <t>Douglas green</t>
  </si>
  <si>
    <t>CARLO ROSSI PINK MOSCATO 750ML</t>
  </si>
  <si>
    <t>/files/media/product/carlorossipinkmoscato750ml.jpeg</t>
  </si>
  <si>
    <t>FINCA LOS ALTOS 750ML</t>
  </si>
  <si>
    <t>/files/media/product/FINCA LOS ALTOS 750ML.jpg</t>
  </si>
  <si>
    <t>FINCA LOS ALTOS</t>
  </si>
  <si>
    <t>ANGELO RED 750ML</t>
  </si>
  <si>
    <t>/files/media/product/Angelo red 750ml.jpg</t>
  </si>
  <si>
    <t>Angelo</t>
  </si>
  <si>
    <t>NOBLE ROSE 750ML</t>
  </si>
  <si>
    <t>/files/media/product/noblerose750ml.webp</t>
  </si>
  <si>
    <t>/files/media/product/ANGOVE MCLAREN VALE SHIRAZ 2016 750ML.jpg</t>
  </si>
  <si>
    <t>MARQUES CAVA BRUT 750ML</t>
  </si>
  <si>
    <t>/files/media/product/MARQUES CAVA BRUT 750ML.png</t>
  </si>
  <si>
    <t>MARQUES</t>
  </si>
  <si>
    <t>ROBERTSON SWEET ROSE 1.5LT</t>
  </si>
  <si>
    <t>/files/media/product/ROBERTSON SWEET ROSE 1.5LT.webp</t>
  </si>
  <si>
    <t>MARQUES SEGUNDO ANO 750ML</t>
  </si>
  <si>
    <t>/files/media/product/MARQUES SEGUNDO ANO 750ML.webp</t>
  </si>
  <si>
    <t xml:space="preserve">LOUIS ROEDERER CHAMPAGNE CRISTAL BRUT 2013 1.5L </t>
  </si>
  <si>
    <t>/files/media/product/LOUIS ROEDERER CHAMPAGNE CRISTAL BRUT 2013 1.5L.webp</t>
  </si>
  <si>
    <t>Louis Roederer</t>
  </si>
  <si>
    <t>JAMESON TRIPLE TRIPLE MARSALA LITRE</t>
  </si>
  <si>
    <t>/files/media/product/JAMESON TRIPLE TRIPLE MARSALA LITRE.webp</t>
  </si>
  <si>
    <t>Marsala</t>
  </si>
  <si>
    <t>HENNESSY XO COGNAC 700ML</t>
  </si>
  <si>
    <t>/files/media/product/hennessy-xo.webp</t>
  </si>
  <si>
    <t>WHITLEY NEIL PARMA VIOLET 700ML</t>
  </si>
  <si>
    <t>/files/media/product/WHITLEY NEILL PARMA VIOLET 700ML.webp</t>
  </si>
  <si>
    <t>parma violet</t>
  </si>
  <si>
    <t>/files/media/product/COLA LIME 1800 PUFFS.webp</t>
  </si>
  <si>
    <t>/files/media/product/WATERMELON ICE 9000 PUFFS.jpeg</t>
  </si>
  <si>
    <t>GLENMORANGIE NECTAR D'OR 700ML</t>
  </si>
  <si>
    <t>/files/media/product/glenmorangienectard'or700ml.jpeg</t>
  </si>
  <si>
    <t>GLENFIDICH 12YRS WHISKY 350ML</t>
  </si>
  <si>
    <t>/files/media/product/glenfidich12yrs350ml.jpeg</t>
  </si>
  <si>
    <t>MARTINI BRUT 750ML</t>
  </si>
  <si>
    <t>/files/media/product/MARTINI BRUT 750ML.webp</t>
  </si>
  <si>
    <t>MARTINI</t>
  </si>
  <si>
    <t>/files/media/product/fronteracabsauv.png</t>
  </si>
  <si>
    <t>DURBANVILLE HILLS CAB SAUV 750ML</t>
  </si>
  <si>
    <t>/files/media/product/durbanvillehillscabsauv750ml.jpeg</t>
  </si>
  <si>
    <t>Durbanville hills</t>
  </si>
  <si>
    <t>DROSTDY HOF WHITE 3LTR</t>
  </si>
  <si>
    <t>/files/media/product/DROSTDY DRY WHITE 3LTR.jpeg</t>
  </si>
  <si>
    <t>ALPACA MERLOT 750ML</t>
  </si>
  <si>
    <t>/files/media/product/ALPACA MERLOT 750ML.webp</t>
  </si>
  <si>
    <t>TWIGA HILL MERLOT 700ML</t>
  </si>
  <si>
    <t>/files/media/product/TWIGA HILL MERLOT 700ML.jpg</t>
  </si>
  <si>
    <t>TWIGA HILL</t>
  </si>
  <si>
    <t>ELECTIO MERLOT 750ML</t>
  </si>
  <si>
    <t>/files/media/product/ELECTIO MERLOT 750ML.png</t>
  </si>
  <si>
    <t>ELECTIO</t>
  </si>
  <si>
    <t>VINA MAIPO MOSCATO 750ML</t>
  </si>
  <si>
    <t>/files/media/product/Vina_Maipo_Moscato.jpg</t>
  </si>
  <si>
    <t>Vina maipo</t>
  </si>
  <si>
    <t>DURBANVILLE HILLS PINOTAGE 750ML</t>
  </si>
  <si>
    <t>/files/media/product/durbanvillehillspinotage750ml.jpeg</t>
  </si>
  <si>
    <t>CAPE AUCTION 750ML</t>
  </si>
  <si>
    <t>/files/media/product/CAPE AUCTION 750ML.avif</t>
  </si>
  <si>
    <t>CAPE AUCTION</t>
  </si>
  <si>
    <t>ALPACA SAUVIGNON BLANC 750ML</t>
  </si>
  <si>
    <t>/files/media/product/ALPACA SAUVIGNON BLANC 750ML.jpeg</t>
  </si>
  <si>
    <t>DURBANVILLE HILLS SAUV BLANC 750ML</t>
  </si>
  <si>
    <t>/files/media/product/DURBANVILLE HILLS SAUV BLANC 750ML.png</t>
  </si>
  <si>
    <t>DURBANVILLE HILLS</t>
  </si>
  <si>
    <t>5TH CARINO SWEET RED 750ML</t>
  </si>
  <si>
    <t>/files/media/product/5thcarinosweetred750ml.jpg</t>
  </si>
  <si>
    <t>5Th carino</t>
  </si>
  <si>
    <t>NAMAQUA SWEET RED 5LTR</t>
  </si>
  <si>
    <t>/files/media/product/namaquasweetred5ltr.jpeg</t>
  </si>
  <si>
    <t>FOUR COUSINS SWEET RED 3LTR</t>
  </si>
  <si>
    <t>/files/media/product/Natural-sweet-red-four-cousins.jpg</t>
  </si>
  <si>
    <t>JP CHENET RESERVE CHARDONNAY VIOGNIER 750ML</t>
  </si>
  <si>
    <t>/files/media/product/jpchenetreservechardonnayviognier750ml.webp</t>
  </si>
  <si>
    <t>Jp chenet</t>
  </si>
  <si>
    <t>Viognier</t>
  </si>
  <si>
    <t>JAGERMEISTER 3L</t>
  </si>
  <si>
    <t>/files/media/product/JAGERMEISTER 3L.avif</t>
  </si>
  <si>
    <t>SALMARI PREMIUM LIQOUR 3L</t>
  </si>
  <si>
    <t>/files/media/product/SALMARI PREMIUM LIQOUR 3L.jpg</t>
  </si>
  <si>
    <t>Salmari</t>
  </si>
  <si>
    <t>PEP LIME JUICE 700ML</t>
  </si>
  <si>
    <t>/files/media/product/peplimejuice700ml.jpeg</t>
  </si>
  <si>
    <t>DELMONTE PINEAPPLE 1LTR</t>
  </si>
  <si>
    <t>/files/media/product/delmonte-pineapple-removebg-preview_406x.webp</t>
  </si>
  <si>
    <t>Delmonte</t>
  </si>
  <si>
    <t>NAPOLEON GOLD 750ML</t>
  </si>
  <si>
    <t>/files/media/product/NAPOLEON GOLD 750ML.jpg</t>
  </si>
  <si>
    <t>NAPOLEON</t>
  </si>
  <si>
    <t>KWV 15YRS BRANDY 750ml</t>
  </si>
  <si>
    <t>/files/media/product/KWV 15YRS BRANDY 750ML.jpeg</t>
  </si>
  <si>
    <t>VELVET CREAM LIQUEUR 750ml</t>
  </si>
  <si>
    <t>/files/media/product/VELVET CREAM LIQUEUR 750ML.jpg</t>
  </si>
  <si>
    <t>Velvet</t>
  </si>
  <si>
    <t>BARDINET CREME DE BANANA 750ML</t>
  </si>
  <si>
    <t>/files/media/product/BARDINET CREME DE BANANA 750ML.png</t>
  </si>
  <si>
    <t>BARDINET</t>
  </si>
  <si>
    <t>banana</t>
  </si>
  <si>
    <t>BARDINET BLUE CURACAO 750ML</t>
  </si>
  <si>
    <t>/files/media/product/BARDINET BLUE CURACAO 750ML.jpeg</t>
  </si>
  <si>
    <t>blue curacao</t>
  </si>
  <si>
    <t>BARDINET CHERRY 750ML</t>
  </si>
  <si>
    <t>/files/media/product/BARDINET CHERRY 750ML.jpg</t>
  </si>
  <si>
    <t>BARDINET CREME DE CAFE 750ML</t>
  </si>
  <si>
    <t>/files/media/product/BARDINET CREME DE CAFE 750ML.jpg</t>
  </si>
  <si>
    <t>BUTLERS PEPPERMINT 750ML</t>
  </si>
  <si>
    <t>/files/media/product/bolspeppermint75cl.webp</t>
  </si>
  <si>
    <t>Bolls</t>
  </si>
  <si>
    <t>Peppermint</t>
  </si>
  <si>
    <t>ZAPPA - RED 750ML</t>
  </si>
  <si>
    <t>/files/media/product/ZappaRed.webp</t>
  </si>
  <si>
    <t>DISARONNO LIQUEUR 1ltr</t>
  </si>
  <si>
    <t>/files/media/product/disarono 1ltr.jpeg</t>
  </si>
  <si>
    <t>DISARONNO</t>
  </si>
  <si>
    <t>WILD TIGER SPICED RESERVE 750ML</t>
  </si>
  <si>
    <t>/files/media/product/WILD TIGER SPICED RESERVE 750ML.webp</t>
  </si>
  <si>
    <t>NEGRITA BARDINET 1LTR</t>
  </si>
  <si>
    <t>/files/media/product/NEGRITA BARDINET 1LTR.webp</t>
  </si>
  <si>
    <t>CLASE AZUL MEZCAL DURANGO 750ml</t>
  </si>
  <si>
    <t>/files/media/product/CLASE AZUL DURANGO 750ml.jpg</t>
  </si>
  <si>
    <t>Durango</t>
  </si>
  <si>
    <t>/files/media/product/SUN KISSED GRAPE 9000 PUFFS.webp</t>
  </si>
  <si>
    <t>grape</t>
  </si>
  <si>
    <t>KENYA CANE PINEAPPLE 750ML</t>
  </si>
  <si>
    <t>/files/media/product/kenyacanepineapple750ml.webp</t>
  </si>
  <si>
    <t>KHOR STRACTURED VODKA 1LTR</t>
  </si>
  <si>
    <t>/files/media/product/KHOR STRUCTURED VODKA 1LTR.webp</t>
  </si>
  <si>
    <t>KHOR</t>
  </si>
  <si>
    <t>MR DOWELS 750ML</t>
  </si>
  <si>
    <t>/files/media/product/MR DOWELS 750ML.avif</t>
  </si>
  <si>
    <t>MR DOWELS</t>
  </si>
  <si>
    <t>CLEN BACK CANADIAN 750ML</t>
  </si>
  <si>
    <t>/files/media/product/CLEN BACK CANADIAN 750ML.png</t>
  </si>
  <si>
    <t>CLEN BACK</t>
  </si>
  <si>
    <t>CATTOS BLENDED WHISKY 1ltr</t>
  </si>
  <si>
    <t>/files/media/product/cattos 1ltr.jpeg</t>
  </si>
  <si>
    <t>CATTOS</t>
  </si>
  <si>
    <t>OLD PULLTENEY WHISKY 1LTR</t>
  </si>
  <si>
    <t>/files/media/product/OLD PULLTENEY WHISKY 1LTR.jpeg</t>
  </si>
  <si>
    <t>OLD PULLTENEY</t>
  </si>
  <si>
    <t>JOHN BARR BLACK WHISKY 1LTR</t>
  </si>
  <si>
    <t>/files/media/product/244970-big.jpg</t>
  </si>
  <si>
    <t>John Barr</t>
  </si>
  <si>
    <t>GLENFIDDICH GRAND CORONNE 26YRS 700ML</t>
  </si>
  <si>
    <t>/files/media/product/GLENFIDDICH GRAND CORONNE 26YRS 700ML.jpeg</t>
  </si>
  <si>
    <t>GLENFIDICH 12YRS WHISKY 700ML</t>
  </si>
  <si>
    <t>/files/media/product/glenfidich12yo700ml.jpeg</t>
  </si>
  <si>
    <t>/files/media/product/images (2).jpeg</t>
  </si>
  <si>
    <t>SINGLETON 12YRS 1LTR</t>
  </si>
  <si>
    <t>/files/media/product/SINGLETON 12YRS 1LTR.webp</t>
  </si>
  <si>
    <t>SINGLETON</t>
  </si>
  <si>
    <t>PERRIER JOUET BLANC 750ML</t>
  </si>
  <si>
    <t>/files/media/product/PERRIER JOUET BLANC 750ML.webp</t>
  </si>
  <si>
    <t>PERRIER JOUET</t>
  </si>
  <si>
    <t>ELECTIO CAB SAUV 750ML</t>
  </si>
  <si>
    <t>/files/media/product/ELECTIO CAB SAUV 750ML.jpg</t>
  </si>
  <si>
    <t>VEUVE CLICQUOT- ROSE 750ML</t>
  </si>
  <si>
    <t>/files/media/product/VEUVE-CLICQUOT-ROSE.webp</t>
  </si>
  <si>
    <t>TAITTINGER BRUT RESERVE 750ML</t>
  </si>
  <si>
    <t>/files/media/product/taittinger.jpg</t>
  </si>
  <si>
    <t>Taittinger</t>
  </si>
  <si>
    <t>18 CHARDONNAY 750ML</t>
  </si>
  <si>
    <t>/files/media/product/18_chardonnay.jpg</t>
  </si>
  <si>
    <t>DURBANVILLE HILLS RESERVE CHARDONNAY 750ML</t>
  </si>
  <si>
    <t>/files/media/product/durbanvillehillsreservechardonnay750ml.webp</t>
  </si>
  <si>
    <t>TWIGA HILL CHENIN BLANC 700ML</t>
  </si>
  <si>
    <t>/files/media/product/TWIGA HILL CHENIN BLANC 700ML.jpg</t>
  </si>
  <si>
    <t>AMANI BAY DRY ROSE 750ML</t>
  </si>
  <si>
    <t>/files/media/product/amanibaydryrose750ml.webp</t>
  </si>
  <si>
    <t>Amani bay</t>
  </si>
  <si>
    <t>Dry Rose</t>
  </si>
  <si>
    <t>RUTINI MENDOZA 750ML</t>
  </si>
  <si>
    <t>/files/media/product/RUTINI MENDOZA 750ML.webp</t>
  </si>
  <si>
    <t>RUTINI</t>
  </si>
  <si>
    <t>Mendoza</t>
  </si>
  <si>
    <t>GATONEGRO MERLOT 750ML</t>
  </si>
  <si>
    <t>/files/media/product/gatonegromerlot.webp</t>
  </si>
  <si>
    <t>GATO NEGRO MOSCATO 750ML</t>
  </si>
  <si>
    <t>/files/media/product/GATO NEGRO MOSCATO 750ML.png</t>
  </si>
  <si>
    <t>VINCLES SUMA MOCA 750ML</t>
  </si>
  <si>
    <t>/files/media/product/Sumarroca Vincles Organic Tinto.png</t>
  </si>
  <si>
    <t>VINCLES</t>
  </si>
  <si>
    <t>DUCHESALIA BARBERA 750ML</t>
  </si>
  <si>
    <t>/files/media/product/DUCHESALIA BARBERA 750ML.webp</t>
  </si>
  <si>
    <t>BON VOYAGE 750ML</t>
  </si>
  <si>
    <t>/files/media/product/BON VOYAGE 750ML.jpg</t>
  </si>
  <si>
    <t>BON VOYAGE</t>
  </si>
  <si>
    <t>/files/media/product/starchaser.jpg</t>
  </si>
  <si>
    <t>Starchaser</t>
  </si>
  <si>
    <t>/files/media/product/ROOIBERG WINERY RED MUSCADEL 750ML.png</t>
  </si>
  <si>
    <t>ROOIBERG WINERY</t>
  </si>
  <si>
    <t>THE DEN SAUVIGNON BLANC 700ML</t>
  </si>
  <si>
    <t>/files/media/product/THE DEN SAUVIGNON BLANC 700ML.jpeg</t>
  </si>
  <si>
    <t>THE DEN</t>
  </si>
  <si>
    <t>FRONTERA SHIRAZ 750ML</t>
  </si>
  <si>
    <t>/files/media/product/frontera-shiraz.png</t>
  </si>
  <si>
    <t>AMANI BAY SMOOTH RED 750ML</t>
  </si>
  <si>
    <t>/files/media/product/amanibaysmoothred750ml.jpeg</t>
  </si>
  <si>
    <t>Smooth Red</t>
  </si>
  <si>
    <t>CARMELA SPARKLING SWEET WINE 750ML</t>
  </si>
  <si>
    <t>/files/media/product/carmelasweetwine.jpeg</t>
  </si>
  <si>
    <t>Carmela</t>
  </si>
  <si>
    <t>JP CHENET ICE EDITION 750ML</t>
  </si>
  <si>
    <t>/files/media/product/JP CHENET ICE EDITION 750ML.jpg</t>
  </si>
  <si>
    <t>Sparkling White</t>
  </si>
  <si>
    <t>AMANI BAY NATURAL SWEET RED 750ML</t>
  </si>
  <si>
    <t>/files/media/product/amani-bay-sweet-red.webp</t>
  </si>
  <si>
    <t>AMANI BAY NATURAL SWEET ROSE 750ML</t>
  </si>
  <si>
    <t>/files/media/product/amanibaynaturalsweetrose750ml.webp</t>
  </si>
  <si>
    <t>AMANI BAY NATURAL SWEET WHITE 750ML</t>
  </si>
  <si>
    <t>/files/media/product/amanibay.webp</t>
  </si>
  <si>
    <t>AMA LA VIDA SWEET WHITE 750ML</t>
  </si>
  <si>
    <t>/files/media/product/AMA LA VIDA SWEET WHITE 750ML.webp</t>
  </si>
  <si>
    <t>7 HILLS SWEET WHITE 750ml</t>
  </si>
  <si>
    <t>/files/media/product/7HILLS SWEET WHITE 750ml.jpeg</t>
  </si>
  <si>
    <t>7Hills</t>
  </si>
  <si>
    <t>ASCONI MOSCATO SWEET WHITE 750ML</t>
  </si>
  <si>
    <t>/files/media/product/ASCONI MOSCATO SWEET WHITE 750ML.jpg</t>
  </si>
  <si>
    <t>/files/media/product/BIANCO NOBILE VANILLA 750ML.jpg</t>
  </si>
  <si>
    <t>BIANCO NOBILE</t>
  </si>
  <si>
    <t>5TH CARINO SWEET WHITE 750ML</t>
  </si>
  <si>
    <t>/files/media/product/5thcarinosweetwhite750ml.jpeg</t>
  </si>
  <si>
    <t>LUIS FELIPE WHITE 750ML</t>
  </si>
  <si>
    <t>/files/media/product/luisfelipewhit.jpeg</t>
  </si>
  <si>
    <t>Luis Felipe</t>
  </si>
  <si>
    <t>AMANI BAY FRESH WHITE 750ML</t>
  </si>
  <si>
    <t>/files/media/product/amani_bay-fresh_white-min.png</t>
  </si>
  <si>
    <t>NOBLE WHITE 750ML</t>
  </si>
  <si>
    <t>/files/media/product/noblewhite750ml.webp</t>
  </si>
  <si>
    <t>BLACK STALLION 750ML</t>
  </si>
  <si>
    <t>/files/media/product/BLACK STALLION 750ML.jpeg</t>
  </si>
  <si>
    <t>BLACK STALLION</t>
  </si>
  <si>
    <t>CASILELLERO DEL DIABLO 750ML</t>
  </si>
  <si>
    <t>/files/media/product/CASILELLERO DEL DIABLO 750ML.jpg</t>
  </si>
  <si>
    <t>CASILELLERO DEL DIABLO</t>
  </si>
  <si>
    <t>ARCADIA DEMI SEC 750ML</t>
  </si>
  <si>
    <t>/files/media/product/ARCADIA DEMI SEC 750ML.jpg</t>
  </si>
  <si>
    <t>ARCADIA</t>
  </si>
  <si>
    <t>GRANDE RESERVE LE LYS ROUGE BORDEAUX RED 750ML</t>
  </si>
  <si>
    <t>/files/media/product/GRANDE RESERVE LE LYS ROUGE BORDEAUX RED 750ML.jpg</t>
  </si>
  <si>
    <t>Le Lys</t>
  </si>
  <si>
    <t>ROLLER PREMIUM CRISP APPLE 330ml</t>
  </si>
  <si>
    <t>/files/media/product/ROLLER PREMIUM CRISP APPLE 330ml.jpeg</t>
  </si>
  <si>
    <t>Roller</t>
  </si>
  <si>
    <t>DESPERADOS 500ML</t>
  </si>
  <si>
    <t>/files/media/product/desperados500ml.jpeg</t>
  </si>
  <si>
    <t>MANYATTA CIDER 330ML</t>
  </si>
  <si>
    <t>/files/media/product/images (14).jpeg</t>
  </si>
  <si>
    <t>cider</t>
  </si>
  <si>
    <t>WINDHOEK DRAUGHT NRB 440ML</t>
  </si>
  <si>
    <t>/files/media/product/windhoekdraughtnrb330ml.jpeg</t>
  </si>
  <si>
    <t>Windhoek</t>
  </si>
  <si>
    <t>Draught</t>
  </si>
  <si>
    <t>HUNTERS DRY 330ML</t>
  </si>
  <si>
    <t>/files/media/product/huntersdry330ml.jpeg</t>
  </si>
  <si>
    <t>Hunters dry</t>
  </si>
  <si>
    <t>Dry</t>
  </si>
  <si>
    <t>FITCH &amp; LEEDES CLASSIC GINGER BEER 300ML</t>
  </si>
  <si>
    <t>/files/media/product/gingerfitch&amp;leeds.jpg</t>
  </si>
  <si>
    <t>Fitch &amp; Leedes</t>
  </si>
  <si>
    <t>ginger</t>
  </si>
  <si>
    <t>BUDWEISER 500ML CAN</t>
  </si>
  <si>
    <t>/files/media/product/BUDWEISER 500ML CAN.webp</t>
  </si>
  <si>
    <t>GUINESS CAN SMOOTH 330ML CAN</t>
  </si>
  <si>
    <t>/files/media/product/GUINESS CAN SMOOTH 330ML CAN.webp</t>
  </si>
  <si>
    <t>WHITECAP LAGER 500ML</t>
  </si>
  <si>
    <t>/files/media/product/whitecaplager500ml.jpg_480Wx480H</t>
  </si>
  <si>
    <t>WINDHOEK LAGER 33OML</t>
  </si>
  <si>
    <t>/files/media/product/WINDHOEK LAGER 33OML.jpg</t>
  </si>
  <si>
    <t>OJ 20% BEER</t>
  </si>
  <si>
    <t>/files/media/product/OJ 20% BEER.webp</t>
  </si>
  <si>
    <t>OJ</t>
  </si>
  <si>
    <t>TUBORG GREEN BOTTLE 330ML</t>
  </si>
  <si>
    <t>/files/media/product/TUBORG GREEN BOTTLE 330ML.jpg</t>
  </si>
  <si>
    <t>Tuborg</t>
  </si>
  <si>
    <t>TUBORG GREEN CAN 500ML</t>
  </si>
  <si>
    <t>/files/media/product/TUBORG GREEN CAN 500ML.webp</t>
  </si>
  <si>
    <t>GUINESS SMOOTH CAN 500ML</t>
  </si>
  <si>
    <t>/files/media/product/guinness smooth.jpg</t>
  </si>
  <si>
    <t>Smooth</t>
  </si>
  <si>
    <t>OJ 16% BEER</t>
  </si>
  <si>
    <t>/files/media/product/oj16500ml.webp</t>
  </si>
  <si>
    <t>strong</t>
  </si>
  <si>
    <t>FAXE CAN 500ML</t>
  </si>
  <si>
    <t>/files/media/product/images.jpeg</t>
  </si>
  <si>
    <t>Faxe</t>
  </si>
  <si>
    <t>OETTINGER SUPER FORTE EXTRA STRONG BEER 500ML</t>
  </si>
  <si>
    <t>/files/media/product/oettingersuperforteextrastrongbeer500ml.jpg_480Wx480H</t>
  </si>
  <si>
    <t>Oettinger</t>
  </si>
  <si>
    <t>KO HONEY &amp; LEMON 330ML</t>
  </si>
  <si>
    <t>/files/media/product/KO HONEY &amp; LEMON 330ML.jpeg</t>
  </si>
  <si>
    <t>KO PASSION FRUIT &amp; LIME CAN 330ML</t>
  </si>
  <si>
    <t>/files/media/product/KO PASSION FRUIT &amp; LIME CAN 330ML.png</t>
  </si>
  <si>
    <t>KO MANGO &amp; GINGER 330ML</t>
  </si>
  <si>
    <t>/files/media/product/komangoginger330ml.jpeg</t>
  </si>
  <si>
    <t>/files/media/product/MANYATTA MANGO &amp; GINGER 330ML.jpeg</t>
  </si>
  <si>
    <t>MANYATTA LEMON &amp; GINGER CIDER 330ML</t>
  </si>
  <si>
    <t>/files/media/product/images (13).jpeg</t>
  </si>
  <si>
    <t>MANYATTA PINEAPPLE MINT 330ML</t>
  </si>
  <si>
    <t>/files/media/product/MANYATTA PINEAPPLE MINT 330ML.jpeg</t>
  </si>
  <si>
    <t>SMIRNOFF GUARANA ELECTRIC ICE 330ML</t>
  </si>
  <si>
    <t>/files/media/product/smirnoffguaranaelectricice330ml.jpeg</t>
  </si>
  <si>
    <t>/files/media/product/KO LIME AND GINGER 330 ML CAN.jpg</t>
  </si>
  <si>
    <t>/files/media/product/KO DRY CIDER 500ML.jpg</t>
  </si>
  <si>
    <t>Snapp Dry Cider 330ml</t>
  </si>
  <si>
    <t>/files/media/product/Snapp Dry Cider 330ml.png</t>
  </si>
  <si>
    <t>SNAPP</t>
  </si>
  <si>
    <t>KO PINEAPPLE &amp; MINT CAN 330ML</t>
  </si>
  <si>
    <t>/files/media/product/KO PINEAPPLE &amp; MINT CAN 330ML.jpg</t>
  </si>
  <si>
    <t>MONSTER ENERGY 500ML</t>
  </si>
  <si>
    <t>/files/media/product/monsterenergy.jpg</t>
  </si>
  <si>
    <t>Monster</t>
  </si>
  <si>
    <t>RED BLAZE 150ML</t>
  </si>
  <si>
    <t>/files/media/product/RED BLAZE 150ML.jpg</t>
  </si>
  <si>
    <t>RED BLAZE</t>
  </si>
  <si>
    <t>/files/media/product/redbull250ml.jpg</t>
  </si>
  <si>
    <t>Red Bull</t>
  </si>
  <si>
    <t>RED BULL 0.0 250ML</t>
  </si>
  <si>
    <t>/files/media/product/RED BULL 0.0 250ML.webp</t>
  </si>
  <si>
    <t>GRENADINE SYRUP 750ML</t>
  </si>
  <si>
    <t>/files/media/product/Grenadine-Syrup-750ml-600x600-1.jpg</t>
  </si>
  <si>
    <t>Grenadine</t>
  </si>
  <si>
    <t>grenadine</t>
  </si>
  <si>
    <t>DELMONTE MANGO 1LTR</t>
  </si>
  <si>
    <t>/files/media/product/mango.png</t>
  </si>
  <si>
    <t>DELMONTE MIXED BERRY 1LTR</t>
  </si>
  <si>
    <t>/files/media/product/delmonte mixed berries.png</t>
  </si>
  <si>
    <t>DELMONTE TROPICAL 1LTR</t>
  </si>
  <si>
    <t>/files/media/product/delmontetropical1ltr.jpg</t>
  </si>
  <si>
    <t>DELMONTE APPLE 1LTR</t>
  </si>
  <si>
    <t>/files/media/product/Greenspoon-Kenya-Del-Monte-Apple-Juice-1L.webp</t>
  </si>
  <si>
    <t>LIME JUICE 700ML</t>
  </si>
  <si>
    <t>/files/media/product/limejuice700ml.jpeg</t>
  </si>
  <si>
    <t>Pep Lime</t>
  </si>
  <si>
    <t>DELMONTE PINEAPPLE MANGO 1LTR</t>
  </si>
  <si>
    <t>/files/media/product/delmontepineapplemango1ltr.jpg_480Wx480H</t>
  </si>
  <si>
    <t>KO MANGO &amp; CHILLI 330ML</t>
  </si>
  <si>
    <t>/files/media/product/KO MANGO &amp; CHILLI 330ML.webp</t>
  </si>
  <si>
    <t>DAWA DRINK 500ML</t>
  </si>
  <si>
    <t>/files/media/product/DAWA DRINK 500ML.jpeg</t>
  </si>
  <si>
    <t>DAWA</t>
  </si>
  <si>
    <t>DELMONTE PASSION 1LTR</t>
  </si>
  <si>
    <t>/files/media/product/DELMONTE PASSION 1LTR.webp</t>
  </si>
  <si>
    <t>STONEY 500ML</t>
  </si>
  <si>
    <t>/files/media/product/stoney500ml.jpeg</t>
  </si>
  <si>
    <t>Stoney</t>
  </si>
  <si>
    <t>/files/media/product/FANTA BLACK CURRENT 1.25L.webp</t>
  </si>
  <si>
    <t>FANTA PASSION 2L</t>
  </si>
  <si>
    <t>/files/media/product/FANTA PASSION 2L.jpeg</t>
  </si>
  <si>
    <t>FANTA ORANGE 1.25L</t>
  </si>
  <si>
    <t>/files/media/product/FANTA ORANGE 1.25L.jpeg</t>
  </si>
  <si>
    <t>COKE 1.25LTR</t>
  </si>
  <si>
    <t>/files/media/product/cocacola 1.25l.png</t>
  </si>
  <si>
    <t>/files/media/product/FANTA BLACK CURRENT 2L.jpeg</t>
  </si>
  <si>
    <t>FANTA ORANGE 2L</t>
  </si>
  <si>
    <t>/files/media/product/FANTA ORANGE 2L.avif</t>
  </si>
  <si>
    <t>/files/media/product/FANTA BLACK CURRENT 500ML.jpg</t>
  </si>
  <si>
    <t>NOVIDA 350ML</t>
  </si>
  <si>
    <t>/files/media/product/NOVIDA 350ML.jpg</t>
  </si>
  <si>
    <t>NOVIDA</t>
  </si>
  <si>
    <t>/files/media/product/Fanta Black Current 350ML.jpeg</t>
  </si>
  <si>
    <t>LEMONADE 300ML</t>
  </si>
  <si>
    <t>/files/media/product/Untitled design(4).png</t>
  </si>
  <si>
    <t>Lemonade</t>
  </si>
  <si>
    <t>Fanta Orange 350ml</t>
  </si>
  <si>
    <t>/files/media/product/Fanta Orange 350ml.webp</t>
  </si>
  <si>
    <t>COKE 350ML</t>
  </si>
  <si>
    <t>PET SODA 500ML</t>
  </si>
  <si>
    <t>/files/media/product/PET SODA 500ML.jpeg</t>
  </si>
  <si>
    <t>Pet</t>
  </si>
  <si>
    <t>SPRITE 1 LITRE</t>
  </si>
  <si>
    <t>/files/media/product/SPRITE 1 LITRE.jpg</t>
  </si>
  <si>
    <t>Sprite 350ml</t>
  </si>
  <si>
    <t>/files/media/product/Sprite 350ml.webp</t>
  </si>
  <si>
    <t>Stoney 350ml</t>
  </si>
  <si>
    <t>/files/media/product/Stoney 350ml.avif</t>
  </si>
  <si>
    <t>STONEY</t>
  </si>
  <si>
    <t>FITCH &amp; LEEDES GINGER ALE CAN 200ML</t>
  </si>
  <si>
    <t>/files/media/product/fitchleedesgingeralecan200ml.webp</t>
  </si>
  <si>
    <t>FITCH &amp; LEEDES INDIAN TONIC CAN 200ML</t>
  </si>
  <si>
    <t>/files/media/product/fitchleedesindiantoniccan200ml.jpg_480Wx480H</t>
  </si>
  <si>
    <t>FITCH &amp; LEEDES INDIAN TONIC SUGAR FREE CAN 200ML</t>
  </si>
  <si>
    <t>/files/media/product/fitchleedesindiantonicsugarfreecan200ml.jpeg</t>
  </si>
  <si>
    <t>FITCH &amp; LEEDES LEMONADE CAN 200ML</t>
  </si>
  <si>
    <t>/files/media/product/fitchleedeslemonadecan200ml.webp</t>
  </si>
  <si>
    <t>FITCH &amp; LEEDES PINK TONIC CAN 200ML</t>
  </si>
  <si>
    <t>/files/media/product/fitchleedespinktoniccan200ml.webp</t>
  </si>
  <si>
    <t>FITCH &amp; LEEDES PINK TONIC SUGAR FREE CAN 200ML</t>
  </si>
  <si>
    <t>/files/media/product/fitch-&amp;-leedes-pink-tonic.webp</t>
  </si>
  <si>
    <t>SCHWEEPES BITTER LEMON 500ML</t>
  </si>
  <si>
    <t>/files/media/product/SCHWEEPES BITTER LEMON 500ML.webp</t>
  </si>
  <si>
    <t>SCHWEEPES</t>
  </si>
  <si>
    <t>S. PELLEGRINO 750ML</t>
  </si>
  <si>
    <t>/files/media/product/S. PELLEGRRINO 750.jpeg</t>
  </si>
  <si>
    <t>S. Pellegrino</t>
  </si>
  <si>
    <t>MAYERS DRINKING WATER 1LTR</t>
  </si>
  <si>
    <t>/files/media/product/MAYERS DRINKING WATER 1LTR.jpg</t>
  </si>
  <si>
    <t>MAYERS</t>
  </si>
  <si>
    <t>MAYERS SPARKLING 1LTR</t>
  </si>
  <si>
    <t>/files/media/product/MAYERS SPARKLING 1LTR.jpg</t>
  </si>
  <si>
    <t>ANGOSTURA 200ML</t>
  </si>
  <si>
    <t>/files/media/product/angostura200ml.png</t>
  </si>
  <si>
    <t>Angostura</t>
  </si>
  <si>
    <t>ORIGIN BITTERS 750ML</t>
  </si>
  <si>
    <t>/files/media/product/originbitters750ml.jpeg</t>
  </si>
  <si>
    <t>CAMPARI MILANO BITTER 750ML</t>
  </si>
  <si>
    <t>/files/media/product/camparimilanobitter750ml.jpg</t>
  </si>
  <si>
    <t>BERTRAMS VO OLD 750ML</t>
  </si>
  <si>
    <t>/files/media/product/bertramsvoold750ml.jpg</t>
  </si>
  <si>
    <t>Bertrams</t>
  </si>
  <si>
    <t>VO</t>
  </si>
  <si>
    <t>BARDINET BRANDY VSOP 1ltr</t>
  </si>
  <si>
    <t>/files/media/product/BARDINET BRANDY VSOP 1ltr.jpg</t>
  </si>
  <si>
    <t>JP CHENET VSOP 700ML</t>
  </si>
  <si>
    <t>/files/media/product/JP CHENET VSOP 700ML.jpeg</t>
  </si>
  <si>
    <t>ST REMY VSOP FRENCH BRANDY 1LTR</t>
  </si>
  <si>
    <t>/files/media/product/stremyvsopfrenchbrandy1ltr.webp</t>
  </si>
  <si>
    <t>JP CHENET XO 700ML</t>
  </si>
  <si>
    <t>/files/media/product/JP CHENET XO 700ML.jpeg</t>
  </si>
  <si>
    <t>DALLAS BRANDY 250ML</t>
  </si>
  <si>
    <t>/files/media/product/DALLAS BRANDY 250ML.avif</t>
  </si>
  <si>
    <t>DALLAS</t>
  </si>
  <si>
    <t>brandy</t>
  </si>
  <si>
    <t>VICEROY 750ML</t>
  </si>
  <si>
    <t>/files/media/product/viceroy.png</t>
  </si>
  <si>
    <t>KING OF ARAK 500ml</t>
  </si>
  <si>
    <t>/files/media/product/KING OF ARAK 500ml.jpg</t>
  </si>
  <si>
    <t>King of Arak</t>
  </si>
  <si>
    <t>DON MONTEGO (AGE 5 YEARS) 500ML</t>
  </si>
  <si>
    <t>/files/media/product/donmontego(age5years)500ml.jpeg</t>
  </si>
  <si>
    <t>KWV 10YRS BRANDY 750ml</t>
  </si>
  <si>
    <t>/files/media/product/kwvbrand10years750ml.jpeg</t>
  </si>
  <si>
    <t>SHUSTOFF 3YRS 1LTR</t>
  </si>
  <si>
    <t>/files/media/product/SHUSTOFF 3YRS 1LTR.webp</t>
  </si>
  <si>
    <t>SHUSTOFF</t>
  </si>
  <si>
    <t>KWV 5YRS 750 ML</t>
  </si>
  <si>
    <t>/files/media/product/kwv5yrs750ml.jpeg</t>
  </si>
  <si>
    <t>SHUSHTOFF BRANDY 3YRS 500ML</t>
  </si>
  <si>
    <t>/files/media/product/shushtoffbrandy3yrs500ml.png</t>
  </si>
  <si>
    <t>BERTRAMS TRIPLE 'R' BRANDY 750ML</t>
  </si>
  <si>
    <t>/files/media/product/BERTRAMS TRIPLE 'R' 750ml.png</t>
  </si>
  <si>
    <t>CICERO BRANDY 350ML</t>
  </si>
  <si>
    <t>/files/media/product/CICERO BRANDY 350ML.webp</t>
  </si>
  <si>
    <t>DON MONTEGO BRANDY(AGED 5 YEARS )750ML</t>
  </si>
  <si>
    <t>/files/media/product/don-montego-vsop.webp</t>
  </si>
  <si>
    <t>DUNHILL SINGLE SWITCH</t>
  </si>
  <si>
    <t>/files/media/product/DUNHILL SINGLE SWITCH.jpg</t>
  </si>
  <si>
    <t>DUNHILL</t>
  </si>
  <si>
    <t>single switch</t>
  </si>
  <si>
    <t>MARTEL BLUE SWIFT COGNAC 700ML</t>
  </si>
  <si>
    <t>/files/media/product/martelblue.webp</t>
  </si>
  <si>
    <t>Blue Swift</t>
  </si>
  <si>
    <t>/files/media/product/HENNESSY MASTER BLENDER'S 500ML.webp</t>
  </si>
  <si>
    <t>MASTER BLENDER</t>
  </si>
  <si>
    <t>REMY MARTIN 1738 ACCORD ROYAL COGNAC 700ML</t>
  </si>
  <si>
    <t>/files/media/product/remy martinaccordroyal.jpg</t>
  </si>
  <si>
    <t>Remy martin</t>
  </si>
  <si>
    <t>Royale</t>
  </si>
  <si>
    <t>/files/media/product/martelvs1ltr.webp</t>
  </si>
  <si>
    <t>COURVOISIER V.S. 700ML</t>
  </si>
  <si>
    <t>/files/media/product/courvoisiervs700ml.jpg</t>
  </si>
  <si>
    <t>CAMUS VS COGNAC 700ML</t>
  </si>
  <si>
    <t>/files/media/product/camusvs700ml.webp</t>
  </si>
  <si>
    <t>Camus</t>
  </si>
  <si>
    <t>CAMUS VS COGNAC 1LTR</t>
  </si>
  <si>
    <t>/files/media/product/camusvs.png</t>
  </si>
  <si>
    <t>HENNESSY V.S COGNAC 350ML</t>
  </si>
  <si>
    <t>/files/media/product/hennessy350ml.jpeg</t>
  </si>
  <si>
    <t>JP CHENET VS 700ML</t>
  </si>
  <si>
    <t>/files/media/product/JP CHENET VS 700ML.jpeg</t>
  </si>
  <si>
    <t>CHATEAU MONTIFAUD VSOP 700ML</t>
  </si>
  <si>
    <t>/files/media/product/CHATEAU MONTIFAUD VSOP 700ML.jpeg</t>
  </si>
  <si>
    <t>CHATEAU</t>
  </si>
  <si>
    <t>REMY MARTIN - VSOP 700 ML</t>
  </si>
  <si>
    <t>/files/media/product/brandy-cognac-cognac-remy-martin-vsop-1l.webp</t>
  </si>
  <si>
    <t>BEEHIVE VSOP BRANDY 1LTR</t>
  </si>
  <si>
    <t>/files/media/product/beehive vsop.jpeg</t>
  </si>
  <si>
    <t>Beehive</t>
  </si>
  <si>
    <t>CAMUS VSOP COGNAC 1LTR</t>
  </si>
  <si>
    <t>/files/media/product/camuscognac_vsop.jpg</t>
  </si>
  <si>
    <t>CAMUS VSOP COGNAC 700ML</t>
  </si>
  <si>
    <t>/files/media/product/camusvsop700ml.jpg</t>
  </si>
  <si>
    <t>HENNESSY VSOP 1LTR</t>
  </si>
  <si>
    <t>/files/media/product/Hennessyvsop.webp</t>
  </si>
  <si>
    <t>REMY MARTIN VSOP GIFT PACK COGNAC 700ML</t>
  </si>
  <si>
    <t>/files/media/product/remy martin.webp</t>
  </si>
  <si>
    <t>BUMBU XO 700ML</t>
  </si>
  <si>
    <t>/files/media/product/BUMBU XO 700ML.jpeg</t>
  </si>
  <si>
    <t>BUMBU</t>
  </si>
  <si>
    <t>CAMUS XO COGNAC 750ML</t>
  </si>
  <si>
    <t>/files/media/product/camus xo.jpeg</t>
  </si>
  <si>
    <t>MARTEL XO 1LTR</t>
  </si>
  <si>
    <t>/files/media/product/MARTEL XO 1LTR.jpeg</t>
  </si>
  <si>
    <t>BAILEYS SALTED CARAMEL 700ML</t>
  </si>
  <si>
    <t>/files/media/product/BAILEYS SALTED CARAMEL 700ML.jpeg</t>
  </si>
  <si>
    <t>BAILEYS</t>
  </si>
  <si>
    <t>Caramel</t>
  </si>
  <si>
    <t>CAPE VELVET CREAM 750ML</t>
  </si>
  <si>
    <t>/files/media/product/CAPE VELVET CREAM 750ML.webp</t>
  </si>
  <si>
    <t>CAPE VELVET</t>
  </si>
  <si>
    <t>BAILEYS DELIGHT 750ML</t>
  </si>
  <si>
    <t>/files/media/product/baileysdelight750ml.webp</t>
  </si>
  <si>
    <t>Baileys</t>
  </si>
  <si>
    <t>Delight</t>
  </si>
  <si>
    <t>BAILEYS EXPRESSO CRÈME 1LTR</t>
  </si>
  <si>
    <r>
      <rPr>
        <sz val="11"/>
        <color theme="1"/>
        <rFont val="C059"/>
        <charset val="134"/>
      </rPr>
      <t>/files/media/product/BAILEYS EXPRESSO CR</t>
    </r>
    <r>
      <rPr>
        <sz val="11"/>
        <color theme="1"/>
        <rFont val="Calibri"/>
        <charset val="134"/>
      </rPr>
      <t>閼寸嚖</t>
    </r>
    <r>
      <rPr>
        <sz val="11"/>
        <color theme="1"/>
        <rFont val="C059"/>
        <charset val="134"/>
      </rPr>
      <t>E 1LTR.jpeg</t>
    </r>
  </si>
  <si>
    <t>expresso</t>
  </si>
  <si>
    <t>STRAWBERRY LIPS LIQUEUR 750ML</t>
  </si>
  <si>
    <t>/files/media/product/strawberrylips750ml.jpg</t>
  </si>
  <si>
    <t>Strawberry</t>
  </si>
  <si>
    <t>/files/media/product/FOUR COUSINS MARULA CREAM 500ML.webp</t>
  </si>
  <si>
    <t>marula</t>
  </si>
  <si>
    <t>BAILEYS RED VELVET 700ML</t>
  </si>
  <si>
    <t>/files/media/product/baileys velvet.jpg</t>
  </si>
  <si>
    <t>red velvet</t>
  </si>
  <si>
    <t>BAILEYS STRAWBERRY CREAM 700ML</t>
  </si>
  <si>
    <t>/files/media/product/images (17).jpeg</t>
  </si>
  <si>
    <t>BAILEYS VANILLA 1LTR</t>
  </si>
  <si>
    <t>/files/media/product/BAILEYS VANILLA 1LTR.jpg</t>
  </si>
  <si>
    <t>BAILEYS CREAM 750ML</t>
  </si>
  <si>
    <t>/files/media/product/baileys-original-irish-cream.png</t>
  </si>
  <si>
    <t>BAILEYS CREAM 1LTR</t>
  </si>
  <si>
    <t>/files/media/product/baileyscream1ltr.webp</t>
  </si>
  <si>
    <t>AMARULA 1LTR</t>
  </si>
  <si>
    <t>/files/media/product/amarula1ltr.jpeg</t>
  </si>
  <si>
    <t>AMARULA 375ML</t>
  </si>
  <si>
    <t>/files/media/product/amarula-375ml.jpg</t>
  </si>
  <si>
    <t>AMARULA 750ML</t>
  </si>
  <si>
    <t>/files/media/product/amarula-fruit-cream.webp</t>
  </si>
  <si>
    <t>HARVEYS BRISTOL CREAM 750ML</t>
  </si>
  <si>
    <t>/files/media/product/27-harveys-bristol-cream-sherry.jpg</t>
  </si>
  <si>
    <t>ROYAL RHINO CREAM 750ml</t>
  </si>
  <si>
    <t>/files/media/product/royal rhino cream 750ml.jpeg</t>
  </si>
  <si>
    <t>Royal rhino</t>
  </si>
  <si>
    <t>WHITLEY NEIL ALOE &amp; CUCUMBER 1LTR</t>
  </si>
  <si>
    <t>/files/media/product/WHITLEY NEIL ALOE &amp; CUCUMBER 1LTR.jpg</t>
  </si>
  <si>
    <t>Aloe &amp; Cucumber</t>
  </si>
  <si>
    <t>INVERROCHE GIN AMBER 750ML</t>
  </si>
  <si>
    <t>/files/media/product/inverrocheginamber750ml.jpeg</t>
  </si>
  <si>
    <t>Amber</t>
  </si>
  <si>
    <t>WHITLEY NEILL BLACK BERRY GIN 1LTR</t>
  </si>
  <si>
    <t>/files/media/product/WHITLEY NEIL BLACK BERRY GIN 1LTR.jpg</t>
  </si>
  <si>
    <t>WHITLEY NEIL BLOOD ORANGE GIN 1LTR</t>
  </si>
  <si>
    <t>/files/media/product/WHITLEY NEIL BLOOD ORANGE GIN 1LTR.jpeg</t>
  </si>
  <si>
    <t>MALFY GINS LEMON 750ML</t>
  </si>
  <si>
    <t>/files/media/product/MalfyLimoneTransp.webp</t>
  </si>
  <si>
    <t>lemon</t>
  </si>
  <si>
    <t>GORDON`S SICILIAN LEMON 700ML</t>
  </si>
  <si>
    <t>/files/media/product/GORDON`S SICILIAN LEMON 700ML.jpeg</t>
  </si>
  <si>
    <t>GORDONS LEMON 1LTR</t>
  </si>
  <si>
    <t>/files/media/product/GORDONS LEMON 1LTR.jpeg</t>
  </si>
  <si>
    <t>MALFY GIN LEMON 1LTR</t>
  </si>
  <si>
    <t>/files/media/product/MALFY GIN LEMON 1LTR.jpg</t>
  </si>
  <si>
    <t>/files/media/product/Whitley-Neil-Lemon-Grass-1Lt-Gin.jpg</t>
  </si>
  <si>
    <t>/files/media/product/GILBEYS BERRY 750ML.webp</t>
  </si>
  <si>
    <t>Mixed Berry</t>
  </si>
  <si>
    <t>GILBEYS MIXED BERRIES 250ML</t>
  </si>
  <si>
    <t>/files/media/product/Gilbeys-Mix-Berries-250-Ml.jpg</t>
  </si>
  <si>
    <t>FOUR PILLARS NAVY STRENGTH GIN 700ML</t>
  </si>
  <si>
    <t>/files/media/product/four pillars.jpeg</t>
  </si>
  <si>
    <t>Navy Strength</t>
  </si>
  <si>
    <t>DRUMSHANBO GUN POWDER ORANGE CITRUS 700ML</t>
  </si>
  <si>
    <t>/files/media/product/DRUMSHANBO GUN POWDER ORANGE CITRUS 700ML.webp</t>
  </si>
  <si>
    <t>GORDON'S MEDITERANEAN ORANGE GIN 700ML</t>
  </si>
  <si>
    <t>/files/media/product/GORDONS MEDITERANEAN ORANGE 700ML.jpg</t>
  </si>
  <si>
    <t>ZAFIRO ORANGE 1LTR</t>
  </si>
  <si>
    <t>/files/media/product/ZAFIRO ORANGE 1LTR.webp</t>
  </si>
  <si>
    <t>ZAFIRO</t>
  </si>
  <si>
    <t>NEW AMSTERDAM PEACH 750ml</t>
  </si>
  <si>
    <t>/files/media/product/ NEW AMSTERDAM PEACH 750ml.jpeg</t>
  </si>
  <si>
    <t>NEW AMSTERDAM</t>
  </si>
  <si>
    <t>ZAFIRO PINK 1LTR</t>
  </si>
  <si>
    <t>pink</t>
  </si>
  <si>
    <t>GORDON PINK GIN 1LTR</t>
  </si>
  <si>
    <t>/files/media/product/gordonpinkgin1ltr.webp</t>
  </si>
  <si>
    <t>GORDON PINK 700ML</t>
  </si>
  <si>
    <t>/files/media/product/gordonpink700ml.jpg</t>
  </si>
  <si>
    <t>MUSGRAVE PINK GIN 750ML</t>
  </si>
  <si>
    <t>/files/media/product/MUSGRAVE PINK GIN 750ML.jpeg</t>
  </si>
  <si>
    <t>MUSGRAVE</t>
  </si>
  <si>
    <t>WHITLEY NEIL PROTEA &amp; HIBISCUS 750ML</t>
  </si>
  <si>
    <t>/files/media/product/WHITLEY NEILL PROTEA &amp; HIBISCUS 750ML.webp</t>
  </si>
  <si>
    <t>TANQUERAY RANGPUR GIN 750ML</t>
  </si>
  <si>
    <t>/files/media/product/TANQUERAY RANGPUR 750ML.jpeg</t>
  </si>
  <si>
    <t>rangpur</t>
  </si>
  <si>
    <t>TANQUERAY RANGPUR GIN 1LTR</t>
  </si>
  <si>
    <t>/files/media/product/TANQUERAY RANGPUR GIN 1LTR.webp</t>
  </si>
  <si>
    <t>/files/media/product/WHITLEY NEILL RASBERRY GIN 750ML.webp</t>
  </si>
  <si>
    <t>GREENALLS RASPBERRY 700ML</t>
  </si>
  <si>
    <t>/files/media/product/GREENALLS RASPBERRY 700ML.jpg</t>
  </si>
  <si>
    <t>GREENALLS</t>
  </si>
  <si>
    <t>WHITLEY NEILL RASPBERRY GIN 1LTR</t>
  </si>
  <si>
    <t>/files/media/product/whitleyneillrasberrygin1ltr.jpg</t>
  </si>
  <si>
    <t>Raspberry</t>
  </si>
  <si>
    <t>WHITLEY NEILL RHUBARB &amp; GINGER GIN 1LTR</t>
  </si>
  <si>
    <t>/files/media/product/whitley_neill_rhubarb.jpg</t>
  </si>
  <si>
    <t>Rhubarb &amp; Ginger</t>
  </si>
  <si>
    <t>WHITLEY NEILL RHUBARB &amp; GINGER GIN 750ML</t>
  </si>
  <si>
    <t>/files/media/product/WHITLEY NEILL RHUBARB &amp; GINGER GIN 750ML.jpeg</t>
  </si>
  <si>
    <t>KO BLUSH PREMIUM ROSE &amp; CUCUMBER 750ML</t>
  </si>
  <si>
    <t>/files/media/product/KO BLUSH PREMIUM ROSE &amp; CUCUMBER 750ML.webp</t>
  </si>
  <si>
    <t>Rose &amp; cucumber</t>
  </si>
  <si>
    <t>BOMBAY SAPPHIRE DRY GIN 375ML</t>
  </si>
  <si>
    <t>/files/media/product/Bombay-Sapphire-Gin.jpg</t>
  </si>
  <si>
    <t>DRUMSHANBO GUN POWDER SARDINIAN CITRUS 700ML</t>
  </si>
  <si>
    <t>/files/media/product/DRUMSHANBO GUN POWDER SARDINIAN CITRUS 700ML.jpg</t>
  </si>
  <si>
    <t>Sardinian Citrus</t>
  </si>
  <si>
    <t>TANQUERAY - SEVILLA 700ML</t>
  </si>
  <si>
    <t>/files/media/product/tanqueraysevilia.webp</t>
  </si>
  <si>
    <t>Sevilla</t>
  </si>
  <si>
    <t>GREENALLS SLOE GIN 700ML</t>
  </si>
  <si>
    <t>/files/media/product/greenallssloegin700ml.jpg</t>
  </si>
  <si>
    <t>Sloe</t>
  </si>
  <si>
    <t>/files/media/product/greenalls-wildberry-pink-gin.png</t>
  </si>
  <si>
    <t>ZAFIRO CLEAR 1LTR</t>
  </si>
  <si>
    <t>AVALON GIN 750ML</t>
  </si>
  <si>
    <t>/files/media/product/AVALON GIN 750ML.avif</t>
  </si>
  <si>
    <t>AVALON</t>
  </si>
  <si>
    <t>AVALON GIN 250ML</t>
  </si>
  <si>
    <t>/files/media/product/AVALON GIN 250ML.jpg</t>
  </si>
  <si>
    <t>HOWLING OWL BLUE GIN 750ML</t>
  </si>
  <si>
    <t>/files/media/product/HOWLING OWL BLUE GIN 750ML.webp</t>
  </si>
  <si>
    <t>HOWLING OWL</t>
  </si>
  <si>
    <t>GIN MARE 700ML</t>
  </si>
  <si>
    <t>/files/media/product/ginmare700ml.jpeg</t>
  </si>
  <si>
    <t>GUNPOWDER IRISH GIN 750ML</t>
  </si>
  <si>
    <t>/files/media/product/Drumshanbo-Gunpowder-Irish-Gin-700ml.jpg</t>
  </si>
  <si>
    <t>Gunpowder</t>
  </si>
  <si>
    <t>TANQUERAY ROYALE GIN 700ML</t>
  </si>
  <si>
    <t>/files/media/product/TANQUERAY ROYALE GIN 700ML.jpg</t>
  </si>
  <si>
    <t>TANQUERAY SEVILLA GIN 1LTR</t>
  </si>
  <si>
    <t>/files/media/product/TANQUERAY SEVILLA GIN 1LTR.jpg</t>
  </si>
  <si>
    <t>MAD CHIMP 1LTR</t>
  </si>
  <si>
    <t>/files/media/product/MAD CHIMP 1LTR.jpeg</t>
  </si>
  <si>
    <t>MAD CHIMP</t>
  </si>
  <si>
    <t>WINDSOR GIN 1ltr</t>
  </si>
  <si>
    <t>/files/media/product/WINDSOR GIN 1LTR.jpg</t>
  </si>
  <si>
    <t>Windsor</t>
  </si>
  <si>
    <t>GIBSON'S GIN 1LTR</t>
  </si>
  <si>
    <t>/files/media/product/GIBSON'S GIN 1LTR.webp</t>
  </si>
  <si>
    <t>/files/media/product/koclassicgin750ml.jpeg</t>
  </si>
  <si>
    <t>58 GIN 350ml</t>
  </si>
  <si>
    <t>BOMBAY DRY GIN 1LTR</t>
  </si>
  <si>
    <t>/files/media/product/BOMBAY DRY GIN 1LTR.jpg</t>
  </si>
  <si>
    <t>GREENALL ORIGINAL 1LTR</t>
  </si>
  <si>
    <t>/files/media/product/grenallsgin.png</t>
  </si>
  <si>
    <t>BEST GIN 250ML</t>
  </si>
  <si>
    <t>/files/media/product/bestgin250ml.webp</t>
  </si>
  <si>
    <t>BOMBAY DRY GIN 750ML</t>
  </si>
  <si>
    <t>/files/media/product/bombay-gin-175__71974.jpg</t>
  </si>
  <si>
    <t>BROOKLYN GIN 750ML</t>
  </si>
  <si>
    <t>/files/media/product/brooklyn.jpg</t>
  </si>
  <si>
    <t>Brooklyn</t>
  </si>
  <si>
    <t>CRUXLAND TUFFLE GIN 750ML</t>
  </si>
  <si>
    <t>/files/media/product/CRUXLAND TUFFLE GIN 750ML.png</t>
  </si>
  <si>
    <t>CRUXLAND</t>
  </si>
  <si>
    <t>GORDONS 375ML</t>
  </si>
  <si>
    <t>/files/media/product/gordons375ml.webp</t>
  </si>
  <si>
    <t>HAYMAN'S LONDON DRY GIN 700ML</t>
  </si>
  <si>
    <t>/files/media/product/HAYMAN'S LONDON DRY GIN 700ML.jpg</t>
  </si>
  <si>
    <t>HAYMANS GIN 750ML</t>
  </si>
  <si>
    <t>/files/media/product/haymansgin750ml.jpeg</t>
  </si>
  <si>
    <t>HUNTING LODGE GIN 750ML</t>
  </si>
  <si>
    <t>/files/media/product/HUNTING LODGE GIN 750ML.webp</t>
  </si>
  <si>
    <t>/files/media/product/IRISH MIST 1LTR.jpg</t>
  </si>
  <si>
    <t>IRISH MIST</t>
  </si>
  <si>
    <t>KING ROBERT GIN 1LTR</t>
  </si>
  <si>
    <t>/files/media/product/King-Robert-Gin-1L.png</t>
  </si>
  <si>
    <t>KINGSTONE GIN 1LTR</t>
  </si>
  <si>
    <t>/files/media/product/KINGSTONE GIN 1LTR.webp</t>
  </si>
  <si>
    <t>KINGSTONE</t>
  </si>
  <si>
    <t>MR. BOSTON GIN 750ml</t>
  </si>
  <si>
    <t>/files/media/product/MR. BOSTON GIN 750ml.webp</t>
  </si>
  <si>
    <t>MR. BOSTON</t>
  </si>
  <si>
    <t>OPIHR 1LTR</t>
  </si>
  <si>
    <t>/files/media/product/OPIHR 1LTR.png</t>
  </si>
  <si>
    <t>OPIHR</t>
  </si>
  <si>
    <t>SOLO AVIATOR 500ML</t>
  </si>
  <si>
    <t>/files/media/product/SOLO AVIATOR 500ML.jpeg</t>
  </si>
  <si>
    <t>SOLO AVIATOR</t>
  </si>
  <si>
    <t>VALE GIN 750ML</t>
  </si>
  <si>
    <t>/files/media/product/VALE GIN 750ML.jpg</t>
  </si>
  <si>
    <t>MARTINI EXTRA DRY 1LTR</t>
  </si>
  <si>
    <t>/files/media/product/martini_extra_dry.jpg</t>
  </si>
  <si>
    <t>OPIHR ORIENTAL SPICED LONDON GIN 700ML</t>
  </si>
  <si>
    <t>/files/media/product/opihrorientalspicedlondongin750ml.webp</t>
  </si>
  <si>
    <t>Opihr</t>
  </si>
  <si>
    <t>GREENALLS WILDBERRIES ROSEA 1LTR</t>
  </si>
  <si>
    <t>MR. BOSTON GIN 1ltr</t>
  </si>
  <si>
    <t>/files/media/product/MR. BOSTON GIN 1ltr.jpeg</t>
  </si>
  <si>
    <t>PERIGANS LONDON 700ML</t>
  </si>
  <si>
    <t>/files/media/product/PERIGANS LONDON 700ML.jpeg</t>
  </si>
  <si>
    <t>PERIGANS</t>
  </si>
  <si>
    <t>TANQUERAY STERLING 1LTR</t>
  </si>
  <si>
    <t>/files/media/product/TANQUERAY STERLING 1LTR.webp</t>
  </si>
  <si>
    <t>WHITLEY NEIL PARMA VIOLET 1LTR</t>
  </si>
  <si>
    <t>/files/media/product/WHITLEY NEIL PARMA VIOLET 1LTR.jpg</t>
  </si>
  <si>
    <t>STRETTON`S ORIGINAL 750ML</t>
  </si>
  <si>
    <t>/files/media/product/Stretton-Hero-Mobile-2.jpg</t>
  </si>
  <si>
    <t>/files/media/product/whitleyneilloriginalgin1ltr.jpg</t>
  </si>
  <si>
    <t>/files/media/product/whitleyneiloriginal.jpg</t>
  </si>
  <si>
    <t>THREE MONKEYS RED 750ML</t>
  </si>
  <si>
    <t>/files/media/product/THREE MONKEYS RED 750ML.webp</t>
  </si>
  <si>
    <t>THREE MONKEYS</t>
  </si>
  <si>
    <t>/files/media/product/GINBERYS LONDON DRY GIN 700ML.webp</t>
  </si>
  <si>
    <t>GINBERYS</t>
  </si>
  <si>
    <t>APEROL 1LTR</t>
  </si>
  <si>
    <t>/files/media/product/APEROL 700ML.avif</t>
  </si>
  <si>
    <t>Aperol</t>
  </si>
  <si>
    <t>aperitif</t>
  </si>
  <si>
    <t>APEROL APERITIF 700ml</t>
  </si>
  <si>
    <t>/files/media/product/aperolaperitivo750ml.jpeg</t>
  </si>
  <si>
    <t>/files/media/product/tangsourapple750ml.jpeg</t>
  </si>
  <si>
    <t>Tang Sour</t>
  </si>
  <si>
    <t>ZAPPA - BLACK 750ML</t>
  </si>
  <si>
    <t>/files/media/product/zappa black.jpg</t>
  </si>
  <si>
    <t>BLUE CURACAO LIQUEUR 750ML</t>
  </si>
  <si>
    <t>/files/media/product/BLUE CURACAO LIQUEUR 750ML.jpg</t>
  </si>
  <si>
    <t>BLUE CURACAO</t>
  </si>
  <si>
    <t>BUTLERS CHERRY KIRSCH 700ML</t>
  </si>
  <si>
    <t>/files/media/product/BUTLERS CHERRY KIRSCH 700ML.webp</t>
  </si>
  <si>
    <t>SHERIDANS LIQUEUR 750ML</t>
  </si>
  <si>
    <t>/files/media/product/sheridans750ml.jpeg</t>
  </si>
  <si>
    <t>John bannermans</t>
  </si>
  <si>
    <t>SHERIDAN'S LIQUEUR 1LTR</t>
  </si>
  <si>
    <t>/files/media/product/Sheridans-1-Litre.jpg</t>
  </si>
  <si>
    <t>Sheridan</t>
  </si>
  <si>
    <t>KAHLUA 700ML</t>
  </si>
  <si>
    <t>/files/media/product/kahlua20700ml.jpg</t>
  </si>
  <si>
    <t>/files/media/product/JAGERMEISTER 1.75ML.webp</t>
  </si>
  <si>
    <t>/files/media/product/JAGERMEISTER WITH CORK 750ML.jpg</t>
  </si>
  <si>
    <t>JAGERMEISTER 1LTR</t>
  </si>
  <si>
    <t>/files/media/product/jagermeister351ltr.jpeg</t>
  </si>
  <si>
    <t>JAGERMEISTER COLD BREW 1LTR</t>
  </si>
  <si>
    <t>/files/media/product/JAGERMEISTER COLD BREW 1LTR.jpg</t>
  </si>
  <si>
    <t>BUTLERS ESPRESSO 750ML</t>
  </si>
  <si>
    <t>BUTLERS</t>
  </si>
  <si>
    <t>Espresso</t>
  </si>
  <si>
    <t>BOLS TRIPLE SEC LIQUEUR 700ML</t>
  </si>
  <si>
    <t>/files/media/product/bols.jpeg</t>
  </si>
  <si>
    <t>Tripple Sec</t>
  </si>
  <si>
    <t>COINTREAU LIQUEUR 700ML</t>
  </si>
  <si>
    <t>/files/media/product/Cointreau.webp</t>
  </si>
  <si>
    <t>BARDINET TRIPLE SEC 750ML</t>
  </si>
  <si>
    <t>/files/media/product/BARDINET TRIPLE SEC 750ML.jpg</t>
  </si>
  <si>
    <t>BUTLERS TRIPLE SEC LIQUEUR 750ML</t>
  </si>
  <si>
    <t>/files/media/product/butlerstripplesec750ml.png</t>
  </si>
  <si>
    <t>DISARONNO VELVET 700ML</t>
  </si>
  <si>
    <t>/files/media/product/DISARONNO VELVET 700ML.jpeg</t>
  </si>
  <si>
    <t>GRAND MANIER LIQUEUR 750ML</t>
  </si>
  <si>
    <t>/files/media/product/GrandMarnier__43977__53201.1396284478.380.500-1.jpg</t>
  </si>
  <si>
    <t>GRAND MARNIER LIQUEUR 1LTR</t>
  </si>
  <si>
    <t>/files/media/product/product-cutout-cordon-rouge-min.webp</t>
  </si>
  <si>
    <t>SOUTHERN COMFORT BLACK 700ML</t>
  </si>
  <si>
    <t>/files/media/product/southerncomfortblack.webp</t>
  </si>
  <si>
    <t>Southern comfort</t>
  </si>
  <si>
    <t>TIA MARIA DARK LIQOUR 1LT</t>
  </si>
  <si>
    <t>/files/media/product/tiamaria_dark.webp</t>
  </si>
  <si>
    <t>SOUTHERN COMFORT 350ML</t>
  </si>
  <si>
    <t>/files/media/product/southerncomfort350ml.jpeg</t>
  </si>
  <si>
    <t>FERNET BRANCA LIQUEUR 1LTR</t>
  </si>
  <si>
    <t>/files/media/product/FERNET BRANCA LIQUEUR 1LTR.jpg</t>
  </si>
  <si>
    <t>FERNET BRANCA</t>
  </si>
  <si>
    <t>PERNOD LIQUEUR 700ML</t>
  </si>
  <si>
    <t>/files/media/product/PERNOD LIQUEUR 700ML.png</t>
  </si>
  <si>
    <t>PERNOD</t>
  </si>
  <si>
    <t>TORRERO 700ML</t>
  </si>
  <si>
    <t>/files/media/product/TORRERO 700ML.jpg</t>
  </si>
  <si>
    <t>TORRERO</t>
  </si>
  <si>
    <t>SOUTHERN COMFORT BLACK 1LT</t>
  </si>
  <si>
    <t>/files/media/product/SOUTHERN COMFORT BLACK 1LT.webp</t>
  </si>
  <si>
    <t>/files/media/product/SMIRNOFF.png</t>
  </si>
  <si>
    <t>HAVANA ANEJO ESPECIAL TEQUILA 700ML</t>
  </si>
  <si>
    <t>/files/media/product/havanaanejoespecial40700ml.webp</t>
  </si>
  <si>
    <t>Havana club</t>
  </si>
  <si>
    <t>/files/media/product/captainmblack750ml.jpg</t>
  </si>
  <si>
    <t>BACARDI BLACK 1LTR</t>
  </si>
  <si>
    <t>/files/media/product/bacardiblack.jpg</t>
  </si>
  <si>
    <t>BACARDI BLACK 750ML</t>
  </si>
  <si>
    <t>BACARDI CARTA NEGRA 750ML</t>
  </si>
  <si>
    <t>/files/media/product/BACARDI CARTA NEGRA 750ML.jpeg</t>
  </si>
  <si>
    <t>MALIBU RUM COCONUT 21% 750ML</t>
  </si>
  <si>
    <t>/files/media/product/maliburumcoconut21750ml.jpg</t>
  </si>
  <si>
    <t>Coconut</t>
  </si>
  <si>
    <t>/files/media/product/captain gold.jpg</t>
  </si>
  <si>
    <t>/files/media/product/BACARDI LIMON LITRE.jpg</t>
  </si>
  <si>
    <t>BARCARDI OAKHEART RUM 1LTR</t>
  </si>
  <si>
    <t>/files/media/product/barcardioakheart1ltr.jpg</t>
  </si>
  <si>
    <t>Oak Heart</t>
  </si>
  <si>
    <t>BARCADI OAKHEART 700ML</t>
  </si>
  <si>
    <t>/files/media/product/BACARDI OAKHEART 700ML.jpg</t>
  </si>
  <si>
    <t>oakheart</t>
  </si>
  <si>
    <t>BACARDI RAZZ 1LTR</t>
  </si>
  <si>
    <t>/files/media/product/BACARDI RAZZ 1LTR.jpg</t>
  </si>
  <si>
    <t>Razz</t>
  </si>
  <si>
    <t>BACARDI RUM SPICED 700ML</t>
  </si>
  <si>
    <t>/files/media/product/bacardirumspiced700ml.jpg</t>
  </si>
  <si>
    <t>/files/media/product/BACARDI 750 ML.webp</t>
  </si>
  <si>
    <t>MYERS RUM 1LT</t>
  </si>
  <si>
    <t>/files/media/product/Myers-Rum-Key-Visual-Square.jpg</t>
  </si>
  <si>
    <t>DON PAPA SINGLE ISLAND RUM 700ML</t>
  </si>
  <si>
    <t>/files/media/product/DON PAPA SINGLE ISLAND RUM 700ML.jpg</t>
  </si>
  <si>
    <t>DON PAPA</t>
  </si>
  <si>
    <t>MYERS RUM 750ML</t>
  </si>
  <si>
    <t>/files/media/product/9403-MYERS-RUM-DARK.webp</t>
  </si>
  <si>
    <t>BUMBU RUM 700ML</t>
  </si>
  <si>
    <t>/files/media/product/bumburum700ml.jpg</t>
  </si>
  <si>
    <t>Bumbu</t>
  </si>
  <si>
    <t>KING ROBERT RUM 750ML</t>
  </si>
  <si>
    <t>/files/media/product/kingrobertrum750ml.webp</t>
  </si>
  <si>
    <t>JINRO CHAMISUL ORIGINAL SOJU 350 ML</t>
  </si>
  <si>
    <t>/files/media/product/JINRO CHAMISUL ORIGINAL SOJU 350 ML.jpg</t>
  </si>
  <si>
    <t>JINRO GRAPE FRUIT SOJU 360</t>
  </si>
  <si>
    <t>/files/media/product/JINRO GRAPE FRUIT SOJU 360.jpg</t>
  </si>
  <si>
    <t>JINRO GREEN GRAPE 360ML</t>
  </si>
  <si>
    <t>/files/media/product/JINRO GREEN GRAPE 360ML.jpg</t>
  </si>
  <si>
    <t>green grape</t>
  </si>
  <si>
    <t>JINRO LEMON SOJU 350ML</t>
  </si>
  <si>
    <t>/files/media/product/JINRO LEMON SOJU 350ML.jpg</t>
  </si>
  <si>
    <t>JINRO PEACH 360ML</t>
  </si>
  <si>
    <t>/files/media/product/JINRO PEACH 360ML.jpg</t>
  </si>
  <si>
    <t>JINRO PLUM SOJU 360ML</t>
  </si>
  <si>
    <t>/files/media/product/JINRO PLUM SOJU 360ML.png</t>
  </si>
  <si>
    <t>plum</t>
  </si>
  <si>
    <t>JINRO STRAWBERRY 360ML</t>
  </si>
  <si>
    <t>/files/media/product/JINRO STRAWBERRY 360ML.webp</t>
  </si>
  <si>
    <t>KENYA CANE LEMON &amp; GINGER 250ML</t>
  </si>
  <si>
    <t>/files/media/product/KENYA CANE LEMON &amp; GINGER 250ML.webp</t>
  </si>
  <si>
    <t>KONYAGI 750 ML</t>
  </si>
  <si>
    <t>/files/media/product/konyagi750ml.jpeg</t>
  </si>
  <si>
    <t>Konyagi</t>
  </si>
  <si>
    <t>KONYAGI 500 ML</t>
  </si>
  <si>
    <t>/files/media/product/KONYAGI 500 ML.jpg</t>
  </si>
  <si>
    <t>KENYA GOLD 250ML</t>
  </si>
  <si>
    <t>/files/media/product/KENYA GOLD 250ML.jpg</t>
  </si>
  <si>
    <t>KENYA GOLD</t>
  </si>
  <si>
    <t>BLUE MOON 750ML</t>
  </si>
  <si>
    <t>/files/media/product/BLUE MOON 750ML.avif</t>
  </si>
  <si>
    <t>BLUE MOON</t>
  </si>
  <si>
    <t>1800 TEQUILA ANEJO 700ml</t>
  </si>
  <si>
    <t>/files/media/product/1800 TEQUILA ANEJO 700ML.jpeg</t>
  </si>
  <si>
    <t>CASA MIGOS ANEJO 700ML</t>
  </si>
  <si>
    <t>/files/media/product/CASA MIGOS ANEJO 700ML.webp</t>
  </si>
  <si>
    <t>CASA MIGOS</t>
  </si>
  <si>
    <t>anejo</t>
  </si>
  <si>
    <t>/files/media/product/OLMECA ANEJO 750ML.jpeg</t>
  </si>
  <si>
    <t>OLMECA</t>
  </si>
  <si>
    <t>/files/media/product/CLASE AZUL ANEJO 700ML.jpeg</t>
  </si>
  <si>
    <t>PATRON - ANEJO TEQUILLA 1LT</t>
  </si>
  <si>
    <t>/files/media/product/patronanejotequilla1ltr.jpeg</t>
  </si>
  <si>
    <t>CASA MIGOS BLANCO 700ML</t>
  </si>
  <si>
    <t>/files/media/product/CASA MIGOS BLANCO 700ML.jpg</t>
  </si>
  <si>
    <t>OLMECA BLANCO 1LT</t>
  </si>
  <si>
    <t>/files/media/product/olmecablanco1ltr.jpeg</t>
  </si>
  <si>
    <t>TEREMANA TEQUILA 750ml</t>
  </si>
  <si>
    <t>/files/media/product/teremana reposado tequila 1 liter.jpeg</t>
  </si>
  <si>
    <t>Teremana</t>
  </si>
  <si>
    <t>CAMINO CLEAR 750ML</t>
  </si>
  <si>
    <t>/files/media/product/caminoclear750ml.webp</t>
  </si>
  <si>
    <t>Camino</t>
  </si>
  <si>
    <t>JOSE CUERVO CLEAR 1LTR</t>
  </si>
  <si>
    <t>/files/media/product/jose cuervo.jpg</t>
  </si>
  <si>
    <t>OLMECA EXTRA AGED 1LTR</t>
  </si>
  <si>
    <t>/files/media/product/OLMECA EXTRA AGED 1LTR.jpg</t>
  </si>
  <si>
    <t>Extra Aged</t>
  </si>
  <si>
    <t>CAMINO GOLD 750ML</t>
  </si>
  <si>
    <t>/files/media/product/caminogold750ml.jpeg</t>
  </si>
  <si>
    <t>TEQUILA AGAVITA GOLD 700ML</t>
  </si>
  <si>
    <t>/files/media/product/tequilaagavitagold700ml.jpeg</t>
  </si>
  <si>
    <t>JOSE CUERVO GOLD 1LTR</t>
  </si>
  <si>
    <t>/files/media/product/josecuervogold.webp</t>
  </si>
  <si>
    <t>OLMECA GOLD 38% 750ML</t>
  </si>
  <si>
    <t>/files/media/product/olmecagold38750ml.jpeg</t>
  </si>
  <si>
    <t>OLMECA TEQUILA GOLD 1LT</t>
  </si>
  <si>
    <t>/files/media/product/olmecatequilagold1ltr.jpeg</t>
  </si>
  <si>
    <t>CASA MIGOS MESCAL 700ML</t>
  </si>
  <si>
    <t>/files/media/product/CASA MIGOS MESCAL 700ML.jpg</t>
  </si>
  <si>
    <t>Mescal</t>
  </si>
  <si>
    <t>SIERRA REPOSADO 700ML</t>
  </si>
  <si>
    <t>/files/media/product/SIERRA REPOSADO 700ML.jpeg</t>
  </si>
  <si>
    <t>SIERRA</t>
  </si>
  <si>
    <t>818 TEQUILA REPOSADO 750ML</t>
  </si>
  <si>
    <t>/files/media/product/818 TEQUILA REPOSADO 750ML.jpeg</t>
  </si>
  <si>
    <t>CASA MIGOS REPOSADO 1LTR</t>
  </si>
  <si>
    <t>/files/media/product/CASA MIGOS REPOSADO 1LTR.jpg</t>
  </si>
  <si>
    <t>OLMECA ALTOS REPOSADO 38% 750ML</t>
  </si>
  <si>
    <t>/files/media/product/OLMECA ALTOS REPOSADO 38% 750ML.jpeg</t>
  </si>
  <si>
    <t>PONCHOS TEQUILA REPOSADO 750ML</t>
  </si>
  <si>
    <t>/files/media/product/ PONCHOS TEQUILA REPOSADO 750ml.jpeg</t>
  </si>
  <si>
    <t>Ponchos</t>
  </si>
  <si>
    <t>SIERRA REPOSADO 1LTR</t>
  </si>
  <si>
    <t>/files/media/product/images (12).jpeg</t>
  </si>
  <si>
    <t>VOLCAN REPOSADO 700ML</t>
  </si>
  <si>
    <t>/files/media/product/VOLCAN REPOSADO 700ML.webp</t>
  </si>
  <si>
    <t>VOLCAN</t>
  </si>
  <si>
    <t>TEQUILA ROSE 750ML</t>
  </si>
  <si>
    <t>/files/media/product/tequila.jpg</t>
  </si>
  <si>
    <t>Tequila rose</t>
  </si>
  <si>
    <t>PATRON TEQUILA SILVER 375ML</t>
  </si>
  <si>
    <t>/files/media/product/patrontequilasilver375ml.jpeg</t>
  </si>
  <si>
    <t>SIERRA TEQUILA SILVER 1ltr</t>
  </si>
  <si>
    <t>/files/media/product/SIERRA TEQUILA SILVER 1ltr.webp</t>
  </si>
  <si>
    <t>PEPE LOPEZ TEQUILA 1LTR</t>
  </si>
  <si>
    <t>/files/media/product/PEPE LOPEZ TEQUILA 1LTR.jpg</t>
  </si>
  <si>
    <t>PEPE LOPEZ</t>
  </si>
  <si>
    <t>/files/media/product/BLUEBERRY ICE 1800 PUFFS.jpeg</t>
  </si>
  <si>
    <t>blueberry</t>
  </si>
  <si>
    <t>/files/media/product/Martini-Bianco.png</t>
  </si>
  <si>
    <t>BOTTEGA VERMOUTH 750ML</t>
  </si>
  <si>
    <t>/files/media/product/BOTTEGA VERMOUTH 750ML.webp</t>
  </si>
  <si>
    <t>Bottega</t>
  </si>
  <si>
    <t>IRIS VERMOUTH BLANCO LITRE</t>
  </si>
  <si>
    <t>/files/media/product/IRIS VERMOUTH BLANCO LITRE.webp</t>
  </si>
  <si>
    <t>IRIS VERMOUTH</t>
  </si>
  <si>
    <t>IRIS VERMOUTH ROJO LITRE</t>
  </si>
  <si>
    <t>/files/media/product/IRIS VERMOUTH ROJO LITRE.jpg</t>
  </si>
  <si>
    <t>NEON APPLE VODKA 750ML</t>
  </si>
  <si>
    <t>/files/media/product/NEON APPLE VODKA 750ML.jpg</t>
  </si>
  <si>
    <t>FLIRT VODKA GREEN APPLE 1LTR</t>
  </si>
  <si>
    <t>/files/media/product/flirtvodkagreenapple1ltr.webp</t>
  </si>
  <si>
    <t>CIROC APPLE 750ML</t>
  </si>
  <si>
    <t>/files/media/product/CIROC APPLE 750ML.jpg</t>
  </si>
  <si>
    <t>KHOR BLACK &amp; GOLD VODKA 1LTR</t>
  </si>
  <si>
    <t>/files/media/product/khor.webp</t>
  </si>
  <si>
    <t>Khor</t>
  </si>
  <si>
    <t>ABSOLUT BLUE VODKA 750ML</t>
  </si>
  <si>
    <t>/files/media/product/absolutblue750ml.jpg</t>
  </si>
  <si>
    <t>ABSOLUT BLUE VODKA 375ML</t>
  </si>
  <si>
    <t>/files/media/product/absolutblue375ml.png</t>
  </si>
  <si>
    <t>SMIRNOFF - BLUE 750ML</t>
  </si>
  <si>
    <t>/files/media/product/Smirnoff-Blue-750ml.jpg</t>
  </si>
  <si>
    <t>FLIRT VODKA CHOCOLATE 1LTR</t>
  </si>
  <si>
    <t>/files/media/product/Flirt_Vodka_Chocolate_1_Litre.jpg</t>
  </si>
  <si>
    <t>FLIRT VODKA CHOCOLATE 700ML</t>
  </si>
  <si>
    <t>/files/media/product/FLIRT VODKA CHOCOLATE 700ML.jpeg</t>
  </si>
  <si>
    <t>/files/media/product/PEROVSKAIA CHOCOLATE VODKA LITRE.jpeg</t>
  </si>
  <si>
    <t>PEROVSKAIA</t>
  </si>
  <si>
    <t>NEW AMSTERDAM CITRON 750ML</t>
  </si>
  <si>
    <t>/files/media/product/NEW AMSTERDAM CITRON 750ML.jpeg</t>
  </si>
  <si>
    <t>SKYY INFUSION CITRUS VODKA 700ML</t>
  </si>
  <si>
    <t>/files/media/product/skyy_citrus_15nv_750.webp</t>
  </si>
  <si>
    <t>SKYY</t>
  </si>
  <si>
    <t>Citrus</t>
  </si>
  <si>
    <t>STOLICHNAYA CITRUS 750ML</t>
  </si>
  <si>
    <t>/files/media/product/stolichnayacitrus750ml.jpeg</t>
  </si>
  <si>
    <t>NEW AMSTERDAM COCONUT 750ML</t>
  </si>
  <si>
    <t>/files/media/product/NEW AMSTERDAM COCONUT 750ML.jpeg</t>
  </si>
  <si>
    <t>STOLICHNAYA JALAPENO 750ML</t>
  </si>
  <si>
    <t>/files/media/product/Stolichnaya-Hot-Vodka__49896.jpg</t>
  </si>
  <si>
    <t>Jalapeno</t>
  </si>
  <si>
    <t>ABSOLUT KURRANT VODKA 750ML</t>
  </si>
  <si>
    <t>/files/media/product/absolutkurrant40750ml.jpeg</t>
  </si>
  <si>
    <t>Kurrant</t>
  </si>
  <si>
    <t>/files/media/product/flirtvodkaorange.png</t>
  </si>
  <si>
    <t>SMIRNOFF - LIME 1LT</t>
  </si>
  <si>
    <t>/files/media/product/smirnofflime1ltr.jpeg</t>
  </si>
  <si>
    <t>ABSOLUT MANDARIN VODKA 750ML</t>
  </si>
  <si>
    <t>/files/media/product/absolut_mandarin.webp</t>
  </si>
  <si>
    <t>Mandarin</t>
  </si>
  <si>
    <t>NEW AMSTERDAM MANGO 750ML</t>
  </si>
  <si>
    <t>/files/media/product/NEW AMSTERDAM MANGO 750ML.webp</t>
  </si>
  <si>
    <t>GREY GOOSE ORANGE VODKA 750ML</t>
  </si>
  <si>
    <t>/files/media/product/GREY-GOOSE-ORANGE-750ML-1900.00.webp</t>
  </si>
  <si>
    <t>/files/media/product/FLIRT ORANGE LTR.webp</t>
  </si>
  <si>
    <t>FLIRT VODKA ORANGE 750ML</t>
  </si>
  <si>
    <t>/files/media/product/flirtvodkaorange750ml.jpeg</t>
  </si>
  <si>
    <t>STOLICHNAYA ORANGE 750ML</t>
  </si>
  <si>
    <t>/files/media/product/stolichnayaorange750ml.jpeg</t>
  </si>
  <si>
    <t>KENYA CANE PINEAPPLE 250ML</t>
  </si>
  <si>
    <t>/files/media/product/Kenya_Cane_Pineapple_750ml.jpg</t>
  </si>
  <si>
    <t>NEW AMSTERDAM PINEAPPLE 750ML</t>
  </si>
  <si>
    <t>/files/media/product/NEW AMSTERDAM PINEAPPLE 750ML.jpeg</t>
  </si>
  <si>
    <t>CIROC PINEAPPLE VODKA 750ML</t>
  </si>
  <si>
    <t>/files/media/product/73697-CIROC-PINEAPPLE.png</t>
  </si>
  <si>
    <t>ABSOLUTE RASPBERRY 1LTR</t>
  </si>
  <si>
    <t>/files/media/product/ABSOLUTE RASPBERRY 1LTR.jpg</t>
  </si>
  <si>
    <t>STOLICHNAYA RASBERRY 750ML</t>
  </si>
  <si>
    <t>/files/media/product/stolichnayarasberry750ml.jpeg</t>
  </si>
  <si>
    <t>FLIRT BLACK SILVER VODKA 1LTR</t>
  </si>
  <si>
    <t>/files/media/product/flirt-vodka-unflavoured.webp</t>
  </si>
  <si>
    <t>FLIRT STRAWBERRY VODKA 1LTR</t>
  </si>
  <si>
    <t>/files/media/product/flirt-strawberry.jpg</t>
  </si>
  <si>
    <t>FLIRT VODKA STRAWBERRY 350ML</t>
  </si>
  <si>
    <t>/files/media/product/Flirt-Vodka-Strawberry-350ml-600x600-1.jpg</t>
  </si>
  <si>
    <t>ABSOLUTE VANILLA 1LTR</t>
  </si>
  <si>
    <t>/files/media/product/absolut_vanilla.webp</t>
  </si>
  <si>
    <t>AVALON VODKA 750ML</t>
  </si>
  <si>
    <t>/files/media/product/AVALON VODKA 750ML.jpg</t>
  </si>
  <si>
    <t>AVALON VODKA 250ML</t>
  </si>
  <si>
    <t>/files/media/product/AVALON VODKA 250ML.jpg</t>
  </si>
  <si>
    <t>TRIPLE ACE VODKA 250 ML</t>
  </si>
  <si>
    <t>/files/media/product/tripleacevodka250ml.png</t>
  </si>
  <si>
    <t>RUSSIAN BEAR WILD BERRY EXPORT 750ML</t>
  </si>
  <si>
    <t>/files/media/product/RUSSIAN BEAR WILD BERRY EXPORT 750ML.webp</t>
  </si>
  <si>
    <t>/files/media/product/PEROVSKAIA CRANBERRY VODKA LITRE.jpeg</t>
  </si>
  <si>
    <t>TITO'S VODKA 1LTR</t>
  </si>
  <si>
    <t>/files/media/product/TITO'S VODKA 1LTR.webp</t>
  </si>
  <si>
    <t>TITO'S</t>
  </si>
  <si>
    <t>/files/media/product/PEROVSKAIA PLATIMUM VODKA LITRE.jpeg</t>
  </si>
  <si>
    <t>BELVEDERE SMOGORY FOREST 1LTR</t>
  </si>
  <si>
    <t>/files/media/product/BELVEDERE SMOGORY FOREST 1LTR.webp</t>
  </si>
  <si>
    <t>HUNTING LODGE VODKA 1LTR</t>
  </si>
  <si>
    <t>/files/media/product/Hunting-Lodge-Vodka.jpg</t>
  </si>
  <si>
    <t>WAVE DANGER 750ML</t>
  </si>
  <si>
    <t>Wave danger</t>
  </si>
  <si>
    <t>BEST VODKA 250ML</t>
  </si>
  <si>
    <t>/files/media/product/ best vodka 250ml.jpeg</t>
  </si>
  <si>
    <t>BEST VODKA 750ML</t>
  </si>
  <si>
    <t>/files/media/product/BEST VODKA 750ml.png</t>
  </si>
  <si>
    <t>CARIBIA CANE 750ML</t>
  </si>
  <si>
    <t>/files/media/product/caribiacane750ml.jpg</t>
  </si>
  <si>
    <t>CRUZ VODKA 750ML</t>
  </si>
  <si>
    <t>/files/media/product/cruzvodka.avif</t>
  </si>
  <si>
    <t>Cruz</t>
  </si>
  <si>
    <t>/files/media/product/ketelone.webp</t>
  </si>
  <si>
    <t>NEW AMSTERDAM VODKA 1ltr</t>
  </si>
  <si>
    <t>/files/media/product/NEW AMSTERDAM VODKA 1LTR.webp</t>
  </si>
  <si>
    <t>SUPREME VODKA 250ML</t>
  </si>
  <si>
    <t>/files/media/product/Supreme-Vodka.png</t>
  </si>
  <si>
    <t>Supreme</t>
  </si>
  <si>
    <t>KHOR WHITE &amp; GOLD 750ML</t>
  </si>
  <si>
    <t>/files/media/product/khorwhite&amp;gold750ml.jpeg</t>
  </si>
  <si>
    <t>BELUGA NOBLE 1ltr</t>
  </si>
  <si>
    <t>/files/media/product/BELUGA NOBLE 1ltr.jpeg</t>
  </si>
  <si>
    <t>Beluga</t>
  </si>
  <si>
    <t>ERISTOFF 1LTR</t>
  </si>
  <si>
    <t>/files/media/product/ERISTOFF 1LTR.jpeg</t>
  </si>
  <si>
    <t>HUNTING LODGE VODKA 700ML</t>
  </si>
  <si>
    <t>/files/media/product/HUNTING LODGE VODKA 700ML.jpg</t>
  </si>
  <si>
    <t>SKYY VODKA 1LTR</t>
  </si>
  <si>
    <t>/files/media/product/SKYY VODKA 1LTR.jpeg</t>
  </si>
  <si>
    <t>KHOR PLATINUM 750ML</t>
  </si>
  <si>
    <t>/files/media/product/khorplatinum.webp</t>
  </si>
  <si>
    <t>KHOR PLATINUM VODKA 1LTR</t>
  </si>
  <si>
    <t>/files/media/product/khor_platinum.webp</t>
  </si>
  <si>
    <t>ELIT VODKA 1LTR</t>
  </si>
  <si>
    <t>/files/media/product/ELIT VODKA 1LTR.webp</t>
  </si>
  <si>
    <t>ELIT</t>
  </si>
  <si>
    <t>GREY GOOSE 375ML</t>
  </si>
  <si>
    <t>/files/media/product/GREY GOOSE 375ML.png</t>
  </si>
  <si>
    <t>GREY GOOSE</t>
  </si>
  <si>
    <t>LELESHWA VODKA 750ML</t>
  </si>
  <si>
    <t>/files/media/product/LELESHWA VODKA 750ML.png</t>
  </si>
  <si>
    <t>LELESHWA</t>
  </si>
  <si>
    <t>NEON ORANGE VODKA 750ML</t>
  </si>
  <si>
    <t>/files/media/product/NEON ORANGE VODKA 750ML.jpg</t>
  </si>
  <si>
    <t>SOBIESKI VODKA 1LTR</t>
  </si>
  <si>
    <t>/files/media/product/SOBIESKI VODKA 1LTR.webp</t>
  </si>
  <si>
    <t>SOBIESKI</t>
  </si>
  <si>
    <t>STOLICHNAYA 1LTR</t>
  </si>
  <si>
    <t>/files/media/product/STOLICHNAYA 1LTR.jpg</t>
  </si>
  <si>
    <t>CIROC SNAP FOREST 1LTR</t>
  </si>
  <si>
    <t>/files/media/product/CIROC SNAP FOREST 1LTR.webp</t>
  </si>
  <si>
    <t>STOLICHNAYA HOT 750ML</t>
  </si>
  <si>
    <t>/files/media/product/STOLICHNAYA HOT 750ML.jpg</t>
  </si>
  <si>
    <t>KHOR WHITE &amp; GOLD VODKA 1LTR</t>
  </si>
  <si>
    <t>/files/media/product/khorwhite&amp;goldvodka1ltr.jpeg</t>
  </si>
  <si>
    <t>100 Strokes Whisky 750ML</t>
  </si>
  <si>
    <t>/files/media/product/100 Strokes Whisky 750ML.webp</t>
  </si>
  <si>
    <t>100 STROKES</t>
  </si>
  <si>
    <t>HAMPTON DRAM WHISKY 750ML</t>
  </si>
  <si>
    <t>/files/media/product/hampton_dram.webp</t>
  </si>
  <si>
    <t>Hampton</t>
  </si>
  <si>
    <t>100 Strokes Whisky 375ML</t>
  </si>
  <si>
    <t>/files/media/product/100 Strokes Whisky 375ML.jpeg</t>
  </si>
  <si>
    <t>8PM BLENDED WHISKY FIRE 750ML</t>
  </si>
  <si>
    <t>/files/media/product/8PM BLENDED WHISKY FIRE 750ML.png</t>
  </si>
  <si>
    <t>OFFICER'S CHOICE WHISKY LITRE</t>
  </si>
  <si>
    <t>/files/media/product/OFFICER'S CHOICE WHISKY LITRE.jpeg</t>
  </si>
  <si>
    <t>Officer's Choice</t>
  </si>
  <si>
    <t>AVALON PREMIUM WHISKY 750ML</t>
  </si>
  <si>
    <t>/files/media/product/AVALON PREMIUM WHISKY 750ML.avif</t>
  </si>
  <si>
    <t>AVALON PREMIUM WHISKY 250ML</t>
  </si>
  <si>
    <t>/files/media/product/AVALON PREMIUM WHISKY 250ML.jpg</t>
  </si>
  <si>
    <t>GRANTS WITHOUT GLASS 1LTR</t>
  </si>
  <si>
    <t>/files/media/product/GRANTS WITHOUT GLASS 1LTR.jpg</t>
  </si>
  <si>
    <t>GRANTS TRIPPLE WOOD (WITH GLASS) 1LTR</t>
  </si>
  <si>
    <t>/files/media/product/GRANTS TRIPPLE WOOD (WITH GLASS) 1LTR.webp</t>
  </si>
  <si>
    <t>THE MACALLAN ENIGMA 700ml</t>
  </si>
  <si>
    <t>/files/media/product/THE MACALLAN ENIGMA 700ml.png</t>
  </si>
  <si>
    <t>THE MACALLAN 12YR 700ML</t>
  </si>
  <si>
    <t>/files/media/product/THE MACALLAN 12YR 700ML.webp</t>
  </si>
  <si>
    <t>BALLANTINES FINEST WHISKY 750ml</t>
  </si>
  <si>
    <t>/files/media/product/ballantines-finest-750ml.jpg</t>
  </si>
  <si>
    <t>JOHNNIE WALKER RED LABEL WHISKY 375ML</t>
  </si>
  <si>
    <t>/files/media/product/JOHNNIE WALKER RED LABEL WHISKY 375ML.jpg</t>
  </si>
  <si>
    <t>/files/media/product/SIR EDWARDS WHISKY 700ML.jpeg</t>
  </si>
  <si>
    <t>UPRISE WHISKY &amp; COLA 500ML</t>
  </si>
  <si>
    <t>/files/media/product/UPRISE WHISKY &amp; COLA 500ML.jpeg</t>
  </si>
  <si>
    <t>UPRISE WHISKY</t>
  </si>
  <si>
    <t>CANADIAN CLUB 750ML</t>
  </si>
  <si>
    <t>/files/media/product/canadianclub750ml.jpg</t>
  </si>
  <si>
    <t>/files/media/product/GRANT'S WITHOUT GLASS 750ML.jpg</t>
  </si>
  <si>
    <t>8PM BLENDED WHISKY 1LTR</t>
  </si>
  <si>
    <t>/files/media/product/8pmblendedwhisky1ltr.jpeg</t>
  </si>
  <si>
    <t>8PM BLENDED WHISKY 750ML</t>
  </si>
  <si>
    <t>/files/media/product/8pmblendedwhisky750ml.jpg</t>
  </si>
  <si>
    <t>ABERFELDY 12YRS WHISKY 750ML</t>
  </si>
  <si>
    <t>/files/media/product/aberfeldy.jpg</t>
  </si>
  <si>
    <t>Aberfeldy</t>
  </si>
  <si>
    <t>CRAZY COCK 375ML</t>
  </si>
  <si>
    <t>/files/media/product/crazycock375ml.jpg_480Wx480H</t>
  </si>
  <si>
    <t>Crazy cork</t>
  </si>
  <si>
    <t>DEWAR'S 12YRS WHISKY 750ML</t>
  </si>
  <si>
    <t>/files/media/product/dewar's12years750ml.png</t>
  </si>
  <si>
    <t>J&amp;B RARE WHISKY 200ML</t>
  </si>
  <si>
    <t>/files/media/product/jbrare200ml.webp</t>
  </si>
  <si>
    <t>44 BLENDED SCOTCH 700ML</t>
  </si>
  <si>
    <t>/files/media/product/44 BLENDED SCOTCH 700ML.png</t>
  </si>
  <si>
    <t>44 BLENDED</t>
  </si>
  <si>
    <t>ABERLOUR 12YRS DOUBLE CASK LITRE</t>
  </si>
  <si>
    <t>/files/media/product/ABERLOUR 12YRS DOUBLE CASK LITRE.jpeg</t>
  </si>
  <si>
    <t>ALL SEASONS 375ML</t>
  </si>
  <si>
    <t>/files/media/product/ALL SEASONS 375ML.avif</t>
  </si>
  <si>
    <t>ALL SEASONS</t>
  </si>
  <si>
    <t>BALLANTINES 375ML</t>
  </si>
  <si>
    <t>/files/media/product/BALLANTINES 375ML.jpg</t>
  </si>
  <si>
    <t>DALMORE 12YRS SHERRY CASK SELECT 700ML</t>
  </si>
  <si>
    <t>/files/media/product/DALMORE 12YRS SHERRY CASK SELECT 700ML.jpeg</t>
  </si>
  <si>
    <t>Dalmore</t>
  </si>
  <si>
    <t>/files/media/product/DALWHINNE 15YRS WHISKY 750ML.png</t>
  </si>
  <si>
    <t>DALWHINNE</t>
  </si>
  <si>
    <t>FIRE BALL 1LTR</t>
  </si>
  <si>
    <t>/files/media/product/FIRE BALL 1LTR.jpeg</t>
  </si>
  <si>
    <t>FIRE BALL</t>
  </si>
  <si>
    <t>GLENFIDDICH RESERVE 18YRS 700ML</t>
  </si>
  <si>
    <t>/files/media/product/GLENFIDDICH RESERVE 18YRS 700ML.jpg</t>
  </si>
  <si>
    <t>GLENFIDDICH SOLERA 15YRS 700ML</t>
  </si>
  <si>
    <t>/files/media/product/GLENFIDDICH SOLERA 15YRS 700ML.webp</t>
  </si>
  <si>
    <t>GLENMORANGIE LASANTA 12YRS 750ML</t>
  </si>
  <si>
    <t>/files/media/product/GLENMORANGIE LASANTA 12YRS 750ML.jpg</t>
  </si>
  <si>
    <t>JAMESON 18YRS 700ML</t>
  </si>
  <si>
    <t>/files/media/product/JAMESON 18YRS 700ML.jpeg</t>
  </si>
  <si>
    <t>JAMESON COLD BREW 700ML</t>
  </si>
  <si>
    <t>/files/media/product/JAMESON COLD BREW 700ML.jpg</t>
  </si>
  <si>
    <t>JAMESON ORANGE 700ML</t>
  </si>
  <si>
    <t>/files/media/product/JAMESON ORANGE 700ML.jpg</t>
  </si>
  <si>
    <t>JIM BEAM BLACK CHERRY 700ML</t>
  </si>
  <si>
    <t>/files/media/product/JIM BEAM BLACK CHERRY 700ML.jpeg</t>
  </si>
  <si>
    <t>Jim Beam</t>
  </si>
  <si>
    <t>NAKED MALT 750ml</t>
  </si>
  <si>
    <t>/files/media/product/NAKED MALT 750ml.jpg</t>
  </si>
  <si>
    <t>NAKED MALT</t>
  </si>
  <si>
    <t>SINGLETON DUFFTOWN 18YRS WHISKY 750ML</t>
  </si>
  <si>
    <t>/files/media/product/SINGLETON DUFFTOWN 18YRS WHISKY 750ML.jpg</t>
  </si>
  <si>
    <t>THE FAMOUS GROUSE BOURBON CASK 750ML</t>
  </si>
  <si>
    <t>/files/media/product/THE FAMOUS GROUSE BOURBON CASK 750ML.jpeg</t>
  </si>
  <si>
    <t>THE GLENLIVET DOUBLE OAK 12 YO 750ML</t>
  </si>
  <si>
    <t>/files/media/product/THE GLENLIVET DOUBLE OAK 12 YO 750ML.jpg</t>
  </si>
  <si>
    <t>THE GLENLIVET DOUBLE OAK 12 YO WITH GLASS 750ML</t>
  </si>
  <si>
    <t>/files/media/product/THE GLENLIVET DOUBLE OAK 12 YO WITH GLASS 750ML.webp</t>
  </si>
  <si>
    <t>/files/media/product/THE GLENLIVET GEORGE SMITH 12 YO 750ML.png</t>
  </si>
  <si>
    <t>THE MACALLAN AMBER 1LTR</t>
  </si>
  <si>
    <t>/files/media/product/THE MACALLAN AMBER 1LTR.webp</t>
  </si>
  <si>
    <t>THE WILSHIRE BLENDED WHISKY 750ML</t>
  </si>
  <si>
    <t>/files/media/product/THE WILSHIRE BLENDED WHISKY 750ML.webp</t>
  </si>
  <si>
    <t>WILSHIRE</t>
  </si>
  <si>
    <t>URBAN WHISKY 750ML</t>
  </si>
  <si>
    <t>/files/media/product/URBAN WHISKY 750ML.jpg</t>
  </si>
  <si>
    <t>URBAN WHISKY</t>
  </si>
  <si>
    <t>JIM BEAM BOURBON WHISKY 750ML</t>
  </si>
  <si>
    <t>/files/media/product/jimbeambourbonwhisky750ml.jpeg</t>
  </si>
  <si>
    <t>Jim beam</t>
  </si>
  <si>
    <t>JIM BEAM BOURBON WHISKY 1LTR</t>
  </si>
  <si>
    <t>/files/media/product/Jim-Beam-White-Label-Bourbon-1-Litre-Bayfields-Liquor-Superstore.webp</t>
  </si>
  <si>
    <t>BUFFALO TRACE BOURBON WHISKY 750ML</t>
  </si>
  <si>
    <t>/files/media/product/buffallo trace.webp</t>
  </si>
  <si>
    <t>Buffalo trace</t>
  </si>
  <si>
    <t>BUFFALO TRACE WHISKY 1LTR</t>
  </si>
  <si>
    <t>/files/media/product/buffallotrace.jpeg</t>
  </si>
  <si>
    <t>BULLEIT BOURBON FRONTIER WHISKY 1LTR</t>
  </si>
  <si>
    <t>/files/media/product/bulleitbourbon.jpg</t>
  </si>
  <si>
    <t>Bulleit</t>
  </si>
  <si>
    <t>BULLEIT BOURBON FRONTIER WHSKY 700ML</t>
  </si>
  <si>
    <t>JIM BEAM DEVILS CUT WHISKY 700ml</t>
  </si>
  <si>
    <t>/files/media/product/Jim beam devals cut.jpeg</t>
  </si>
  <si>
    <t>OLD FORESTER WHISKY 1ltr</t>
  </si>
  <si>
    <t>/files/media/product/OLD FORESTER 1LTR.jpeg</t>
  </si>
  <si>
    <t>Old Forester</t>
  </si>
  <si>
    <t>WHYTEHALL FIRE(CINAMON) 1LT</t>
  </si>
  <si>
    <t>/files/media/product/WHYTEHALL FIRE(CINAMON) 1LT.jpg</t>
  </si>
  <si>
    <t>Cinamon</t>
  </si>
  <si>
    <t>FIRE WATER 1LTR</t>
  </si>
  <si>
    <t>/files/media/product/FIRE WATER 1LTR.jpeg</t>
  </si>
  <si>
    <t>FIRE WATER</t>
  </si>
  <si>
    <t>Cinnamon</t>
  </si>
  <si>
    <t>FIRE WATER 750ML</t>
  </si>
  <si>
    <t>/files/media/product/FIRE WATER 750ML.webp</t>
  </si>
  <si>
    <t>/files/media/product/abelour.jpg</t>
  </si>
  <si>
    <t>ABERLOUR</t>
  </si>
  <si>
    <t>Double cask</t>
  </si>
  <si>
    <t>/files/media/product/ROYAL CIRCLE HONEY 750ML.jpg</t>
  </si>
  <si>
    <t>ROYAL CHALLENGE AMERICAN PRIDE 750ML</t>
  </si>
  <si>
    <t>/files/media/product/royalchallengewhisky750ml.jpeg</t>
  </si>
  <si>
    <t>Indian</t>
  </si>
  <si>
    <t>BUSHMILLS 1LTR</t>
  </si>
  <si>
    <t>/files/media/product/bushmills-100cl.jpg</t>
  </si>
  <si>
    <t>/files/media/product/jameson4.5l.jpg</t>
  </si>
  <si>
    <t>BUSHMILLS RED BUSH 700ML</t>
  </si>
  <si>
    <t>/files/media/product/bushmillsredbush700ml.jpeg</t>
  </si>
  <si>
    <t>PADDY IRISH WHISKY 375ML</t>
  </si>
  <si>
    <t>/files/media/product/paddyirishwhisky375ml.jpg_480Wx480H</t>
  </si>
  <si>
    <t>Paddy</t>
  </si>
  <si>
    <t>TULLAMORE 750ML</t>
  </si>
  <si>
    <t>/files/media/product/undefined</t>
  </si>
  <si>
    <t>HIBIKI SUNTORY WHISKY JAPANESE 700ML</t>
  </si>
  <si>
    <t>/files/media/product/hibiki_whisky.png</t>
  </si>
  <si>
    <t>Hibiki suntory</t>
  </si>
  <si>
    <t>Japanese</t>
  </si>
  <si>
    <t>IWAI JAPANESE WHISKY 750ml</t>
  </si>
  <si>
    <t>/files/media/product/IWAI JAPANESE WHISKY 750ml.jpeg</t>
  </si>
  <si>
    <t>IWAI</t>
  </si>
  <si>
    <t>japanese</t>
  </si>
  <si>
    <t>GLENFIDDICH IPA EXPERIMENT SERIES WHISKY 700ML</t>
  </si>
  <si>
    <t>/files/media/product/glenfiddichipaexperiment700ml.jpeg</t>
  </si>
  <si>
    <t>CRAGGANMORE 12YRS WHISKY 1LTR</t>
  </si>
  <si>
    <t>/files/media/product/Cragganmore-12-Year-Old-750ml (1).jpg</t>
  </si>
  <si>
    <t>Cragganmore</t>
  </si>
  <si>
    <t>CRAGGANMORE 12YRS WHISKY 750ML</t>
  </si>
  <si>
    <t>/files/media/product/Cragganmore-12-Year-Old-750ml.jpg</t>
  </si>
  <si>
    <t>DALMORE 18YRS SINGLE MALT 700ML</t>
  </si>
  <si>
    <t>/files/media/product/dalmore18yearssinglemalt700ml.webp</t>
  </si>
  <si>
    <t>JURA 12YRS OLD SINGLE MALT WHISKY 700ML</t>
  </si>
  <si>
    <t>/files/media/product/jura12yroldsinglemalt700ml.webp</t>
  </si>
  <si>
    <t>Jura</t>
  </si>
  <si>
    <t>RESERVE 7 RARE WHISKY 750ML</t>
  </si>
  <si>
    <t>/files/media/product/RESERVE 7 750ML.jpeg</t>
  </si>
  <si>
    <t>SHACKLETON BLENDED MALT 700ML</t>
  </si>
  <si>
    <t>/files/media/product/shackleton.jpeg</t>
  </si>
  <si>
    <t>Shackleton</t>
  </si>
  <si>
    <t>SINGLETON DUFFTOWN 15YRS 750ML</t>
  </si>
  <si>
    <t>/files/media/product/singleton15years75cl.webp</t>
  </si>
  <si>
    <t>malt</t>
  </si>
  <si>
    <t>THE MACALLAN THE HARMONY COLLECTION WHISKY 700ML</t>
  </si>
  <si>
    <t>/files/media/product/themacallantheharmonycollection700ml.jfif</t>
  </si>
  <si>
    <t>ALL SEASONS WHISKY 250ML</t>
  </si>
  <si>
    <t>/files/media/product/allseasons250ml.jpg</t>
  </si>
  <si>
    <t>OFFICERS CHOICE 750ML</t>
  </si>
  <si>
    <t>/files/media/product/OFFICERS CHOICE 750ML.webp</t>
  </si>
  <si>
    <t>HUNTERS 350 ML</t>
  </si>
  <si>
    <t>/files/media/product/hunters350ml.jpg</t>
  </si>
  <si>
    <t>/files/media/product/HIGH COMMISSIONER 1LTR.webp</t>
  </si>
  <si>
    <t>HIGH COMMISSIONER</t>
  </si>
  <si>
    <t>OLD MONK 1LTR</t>
  </si>
  <si>
    <t>/files/media/product/OLD MONK 1LTR.webp</t>
  </si>
  <si>
    <t>ALL SEASONS WHISKY 750ML</t>
  </si>
  <si>
    <t>/files/media/product/allseasonswhisky750ml.jpeg</t>
  </si>
  <si>
    <t>BERKSHIRE 500ML</t>
  </si>
  <si>
    <t>/files/media/product/BERKSHIRE 500ML.png</t>
  </si>
  <si>
    <t>BERKSHIRE</t>
  </si>
  <si>
    <t>BEST WHISKY 250ML</t>
  </si>
  <si>
    <t>/files/media/product/bestwhisky250ml.webp</t>
  </si>
  <si>
    <t>BIG OAK RED 1LTR</t>
  </si>
  <si>
    <t>/files/media/product/BIG OAK RED 1LTR.webp</t>
  </si>
  <si>
    <t>BIG OAK</t>
  </si>
  <si>
    <t>CLAN MCGREGOR 1ltr</t>
  </si>
  <si>
    <t>/files/media/product/CLAN MACGREGOR 1ltr.webp</t>
  </si>
  <si>
    <t>CLAN MACGREGOR</t>
  </si>
  <si>
    <t>DEWARS 12YRS 1LTR</t>
  </si>
  <si>
    <t>/files/media/product/DEWARS 12YRS 1LTR.webp</t>
  </si>
  <si>
    <t>DEWARS 1LTR</t>
  </si>
  <si>
    <t>/files/media/product/DEWARS 1LTR.webp</t>
  </si>
  <si>
    <t>DEWARS 750ML</t>
  </si>
  <si>
    <t>/files/media/product/DEWARS 750ML.jpeg</t>
  </si>
  <si>
    <t>HUNTING LODGE GREEN APPLE 1LTR</t>
  </si>
  <si>
    <t>/files/media/product/HUNTING LODGE GREEN APPLE 1LTR.jpg</t>
  </si>
  <si>
    <t>HUNTING LODGE WHISKY 1LTR</t>
  </si>
  <si>
    <t>/files/media/product/hunting-lodge-blend-1l.jpg</t>
  </si>
  <si>
    <t>LAMBAY WHISKY 1LTR</t>
  </si>
  <si>
    <t>/files/media/product/LAMBAY WHISKY 1LTR.jpg</t>
  </si>
  <si>
    <t>LAMBAY</t>
  </si>
  <si>
    <t>ROYAL ARMS BLUE RESERVE BLACK 750ML</t>
  </si>
  <si>
    <t>/files/media/product/ROYAL ARMS BLUE RESERVE BLACK 750ML.jpeg</t>
  </si>
  <si>
    <t>ROYAL ARMS</t>
  </si>
  <si>
    <t>TWO KEYS 375ML</t>
  </si>
  <si>
    <t>/files/media/product/TWO KEYS 375ML.jpg</t>
  </si>
  <si>
    <t>TWO KEYS</t>
  </si>
  <si>
    <t>WOODFORD RESERVE 700ML</t>
  </si>
  <si>
    <t>/files/media/product/woodfordreserve70cl.webp</t>
  </si>
  <si>
    <t>Woodford</t>
  </si>
  <si>
    <t>BALLANTINE'S FINEST 21YRS WHISKY 700ML</t>
  </si>
  <si>
    <t>/files/media/product/ballentinesfinest21years.webp</t>
  </si>
  <si>
    <t>WOODFORD RESERVE 1LTR</t>
  </si>
  <si>
    <t>/files/media/product/woodford-reserve-double-oaked.webp</t>
  </si>
  <si>
    <t>VAT 69 375ML</t>
  </si>
  <si>
    <t>/files/media/product/vat69375ml.jpeg</t>
  </si>
  <si>
    <t>JIM BEAM DOUBLE OAK 700ml</t>
  </si>
  <si>
    <t>/files/media/product/jim beam double oak 750ml.jpeg</t>
  </si>
  <si>
    <t>JOHN BARR RESERVE WHISKY BLACK 750ML</t>
  </si>
  <si>
    <t>/files/media/product/images (4).jpeg</t>
  </si>
  <si>
    <t>JAMESON IRISH WHISKY 1LTR</t>
  </si>
  <si>
    <t>/files/media/product/jameson.jpg</t>
  </si>
  <si>
    <t>GLENFIDDICH 15YRS VAT 03 700ML</t>
  </si>
  <si>
    <t>/files/media/product/GLENFIDDICH 15YRS VAT 03 700ML.jpeg</t>
  </si>
  <si>
    <t>GRANTS WITH GLASS 750ML</t>
  </si>
  <si>
    <t>/files/media/product/grants.jpg</t>
  </si>
  <si>
    <t>THE FAMOUS GROUSE 350ML</t>
  </si>
  <si>
    <t>/files/media/product/thefamousgrouse350ml.jpeg</t>
  </si>
  <si>
    <t>WHYTE &amp; MACKAY WHISKY 350ML</t>
  </si>
  <si>
    <t>/files/media/product/WHYTE &amp; MACKAY WHISKY 350ML.jpeg</t>
  </si>
  <si>
    <t>J&amp;B RARE WHISKY 750ML</t>
  </si>
  <si>
    <t>/files/media/product/vat69.jpg</t>
  </si>
  <si>
    <t>SINGLETON 21YRS 700ML</t>
  </si>
  <si>
    <t>/files/media/product/SINGLETON 21YRS 700ML.jpeg</t>
  </si>
  <si>
    <t>JOHNNIE WALKER 18YRS WHISKY 750ML</t>
  </si>
  <si>
    <t>/files/media/product/johnniewalker18yrs750ml.jpg</t>
  </si>
  <si>
    <t>JOHNNIE WALKER DOUBLE BLACK 750ML</t>
  </si>
  <si>
    <t>/files/media/product/double-black (1).webp</t>
  </si>
  <si>
    <t>JOHNNIE WALKER KING GEORGE V 750ML</t>
  </si>
  <si>
    <t>/files/media/product/JOHNNIE WALKER KING GEORGE V 750ML.webp</t>
  </si>
  <si>
    <t>JOHNNIE WALKER RED LABEL WHISKY 250ML</t>
  </si>
  <si>
    <t>/files/media/product/RED LABEL 250ML.jpg</t>
  </si>
  <si>
    <t>BLACK &amp; WHITE WHISKY 375ML</t>
  </si>
  <si>
    <t>/files/media/product/blackwhite375ml.jpeg</t>
  </si>
  <si>
    <t>/files/media/product/Glenfiddich-25-Years-Old-Rare-Oak-Box-Must-Have-Malts-MHM.jpg</t>
  </si>
  <si>
    <t>ABERLOUR SPEYSIDE SINGLE MALT 12YRS 1LTR</t>
  </si>
  <si>
    <t>/files/media/product/ABERLOUR SPEYSIDE 12YRS WHISKY 1LTR.jpeg</t>
  </si>
  <si>
    <t>AUCHENTOSHAN WHISKY 750ML</t>
  </si>
  <si>
    <t>/files/media/product/auchentoshanwhisky750ml.jpeg</t>
  </si>
  <si>
    <t>Auchentoshan</t>
  </si>
  <si>
    <t>BLACK &amp; WHITE WHISKY 750ML</t>
  </si>
  <si>
    <t>/files/media/product/black-and-white-750ml.webp</t>
  </si>
  <si>
    <t>CARDHU 15YRS WHISKY 700ML</t>
  </si>
  <si>
    <t>/files/media/product/cardhu15yo700ml.webp</t>
  </si>
  <si>
    <t>CHIVAS REGAL 12YRS WHISKY GIFT PACK 4.5LTR</t>
  </si>
  <si>
    <t>/files/media/product/Chivas Regal 12 YO 40% 4.5L GIFT PACK.jpeg</t>
  </si>
  <si>
    <t>CHIVAS REGAL 25YRS WHISKY 700ML</t>
  </si>
  <si>
    <t>/files/media/product/chivas-regal-25-year-old.jpg</t>
  </si>
  <si>
    <t>CLAN MACGREGOR WHISKY 750ML</t>
  </si>
  <si>
    <t>/files/media/product/CLAN MACGREGOR 1LTR.jpeg</t>
  </si>
  <si>
    <t>Clan Macgregor</t>
  </si>
  <si>
    <t>CLAYMORE BLENDED SCOTCH WHISKY 1LTR</t>
  </si>
  <si>
    <t>/files/media/product/CLAYMORE BLENDED SCOTCH WHISKY 1ltr.jpeg</t>
  </si>
  <si>
    <t>CLAYMORE</t>
  </si>
  <si>
    <t>DIMPLE 15YRS WHISKY 750ML</t>
  </si>
  <si>
    <t>/files/media/product/dimple15yo750ml.jpeg</t>
  </si>
  <si>
    <t>DRAMBUIE 1LTR</t>
  </si>
  <si>
    <t>/files/media/product/drambuie.webp</t>
  </si>
  <si>
    <t>Drambuie</t>
  </si>
  <si>
    <t>GLEN SILVER'S 8YRS 700ML</t>
  </si>
  <si>
    <t>/files/media/product/GLEN SILVER'S 8YRS 700ML.jpeg</t>
  </si>
  <si>
    <t>Glen silvers</t>
  </si>
  <si>
    <t>GLENFIDDICH 18YRS 1LTR</t>
  </si>
  <si>
    <t>/files/media/product/GLENFIDDICH 18YRS 1LTR.jpeg</t>
  </si>
  <si>
    <t>GLENFIDDICH SELECT CASK WHISKY 1LTR</t>
  </si>
  <si>
    <t>/files/media/product/GLENFIDDICH SELECT CASK WHISKY 1LTR.jpg</t>
  </si>
  <si>
    <t>GLENFIDICH 12YRS 50ML</t>
  </si>
  <si>
    <t>/files/media/product/GLENFIDICH 12YRS 50ML.jpg</t>
  </si>
  <si>
    <t>GLENMORANGIE 10YRS 1LTR</t>
  </si>
  <si>
    <t>Glenmorangie</t>
  </si>
  <si>
    <t>GLENMORANGIE 12YRS 1LTR</t>
  </si>
  <si>
    <t>/files/media/product/GLENMORANGIE 12YRS 1LTR.webp</t>
  </si>
  <si>
    <t>GLENMORANGIE 12YRS 700ML</t>
  </si>
  <si>
    <t>/files/media/product/glenkinchie-12-yo.jpg</t>
  </si>
  <si>
    <t>Glenkinchie</t>
  </si>
  <si>
    <t>GLENMORANGIE 19YRS WHISKY 700ML</t>
  </si>
  <si>
    <t>/files/media/product/3464595743623165264107646384919316626958.png</t>
  </si>
  <si>
    <t>GLENMORANGIE QUINTA RUBAN 700ML</t>
  </si>
  <si>
    <t>/files/media/product/glenmorangiequintaruban700ml.jpeg</t>
  </si>
  <si>
    <t>GRANT'S 375ML</t>
  </si>
  <si>
    <t>/files/media/product/grant's375ml.jpeg</t>
  </si>
  <si>
    <t>/files/media/product/grants-12-years-triple-wood.webp</t>
  </si>
  <si>
    <t>HARRINGTON SCOTCH WHISKY 750ML</t>
  </si>
  <si>
    <t>/files/media/product/Harrington-Scotch-Whisky-819x1024.jpg</t>
  </si>
  <si>
    <t>Harriton</t>
  </si>
  <si>
    <t>Harrington</t>
  </si>
  <si>
    <t>HIGHLAND QUEEN WHISKY 1LTR</t>
  </si>
  <si>
    <t>/files/media/product/highlandqueen1l.png</t>
  </si>
  <si>
    <t>Highland Queen</t>
  </si>
  <si>
    <t>IMPERIAL BLUE WHISKY 750ML</t>
  </si>
  <si>
    <t>/files/media/product/imperialblue40750ml.webp</t>
  </si>
  <si>
    <t>Imperial blue</t>
  </si>
  <si>
    <t>JAMESON IPA 750ML</t>
  </si>
  <si>
    <t>/files/media/product/JAMESON IPA 750ML.jpeg</t>
  </si>
  <si>
    <t>JAMESON IRISH WHISKY 350ML</t>
  </si>
  <si>
    <t>/files/media/product/jameson .jpeg</t>
  </si>
  <si>
    <t>JOHN BARR FINEST WHISKY RED 750ML</t>
  </si>
  <si>
    <t>/files/media/product/johnbarrred.jpg</t>
  </si>
  <si>
    <t>JOHN BARR RED WHISKY 1LTR</t>
  </si>
  <si>
    <t>/files/media/product/John-Barr-Finest-Blend-Red-750ml.jpg</t>
  </si>
  <si>
    <t>JOHNNIE WALKER 18YRS WHISKY 1LTR</t>
  </si>
  <si>
    <t>/files/media/product/johnnie-walker-18-years-1254733-s199.png</t>
  </si>
  <si>
    <t>JOHNNIE WALKER BLACK LABEL WHISKY 250ML</t>
  </si>
  <si>
    <t>/files/media/product/images (1).jpeg</t>
  </si>
  <si>
    <t>/files/media/product/JOHNNIE WALKER BLONDE 750ML.webp</t>
  </si>
  <si>
    <t>/files/media/product/jwplatnum1ltr.jpeg</t>
  </si>
  <si>
    <t>KING ROBERT II 750ML</t>
  </si>
  <si>
    <t>/files/media/product/kingrobertii750ml.jpeg</t>
  </si>
  <si>
    <t>KING ROBERT WHISKY 750ML</t>
  </si>
  <si>
    <t>/files/media/product/kingrobertwhisky750ml.jpg</t>
  </si>
  <si>
    <t>LAGAVULIN ISLAY 12YRS 750ML</t>
  </si>
  <si>
    <t>/files/media/product/LAGAVULIN ISLAY 12YRS 750ML.webp</t>
  </si>
  <si>
    <t>LAGAVULIN</t>
  </si>
  <si>
    <t>LAPHROAIG 700ML</t>
  </si>
  <si>
    <t>/files/media/product/LAPHROAIG 700ML.jpg</t>
  </si>
  <si>
    <t>LAPHROAIG</t>
  </si>
  <si>
    <t>LAPHROAIG AN CUAN MOR 700ML</t>
  </si>
  <si>
    <t>/files/media/product/LAPHROAIG AN CUAN MOR 700ML.png</t>
  </si>
  <si>
    <t>LAPHROAIG FOUR OAK 750ML</t>
  </si>
  <si>
    <t>/files/media/product/LAPHROAIG FOUR OAK 750ML.webp</t>
  </si>
  <si>
    <t>MAJOR GUNN'S 1LTR</t>
  </si>
  <si>
    <t>/files/media/product/MAJOR GUNN'S 1LTR.jpeg</t>
  </si>
  <si>
    <t>MAJOR GUNN'S</t>
  </si>
  <si>
    <t>PASSPORT SCOTCH 40% 750ML</t>
  </si>
  <si>
    <t>/files/media/product/passportscotch.png</t>
  </si>
  <si>
    <t>Passport</t>
  </si>
  <si>
    <t>PASSPORT SCOTCH WHISKY 1LTR</t>
  </si>
  <si>
    <t>/files/media/product/passport scotch.jpeg</t>
  </si>
  <si>
    <t>SCOTTISH LEADER ORIGINAL 1LTR</t>
  </si>
  <si>
    <t>SCOTTISH LEADER</t>
  </si>
  <si>
    <t>SCOTTISH LEADER ORIGINAL 700ML</t>
  </si>
  <si>
    <t>/files/media/product/sir-edwards_45-litr-copy_1546900129.jpg</t>
  </si>
  <si>
    <t>STRATHISLA 12YRS WHISKY 700ML</t>
  </si>
  <si>
    <t>/files/media/product/strathisla12yo700ml.webp</t>
  </si>
  <si>
    <t>Strathisla</t>
  </si>
  <si>
    <t>/files/media/product/TALISKER NEIST POINT 700ml.jpg</t>
  </si>
  <si>
    <t>THE FAMOUS GROUSE 750ML</t>
  </si>
  <si>
    <t>/files/media/product/thefamousgrouse750ml.jpg</t>
  </si>
  <si>
    <t>THE GLEN SILVER'S SINGLE MALT SCOTCH WHISKY 700ML</t>
  </si>
  <si>
    <t>/files/media/product/glen-silvers-single-malt.webp</t>
  </si>
  <si>
    <t>Glen Silvers</t>
  </si>
  <si>
    <t>THE GLENLIVET 12 YO 405 1LT</t>
  </si>
  <si>
    <t>/files/media/product/glenlivet-12-.webp</t>
  </si>
  <si>
    <t>THE GLENLIVET 15 YO 40% 1LT</t>
  </si>
  <si>
    <t>/files/media/product/theglenlivet15yo401ltr.webp</t>
  </si>
  <si>
    <t>THE GLENLIVET 18 YO 43% 1LT</t>
  </si>
  <si>
    <t>/files/media/product/theglenlivet18yo431ltr.webp</t>
  </si>
  <si>
    <t>TWO KEYS WHISKY 750ML</t>
  </si>
  <si>
    <t>/files/media/product/two-keys-whisky-750ml.jpg</t>
  </si>
  <si>
    <t>Two keys</t>
  </si>
  <si>
    <t>WILLIAM LAWSON'S SPICED 750ML</t>
  </si>
  <si>
    <t>/files/media/product/WILLIAM LAWSON'S SPICED 750ML.jpg</t>
  </si>
  <si>
    <t>GLENFIDDICH RESERVE CASK 1LTR</t>
  </si>
  <si>
    <t>/files/media/product/Glenfiddichreservecask.jpg</t>
  </si>
  <si>
    <t>Select Cask</t>
  </si>
  <si>
    <t>HIGHLAND PARK SINGLE MALT 700ML</t>
  </si>
  <si>
    <t>/files/media/product/HIGHLAND PARK SINGLE MALT 700ML.jpeg</t>
  </si>
  <si>
    <t>HIGHLAND PARK</t>
  </si>
  <si>
    <t>TALISKER SINGLE MALT 700ML</t>
  </si>
  <si>
    <t>/files/media/product/TALISKER SINGLE MALT 700ML.jpeg</t>
  </si>
  <si>
    <t>JACK DANIELS 375 ML</t>
  </si>
  <si>
    <t>/files/media/product/jd375.webp</t>
  </si>
  <si>
    <t>JACK DANIELS WHISKY 3LTR</t>
  </si>
  <si>
    <t>/files/media/product/jackdaniels3ltr.jpeg</t>
  </si>
  <si>
    <t>JACK DANIELS HONEY WHISKY 700ML</t>
  </si>
  <si>
    <t>/files/media/product/jdhoney.webp</t>
  </si>
  <si>
    <t>JACK DANIEL HONEY WHISKY 1LTR</t>
  </si>
  <si>
    <t>/files/media/product/jd honey.jpg</t>
  </si>
  <si>
    <t>GENTLEMAN JACK 750ML</t>
  </si>
  <si>
    <t>/files/media/product/gentleman_jack_01.webp</t>
  </si>
  <si>
    <t>JACK DANIEL FIRE WHISKY 750ML</t>
  </si>
  <si>
    <t>/files/media/product/jdfire.webp</t>
  </si>
  <si>
    <t>JACK DANIEL'S MASTER DISTILLER SERIES WHISKY 1LTR</t>
  </si>
  <si>
    <t>/files/media/product/jackdanielsmasterdistiller1ltr.jpeg</t>
  </si>
  <si>
    <t>JACK DANIELS APPLE 700ML</t>
  </si>
  <si>
    <t>/files/media/product/JACK DANIELS APPLE 700ML.jpg</t>
  </si>
  <si>
    <t>JACK DANIELS LEGACY EDITION 1 1LTR</t>
  </si>
  <si>
    <t>/files/media/product/JACK DANIELS LEGACY EDITION 1 1LTR.jpeg</t>
  </si>
  <si>
    <t>JACK DANIELS RYE 1LTR</t>
  </si>
  <si>
    <t>/files/media/product/JACK DANIELS RYE 1LTR.webp</t>
  </si>
  <si>
    <t>tennessee</t>
  </si>
  <si>
    <t>FRONTERA AFTER MIDNIGHT 750ML</t>
  </si>
  <si>
    <t>/files/media/product/FRONTERA-AFTER-MIDNIGHT-750ML.jpg</t>
  </si>
  <si>
    <t>After Midnight</t>
  </si>
  <si>
    <t>NEDERBURG - BARONE 750ML</t>
  </si>
  <si>
    <t>/files/media/product/NEDERBURG - BARONE 750ML.jpg</t>
  </si>
  <si>
    <t>Barone</t>
  </si>
  <si>
    <t>CHARLES HEIDSECK BLANC DE BLANC 750ml</t>
  </si>
  <si>
    <t>/files/media/product/CHARLES HEIDSECK BLANC DE BLANC 750ml.jpeg</t>
  </si>
  <si>
    <t>CHARLES HEIDSECK</t>
  </si>
  <si>
    <t>ARNEGUI VIURA BLANC 750ML</t>
  </si>
  <si>
    <t>/files/media/product/ARNEGUI VIURA BLANC 750ML.jpeg</t>
  </si>
  <si>
    <t>VAN BLANC DE BLANC 750ML</t>
  </si>
  <si>
    <t>/files/media/product/VAN BLANC DE BLANC 750ML.png</t>
  </si>
  <si>
    <t>VAN</t>
  </si>
  <si>
    <t>VAN CHENIN BLANC NO 5 750ML</t>
  </si>
  <si>
    <t>/files/media/product/VAN CHENIN BLANC NO 5 750ML.png</t>
  </si>
  <si>
    <t>CALVET SANCERRE BLANC 750ML</t>
  </si>
  <si>
    <t>/files/media/product/calvetsancerreblanc750ml.webp</t>
  </si>
  <si>
    <t>KWV 3YRS BRANDY 750 ML</t>
  </si>
  <si>
    <t>/files/media/product/kwv3yrsbrandy750ml.jpeg</t>
  </si>
  <si>
    <t>KWV CUVEE BRUT 750ML</t>
  </si>
  <si>
    <t>/files/media/product/KWV CUVEE BRUT 750ML.webp</t>
  </si>
  <si>
    <t>DOM PERIGNON BRUT 750ML</t>
  </si>
  <si>
    <t>/files/media/product/domperignonbrut750ml.jpeg</t>
  </si>
  <si>
    <t>FRONTERA SPARKLING BRUT 750ML</t>
  </si>
  <si>
    <t>/files/media/product/frontera.jpeg</t>
  </si>
  <si>
    <t>/files/media/product/LUC BELAIRE RARE BRUT 750ML.jpg</t>
  </si>
  <si>
    <t>SWARTLAND WINERY BRUT 750ML</t>
  </si>
  <si>
    <t>/files/media/product/swartland winery.jpg</t>
  </si>
  <si>
    <t>Swartland</t>
  </si>
  <si>
    <t>VILAVERARONI PROSECCO BRUT 750ml</t>
  </si>
  <si>
    <t>/files/media/product/VILAVERARONI Prosecco Brut 750ML.jpg</t>
  </si>
  <si>
    <t>Vilaveraroni</t>
  </si>
  <si>
    <t>FRONTERA BRUT 750ML</t>
  </si>
  <si>
    <t>/files/media/product/FRONTERA BRUT 750ML.png</t>
  </si>
  <si>
    <t>GRANDE FRANCE BRUT 750ML</t>
  </si>
  <si>
    <t>/files/media/product/GRANDE FRANCE BRUT 750ML.avif</t>
  </si>
  <si>
    <t>GRANDE FRANCE</t>
  </si>
  <si>
    <t>/files/media/product/FRONTERA CAB BLUSH 750ML.jpg</t>
  </si>
  <si>
    <t>Cabernet Blush</t>
  </si>
  <si>
    <t>JACOB'S CREEK CABERNET SAUVIGNON 750ML</t>
  </si>
  <si>
    <t>/files/media/product/JACOB'S CREEK CABERNET SAUVIGNON 750ML.jpg</t>
  </si>
  <si>
    <t>Jacob's creek</t>
  </si>
  <si>
    <t>ZAPALLARES CAB SAUV 1500ML</t>
  </si>
  <si>
    <t>/files/media/product/ZAPALLARES CAB SAUV 1500ML.jpg</t>
  </si>
  <si>
    <t>GATO NEGRO CAB SAUV MERLOT 750ML</t>
  </si>
  <si>
    <t>/files/media/product/GATO NEGRO CAB SAUV MERLOT 750ML.jpg</t>
  </si>
  <si>
    <t>GATO NEGRO CAB SAUV 1.5L</t>
  </si>
  <si>
    <t>/files/media/product/GATO NEGRO CAB SAUV 1.5L.webp</t>
  </si>
  <si>
    <t>GATONEGRO CAB SAUV 750ML</t>
  </si>
  <si>
    <t>/files/media/product/gatonegrocarbsauv.jpeg</t>
  </si>
  <si>
    <t>TRUMPETER CAB SAUV 750ML</t>
  </si>
  <si>
    <t>WELMOED CAB SAUV 750ML</t>
  </si>
  <si>
    <t>/files/media/product/welmoedcabernetsauvignon750ml.jpeg</t>
  </si>
  <si>
    <t>KWV CLASSIC CAB SAUV 750ML</t>
  </si>
  <si>
    <t>/files/media/product/kwvclassiccabernetsauvignon750ml.webp</t>
  </si>
  <si>
    <t>SIMONSIG CAB SAUV 750ML</t>
  </si>
  <si>
    <t>/files/media/product/SIMONSIG CAB SAUV 750ML.jpg</t>
  </si>
  <si>
    <t>Simonsig</t>
  </si>
  <si>
    <t>ASCONI CAB SAUV MERLOT 750ML</t>
  </si>
  <si>
    <t>/files/media/product/ASCONI CAB SAUV MERLOT 750ML.webp</t>
  </si>
  <si>
    <t>BOLAND CELLAR CAB SAUV 750ML</t>
  </si>
  <si>
    <t>/files/media/product/bolandcellarcarbanetsauvignon750ml.webp</t>
  </si>
  <si>
    <t>/files/media/product/fronteracabsauv.jpg</t>
  </si>
  <si>
    <t>LELESHWA SAUV BLANC 750ml</t>
  </si>
  <si>
    <t>/files/media/product/Leleshwa Sauvignon BLanc 750ML.jpeg</t>
  </si>
  <si>
    <t>Leleshwa</t>
  </si>
  <si>
    <t>NAMAQUA CAB SAUV 750ML</t>
  </si>
  <si>
    <t>/files/media/product/namaquacabarenetsauvignon750ml.jpeg</t>
  </si>
  <si>
    <t>NATURALYS CAB SAUV 750ML</t>
  </si>
  <si>
    <t>/files/media/product/NATURALYS CAB SAUV 750ML.webp</t>
  </si>
  <si>
    <t>NATURALYS</t>
  </si>
  <si>
    <t>NEDERBERG (5600) CAB SAUV 750ML</t>
  </si>
  <si>
    <t>/files/media/product/nederbergcarb(5600)750ml.ashx</t>
  </si>
  <si>
    <t>NEDERBURG - CAB SAUV 250ML</t>
  </si>
  <si>
    <t>/files/media/product/nederburgcabsauv250ml.jpg</t>
  </si>
  <si>
    <t>STELLENBOSCH VINEYARDS CAB SAUV 750ML</t>
  </si>
  <si>
    <t>/files/media/product/stellenboschvineyardscabernetsauvignon750ml.jpeg</t>
  </si>
  <si>
    <t>Stellenbosch vineyards</t>
  </si>
  <si>
    <t>ASCONI WINERY CAB SAUV 700ML</t>
  </si>
  <si>
    <t>/files/media/product/ASCONI WINERY CAB SAUV 700ML.jpeg</t>
  </si>
  <si>
    <t>GALLO FAMILY CAB SAUV 750ML</t>
  </si>
  <si>
    <t>/files/media/product/gallo_family_cab_750.webp</t>
  </si>
  <si>
    <t>Gallo family</t>
  </si>
  <si>
    <t>SIMONSIG CAB SAUV SHIRAZ 750ml</t>
  </si>
  <si>
    <t>/files/media/product/Simonsig cabernet sauvignon shiraz 750ml.jpg</t>
  </si>
  <si>
    <t>TWIGA HILL CAB SAUV 700ML</t>
  </si>
  <si>
    <t>/files/media/product/TWIGA HILL CAB SAUV 700ML.jpg</t>
  </si>
  <si>
    <t>BARON DE RUBI CAB SAV SWEET RED 750ML</t>
  </si>
  <si>
    <t>/files/media/product/BARON DE RUBI CAB SAV SWEET RED 750ML.jpg</t>
  </si>
  <si>
    <t>FOUR COUSINS CAB SAUV 750ML</t>
  </si>
  <si>
    <t>/files/media/product/FOUR COUSINS CAB SAUV 750ML.webp</t>
  </si>
  <si>
    <t>/files/media/product/ROCHE MAZET CAB SAUV 750ml.webp</t>
  </si>
  <si>
    <t>MOET &amp; CHARNDON - ROSE 750ML</t>
  </si>
  <si>
    <t>VEUVE CLICQUOT - BRUT 750ML</t>
  </si>
  <si>
    <t>/files/media/product/veuveclickquot.jpg</t>
  </si>
  <si>
    <t>LUC BELAIRE FANTOME ROSE 750ML</t>
  </si>
  <si>
    <t>/files/media/product/lucbelairefantomerose750ml.webp</t>
  </si>
  <si>
    <t>LUC BELAIRE LUXE RARE FANTOM 750ML</t>
  </si>
  <si>
    <t>/files/media/product/LUC BELAIRE LUXE RARE FANTOM 750ML.jpg</t>
  </si>
  <si>
    <t>GH MUMM 750ML</t>
  </si>
  <si>
    <t>/files/media/product/GH MUMM 750ML.jpg</t>
  </si>
  <si>
    <t>GRAHAM BECK NECTAR ROSE 750ML</t>
  </si>
  <si>
    <t>/files/media/product/GRAHAM BECK BRUT ROSE 750ML.jpg</t>
  </si>
  <si>
    <t>Graham beck</t>
  </si>
  <si>
    <t>LUC BELAIRE RARE LUXE 750ML</t>
  </si>
  <si>
    <t>/files/media/product/luc_belaire_luxe_600x.webp</t>
  </si>
  <si>
    <t>MOET &amp; CHANDON ICE IMPERIAL ROSE 750ML</t>
  </si>
  <si>
    <t>/files/media/product/MOET &amp; CHANDON ICE IMPERIAL ROSE 750ML.jpeg</t>
  </si>
  <si>
    <t>MOET &amp; CHARNDON - NECTOR 750ML</t>
  </si>
  <si>
    <t>TAITTINGER PRESTIGE ROSÉ 750ML</t>
  </si>
  <si>
    <t>/files/media/product/taittinger-prestige-rose_1.jpg</t>
  </si>
  <si>
    <t>LUC BELAIRE LUXE ROSE 750ML</t>
  </si>
  <si>
    <t>/files/media/product/luc-belaire-luxe-rose.webp</t>
  </si>
  <si>
    <t>LUC BELAIRE RARE ROSE 750ML</t>
  </si>
  <si>
    <t>/files/media/product/LUC BELAIRE RARE ROSE 750ML.jpeg</t>
  </si>
  <si>
    <t>TILIA CHARDONNAY 750ML</t>
  </si>
  <si>
    <t>/files/media/product/tilia-chardonnay.webp</t>
  </si>
  <si>
    <t>/files/media/product/ROCHE MAZET CHARDONNAY 750ML.webp</t>
  </si>
  <si>
    <t>GATONEGRO CHARDONNAY 1.5LTR</t>
  </si>
  <si>
    <t>/files/media/product/Gato-Negro-Chardonnay-1.5Ltrs.png</t>
  </si>
  <si>
    <t>BRUCE JACK CHARDONNAY 2020 750ML</t>
  </si>
  <si>
    <t>/files/media/product/brucejackchardonnay.webp</t>
  </si>
  <si>
    <t>BUTTERFLY RIDGE CHARDONNAY 750ml</t>
  </si>
  <si>
    <t>/files/media/product/ANG003_6e590dc5-7af1-4aa4-9534-081ebdd7cbe4_439x509.jpg</t>
  </si>
  <si>
    <t>Butterfly ridge</t>
  </si>
  <si>
    <t>CALVET BOURGOGNE CHARDONNAY 750ML</t>
  </si>
  <si>
    <t>/files/media/product/calvetbourgogne.webp</t>
  </si>
  <si>
    <t>CALVET VARIETALS CHARDONNAY 750ML</t>
  </si>
  <si>
    <t>/files/media/product/calvetvarietalschardonnay750ml.webp</t>
  </si>
  <si>
    <t>FRONTERA CHARDONNAY 750ML</t>
  </si>
  <si>
    <t>/files/media/product/fronterachardonnay750ml.jpeg</t>
  </si>
  <si>
    <t>LODEZ CHARDONNAY 750ML</t>
  </si>
  <si>
    <t>/files/media/product/lodezchardonnay750ml.jpeg</t>
  </si>
  <si>
    <t>OREANDA CHARDONNAY 750ML</t>
  </si>
  <si>
    <t>/files/media/product/oreandachardonnay750ml.jpeg</t>
  </si>
  <si>
    <t>Oreanda</t>
  </si>
  <si>
    <t>JACOBS CREEK CHARDONNAY</t>
  </si>
  <si>
    <t>/files/media/product/jacobscreekchardonnay750ml.jpg</t>
  </si>
  <si>
    <t>ALAMOS CHARDONNAY 750ML</t>
  </si>
  <si>
    <t>/files/media/product/ALAMOS CHARDONNAY 750ML.webp</t>
  </si>
  <si>
    <t>ALAMOS</t>
  </si>
  <si>
    <t>CASTILLO DEL CHARDONNAY 750ML</t>
  </si>
  <si>
    <t>/files/media/product/CASTILLO DEL CHARDONNAY 750ML.jpg</t>
  </si>
  <si>
    <t xml:space="preserve">CASTILLO DE FERRER </t>
  </si>
  <si>
    <t>CHALK ROAD CHARDONAY 750ML</t>
  </si>
  <si>
    <t>/files/media/product/CHALK ROAD CHARDONAY 750ML.jpg</t>
  </si>
  <si>
    <t>CHALK ROAD</t>
  </si>
  <si>
    <t>KWV CLASSIC CHENIN BLANC 750ML</t>
  </si>
  <si>
    <t>/files/media/product/kwvclassiccheninblanc750ml.jpeg</t>
  </si>
  <si>
    <t>PAINTED WOLF CHENIN BLANC 750ML</t>
  </si>
  <si>
    <t>/files/media/product/cheninblanc.jpeg</t>
  </si>
  <si>
    <t>Painted wolf</t>
  </si>
  <si>
    <t>LELESHWA CHENIN BLANC 750ML</t>
  </si>
  <si>
    <t>/files/media/product/LELESHWA CHENIN BLANC 750ML.png</t>
  </si>
  <si>
    <t>VAN LOVEREN CHENIN BLANC 750ML</t>
  </si>
  <si>
    <t>/files/media/product/VAN LOVEREN CHENIN BLANC 750ML.jpg</t>
  </si>
  <si>
    <t>PEARLY BAY CHENIN BLANC 750ML</t>
  </si>
  <si>
    <t>/files/media/product/PEARLY BAY CHENIN BLANC 750ML.png</t>
  </si>
  <si>
    <t>PEARLY BAY</t>
  </si>
  <si>
    <t>/files/media/product/ROBERTSON WINERY CHENIN BLANC 750ML.webp</t>
  </si>
  <si>
    <t>Asconi Sweet Flavored Chocolate Red Wine</t>
  </si>
  <si>
    <t>/files/media/product/Asconi Sweet Flavored Chocolate Red Wine.jpg</t>
  </si>
  <si>
    <t>CREMA NOBILE AL CIOCCOLATA 750ML</t>
  </si>
  <si>
    <t>/files/media/product/cremanobilealcioccolata750ml.jpeg</t>
  </si>
  <si>
    <t>Crema nobile</t>
  </si>
  <si>
    <t>OLEPASU ROSSO AL CIOCCOLATO 750ML</t>
  </si>
  <si>
    <t>/files/media/product/OLEPASU ROSSO AL CIOCCOLATO 750ML.png</t>
  </si>
  <si>
    <t>OLEPASU</t>
  </si>
  <si>
    <t>ROSSO NOBILE DARK CHOCOLATE 750ML</t>
  </si>
  <si>
    <t>/files/media/product/ROSSO NOBILE DARK CHOCOLATE 750ML.jpg</t>
  </si>
  <si>
    <t>ROSSO NOBILE</t>
  </si>
  <si>
    <t>ROSSO NOBILE DUBAI CHOCOLATE 750ML</t>
  </si>
  <si>
    <t>/files/media/product/ROSSO NOBILE DUBAI CHOCOLATE 750ML.webp</t>
  </si>
  <si>
    <t>MOILLARD CHABLIS COQUILLAGE 750ML</t>
  </si>
  <si>
    <t>/files/media/product/moillardchabliscoquillage750ml.jpeg</t>
  </si>
  <si>
    <t>Moillard</t>
  </si>
  <si>
    <t>Coquillage</t>
  </si>
  <si>
    <t>MAISON CASTEL CUVEE BRUT 750ML</t>
  </si>
  <si>
    <t>/files/media/product/MAISON CASTEL CUVEE BRUT 750ML.jpeg</t>
  </si>
  <si>
    <t>Cuvee Brut</t>
  </si>
  <si>
    <t>OVERMEER 5LTR</t>
  </si>
  <si>
    <t>/files/media/product/overmeer5ltr.jpeg</t>
  </si>
  <si>
    <t>OLENAISHU RED DRY 750ML</t>
  </si>
  <si>
    <t>/files/media/product/OLENAISHU RED DRY 750ML.webp</t>
  </si>
  <si>
    <t>OLENAISHU</t>
  </si>
  <si>
    <t>/files/media/product/namaquadryred5ltr.jpeg</t>
  </si>
  <si>
    <t>DROSTDY RED CLARET 5LTR</t>
  </si>
  <si>
    <t>/files/media/product/Drostdy-Hof-Red-Claret-5-Litre-600x600-1.jpg</t>
  </si>
  <si>
    <t>FOUR COUSINS RED DRY 1.5LTR</t>
  </si>
  <si>
    <t>/files/media/product/fourcousinsreddry15ltr.jpeg</t>
  </si>
  <si>
    <t>NAMAQUA DRY RED 750ML</t>
  </si>
  <si>
    <t>/files/media/product/namaquadryred750ml.jpg</t>
  </si>
  <si>
    <t>UPPER VALLEY DRY RED 1.5ltr</t>
  </si>
  <si>
    <t>/files/media/product/ARTCAFFE-Nabygelegen-Upper-Valley-Dry-White-1.5L.jpg</t>
  </si>
  <si>
    <t>Upper valley</t>
  </si>
  <si>
    <t>CASTILLO DE FERRER RED DRY 750ML</t>
  </si>
  <si>
    <t>/files/media/product/CASTILLO DE FERRER RED DRY 750ML.jpeg</t>
  </si>
  <si>
    <t>OLEPASU DRY RED 750ML</t>
  </si>
  <si>
    <t>/files/media/product/OLEPASU DRY RED 750ML.jpg</t>
  </si>
  <si>
    <t>UPPER VALLEY DRY RED 750ML</t>
  </si>
  <si>
    <t>/files/media/product/UPPER VALLEY DRY RED 750ML.jpg</t>
  </si>
  <si>
    <t>UPPER VALLEY</t>
  </si>
  <si>
    <t>DROSTDY-HOF G/CRU 750ML</t>
  </si>
  <si>
    <t>/files/media/product/Drostdy_Hof_Premier_Grand_Cru_750ml.jpg</t>
  </si>
  <si>
    <t>DROSTDY HOF WHITE 375ML</t>
  </si>
  <si>
    <t>/files/media/product/DROSTDY HOF WHITE 375ML.ashx</t>
  </si>
  <si>
    <t>DROSTDY-HOF G/CRU 5LTR</t>
  </si>
  <si>
    <t>/files/media/product/drostdy-hofgrandcru5ltr.jpeg</t>
  </si>
  <si>
    <t>NEDERBURG - EDELROOD 750ML</t>
  </si>
  <si>
    <t>/files/media/product/nederburgedelrood750ml.webp</t>
  </si>
  <si>
    <t>Edelrood</t>
  </si>
  <si>
    <t>ROSSO NOBILE EXPRESSO 750ML</t>
  </si>
  <si>
    <t>/files/media/product/rossonobileexpresso750ml.jpeg</t>
  </si>
  <si>
    <t>TILIA MALBEC 750ML</t>
  </si>
  <si>
    <t>/files/media/product/Tilia-Malbec-750ml-600x600-2-1.jpg</t>
  </si>
  <si>
    <t>CATENA MALBEC 750ML</t>
  </si>
  <si>
    <t>/files/media/product/CATENA MALBEC 750ML.jpg</t>
  </si>
  <si>
    <t>TRUMPETER ROSE DE MALBEC 750ml</t>
  </si>
  <si>
    <t>/files/media/product/Greenspoon-Rose-de-Malbec-Trumpeter-Rutini-720x480.jpg</t>
  </si>
  <si>
    <t>RUTINI MALBEC 750ML</t>
  </si>
  <si>
    <t>/files/media/product/rutiniwhite.png</t>
  </si>
  <si>
    <t>Rutini</t>
  </si>
  <si>
    <t>MICHEL TORINO TRADITIONAL MALBEC 750ML</t>
  </si>
  <si>
    <t>/files/media/product/michel torino.jpg</t>
  </si>
  <si>
    <t>ESTANCIA MENDOZA MALBEC 750ml</t>
  </si>
  <si>
    <t>/files/media/product/ESTANCIA MENDOZA MALBEC 750ml.webp</t>
  </si>
  <si>
    <t>ESTANCIA MENDOZA</t>
  </si>
  <si>
    <t>PLAYA DEL SOL MALBEC 75Oml</t>
  </si>
  <si>
    <t>/files/media/product/Playa del Sol MALBEC75OML.jpeg</t>
  </si>
  <si>
    <t>Playa</t>
  </si>
  <si>
    <t>RUTINI ENCUENTRO MALBEC 750ML</t>
  </si>
  <si>
    <t>/files/media/product/rutini-encuentro-malbec.webp</t>
  </si>
  <si>
    <t>ALAMOS MALBEC 750ML</t>
  </si>
  <si>
    <t>TRUMPETER RESERVE MALBEC 750ML</t>
  </si>
  <si>
    <t>/files/media/product/TRUMPETER RESERVE MALBEC 750ML.png</t>
  </si>
  <si>
    <t>TUSSOCK JUMPER MALBEC 750ml</t>
  </si>
  <si>
    <t>/files/media/product/TUSSOCK JUMPER MALBEC 750ml.jpg</t>
  </si>
  <si>
    <t>TUSSOCK JUMPER</t>
  </si>
  <si>
    <t>MICHEL TORINO MALBEC 750ML</t>
  </si>
  <si>
    <t>/files/media/product/MICHEL TORINO MALBEC 750ML.jpeg</t>
  </si>
  <si>
    <t>MICHEL TORINO</t>
  </si>
  <si>
    <t>Asconi Prestige White Semisweet Wine</t>
  </si>
  <si>
    <t>/files/media/product/Asconi Prestige White Semisweet Wine.jpeg</t>
  </si>
  <si>
    <t>Asconi Prestige Red Semisweet Wine</t>
  </si>
  <si>
    <t>/files/media/product/Asconi Prestige Red Semisweet Wine.webp</t>
  </si>
  <si>
    <t>GRANDE FRANCE SEMI SWEET WHITE 750ML</t>
  </si>
  <si>
    <t>/files/media/product/GRANDE FRANCE SEMI SWEET WHITE 750ML.jpeg</t>
  </si>
  <si>
    <t>MARTINI ROSATO 1ltr</t>
  </si>
  <si>
    <t>/files/media/product/MARTINI ROSATO 1ltr.jpg</t>
  </si>
  <si>
    <t>THREE MONKEYS SEMI SWEET RED 750ML</t>
  </si>
  <si>
    <t>/files/media/product/THREE MONKEYS SEMI SWEET RED 750ML.png</t>
  </si>
  <si>
    <t>GATONEGRO SEMI SWEET RED 750ML</t>
  </si>
  <si>
    <t>/files/media/product/Gato-negro-semi-sweet-750ml-1.png</t>
  </si>
  <si>
    <t>LEGENDE MEDOC 750ML</t>
  </si>
  <si>
    <t>/files/media/product/legendemedoc750ml.jpeg</t>
  </si>
  <si>
    <t>ESTANCIA MENDOZA 750ML</t>
  </si>
  <si>
    <t>/files/media/product/ESTANCIA MENDOZA 750ML.jpeg</t>
  </si>
  <si>
    <t>MAISON CASTEL MENDOZA 750ML</t>
  </si>
  <si>
    <t>/files/media/product/MAISON CASTEL MENDOZA 750ML.jpg</t>
  </si>
  <si>
    <t>ESTANCIA MENDOZA MERLOT 750ml</t>
  </si>
  <si>
    <t>/files/media/product/ESTANCIA MENDOZA MERLOT 750ml.png</t>
  </si>
  <si>
    <t>Mendoza Merlot</t>
  </si>
  <si>
    <t>FRONTERA MERLOT 750ML</t>
  </si>
  <si>
    <t>/files/media/product/frontera merlot.jpeg</t>
  </si>
  <si>
    <t>GATONEGRO MERLOT 1.5LTR</t>
  </si>
  <si>
    <t>/files/media/product/GATONEGRO MERLOT 1.5LTR.jpg</t>
  </si>
  <si>
    <t>WELMOED MERLOT 750ML</t>
  </si>
  <si>
    <t>/files/media/product/welmoed.png</t>
  </si>
  <si>
    <t>FIVE'S RESERVE MERLOT ROSE 750ML</t>
  </si>
  <si>
    <t>/files/media/product/FIVE'S RESERVE MERLOT ROSE 750ML.jpeg</t>
  </si>
  <si>
    <t>FIVE'S RESERVE</t>
  </si>
  <si>
    <t>CALVET VARIETALS MERLOT 750ML</t>
  </si>
  <si>
    <t>/files/media/product/calvetvarietalsmerlot750ml.webp</t>
  </si>
  <si>
    <t>CULEMBORG MERLOT 750ML</t>
  </si>
  <si>
    <t>/files/media/product/culemborgmerlot750ml.jpeg</t>
  </si>
  <si>
    <t>JACOBS CREEK MERLOT 750ML</t>
  </si>
  <si>
    <t>/files/media/product/jacobscreekmerlot.jpeg</t>
  </si>
  <si>
    <t>NATURALYS MERLOT 750ML</t>
  </si>
  <si>
    <t>PROTEA MERLOT 750ML</t>
  </si>
  <si>
    <t>/files/media/product/protea_merlot.png</t>
  </si>
  <si>
    <t>Protea</t>
  </si>
  <si>
    <t>SIMONSIG CAB SAUV MERLOT 750ml</t>
  </si>
  <si>
    <t>/files/media/product/Simonsig Cab Sauv Merlot 750ml.jpg</t>
  </si>
  <si>
    <t>WARWICK 750ML</t>
  </si>
  <si>
    <t>/files/media/product/warwick.webp</t>
  </si>
  <si>
    <t>Warwick</t>
  </si>
  <si>
    <t>ASCONI WINERY MERLOT 700ML</t>
  </si>
  <si>
    <t>/files/media/product/ASCONI WINERY MERLOT 700ML.jpeg</t>
  </si>
  <si>
    <t>FRANSCHHOEK CELLAR MERLOT 750ML</t>
  </si>
  <si>
    <t>/files/media/product/fransschoek-merlot.webp</t>
  </si>
  <si>
    <t>Franschhoek cellar</t>
  </si>
  <si>
    <t>ROCHE MAZET MERLOT</t>
  </si>
  <si>
    <t>/files/media/product/ROCHE MAZET MERLOT.jpeg</t>
  </si>
  <si>
    <t>TOMMASI MERLOT 750ML</t>
  </si>
  <si>
    <t>/files/media/product/TOMMASI MERLOT 750ML.webp</t>
  </si>
  <si>
    <t>BAREFOOT MERLOT 750ML</t>
  </si>
  <si>
    <t>/files/media/product/BAREFOOT MERLOT 750ML.png</t>
  </si>
  <si>
    <t>CASTILLO DEL DIABLO MERLOT 750ML</t>
  </si>
  <si>
    <t>/files/media/product/CASTILLO DEL DIABLO MERLOT 750ML.jpg</t>
  </si>
  <si>
    <t>/files/media/product/EXPRESSION MOJITO 750ML.png</t>
  </si>
  <si>
    <t>Mojito</t>
  </si>
  <si>
    <t>EXPRESSION MOSCATO 750ML</t>
  </si>
  <si>
    <t>/files/media/product/EXPRESSION MOSCATO 750ML.jpg</t>
  </si>
  <si>
    <t>EXPRESSION</t>
  </si>
  <si>
    <t>ASCONI MOSCATO 750ML</t>
  </si>
  <si>
    <t>/files/media/product/ASCONI MOSCATO 750ML.webp</t>
  </si>
  <si>
    <t>ASCONI WINERY MOSCAT 700ML</t>
  </si>
  <si>
    <t>/files/media/product/ASCONI WINERY MOSCAT 700ML.webp</t>
  </si>
  <si>
    <t>VINUM MOSCATO DASTI 750ML</t>
  </si>
  <si>
    <t>/files/media/product/VINUM MOSCATO DASTI 750ML.webp</t>
  </si>
  <si>
    <t>VINUM</t>
  </si>
  <si>
    <t>Asconi Sweet Flavored Peach White Wine</t>
  </si>
  <si>
    <t>/files/media/product/Asconi Sweet Flavored Peach White Wine.webp</t>
  </si>
  <si>
    <t>JP CHENET FASHION PINEAPPLE 750ML</t>
  </si>
  <si>
    <t>/files/media/product/jpchenet_pineapple.png</t>
  </si>
  <si>
    <t>TOMMASI PINOT GRIGIO 750ML</t>
  </si>
  <si>
    <t>/files/media/product/TOMMASI PINOT GRIGIO 750ML.jpg</t>
  </si>
  <si>
    <t>Pinot Grigio</t>
  </si>
  <si>
    <t>WELMOED PINOT GRIGIO 750ML</t>
  </si>
  <si>
    <t>/files/media/product/Welmoed-Pinot-Grigio-600x600.png</t>
  </si>
  <si>
    <t>MAISON CASTEL PINOT NOIR 750ML</t>
  </si>
  <si>
    <t>/files/media/product/MAISON CASTEL PINOT NOIR 750ML.jpeg</t>
  </si>
  <si>
    <t>HAUTE CABRIERE UNWOODED PINOTNOIR 750ML</t>
  </si>
  <si>
    <t>/files/media/product/HAUTE CABRIERE UNWOODED PINOTNOIR 750ML.webp</t>
  </si>
  <si>
    <t>PAINTED WOLF PINOTAGE 750ML</t>
  </si>
  <si>
    <t>/files/media/product/PAINTED WOLF PINOTAGE 750ML.webp</t>
  </si>
  <si>
    <t>ROBERTSON WINERY PINOTAGE 750ML</t>
  </si>
  <si>
    <t>/files/media/product/robertsonwinerypinotage750ml.jpeg</t>
  </si>
  <si>
    <t>NEDERBURG - PINOTAGE 750ML</t>
  </si>
  <si>
    <t>/files/media/product/nederburgpinotage750ml.jpeg</t>
  </si>
  <si>
    <t>SIMONSIG PINOTAGE 750ml</t>
  </si>
  <si>
    <t>/files/media/product/Simonsig Pinotage 750ml.jpg</t>
  </si>
  <si>
    <t>TOMMASI PINOTAGE 750ML</t>
  </si>
  <si>
    <t>/files/media/product/TOMMASI PINOTAGE 750ML.jpeg</t>
  </si>
  <si>
    <t>KANONKOP KADETTE PINOTAGE ROSE 750ml</t>
  </si>
  <si>
    <t>/files/media/product/KANONKOP KADETTE PINOTAGE ROSE 750ml.webp</t>
  </si>
  <si>
    <t>Kanonkop</t>
  </si>
  <si>
    <t>VAN AFRICAN JAVA PINOTAGE 750ML</t>
  </si>
  <si>
    <t>/files/media/product/VAN AFRICAN JAVA PINOTAGE 750ML.webp</t>
  </si>
  <si>
    <t>BOTTEGA GOLD 750ML</t>
  </si>
  <si>
    <t>/files/media/product/BOTTEGA GOLD 750ML.png</t>
  </si>
  <si>
    <t>BOTTEGA</t>
  </si>
  <si>
    <t>prosecco</t>
  </si>
  <si>
    <t>BOTTEGA WHITE GOLD 750ML</t>
  </si>
  <si>
    <t>/files/media/product/BOTTEGA WHITE GOLD 750ML.webp</t>
  </si>
  <si>
    <t>LE BOLICINE PROSECO 750ML</t>
  </si>
  <si>
    <t>/files/media/product/LE BOLICINE PROSECO 750ML.png</t>
  </si>
  <si>
    <t>LE BOLICINE</t>
  </si>
  <si>
    <t>VINUM PROSECO 750ML</t>
  </si>
  <si>
    <t>/files/media/product/VINUMPROSECCO750ML.webp</t>
  </si>
  <si>
    <t>Vinum</t>
  </si>
  <si>
    <t>/files/media/product/BIG OAK RED 750ML.jpeg</t>
  </si>
  <si>
    <t>MENAGE A TROIS ZINFANDEL 2019 750ML</t>
  </si>
  <si>
    <t>/files/media/product/Menage_a_Trois_Folie_Red.jpg</t>
  </si>
  <si>
    <t>Menage a trois</t>
  </si>
  <si>
    <t>ALTAR WINE 750ml</t>
  </si>
  <si>
    <t>/files/media/product/ALTAR WINE 750ml.jpeg</t>
  </si>
  <si>
    <t>ALTER WINE</t>
  </si>
  <si>
    <t>ARNISTON BAY RED 750ML</t>
  </si>
  <si>
    <t>/files/media/product/ARNISTON BAY RED 750ML.jpeg</t>
  </si>
  <si>
    <t>ARNISTON</t>
  </si>
  <si>
    <t>BOTTEGA ROSSO 2016 750ml</t>
  </si>
  <si>
    <t>/files/media/product/BOTTEGA ROSSO 2016 750 ML.webp</t>
  </si>
  <si>
    <t>BRUCE JACK 750ML</t>
  </si>
  <si>
    <t>/files/media/product/BRUCE JACK 750ML.jpeg</t>
  </si>
  <si>
    <t>BRUCE JACK</t>
  </si>
  <si>
    <t>CALVET GRANDE RESERVE BORDEAUX 1.5LTR</t>
  </si>
  <si>
    <t>/files/media/product/CALVET GRANDE RESERVE BORDEAUX 1.5LTR.jpeg</t>
  </si>
  <si>
    <t>CALVET</t>
  </si>
  <si>
    <t>CARLO ROSSI RED 1.5LTR</t>
  </si>
  <si>
    <t>/files/media/product/carlo rossi red.webp</t>
  </si>
  <si>
    <t>CARLO ROSSI RED WINE 750ML</t>
  </si>
  <si>
    <t>/files/media/product/carlorossiredwine750ml.webp</t>
  </si>
  <si>
    <t>CARNIVOR 750ML</t>
  </si>
  <si>
    <t>/files/media/product/carnivor750ml.jpg</t>
  </si>
  <si>
    <t>Carnivor</t>
  </si>
  <si>
    <t>CINZANO VINO SPUMANTE 750ML</t>
  </si>
  <si>
    <t>/files/media/product/CINZANO VINO SPUMANTE 750ML.jpg</t>
  </si>
  <si>
    <t>CINZANO</t>
  </si>
  <si>
    <t>CULEMBORG CAPE RED 1.5LTR</t>
  </si>
  <si>
    <t>/files/media/product/culemborg_cape_red.jpg</t>
  </si>
  <si>
    <t>HERITAGE AOP LANGUEDOC 750ML</t>
  </si>
  <si>
    <t>/files/media/product/heritageaoplanguedoc750ml.jpeg</t>
  </si>
  <si>
    <t>Heritage</t>
  </si>
  <si>
    <t>ITINERA PROSECCO 750ML</t>
  </si>
  <si>
    <t>/files/media/product/ITINERA PROSECCO 750ML.jpeg</t>
  </si>
  <si>
    <t>ITINERA</t>
  </si>
  <si>
    <t>KANONKOP KADETTE 750ML</t>
  </si>
  <si>
    <t>/files/media/product/kanonkop-estate-cabernet-sauvignon.webp</t>
  </si>
  <si>
    <t>KWV CAPE RUBY 750ml</t>
  </si>
  <si>
    <t>/files/media/product/KWV CAPE RUBY 750ML.png</t>
  </si>
  <si>
    <t>MIKADO RED 750ML</t>
  </si>
  <si>
    <t>/files/media/product/mikado.avif</t>
  </si>
  <si>
    <t>Mikado</t>
  </si>
  <si>
    <t>MIRADOR RED 750ML</t>
  </si>
  <si>
    <t>/files/media/product/MIRADOR RED 750ML.jpeg</t>
  </si>
  <si>
    <t>NAMAQUA JOHANNISBERGER RED 5LTR</t>
  </si>
  <si>
    <t>/files/media/product/namaquajohannisbergerred5ltr.jpeg</t>
  </si>
  <si>
    <t>PENASOL ALREN 750ML</t>
  </si>
  <si>
    <t>/files/media/product/PENASOL ALREN 750ML.jpeg</t>
  </si>
  <si>
    <t>PENASOL RED WINE 1LTR</t>
  </si>
  <si>
    <t>/files/media/product/images (7).jpeg</t>
  </si>
  <si>
    <t>SANDEMAN FINE RUBY 1ltr</t>
  </si>
  <si>
    <t>/files/media/product/SANDEMAN FINE RUBY 1000ML.jpg</t>
  </si>
  <si>
    <t>THE CHOCOLATE BLOCK 750ML</t>
  </si>
  <si>
    <t>/files/media/product/thechocolateblock750ml.jpg</t>
  </si>
  <si>
    <t>Chocolate block</t>
  </si>
  <si>
    <t>THE GUV'NOR RED 750ML</t>
  </si>
  <si>
    <t>/files/media/product/the guv nor red 750ml.jpeg</t>
  </si>
  <si>
    <t>TOMMASI 750ML</t>
  </si>
  <si>
    <t>/files/media/product/TOMMASI AMARONE 750ML.webp</t>
  </si>
  <si>
    <t>Amarone tammosi</t>
  </si>
  <si>
    <t>/files/media/product/TOMMASI AMARONE DELLA VALPOLICELLA CLASSICO 750ML.webp</t>
  </si>
  <si>
    <t>TWIGA HILL 750ML</t>
  </si>
  <si>
    <t>/files/media/product/TWIGA HILL 750ML.jpeg</t>
  </si>
  <si>
    <t>ZONIN PROSECCO750ml</t>
  </si>
  <si>
    <t>/files/media/product/ZONIN Prosecco 750ML.jpg</t>
  </si>
  <si>
    <t>Zonin</t>
  </si>
  <si>
    <t>B&amp;G MALBEC IGP PAYS DOC 750ML</t>
  </si>
  <si>
    <t>/files/media/product/B&amp;G MALBEC IGP PAYS DOC 750ML.jpeg</t>
  </si>
  <si>
    <t>AMARONE VALPOLI RED 750ML</t>
  </si>
  <si>
    <t>/files/media/product/AMARONE VALPOLI RED 750ML.jpg</t>
  </si>
  <si>
    <t>AMARONE</t>
  </si>
  <si>
    <t>/files/media/product/BITOLA RED 750ML.jpg</t>
  </si>
  <si>
    <t>BITOLA</t>
  </si>
  <si>
    <t>FOOTPRINT RED 5LTR</t>
  </si>
  <si>
    <t>/files/media/product/FOOTPRINT RED 5LTR.webp</t>
  </si>
  <si>
    <t>FOOTPRINT</t>
  </si>
  <si>
    <t>NEDERBURG - RIESLING 750ML</t>
  </si>
  <si>
    <t>/files/media/product/nederburgriesling750ml.jpeg</t>
  </si>
  <si>
    <t>Riesling</t>
  </si>
  <si>
    <t>MESTA ROSE 750ML</t>
  </si>
  <si>
    <t>/files/media/product/MESTA ROSE 750ML.webp</t>
  </si>
  <si>
    <t>MESTA</t>
  </si>
  <si>
    <t>WATERFORD ROSEMARY 750ML</t>
  </si>
  <si>
    <t>/files/media/product/WATERFORD ROSEMARY 750ML.jpg</t>
  </si>
  <si>
    <t>FRANSCHHOEK CELLAR BRUT ROSE 750ML</t>
  </si>
  <si>
    <t>/files/media/product/franschhoekcellarbrutrose75cl.webp</t>
  </si>
  <si>
    <t>THE BEACHHOUSE ROSE 750ML</t>
  </si>
  <si>
    <t>/files/media/product/THE BEACHHOUSE ROSE 750ML.jpg</t>
  </si>
  <si>
    <t>THE BEACHHOUSE</t>
  </si>
  <si>
    <t>MATEUS ROSE 1.5LTR</t>
  </si>
  <si>
    <t>/files/media/product/mateusrose.jpg</t>
  </si>
  <si>
    <t>Mateus</t>
  </si>
  <si>
    <t>LODEZ CINSAULT ROSE 750ML</t>
  </si>
  <si>
    <t>/files/media/product/Lodez-Cinsault.png</t>
  </si>
  <si>
    <t>FESTA ROSE DOLCEE</t>
  </si>
  <si>
    <t>Festa spumante</t>
  </si>
  <si>
    <t>CARLO ROSSI ROSE 750ML</t>
  </si>
  <si>
    <t>/files/media/product/carlorossipink750ml.png</t>
  </si>
  <si>
    <t>ARMAND DE BRIGNAC ROSE 750ML</t>
  </si>
  <si>
    <t>/files/media/product/ARMAND DE BRIGNAC ROSE 750ML.jpeg</t>
  </si>
  <si>
    <t>ARMAND</t>
  </si>
  <si>
    <t>CHANGE GRENACHE-SYRAH ROSE (ORGANIC) 750ML</t>
  </si>
  <si>
    <t>/files/media/product/changegrenache-syrahrose(organic)750ml.jpeg</t>
  </si>
  <si>
    <t>Change</t>
  </si>
  <si>
    <t>CONSIGNIA ROSE 750ML</t>
  </si>
  <si>
    <t>/files/media/product/CONSIGNIA ROSE 750ML.jpg</t>
  </si>
  <si>
    <t>GRANDE FRANCE ROSE 750ML</t>
  </si>
  <si>
    <t>/files/media/product/GRANDE FRANCE ROSE 750ML.webp</t>
  </si>
  <si>
    <t>MARA ROSE 750ML</t>
  </si>
  <si>
    <t>/files/media/product/MARA ROSE 750ML.jpg</t>
  </si>
  <si>
    <t>MARA</t>
  </si>
  <si>
    <t>MARTINI ROSE 750ML</t>
  </si>
  <si>
    <t>/files/media/product/MARTINI ROSE 750ML.webp</t>
  </si>
  <si>
    <t>NEDERBURG - ROSE 750 ML</t>
  </si>
  <si>
    <t>/files/media/product/nederburg-classic-rose-website-pack-shot.png</t>
  </si>
  <si>
    <t>OMBRE ROSE 750ML</t>
  </si>
  <si>
    <t>/files/media/product/ombrerose750ml.jpeg</t>
  </si>
  <si>
    <t>Ombre</t>
  </si>
  <si>
    <t>PROSECO ROSE 750ML</t>
  </si>
  <si>
    <t>/files/media/product/PROSECO ROSE 750ML.jpeg</t>
  </si>
  <si>
    <t>PROSECO</t>
  </si>
  <si>
    <t>RUINART ROSE 750ML</t>
  </si>
  <si>
    <t>/files/media/product/images (9).jpeg</t>
  </si>
  <si>
    <t>SAINT CELINE ROSE WINE 750ML</t>
  </si>
  <si>
    <t>/files/media/product/SAINT CELINE ROSE WINE 750ML.jpeg</t>
  </si>
  <si>
    <t>SAINT CELINE</t>
  </si>
  <si>
    <t>ARNISTON BAY ROSE 750ML</t>
  </si>
  <si>
    <t>/files/media/product/ARNISTON BAY ROSE 750ML.avif</t>
  </si>
  <si>
    <t>ARNISTON BAY</t>
  </si>
  <si>
    <t>CHARLES HEIDESECK ROSE 750ML</t>
  </si>
  <si>
    <t>/files/media/product/CHARLES HEIDESECK ROSE 750ML.jpeg</t>
  </si>
  <si>
    <t>CHARLES HEIDESECK</t>
  </si>
  <si>
    <t>GRAHAM BECK BRUT ROSE 750ML</t>
  </si>
  <si>
    <t>GRAHAM BECK</t>
  </si>
  <si>
    <t>VAN MOSCATO ROSE PERLE 750ML</t>
  </si>
  <si>
    <t>/files/media/product/VAN MOSCATO ROSE PERLE 750ML.jpg</t>
  </si>
  <si>
    <t>SANGRIA PENASOL 1LTR</t>
  </si>
  <si>
    <t>/files/media/product/SANGRIA PENASOL 1LTR.png</t>
  </si>
  <si>
    <t>SANGRIA</t>
  </si>
  <si>
    <t>PENASOL SANGRIA 1.5 LTRS</t>
  </si>
  <si>
    <t>/files/media/product/PENASOL SANGRIA1.5 LTRS.jpg</t>
  </si>
  <si>
    <t>SANDARA PREMIUM SANGIRIA 750ML</t>
  </si>
  <si>
    <t>SOUTHERN OCEAN SAUV BLANC 750ML</t>
  </si>
  <si>
    <t>/files/media/product/SOUTHERN OCEAN SAUV BLANC 750ML.jpeg</t>
  </si>
  <si>
    <t>SOUTHERN OCEAN</t>
  </si>
  <si>
    <t>/files/media/product/frontera sauv.png</t>
  </si>
  <si>
    <t>FRONTERA SAUV BLANC 1.5LTR</t>
  </si>
  <si>
    <t>/files/media/product/frontera-sauv-blanc (2).webp</t>
  </si>
  <si>
    <t>SUNRISE SAUV BLANC 1.5LTR</t>
  </si>
  <si>
    <t>/files/media/product/SUNRISE SAUV BLANC 1.5LTR.jpeg</t>
  </si>
  <si>
    <t>WELMOED SAUV BLANC 750ML</t>
  </si>
  <si>
    <t>/files/media/product/welmoedsauvblanc.webp</t>
  </si>
  <si>
    <t>/files/media/product/Bruce-Jack-Lifestyle-Sauvignon-Blanc_NV_640 (1).webp</t>
  </si>
  <si>
    <t>CALVET RÉSERVE BORDEAUX SAUV BLANC 750ML</t>
  </si>
  <si>
    <t>/files/media/product/calvetréservebordeauxsauvignonblanc750ml.png</t>
  </si>
  <si>
    <r>
      <rPr>
        <sz val="11"/>
        <color theme="1"/>
        <rFont val="C059"/>
        <charset val="134"/>
      </rPr>
      <t>/files/media/product/calvetr</t>
    </r>
    <r>
      <rPr>
        <sz val="11"/>
        <color theme="1"/>
        <rFont val="Calibri"/>
        <charset val="134"/>
      </rPr>
      <t>閼煎嵒</t>
    </r>
    <r>
      <rPr>
        <sz val="11"/>
        <color theme="1"/>
        <rFont val="C059"/>
        <charset val="134"/>
      </rPr>
      <t>ervebordeauxsauvignonblanc750ml.png</t>
    </r>
  </si>
  <si>
    <t>CALVET VARIETALS SAUV BLANC 750ML</t>
  </si>
  <si>
    <t>/files/media/product/25000420005.jpg</t>
  </si>
  <si>
    <t>LODEZ SAUV BLANC 750ML</t>
  </si>
  <si>
    <t>/files/media/product/lodezsauvblanc2.jpeg</t>
  </si>
  <si>
    <t>SIMONSIG SAUV BLANC SEMILLON 750ml</t>
  </si>
  <si>
    <t>/files/media/product/Simonsig Sauv Blanc Semillon 750ml.jpeg</t>
  </si>
  <si>
    <t>VINA MAIPO SAUV BLANC 750ML</t>
  </si>
  <si>
    <t>/files/media/product/vinamaiposouvblanc750ml.webp</t>
  </si>
  <si>
    <t>CASTILLO DEL MOLINA SAUV BLANC 750ML</t>
  </si>
  <si>
    <t>/files/media/product/CASTILLO DEL MOLINA SAUV BLANC 750ML.jpeg</t>
  </si>
  <si>
    <t>FAIRVIEW DARLING SAUV BLANC 750ml</t>
  </si>
  <si>
    <t>/files/media/product/FAIRVIEW DARLING SAUV BLANC 750ml.jpeg</t>
  </si>
  <si>
    <t>/files/media/product/kleinerustsavignonblanc1.5ltr.jpeg</t>
  </si>
  <si>
    <t>Kleine rust</t>
  </si>
  <si>
    <t>SWARTLAND SAUV BLANC 750ML</t>
  </si>
  <si>
    <t>/files/media/product/SWARTLAND SAUV BLANC 750ML.webp</t>
  </si>
  <si>
    <t>ARNISTON BAY SAUVIGNON 750ML</t>
  </si>
  <si>
    <t>/files/media/product/ARNISTON BAY SAUVIGNON 750ML.jpg</t>
  </si>
  <si>
    <t>BUSHMANSPAD SAUV BLANC 750ML</t>
  </si>
  <si>
    <t>/files/media/product/BUSHMANSPAD SAUV BLANC 750ML.webp</t>
  </si>
  <si>
    <t>BUSHMANSPAD</t>
  </si>
  <si>
    <t>CHALK ROAD SAV BLANC 750ML</t>
  </si>
  <si>
    <t>/files/media/product/CHALK ROAD SAV BLANC 750ML.png</t>
  </si>
  <si>
    <t>VAN SAUVIGNON BLANC 750ML</t>
  </si>
  <si>
    <t>/files/media/product/VAN SAUVIGNON BLANC 750ML.jpg</t>
  </si>
  <si>
    <t>WATERFORD SAUV BLANC 750ML</t>
  </si>
  <si>
    <t>/files/media/product/WATERFORD SAUV BLANC 750ML.webp</t>
  </si>
  <si>
    <t>VAN RIVER RED SHIRAZ PINOTAGE 750ML</t>
  </si>
  <si>
    <t>/files/media/product/VAN RIVER RED SHIRAZ PINOTAGE 750ML.png</t>
  </si>
  <si>
    <t>THE BEACHHOUSE SHIRAZ 750ML</t>
  </si>
  <si>
    <t>/files/media/product/The-Beach-House-Shiraz.jpg</t>
  </si>
  <si>
    <t>Beachhouse</t>
  </si>
  <si>
    <t>NEDERBURG - SHIRAZ 750ML</t>
  </si>
  <si>
    <t>/files/media/product/NEDERBURG - SHIRAZ 750ML.jpeg</t>
  </si>
  <si>
    <t>ARGENTO SHIRAZ 750ml</t>
  </si>
  <si>
    <t>/files/media/product/ARGENTO SHIRAZ 750ml.jpg</t>
  </si>
  <si>
    <t>ARNISTON BAY SHIRAZ 750ML</t>
  </si>
  <si>
    <t>/files/media/product/ARNISTON BAY SHIRAZ 750ML.jpeg</t>
  </si>
  <si>
    <t>JACOB'S CREEK RESERVE SHIRAZ 750ML</t>
  </si>
  <si>
    <t>/files/media/product/JACOB'S CREEK RESERVE SHIRAZ 750ML.jpg</t>
  </si>
  <si>
    <t>JAM JAR SWEET SHIRAZ 750ML</t>
  </si>
  <si>
    <t>/files/media/product/JAM JAR SWEET SHIRAZ 750ML.png</t>
  </si>
  <si>
    <t>JAM JAR</t>
  </si>
  <si>
    <t>1692 SPIER CREATIVE BLOCK 3 SHIRAZ 750ML</t>
  </si>
  <si>
    <t>/files/media/product/1692 spier (3) shiraz.webp</t>
  </si>
  <si>
    <t>Spier</t>
  </si>
  <si>
    <t>JACOB'S CREEK CLASSIC SHIRAZ 750ML</t>
  </si>
  <si>
    <t>/files/media/product/jacobscreekshiraz.jpeg</t>
  </si>
  <si>
    <t>NEDERBURG - MANOR HOUSE SHIRAZ 750ML</t>
  </si>
  <si>
    <t>/files/media/product/nederburgmanorhouseshiraz750ml.jpeg</t>
  </si>
  <si>
    <t>JACOB'S CREEK ROSE 750ML</t>
  </si>
  <si>
    <t>/files/media/product/JACOB'S CREEK ROSE 750ML.jpg</t>
  </si>
  <si>
    <t>MAISON CASTEL CAB SAUV 750ML</t>
  </si>
  <si>
    <t>/files/media/product/maisoncastelcarbanetsauvignon750ml.jpeg</t>
  </si>
  <si>
    <t>OREANDA CRYSTAL BRUT 750ML</t>
  </si>
  <si>
    <t>/files/media/product/oreanda-crystal-brut.webp</t>
  </si>
  <si>
    <t>SCAVI &amp; RAY PROSECCO 750ML</t>
  </si>
  <si>
    <t>/files/media/product/SCAVI &amp; RAY PROSECCO 750ML.webp</t>
  </si>
  <si>
    <t>SCAVI &amp; RAY</t>
  </si>
  <si>
    <t>/files/media/product/CASALDOMO CUVEE BRUT 750ML.jpg</t>
  </si>
  <si>
    <t>CASALDOMO</t>
  </si>
  <si>
    <t>CASTILLO DE FERRER BRUT SPARKLING 750ML</t>
  </si>
  <si>
    <t>/files/media/product/CASTILLO DE FERRER BRUT SPARKLING 750ML.png</t>
  </si>
  <si>
    <t>LUC BELAIRE BRUT GOLD 1.5LTR</t>
  </si>
  <si>
    <t>VAN BRUT SPARKLING 750ML</t>
  </si>
  <si>
    <t>/files/media/product/VAN BRUT SPARKLING 750ML.webp</t>
  </si>
  <si>
    <t>FOUR COUSINS SWEET SPARKLING WHITE 750ML</t>
  </si>
  <si>
    <t>/files/media/product/FOUR COUSINS SWEET SPARKLING WHITE 750ML.jpeg</t>
  </si>
  <si>
    <t>BARON DE VALLS SPARKLING WHITE WINE 750ML</t>
  </si>
  <si>
    <t>/files/media/product/BARON DE VALLS Sparkling White Wine 750ML.jpg</t>
  </si>
  <si>
    <t>Baron</t>
  </si>
  <si>
    <t>MESTA RED 750ML</t>
  </si>
  <si>
    <t>/files/media/product/MESTA RED 750ML.jpg</t>
  </si>
  <si>
    <t>MUCHO MAS RED 1.5ltrs</t>
  </si>
  <si>
    <t>/files/media/product/MUCHO MAS RED 1.5ltrs.jpeg</t>
  </si>
  <si>
    <t>MUCHO MAS RED 750ML</t>
  </si>
  <si>
    <t>/files/media/product/Mucho-Mas-Vino-Tinto-75cl.jpg</t>
  </si>
  <si>
    <t>CAPRICE NATURAL SWEET RED 1LTR</t>
  </si>
  <si>
    <t>/files/media/product/Caprice-sweet-red.png</t>
  </si>
  <si>
    <t>FOUR COUSIN SWEET RED 5LTR</t>
  </si>
  <si>
    <t>/files/media/product/fourcousinsweetred5ltr.jpeg</t>
  </si>
  <si>
    <t>/files/media/product/Chamdor-Red-750ml.jpg</t>
  </si>
  <si>
    <t>4TH STREET RED 5LTR</t>
  </si>
  <si>
    <t>/files/media/product/4th-street-red-5l.png</t>
  </si>
  <si>
    <t>ASCONI PASTORAL WINE 750ML</t>
  </si>
  <si>
    <t>/files/media/product/asconipastoral750ml.jpg</t>
  </si>
  <si>
    <t>ROSSO NOBILE RASPBERRY &amp; LEMON - BUBBLY 750ML</t>
  </si>
  <si>
    <t>/files/media/product/Buy-Rosso-Nobile-Raspberry-and-Lemon-Bubbly-750ml-online-in-Nairobi.jpg</t>
  </si>
  <si>
    <t>PIERRE MARCEL SWEET RED 750ML</t>
  </si>
  <si>
    <t>/files/media/product/pierremarcelsweetred750ml.jpeg</t>
  </si>
  <si>
    <t>BIRDS N BEES SWEET RED 750ML</t>
  </si>
  <si>
    <t>/files/media/product/BIRDS N BEES SWEET RED 750ML.png</t>
  </si>
  <si>
    <t>Birds N Bees</t>
  </si>
  <si>
    <t>ROBERTSON - SWEET RED 1.5LT</t>
  </si>
  <si>
    <t>/files/media/product/robertson-sweet-red-750 (1).png</t>
  </si>
  <si>
    <t>4TH STREET RED 1.5LTR</t>
  </si>
  <si>
    <t>/files/media/product/4th-street-red 1.5l.png</t>
  </si>
  <si>
    <t>FRONTERA SWEET RED 750ML</t>
  </si>
  <si>
    <t>/files/media/product/20210731_150603-011-1-scaled.jpeg</t>
  </si>
  <si>
    <t>MOHANS RESERVE - REDSWEET WINE 750ML</t>
  </si>
  <si>
    <t>/files/media/product/mohansreserveredsweetwine750ml.jpeg</t>
  </si>
  <si>
    <t>Mohans</t>
  </si>
  <si>
    <t>NAMAQUA SWEET RED 750ML</t>
  </si>
  <si>
    <t>/files/media/product/Namaquasweetwhite.png</t>
  </si>
  <si>
    <t>NOBLE SWEET RED 750ML</t>
  </si>
  <si>
    <t>/files/media/product/SWEET_RED_Nobel.jpg.180x0_q85_autocrop_crop-smart_upscale-1100x1100-1.jpg</t>
  </si>
  <si>
    <t>ROSSO NOBILE NACIOLLA 750ML</t>
  </si>
  <si>
    <t>/files/media/product/ROSSO NOBILE NACIOLLA 750ML.jpeg</t>
  </si>
  <si>
    <t>SAINT CELINE RED WINE 750ML</t>
  </si>
  <si>
    <t>/files/media/product/SAINT CELINE RED WINE 750ML.jpeg</t>
  </si>
  <si>
    <t>SECRET SAFARI CHERRY RED 750ML</t>
  </si>
  <si>
    <t>/files/media/product/SECRET SAFARI CHERRY RED 750ML.jpg</t>
  </si>
  <si>
    <t>SECRET SAFARI</t>
  </si>
  <si>
    <t>ST. CELINE 750ML</t>
  </si>
  <si>
    <t>St Celine</t>
  </si>
  <si>
    <t>VERSUS SWEET RED 750ML</t>
  </si>
  <si>
    <t>/files/media/product/Buy-Versus-Sweet-Red-online-in-Nairobi.png</t>
  </si>
  <si>
    <t>VINA MAIPO SWEET RED 750ML</t>
  </si>
  <si>
    <t>/files/media/product/VINA MAIPO SWEET RED 750ML.avif</t>
  </si>
  <si>
    <t>VINA MAIPO</t>
  </si>
  <si>
    <t>DOMPO SWT RED 750ML</t>
  </si>
  <si>
    <t>/files/media/product/DOMPO SWT RED 750ML.jpg</t>
  </si>
  <si>
    <t>JAM JAR SWEET RED 750ML</t>
  </si>
  <si>
    <t>/files/media/product/JAM JAR SWEET RED 750ML.jpg</t>
  </si>
  <si>
    <t>CASTILLO DE FERRER RED SWEET 750ML</t>
  </si>
  <si>
    <t>/files/media/product/CASTILLO DE FERRER RED SWEET 750ML.jpeg</t>
  </si>
  <si>
    <t>HAMSINI SWEET RED 750ML</t>
  </si>
  <si>
    <t>/files/media/product/HAMSINI SWEET RED 750ML.jpg</t>
  </si>
  <si>
    <t>HAMSINI</t>
  </si>
  <si>
    <t>LOLIE SWEET RED 750ML</t>
  </si>
  <si>
    <t>/files/media/product/LOLIE SWEET RED 750ML.avif</t>
  </si>
  <si>
    <t>LOLIE</t>
  </si>
  <si>
    <t>OLENAISHU RED SWEET 750ML</t>
  </si>
  <si>
    <t>/files/media/product/OLENAISHU RED SWEET 750ML.jpg</t>
  </si>
  <si>
    <t>OLEPASU SWEET RED 750ML</t>
  </si>
  <si>
    <t>/files/media/product/OLEPASU SWEET RED 750ML.jpg</t>
  </si>
  <si>
    <t>VINO DE MISA SWEET RED SUPERIOR 750ML</t>
  </si>
  <si>
    <t>/files/media/product/VINO DE MISA SWEET RED SUPERIOR 750ML.webp</t>
  </si>
  <si>
    <t>VINO DE MISA</t>
  </si>
  <si>
    <t>EXPRESSION PINK ROSE 750ML</t>
  </si>
  <si>
    <t>/files/media/product/EXPRESSION PINK ROSE 750ML.jpg</t>
  </si>
  <si>
    <t>SWEET LIPS SWEET ROSE 1LTR</t>
  </si>
  <si>
    <t>/files/media/product/sweetlipssweetrose1ltr.jpg</t>
  </si>
  <si>
    <t>Asconi Sweet Flavored Strawberry Rose Wine</t>
  </si>
  <si>
    <t>/files/media/product/Asconi Sweet Flavored Strawberry Rose Wine.webp</t>
  </si>
  <si>
    <t>DROSTDY SWEET ROSE 750ML</t>
  </si>
  <si>
    <t>/files/media/product/DROSTDY SWEET ROSE 750ML.webp</t>
  </si>
  <si>
    <t>DUCHESALIA FRAGOLINO ROSE 750ML</t>
  </si>
  <si>
    <t>/files/media/product/DUCHESALIA FRAGOLINO ROSE 750ML.webp</t>
  </si>
  <si>
    <t>FRONTERA SWEET ROSE 750ML</t>
  </si>
  <si>
    <t>/files/media/product/FRONTERA SWEET ROSE 750ML.jpg</t>
  </si>
  <si>
    <t>FOUR COUSINS SWEET ROSE 750ML</t>
  </si>
  <si>
    <t>NAMAQUA SWT ROSE 5LTR</t>
  </si>
  <si>
    <t>/files/media/product/NAMAQUA SWT ROSE 5LTR.webp</t>
  </si>
  <si>
    <t>BIRDS N BEES SWEET WHITE 750ML</t>
  </si>
  <si>
    <t>/files/media/product/BIRDS N BEES SWEET WHITE 750ML.jpg</t>
  </si>
  <si>
    <t>MOHANS RESERVE - WHITE SWEET 750ML</t>
  </si>
  <si>
    <t>/files/media/product/mohansreservewhitesweet750ml.jpg</t>
  </si>
  <si>
    <t>SWEET LIPS SWEET WHITE 1LTR</t>
  </si>
  <si>
    <t>/files/media/product/Sweet-Lips-Natural-Sweet-White-Wine-1Ltr.jpg</t>
  </si>
  <si>
    <t>DOMPO SWT WHITE 750ML</t>
  </si>
  <si>
    <t>/files/media/product/DOMPO SWT WHITE 750ML.png</t>
  </si>
  <si>
    <t>JAM JAR SWEET WHITE 750ML</t>
  </si>
  <si>
    <t>/files/media/product/JAM JAR SWEET WHITE 750ML.jpg</t>
  </si>
  <si>
    <t>4TH STREET WHITE 5LTR</t>
  </si>
  <si>
    <t>/files/media/product/4thstreetwhite5ltr.jpeg</t>
  </si>
  <si>
    <t>FOUR COUSINS WHITE 5LTR</t>
  </si>
  <si>
    <t>/files/media/product/fourcousinswhite5ltr.jpeg</t>
  </si>
  <si>
    <t>LELESHWA SWEET WHITE WINE 750ML</t>
  </si>
  <si>
    <t>/files/media/product/leleshwa sweetwhitewine.jpg</t>
  </si>
  <si>
    <t>NAMAQUA SWEET WHITE 750ML</t>
  </si>
  <si>
    <t>/files/media/product/NAMAQUA SWEET WHITE 750ML.webp</t>
  </si>
  <si>
    <t>ROOIBERG WINERY SWEET WHITE 750ML</t>
  </si>
  <si>
    <t>/files/media/product/rooibergwinerysweetwhite750ml.jpeg</t>
  </si>
  <si>
    <t>Rooiberg winery</t>
  </si>
  <si>
    <t>UPPER VALLEY SWEET WHITE 750ML</t>
  </si>
  <si>
    <t>/files/media/product/upper valley.png</t>
  </si>
  <si>
    <t>CASTILLO DE FERRER WHITE SWEET 750ML 750ML</t>
  </si>
  <si>
    <t>/files/media/product/CASTILLO DE FERRER WHITE SWEET 750ML 750ML.jpeg</t>
  </si>
  <si>
    <t>HAMSINI SWEET WHITE750ML</t>
  </si>
  <si>
    <t>/files/media/product/HAMSINI SWEET WHITE750ML.avif</t>
  </si>
  <si>
    <t>LOLIE SWEET WHITE 750ML</t>
  </si>
  <si>
    <t>/files/media/product/LOLIE SWEET WHITE 750ML.avif</t>
  </si>
  <si>
    <t>OLENAISHU WHITE SWEET 750ML</t>
  </si>
  <si>
    <t>/files/media/product/OLENAISHU WHITE SWEET 750ML.jpg</t>
  </si>
  <si>
    <t>OLEPASU SWEET WHITE750ML</t>
  </si>
  <si>
    <t>/files/media/product/OLEPASU SWEET WHITE750ML.jpg</t>
  </si>
  <si>
    <t>CALVET VARIETALS SYRAH 750ML</t>
  </si>
  <si>
    <t>/files/media/product/calvetvarietalssyrah750ml.jpg</t>
  </si>
  <si>
    <t>CASTEL SYRAH 750ML</t>
  </si>
  <si>
    <t>BELLINGHAM PREMIER GRANC CRU 750ML</t>
  </si>
  <si>
    <t>/files/media/product/BELLINGHAM PREMIER GRANC CRU 750ML.avif</t>
  </si>
  <si>
    <t>BARON D' ARIGNAC ASSORTED 5LTRS</t>
  </si>
  <si>
    <t>/files/media/product/BARON D' AGNAC 5LTTRS.jpg</t>
  </si>
  <si>
    <t>FOOTPRINT WHITE 5LTR</t>
  </si>
  <si>
    <t>/files/media/product/FOOTPRINT WHITE 5LTR.webp</t>
  </si>
  <si>
    <t>ROCCA DEI FORTI WHITE 750ML</t>
  </si>
  <si>
    <t>/files/media/product/rocca del forti.webp</t>
  </si>
  <si>
    <t>THREE MONKEY'S WHITE 750ML</t>
  </si>
  <si>
    <t>/files/media/product/THREE MONKEY'S WHITE 750ML.webp</t>
  </si>
  <si>
    <t>/files/media/product/SILK &amp;SPICE 750ML.jpg</t>
  </si>
  <si>
    <t>SILK &amp; SPICE</t>
  </si>
  <si>
    <t>EXPRESSION MIMOSA 750ML</t>
  </si>
  <si>
    <t>/files/media/product/EXPRESSION MIMOSA 750ML.jpg</t>
  </si>
  <si>
    <t>QUINTA DOS TAWNY PORT 750ML</t>
  </si>
  <si>
    <t>/files/media/product/QUINTA DOS TAWNY PORT 750ML.jpg</t>
  </si>
  <si>
    <t>QUINTA DOS</t>
  </si>
  <si>
    <t>ROSSO NOBILE BOIS BANDE PHILTRE 750ML 750ML</t>
  </si>
  <si>
    <t>/files/media/product/ROSSO NOBILE BOIS BANDE PHILTRE 750ML 750ML.webp</t>
  </si>
  <si>
    <t>SAINT CLAIRE 750ML</t>
  </si>
  <si>
    <t>/files/media/product/SAINT CLAIRE 750ML.jpg</t>
  </si>
  <si>
    <t>TOMMASI RIPASO 750ML</t>
  </si>
  <si>
    <t>/files/media/product/TOMMASI RIPASO 750ML.webp</t>
  </si>
  <si>
    <t>TOMMASI VALIPOLICELLA 750ML</t>
  </si>
  <si>
    <t>/files/media/product/TOMMASI VALIPOLICELLA 750ML.webp</t>
  </si>
  <si>
    <t>VAN GEWURZTRAMINER 750ML</t>
  </si>
  <si>
    <t>/files/media/product/VAN GEWURZTRAMINER 750ML.png</t>
  </si>
  <si>
    <t>/files/media/product/VINUM 1L ROSSO DABRUZZO ORGANIC 750ML.png</t>
  </si>
  <si>
    <t>VINUM CHIANTI RESERVA 750ML</t>
  </si>
  <si>
    <t>/files/media/product/VINUM CHIANTI RESERVA 750ML.webp</t>
  </si>
  <si>
    <t>BAILEYS MINT CHOCOLATE 1L</t>
  </si>
  <si>
    <t>/files/media/product/BAILEYS MINT CHOCOLATE 1L.jpeg</t>
  </si>
  <si>
    <t>Mint Chocolate</t>
  </si>
  <si>
    <t>FIRE STARTER GIN 700ML</t>
  </si>
  <si>
    <t>/files/media/product/FIRE STARTER GIN 700ML.jpeg</t>
  </si>
  <si>
    <t>Fire Starter</t>
  </si>
  <si>
    <t>TANQUERAY 0.0 700ML</t>
  </si>
  <si>
    <t>/files/media/product/TANQUERAY 0.0 700ML.jpg</t>
  </si>
  <si>
    <t>0.0</t>
  </si>
  <si>
    <t>AMSTERDAM CANNABIS SATIVA RUM 700ML</t>
  </si>
  <si>
    <t>/files/media/product/AMSTERDAM CANNABIS SATIVA RUM 700ML.jpg</t>
  </si>
  <si>
    <t>AMSTERDAM CANNABIS SATIVA</t>
  </si>
  <si>
    <t>HEERING CHERRY LIQUEUR 700ML</t>
  </si>
  <si>
    <t>/files/media/product/HEERING CHERRY LIQUEUR 700ML.jpg</t>
  </si>
  <si>
    <t>Heering</t>
  </si>
  <si>
    <t>JAGERMEISTER ORANGE 1L</t>
  </si>
  <si>
    <t>/files/media/product/JAGERMEISTER ORANGE 1L.webp</t>
  </si>
  <si>
    <t>JAGERMEISTER ORANGE 700ML</t>
  </si>
  <si>
    <t>/files/media/product/JAGERMEISTER ORANGE 700ML.png</t>
  </si>
  <si>
    <t>SPORTMAN KING SIZE</t>
  </si>
  <si>
    <t>/files/media/product/SPORTMAN KING SIZE.jpg</t>
  </si>
  <si>
    <t>Sportsman</t>
  </si>
  <si>
    <t>VELO 3 DOT INDIGO BLUE</t>
  </si>
  <si>
    <t>/files/media/product/VELO 3 DOT INDIGO BLUE.webp</t>
  </si>
  <si>
    <t>Velo</t>
  </si>
  <si>
    <t>3 Dot</t>
  </si>
  <si>
    <t>VELO 3 DOT JADE GREEN</t>
  </si>
  <si>
    <t>/files/media/product/VELO 3 DOT JADE GREEN.webp</t>
  </si>
  <si>
    <t>VELO 5 DOT JADE GREEN</t>
  </si>
  <si>
    <t>/files/media/product/VELO 5 DOT JADE GREEN.webp</t>
  </si>
  <si>
    <t>5 Dot</t>
  </si>
  <si>
    <t>CAPTAIN MORGAN TIKI MANGO &amp; PINEAPPLE 700ML</t>
  </si>
  <si>
    <t>/files/media/product/CAPTAIN MORGAN TIKI MANGO &amp; PINEAPPLE 700ML.jpg</t>
  </si>
  <si>
    <t>Tiki</t>
  </si>
  <si>
    <t>CHARGED ELECTRIC PINEAPPLE ENERGY DRINK 330ML</t>
  </si>
  <si>
    <t>/files/media/product/CHARGED ELECTRIC PINEAPPLE ENERGY DRINK 330ML.webp</t>
  </si>
  <si>
    <t>Charged</t>
  </si>
  <si>
    <t>Pineaple</t>
  </si>
  <si>
    <t>CHARGED LEMON BURST ENERGY DRINK 330ML</t>
  </si>
  <si>
    <t>/files/media/product/CHARGED LEMON BURST ENERGY DRINK 330ML.webp</t>
  </si>
  <si>
    <t>DAWA GINGER DRINK 1L</t>
  </si>
  <si>
    <t>/files/media/product/DAWA GINGER DRINK 1L.webp</t>
  </si>
  <si>
    <t>Dawa</t>
  </si>
  <si>
    <t>FANTA BLACKCURRANT 1L</t>
  </si>
  <si>
    <t>/files/media/product/FANTA BLACKCURRANT 1L.webp</t>
  </si>
  <si>
    <t>Fanta</t>
  </si>
  <si>
    <t>Blackcurrant</t>
  </si>
  <si>
    <t>ALTA AZUL TEQUILA BLANCO 1LTR</t>
  </si>
  <si>
    <t>/files/media/product/ALTA AZUL TEQUILA BLANCO 1LTR.webp</t>
  </si>
  <si>
    <t>Alta Azul</t>
  </si>
  <si>
    <t>ALTA AZUL TEQUILA REPOSADO 1LTR</t>
  </si>
  <si>
    <t>/files/media/product/ALTA AZUL TEQUILA REPOSADO 1LTR.webp</t>
  </si>
  <si>
    <t>DON JULIO 70 CRISTALINO 700ML</t>
  </si>
  <si>
    <t>/files/media/product/DON JULIO 70 CRISTALINO 700ML.jpg</t>
  </si>
  <si>
    <t>HAVANA CLUB ANEJO 3YRS TEQUILA 700ML</t>
  </si>
  <si>
    <t>/files/media/product/HAVANA CLUB ANEJO 3YRS TEQUILA 700ML.jpeg</t>
  </si>
  <si>
    <t>Havana Club</t>
  </si>
  <si>
    <t>EROS BATTERY</t>
  </si>
  <si>
    <t>/files/media/product/EROS BATTERY.webp</t>
  </si>
  <si>
    <t>EROS KIT PEACH MANGO ICE</t>
  </si>
  <si>
    <t>/files/media/product/EROS KIT PEACH MANGO ICE.webp</t>
  </si>
  <si>
    <t>peach mango</t>
  </si>
  <si>
    <t>AMSTERDAM CANNABIS SATIVA VODKA 700ML</t>
  </si>
  <si>
    <t>/files/media/product/AMSTERDAM CANNABIS SATIVA VODKA 700ML.jpg</t>
  </si>
  <si>
    <t>FIRE STARTER VODKA 700ML</t>
  </si>
  <si>
    <t>/files/media/product/FIRE STARTER VODKA 700ML.webp</t>
  </si>
  <si>
    <t>M-16 RIFLE ABSOLUTE STANDARD PREMIUM VODKA 700ML</t>
  </si>
  <si>
    <t>/files/media/product/M-16 RIFLE ABSOLUTE STANDARD PREMIUM VODKA 700ML.jpg</t>
  </si>
  <si>
    <t>GRANTS SELECT WHISKY 750ML</t>
  </si>
  <si>
    <t>/files/media/product/GRANTS SELECT WHISKY 750ML.webp</t>
  </si>
  <si>
    <t>JAMESON BLACK BARREL 1L</t>
  </si>
  <si>
    <t>/files/media/product/JAMESON BLACK BARREL 1L.webp</t>
  </si>
  <si>
    <t>Black Barrel</t>
  </si>
  <si>
    <t>SINGLETON ARTISAN 1L</t>
  </si>
  <si>
    <t>/files/media/product/SINGLETON ARTISAN 1L.jpg</t>
  </si>
  <si>
    <t xml:space="preserve">LA CONSULTA MALBEC </t>
  </si>
  <si>
    <t>/files/media/product/LA CONSULTA MALBEC.webp</t>
  </si>
  <si>
    <t>La Consulta</t>
  </si>
  <si>
    <t>TWINS DRY RED TINTO 5L</t>
  </si>
  <si>
    <t>/files/media/product/TWINS DRY RED TINTO 5L.jpg</t>
  </si>
  <si>
    <t>Twins</t>
  </si>
  <si>
    <t>TWINS DRY WHITE BLANCO 5L</t>
  </si>
  <si>
    <t>/files/media/product/TWINS DRY WHITE BLANCO 5L.webp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</si>
</sst>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059"/>
      <charset val="134"/>
    </font>
    <font>
      <sz val="11"/>
      <color theme="1"/>
      <name val="C059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6" borderId="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 quotePrefix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ventory_invBalanceRetailValue(3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ventory_invBalanceRetailValue(3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ventory_invBalanceValue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register"/>
    </sheetNames>
    <sheetDataSet>
      <sheetData sheetId="0">
        <row r="2">
          <cell r="A2">
            <v>2986</v>
          </cell>
          <cell r="B2" t="str">
            <v>SAVANNA DRY  PREMIUM CAN</v>
          </cell>
        </row>
        <row r="3">
          <cell r="A3">
            <v>3007</v>
          </cell>
          <cell r="B3" t="str">
            <v>FANTA ORANGE 1L</v>
          </cell>
        </row>
        <row r="4">
          <cell r="A4">
            <v>2987</v>
          </cell>
          <cell r="B4" t="str">
            <v>PATRON REPOSADO 1L</v>
          </cell>
        </row>
        <row r="5">
          <cell r="A5">
            <v>1624</v>
          </cell>
          <cell r="B5" t="str">
            <v>PIERRE MARCEL SWEET WHITE 1.5LTR</v>
          </cell>
        </row>
        <row r="6">
          <cell r="A6">
            <v>2153</v>
          </cell>
          <cell r="B6" t="str">
            <v>ZONIN PROSECCO750ml</v>
          </cell>
        </row>
        <row r="7">
          <cell r="A7">
            <v>2480</v>
          </cell>
          <cell r="B7" t="str">
            <v>ZONIN OG BARBERA VENTO 750ML</v>
          </cell>
        </row>
        <row r="8">
          <cell r="A8">
            <v>2479</v>
          </cell>
          <cell r="B8" t="str">
            <v>ZONIN MERLOT FRIULI DOC AQUIEIA 750ML</v>
          </cell>
        </row>
        <row r="9">
          <cell r="A9">
            <v>2149</v>
          </cell>
          <cell r="B9" t="str">
            <v>ZAPPA - RED 750ML</v>
          </cell>
        </row>
        <row r="10">
          <cell r="A10">
            <v>2148</v>
          </cell>
          <cell r="B10" t="str">
            <v>ZAPPA - GREEN 750ML</v>
          </cell>
        </row>
        <row r="11">
          <cell r="A11">
            <v>2147</v>
          </cell>
          <cell r="B11" t="str">
            <v>ZAPPA - CLEAR 750ML</v>
          </cell>
        </row>
        <row r="12">
          <cell r="A12">
            <v>2146</v>
          </cell>
          <cell r="B12" t="str">
            <v>ZAPPA - BLUE 750ML</v>
          </cell>
        </row>
        <row r="13">
          <cell r="A13">
            <v>2145</v>
          </cell>
          <cell r="B13" t="str">
            <v>ZAPPA - BLACK 750ML</v>
          </cell>
        </row>
        <row r="14">
          <cell r="A14">
            <v>2790</v>
          </cell>
          <cell r="B14" t="str">
            <v>ZAPALLARES MERLOT 1500ML</v>
          </cell>
        </row>
        <row r="15">
          <cell r="A15">
            <v>2789</v>
          </cell>
          <cell r="B15" t="str">
            <v>ZAPALLARES CAB SAUV 1500ML</v>
          </cell>
        </row>
        <row r="16">
          <cell r="A16">
            <v>2142</v>
          </cell>
          <cell r="B16" t="str">
            <v>ZAFIRO PINK 1LTR</v>
          </cell>
        </row>
        <row r="17">
          <cell r="A17">
            <v>2343</v>
          </cell>
          <cell r="B17" t="str">
            <v>ZAFIRO ORANGE 1LTR</v>
          </cell>
        </row>
        <row r="18">
          <cell r="A18">
            <v>2141</v>
          </cell>
          <cell r="B18" t="str">
            <v>ZAFIRO CLEAR 1LTR</v>
          </cell>
        </row>
        <row r="19">
          <cell r="A19">
            <v>2366</v>
          </cell>
          <cell r="B19" t="str">
            <v>ZACAPPA 1LTR</v>
          </cell>
        </row>
        <row r="20">
          <cell r="A20">
            <v>2130</v>
          </cell>
          <cell r="B20" t="str">
            <v>WOODFORD RESERVE 700ML</v>
          </cell>
        </row>
        <row r="21">
          <cell r="A21">
            <v>2129</v>
          </cell>
          <cell r="B21" t="str">
            <v>WOODFORD RESERVE 1LTR</v>
          </cell>
        </row>
        <row r="22">
          <cell r="A22">
            <v>2128</v>
          </cell>
          <cell r="B22" t="str">
            <v>WINDSOR GIN 1ltr</v>
          </cell>
        </row>
        <row r="23">
          <cell r="A23">
            <v>2126</v>
          </cell>
          <cell r="B23" t="str">
            <v>WINDHOEK LAGER 33OML</v>
          </cell>
        </row>
        <row r="24">
          <cell r="A24">
            <v>2127</v>
          </cell>
          <cell r="B24" t="str">
            <v>WINDHOEK DRAUGHT NRB 440ML</v>
          </cell>
        </row>
        <row r="25">
          <cell r="A25">
            <v>2335</v>
          </cell>
          <cell r="B25" t="str">
            <v>WILLIAM LAWSON'S SPICED 750ML</v>
          </cell>
        </row>
        <row r="26">
          <cell r="A26">
            <v>2122</v>
          </cell>
          <cell r="B26" t="str">
            <v>WILLIAM LAWSON'S 750ML</v>
          </cell>
        </row>
        <row r="27">
          <cell r="A27">
            <v>2121</v>
          </cell>
          <cell r="B27" t="str">
            <v>WILLIAM LAWSON'S 1LT</v>
          </cell>
        </row>
        <row r="28">
          <cell r="A28">
            <v>2116</v>
          </cell>
          <cell r="B28" t="str">
            <v>WILD TURKEY 750ML</v>
          </cell>
        </row>
        <row r="29">
          <cell r="A29">
            <v>2853</v>
          </cell>
          <cell r="B29" t="str">
            <v>WILD TURKEY 101 LITRE</v>
          </cell>
        </row>
        <row r="30">
          <cell r="A30">
            <v>2321</v>
          </cell>
          <cell r="B30" t="str">
            <v>WILD TIGER SPICED RESERVE 750ML</v>
          </cell>
        </row>
        <row r="31">
          <cell r="A31">
            <v>2320</v>
          </cell>
          <cell r="B31" t="str">
            <v>WILD TIGER SPICED 750ML</v>
          </cell>
        </row>
        <row r="32">
          <cell r="A32">
            <v>2090</v>
          </cell>
          <cell r="B32" t="str">
            <v>WHYTEHALL FIRE(CINAMON) 1LT</v>
          </cell>
        </row>
        <row r="33">
          <cell r="A33">
            <v>2112</v>
          </cell>
          <cell r="B33" t="str">
            <v>WHYTE &amp; MACKAY WHISKY 750ML</v>
          </cell>
        </row>
        <row r="34">
          <cell r="A34">
            <v>2111</v>
          </cell>
          <cell r="B34" t="str">
            <v>WHYTE &amp; MACKAY WHISKY 350ML</v>
          </cell>
        </row>
        <row r="35">
          <cell r="A35">
            <v>2110</v>
          </cell>
          <cell r="B35" t="str">
            <v>WHYTE &amp; MACKAY WHISKY 1LTR</v>
          </cell>
        </row>
        <row r="36">
          <cell r="A36">
            <v>2109</v>
          </cell>
          <cell r="B36" t="str">
            <v>WHITLEY NEILL RHUBARB &amp; GINGER GIN 750ML</v>
          </cell>
        </row>
        <row r="37">
          <cell r="A37">
            <v>2108</v>
          </cell>
          <cell r="B37" t="str">
            <v>WHITLEY NEILL RHUBARB &amp; GINGER GIN 1LTR</v>
          </cell>
        </row>
        <row r="38">
          <cell r="A38">
            <v>2107</v>
          </cell>
          <cell r="B38" t="str">
            <v>WHITLEY NEILL RASPBERRY GIN 750ML </v>
          </cell>
        </row>
        <row r="39">
          <cell r="A39">
            <v>2106</v>
          </cell>
          <cell r="B39" t="str">
            <v>WHITLEY NEILL RASPBERRY GIN 1LTR</v>
          </cell>
        </row>
        <row r="40">
          <cell r="A40">
            <v>2104</v>
          </cell>
          <cell r="B40" t="str">
            <v>WHITLEY NEILL PROTEA &amp; HIBISCUS GIN 750ML </v>
          </cell>
        </row>
        <row r="41">
          <cell r="A41">
            <v>2103</v>
          </cell>
          <cell r="B41" t="str">
            <v>WHITLEY NEILL ORIGINAL  GIN 750ML </v>
          </cell>
        </row>
        <row r="42">
          <cell r="A42">
            <v>2102</v>
          </cell>
          <cell r="B42" t="str">
            <v>WHITLEY NEILL ORIGINAL  GIN 1LTR</v>
          </cell>
        </row>
        <row r="43">
          <cell r="A43">
            <v>2101</v>
          </cell>
          <cell r="B43" t="str">
            <v>WHITLEY NEILL LEMON GRASS  GIN 750ML </v>
          </cell>
        </row>
        <row r="44">
          <cell r="A44">
            <v>2100</v>
          </cell>
          <cell r="B44" t="str">
            <v>WHITLEY NEILL LEMON GRASS  GIN 1LTR</v>
          </cell>
        </row>
        <row r="45">
          <cell r="A45">
            <v>2099</v>
          </cell>
          <cell r="B45" t="str">
            <v>WHITLEY NEILL BLOOD ORANGE  GIN 750ML </v>
          </cell>
        </row>
        <row r="46">
          <cell r="A46">
            <v>2098</v>
          </cell>
          <cell r="B46" t="str">
            <v>WHITLEY NEILL BLACK BERRY GIN 750ML </v>
          </cell>
        </row>
        <row r="47">
          <cell r="A47">
            <v>2097</v>
          </cell>
          <cell r="B47" t="str">
            <v>WHITLEY NEILL BLACK BERRY GIN 1LTR</v>
          </cell>
        </row>
        <row r="48">
          <cell r="A48">
            <v>2096</v>
          </cell>
          <cell r="B48" t="str">
            <v>WHITLEY NEIL PROTEA &amp; HIBISCUS 750ML</v>
          </cell>
        </row>
        <row r="49">
          <cell r="A49">
            <v>2319</v>
          </cell>
          <cell r="B49" t="str">
            <v>WHITLEY NEIL PARMA VIOLET 700ML</v>
          </cell>
        </row>
        <row r="50">
          <cell r="A50">
            <v>2318</v>
          </cell>
          <cell r="B50" t="str">
            <v>WHITLEY NEIL PARMA VIOLET 1LTR</v>
          </cell>
        </row>
        <row r="51">
          <cell r="A51">
            <v>2095</v>
          </cell>
          <cell r="B51" t="str">
            <v>WHITLEY NEIL BLOOD ORANGE GIN 1LTR</v>
          </cell>
        </row>
        <row r="52">
          <cell r="A52">
            <v>2093</v>
          </cell>
          <cell r="B52" t="str">
            <v>WHITLEY NEIL ALOE &amp; CUCUMBER 1LTR</v>
          </cell>
        </row>
        <row r="53">
          <cell r="A53">
            <v>2435</v>
          </cell>
          <cell r="B53" t="str">
            <v>WHITECAP LAGER 500ML</v>
          </cell>
        </row>
        <row r="54">
          <cell r="A54">
            <v>2088</v>
          </cell>
          <cell r="B54" t="str">
            <v>WHITECAP CRISP 330ML</v>
          </cell>
        </row>
        <row r="55">
          <cell r="A55">
            <v>2327</v>
          </cell>
          <cell r="B55" t="str">
            <v>WHITE MISCHIEF 750ML</v>
          </cell>
        </row>
        <row r="56">
          <cell r="A56">
            <v>2082</v>
          </cell>
          <cell r="B56" t="str">
            <v>WELMOED SHIRAZ 750ML</v>
          </cell>
        </row>
        <row r="57">
          <cell r="A57">
            <v>2081</v>
          </cell>
          <cell r="B57" t="str">
            <v>WELMOED SAUV BLANC 750ML</v>
          </cell>
        </row>
        <row r="58">
          <cell r="A58">
            <v>2080</v>
          </cell>
          <cell r="B58" t="str">
            <v>WELMOED ROSÉ 750ML</v>
          </cell>
        </row>
        <row r="59">
          <cell r="A59">
            <v>2503</v>
          </cell>
          <cell r="B59" t="str">
            <v>WELMOED PINOTAGE 750ML</v>
          </cell>
        </row>
        <row r="60">
          <cell r="A60">
            <v>2079</v>
          </cell>
          <cell r="B60" t="str">
            <v>WELMOED PINOT GRIGIO 750ML</v>
          </cell>
        </row>
        <row r="61">
          <cell r="A61">
            <v>2078</v>
          </cell>
          <cell r="B61" t="str">
            <v>WELMOED MERLOT 750ML</v>
          </cell>
        </row>
        <row r="62">
          <cell r="A62">
            <v>2077</v>
          </cell>
          <cell r="B62" t="str">
            <v>WELMOED CHENIN BLANC 750ML</v>
          </cell>
        </row>
        <row r="63">
          <cell r="A63">
            <v>2076</v>
          </cell>
          <cell r="B63" t="str">
            <v>WELMOED CHARDONNAY 750ML</v>
          </cell>
        </row>
        <row r="64">
          <cell r="A64">
            <v>2075</v>
          </cell>
          <cell r="B64" t="str">
            <v>WELMOED CAB SAUV 750ML</v>
          </cell>
        </row>
        <row r="65">
          <cell r="A65">
            <v>2073</v>
          </cell>
          <cell r="B65" t="str">
            <v>WAVE DANGER 750ML</v>
          </cell>
        </row>
        <row r="66">
          <cell r="A66">
            <v>2256</v>
          </cell>
          <cell r="B66" t="str">
            <v>WAVE DANCER SWT WHITE  700ML</v>
          </cell>
        </row>
        <row r="67">
          <cell r="A67">
            <v>2917</v>
          </cell>
          <cell r="B67" t="str">
            <v>WOOSH 9000 PUFFS WATERMELON ICE </v>
          </cell>
        </row>
        <row r="68">
          <cell r="A68">
            <v>2071</v>
          </cell>
          <cell r="B68" t="str">
            <v>WATERFORD SAUV BLANC 750ML</v>
          </cell>
        </row>
        <row r="69">
          <cell r="A69">
            <v>2072</v>
          </cell>
          <cell r="B69" t="str">
            <v>WATERFORD ROSEMARY 750ML</v>
          </cell>
        </row>
        <row r="70">
          <cell r="A70">
            <v>2365</v>
          </cell>
          <cell r="B70" t="str">
            <v>WATERFORD PEBBLE HILL 750ML</v>
          </cell>
        </row>
        <row r="71">
          <cell r="A71">
            <v>2070</v>
          </cell>
          <cell r="B71" t="str">
            <v>WARWICK 750ML</v>
          </cell>
        </row>
        <row r="72">
          <cell r="A72">
            <v>2485</v>
          </cell>
          <cell r="B72" t="str">
            <v>VOLCAN REPOSADO 700ML</v>
          </cell>
        </row>
        <row r="73">
          <cell r="A73">
            <v>2069</v>
          </cell>
          <cell r="B73" t="str">
            <v>VINUM PROSECO 750ML</v>
          </cell>
        </row>
        <row r="74">
          <cell r="A74">
            <v>2525</v>
          </cell>
          <cell r="B74" t="str">
            <v>VINUM MOSCATO DASTI 750ML</v>
          </cell>
        </row>
        <row r="75">
          <cell r="A75">
            <v>2524</v>
          </cell>
          <cell r="B75" t="str">
            <v>VINUM CHIANTI RESERVA 750ML</v>
          </cell>
        </row>
        <row r="76">
          <cell r="A76">
            <v>2529</v>
          </cell>
          <cell r="B76" t="str">
            <v>VINUM IL ROSSO DABRUZZO ORGANIC 750ML</v>
          </cell>
        </row>
        <row r="77">
          <cell r="A77">
            <v>2535</v>
          </cell>
          <cell r="B77" t="str">
            <v>VINO DE MISA SWEET RED SUPERIOR 750ML</v>
          </cell>
        </row>
        <row r="78">
          <cell r="A78">
            <v>2291</v>
          </cell>
          <cell r="B78" t="str">
            <v>VINCLES SUMA MOCA 750ML</v>
          </cell>
        </row>
        <row r="79">
          <cell r="A79">
            <v>2068</v>
          </cell>
          <cell r="B79" t="str">
            <v>VINA MAIPO SWEET RED 750ML</v>
          </cell>
        </row>
        <row r="80">
          <cell r="A80">
            <v>2067</v>
          </cell>
          <cell r="B80" t="str">
            <v>VINA MAIPO SAUV BLANC 750ML</v>
          </cell>
        </row>
        <row r="81">
          <cell r="A81">
            <v>2065</v>
          </cell>
          <cell r="B81" t="str">
            <v>VINA MAIPO MOSCATO 750ML</v>
          </cell>
        </row>
        <row r="82">
          <cell r="A82">
            <v>2063</v>
          </cell>
          <cell r="B82" t="str">
            <v>VILAVERARONI PROSECCO BRUT 750ml</v>
          </cell>
        </row>
        <row r="83">
          <cell r="A83">
            <v>2492</v>
          </cell>
          <cell r="B83" t="str">
            <v>VICTORIA STAG GIN 750ML</v>
          </cell>
        </row>
        <row r="84">
          <cell r="A84">
            <v>2062</v>
          </cell>
          <cell r="B84" t="str">
            <v>VICEROY 750ML</v>
          </cell>
        </row>
        <row r="85">
          <cell r="A85">
            <v>2061</v>
          </cell>
          <cell r="B85" t="str">
            <v>VICEROY 375ML</v>
          </cell>
        </row>
        <row r="86">
          <cell r="A86">
            <v>2060</v>
          </cell>
          <cell r="B86" t="str">
            <v>VICEROY 250ML</v>
          </cell>
        </row>
        <row r="87">
          <cell r="A87">
            <v>2058</v>
          </cell>
          <cell r="B87" t="str">
            <v>VEUVE DU VERNAY BRUT ROSE 750ML</v>
          </cell>
        </row>
        <row r="88">
          <cell r="A88">
            <v>2057</v>
          </cell>
          <cell r="B88" t="str">
            <v>VEUVE CLICQUOT- ROSE 750ML</v>
          </cell>
        </row>
        <row r="89">
          <cell r="A89">
            <v>2972</v>
          </cell>
          <cell r="B89" t="str">
            <v>VEUVE CLICQUOT DEMI-SEC 750ML</v>
          </cell>
        </row>
        <row r="90">
          <cell r="A90">
            <v>2056</v>
          </cell>
          <cell r="B90" t="str">
            <v>VEUVE CLICQUOT - BRUT 750ML</v>
          </cell>
        </row>
        <row r="91">
          <cell r="A91">
            <v>2055</v>
          </cell>
          <cell r="B91" t="str">
            <v>VERSUS WHITE DRY 1LTR</v>
          </cell>
        </row>
        <row r="92">
          <cell r="A92">
            <v>2054</v>
          </cell>
          <cell r="B92" t="str">
            <v>VERSUS SWEET WHITE 750ML</v>
          </cell>
        </row>
        <row r="93">
          <cell r="A93">
            <v>2053</v>
          </cell>
          <cell r="B93" t="str">
            <v>VERSUS SWEET RED 750ML</v>
          </cell>
        </row>
        <row r="94">
          <cell r="A94">
            <v>2052</v>
          </cell>
          <cell r="B94" t="str">
            <v>VERSUS RED DRY 1LTR </v>
          </cell>
        </row>
        <row r="95">
          <cell r="A95">
            <v>2049</v>
          </cell>
          <cell r="B95" t="str">
            <v>VELVET CREAM LIQUEUR 750ml</v>
          </cell>
        </row>
        <row r="96">
          <cell r="A96">
            <v>2908</v>
          </cell>
          <cell r="B96" t="str">
            <v>VELO 5 DOT JADE GREEN</v>
          </cell>
        </row>
        <row r="97">
          <cell r="A97">
            <v>2048</v>
          </cell>
          <cell r="B97" t="str">
            <v>VELO 3 DOT JADE GREEN</v>
          </cell>
        </row>
        <row r="98">
          <cell r="A98">
            <v>2907</v>
          </cell>
          <cell r="B98" t="str">
            <v>VELO 3 DOT INDIGO BLUE</v>
          </cell>
        </row>
        <row r="99">
          <cell r="A99">
            <v>2047</v>
          </cell>
          <cell r="B99" t="str">
            <v>VAT 69 750ML</v>
          </cell>
        </row>
        <row r="100">
          <cell r="A100">
            <v>2046</v>
          </cell>
          <cell r="B100" t="str">
            <v>VAT 69 375ML</v>
          </cell>
        </row>
        <row r="101">
          <cell r="A101">
            <v>2044</v>
          </cell>
          <cell r="B101" t="str">
            <v>VAT 69 1L</v>
          </cell>
        </row>
        <row r="102">
          <cell r="A102">
            <v>2892</v>
          </cell>
          <cell r="B102" t="str">
            <v>VAPENGIN BATTERY , 96800</v>
          </cell>
        </row>
        <row r="103">
          <cell r="A103">
            <v>2942</v>
          </cell>
          <cell r="B103" t="str">
            <v>VAPENGIN 6500 PODS PUFFS</v>
          </cell>
        </row>
        <row r="104">
          <cell r="A104">
            <v>2941</v>
          </cell>
          <cell r="B104" t="str">
            <v>VAPENGIN 13000 PODS PUFFS</v>
          </cell>
        </row>
        <row r="105">
          <cell r="A105">
            <v>2531</v>
          </cell>
          <cell r="B105" t="str">
            <v>VAN SAUVIGNON BLANC 750ML</v>
          </cell>
        </row>
        <row r="106">
          <cell r="A106">
            <v>2560</v>
          </cell>
          <cell r="B106" t="str">
            <v>VAN RIVER RED SHIRAZ PINOTAGE 750ML</v>
          </cell>
        </row>
        <row r="107">
          <cell r="A107">
            <v>2559</v>
          </cell>
          <cell r="B107" t="str">
            <v>VAN MOSCATO ROSE PERLE 750ML</v>
          </cell>
        </row>
        <row r="108">
          <cell r="A108">
            <v>2257</v>
          </cell>
          <cell r="B108" t="str">
            <v>VAN LOVEREN CHENIN BLANC 750ML</v>
          </cell>
        </row>
        <row r="109">
          <cell r="A109">
            <v>2255</v>
          </cell>
          <cell r="B109" t="str">
            <v>VAN LOVEREN CAB SAUV 700ML</v>
          </cell>
        </row>
        <row r="110">
          <cell r="A110">
            <v>2558</v>
          </cell>
          <cell r="B110" t="str">
            <v>VAN GEWURZTRAMINER 750ML</v>
          </cell>
        </row>
        <row r="111">
          <cell r="A111">
            <v>2557</v>
          </cell>
          <cell r="B111" t="str">
            <v>VAN CHENIN BLANC NO 5 750ML</v>
          </cell>
        </row>
        <row r="112">
          <cell r="A112">
            <v>2555</v>
          </cell>
          <cell r="B112" t="str">
            <v>VAN BRUT SPARKLING 750ML</v>
          </cell>
        </row>
        <row r="113">
          <cell r="A113">
            <v>2554</v>
          </cell>
          <cell r="B113" t="str">
            <v>VAN BLANC DE BLANC 750ML</v>
          </cell>
        </row>
        <row r="114">
          <cell r="A114">
            <v>2553</v>
          </cell>
          <cell r="B114" t="str">
            <v>VAN AFRICAN JAVA PINOTAGE 750ML</v>
          </cell>
        </row>
        <row r="115">
          <cell r="A115">
            <v>2447</v>
          </cell>
          <cell r="B115" t="str">
            <v>VALE PINK GIN 750ML</v>
          </cell>
        </row>
        <row r="116">
          <cell r="A116">
            <v>2043</v>
          </cell>
          <cell r="B116" t="str">
            <v>VALE GIN 750ML</v>
          </cell>
        </row>
        <row r="117">
          <cell r="A117">
            <v>2042</v>
          </cell>
          <cell r="B117" t="str">
            <v>V &amp; A 750ML</v>
          </cell>
        </row>
        <row r="118">
          <cell r="A118">
            <v>2041</v>
          </cell>
          <cell r="B118" t="str">
            <v>V &amp; A 250ML</v>
          </cell>
        </row>
        <row r="119">
          <cell r="A119">
            <v>2730</v>
          </cell>
          <cell r="B119" t="str">
            <v>URBAN WHISKY 750ML</v>
          </cell>
        </row>
        <row r="120">
          <cell r="A120">
            <v>2880</v>
          </cell>
          <cell r="B120" t="str">
            <v>UPRISE WHISKY &amp; COLA 500ML</v>
          </cell>
        </row>
        <row r="121">
          <cell r="A121">
            <v>2040</v>
          </cell>
          <cell r="B121" t="str">
            <v>UPPER VALLEY SWEET WHITE 750ML</v>
          </cell>
        </row>
        <row r="122">
          <cell r="A122">
            <v>2371</v>
          </cell>
          <cell r="B122" t="str">
            <v>UPPER VALLEY DRY RED 750ML</v>
          </cell>
        </row>
        <row r="123">
          <cell r="A123">
            <v>2037</v>
          </cell>
          <cell r="B123" t="str">
            <v>UPPER VALLEY DRY RED 1.5ltr</v>
          </cell>
        </row>
        <row r="124">
          <cell r="A124">
            <v>2436</v>
          </cell>
          <cell r="B124" t="str">
            <v>UNDURRAGA MERLOT</v>
          </cell>
        </row>
        <row r="125">
          <cell r="A125">
            <v>2437</v>
          </cell>
          <cell r="B125" t="str">
            <v>UNDURRAGA CARMENERE</v>
          </cell>
        </row>
        <row r="126">
          <cell r="A126">
            <v>2830</v>
          </cell>
          <cell r="B126" t="str">
            <v>UNDURRAGA CAB SAUV 750ML</v>
          </cell>
        </row>
        <row r="127">
          <cell r="A127">
            <v>2953</v>
          </cell>
          <cell r="B127" t="str">
            <v>UNDERBERG NATURAL HERBAL BITTER 20ML</v>
          </cell>
        </row>
        <row r="128">
          <cell r="A128">
            <v>2036</v>
          </cell>
          <cell r="B128" t="str">
            <v>TWO OCEANS SAUV BLANC 750ML</v>
          </cell>
        </row>
        <row r="129">
          <cell r="A129">
            <v>2444</v>
          </cell>
          <cell r="B129" t="str">
            <v>TWO OCEANS CAB SAUV MERLOT 750ML</v>
          </cell>
        </row>
        <row r="130">
          <cell r="A130">
            <v>2035</v>
          </cell>
          <cell r="B130" t="str">
            <v>TWO KEYS WHISKY 750ML</v>
          </cell>
        </row>
        <row r="131">
          <cell r="A131">
            <v>2290</v>
          </cell>
          <cell r="B131" t="str">
            <v>TWO KEYS 375ML</v>
          </cell>
        </row>
        <row r="132">
          <cell r="A132">
            <v>2934</v>
          </cell>
          <cell r="B132" t="str">
            <v>TWINS DRY WHITE BLANCO 5L</v>
          </cell>
        </row>
        <row r="133">
          <cell r="A133">
            <v>2933</v>
          </cell>
          <cell r="B133" t="str">
            <v>TWINS DRY RED TINTO 5L</v>
          </cell>
        </row>
        <row r="134">
          <cell r="A134">
            <v>2289</v>
          </cell>
          <cell r="B134" t="str">
            <v>TWIGA HILL MERLOT 700ML</v>
          </cell>
        </row>
        <row r="135">
          <cell r="A135">
            <v>2288</v>
          </cell>
          <cell r="B135" t="str">
            <v>TWIGA HILL CHENIN BLANC 700ML</v>
          </cell>
        </row>
        <row r="136">
          <cell r="A136">
            <v>2287</v>
          </cell>
          <cell r="B136" t="str">
            <v>TWIGA HILL CAB SAUV 700ML</v>
          </cell>
        </row>
        <row r="137">
          <cell r="A137">
            <v>2034</v>
          </cell>
          <cell r="B137" t="str">
            <v>TWIGA HILL 750ML</v>
          </cell>
        </row>
        <row r="138">
          <cell r="A138">
            <v>2033</v>
          </cell>
          <cell r="B138" t="str">
            <v>TUSSOCK JUMPER SAUV BLANC 750ml</v>
          </cell>
        </row>
        <row r="139">
          <cell r="A139">
            <v>2032</v>
          </cell>
          <cell r="B139" t="str">
            <v>TUSSOCK JUMPER MALBEC 750ml</v>
          </cell>
        </row>
        <row r="140">
          <cell r="A140">
            <v>2031</v>
          </cell>
          <cell r="B140" t="str">
            <v>TUSSOCK JUMPER CAB SAUV 750ml</v>
          </cell>
        </row>
        <row r="141">
          <cell r="A141">
            <v>2434</v>
          </cell>
          <cell r="B141" t="str">
            <v>TUSKER MALT CAN 500ML</v>
          </cell>
        </row>
        <row r="142">
          <cell r="A142">
            <v>2433</v>
          </cell>
          <cell r="B142" t="str">
            <v>TUSKER LITE CAN 500ML</v>
          </cell>
        </row>
        <row r="143">
          <cell r="A143">
            <v>2432</v>
          </cell>
          <cell r="B143" t="str">
            <v>TUSKER LAGER CAN 500ML</v>
          </cell>
        </row>
        <row r="144">
          <cell r="A144">
            <v>2026</v>
          </cell>
          <cell r="B144" t="str">
            <v>TUSKER CIDER CAN 500ML</v>
          </cell>
        </row>
        <row r="145">
          <cell r="A145">
            <v>2025</v>
          </cell>
          <cell r="B145" t="str">
            <v>TULLAMORE DEW WHISKY 700ML</v>
          </cell>
        </row>
        <row r="146">
          <cell r="A146">
            <v>2024</v>
          </cell>
          <cell r="B146" t="str">
            <v>TULLAMORE DEW 1LTR</v>
          </cell>
        </row>
        <row r="147">
          <cell r="A147">
            <v>2022</v>
          </cell>
          <cell r="B147" t="str">
            <v>TULLAMORE 750ML</v>
          </cell>
        </row>
        <row r="148">
          <cell r="A148">
            <v>2020</v>
          </cell>
          <cell r="B148" t="str">
            <v>TUBORG GREEN CAN 500ML</v>
          </cell>
        </row>
        <row r="149">
          <cell r="A149">
            <v>2922</v>
          </cell>
          <cell r="B149" t="str">
            <v>TUBORG GREEN BOTTLE 330ML</v>
          </cell>
        </row>
        <row r="150">
          <cell r="A150">
            <v>2018</v>
          </cell>
          <cell r="B150" t="str">
            <v>TRUMPETER SAUV BLANC 2021 750ML</v>
          </cell>
        </row>
        <row r="151">
          <cell r="A151">
            <v>2017</v>
          </cell>
          <cell r="B151" t="str">
            <v>TRUMPETER ROSE DE MALBEC 750ml</v>
          </cell>
        </row>
        <row r="152">
          <cell r="A152">
            <v>2445</v>
          </cell>
          <cell r="B152" t="str">
            <v>TRUMPETER RESERVE MALBEC 750ML</v>
          </cell>
        </row>
        <row r="153">
          <cell r="A153">
            <v>2016</v>
          </cell>
          <cell r="B153" t="str">
            <v>TRUMPETER PINOT NOIR 750ml</v>
          </cell>
        </row>
        <row r="154">
          <cell r="A154">
            <v>2015</v>
          </cell>
          <cell r="B154" t="str">
            <v>TRUMPETER MERLOT 2020 750ML</v>
          </cell>
        </row>
        <row r="155">
          <cell r="A155">
            <v>2014</v>
          </cell>
          <cell r="B155" t="str">
            <v>TRUMPETER MALBEC 750ML</v>
          </cell>
        </row>
        <row r="156">
          <cell r="A156">
            <v>2013</v>
          </cell>
          <cell r="B156" t="str">
            <v>TRUMPETER CAB SAUV 750ML</v>
          </cell>
        </row>
        <row r="157">
          <cell r="A157">
            <v>2012</v>
          </cell>
          <cell r="B157" t="str">
            <v>TRUMPETER CAB FRANC 2012 750ML</v>
          </cell>
        </row>
        <row r="158">
          <cell r="A158">
            <v>2011</v>
          </cell>
          <cell r="B158" t="str">
            <v>TRIPLE ACE VODKA 750 ML</v>
          </cell>
        </row>
        <row r="159">
          <cell r="A159">
            <v>2010</v>
          </cell>
          <cell r="B159" t="str">
            <v>TRIPLE ACE VODKA 250 ML</v>
          </cell>
        </row>
        <row r="160">
          <cell r="A160">
            <v>2854</v>
          </cell>
          <cell r="B160" t="str">
            <v>TORRERO 700ML</v>
          </cell>
        </row>
        <row r="161">
          <cell r="A161">
            <v>2586</v>
          </cell>
          <cell r="B161" t="str">
            <v>TONS DE DUORUM WHITE 750ML</v>
          </cell>
        </row>
        <row r="162">
          <cell r="A162">
            <v>2587</v>
          </cell>
          <cell r="B162" t="str">
            <v>TONS DE DUORUM ROSE 750</v>
          </cell>
        </row>
        <row r="163">
          <cell r="A163">
            <v>2585</v>
          </cell>
          <cell r="B163" t="str">
            <v>TONS DE DUORUM RED 750ML</v>
          </cell>
        </row>
        <row r="164">
          <cell r="A164">
            <v>2008</v>
          </cell>
          <cell r="B164" t="str">
            <v>TONIC WATER 500ML</v>
          </cell>
        </row>
        <row r="165">
          <cell r="A165">
            <v>2363</v>
          </cell>
          <cell r="B165" t="str">
            <v>TOMMASI VALIPOLICELLA 750ML</v>
          </cell>
        </row>
        <row r="166">
          <cell r="A166">
            <v>2004</v>
          </cell>
          <cell r="B166" t="str">
            <v>TOMMASI SOAVE CLASSICO 750ML</v>
          </cell>
        </row>
        <row r="167">
          <cell r="A167">
            <v>2364</v>
          </cell>
          <cell r="B167" t="str">
            <v>TOMMASI RIPASO 750ML</v>
          </cell>
        </row>
        <row r="168">
          <cell r="A168">
            <v>2003</v>
          </cell>
          <cell r="B168" t="str">
            <v>TOMMASI PINOTAGE 750ML</v>
          </cell>
        </row>
        <row r="169">
          <cell r="A169">
            <v>2362</v>
          </cell>
          <cell r="B169" t="str">
            <v>TOMMASI PINOT GRIGIO 750ML</v>
          </cell>
        </row>
        <row r="170">
          <cell r="A170">
            <v>2254</v>
          </cell>
          <cell r="B170" t="str">
            <v>TOMMASI MERLOT 750ML</v>
          </cell>
        </row>
        <row r="171">
          <cell r="A171">
            <v>2361</v>
          </cell>
          <cell r="B171" t="str">
            <v>TOMMASI BARDOLINO 750ML</v>
          </cell>
        </row>
        <row r="172">
          <cell r="A172">
            <v>2002</v>
          </cell>
          <cell r="B172" t="str">
            <v>TOMMASI AMARONE DELLA VALPOLICELLA CLASSICO  750ML</v>
          </cell>
        </row>
        <row r="173">
          <cell r="A173">
            <v>2001</v>
          </cell>
          <cell r="B173" t="str">
            <v>TOMMASI 750ML</v>
          </cell>
        </row>
        <row r="174">
          <cell r="A174">
            <v>1997</v>
          </cell>
          <cell r="B174" t="str">
            <v>TOBERMORY GIN 750ML</v>
          </cell>
        </row>
        <row r="175">
          <cell r="A175">
            <v>1996</v>
          </cell>
          <cell r="B175" t="str">
            <v>TITO'S VODKA 1LTR</v>
          </cell>
        </row>
        <row r="176">
          <cell r="A176">
            <v>1994</v>
          </cell>
          <cell r="B176" t="str">
            <v>TILIA MALBEC 750ML</v>
          </cell>
        </row>
        <row r="177">
          <cell r="A177">
            <v>1993</v>
          </cell>
          <cell r="B177" t="str">
            <v>TILIA CHARDONNAY 750ML</v>
          </cell>
        </row>
        <row r="178">
          <cell r="A178">
            <v>1992</v>
          </cell>
          <cell r="B178" t="str">
            <v>TILIA CAB SAUV 750ML</v>
          </cell>
        </row>
        <row r="179">
          <cell r="A179">
            <v>2253</v>
          </cell>
          <cell r="B179" t="str">
            <v>TIA MARIA VANILLA 1LTR</v>
          </cell>
        </row>
        <row r="180">
          <cell r="A180">
            <v>1991</v>
          </cell>
          <cell r="B180" t="str">
            <v>TIA MARIA DARK LIQOUR 1LT</v>
          </cell>
        </row>
        <row r="181">
          <cell r="A181">
            <v>1990</v>
          </cell>
          <cell r="B181" t="str">
            <v>TIA MARIA COFFEE LIQUOR 1LT</v>
          </cell>
        </row>
        <row r="182">
          <cell r="A182">
            <v>2446</v>
          </cell>
          <cell r="B182" t="str">
            <v>THREE MONKEY'S WHITE 750ML</v>
          </cell>
        </row>
        <row r="183">
          <cell r="A183">
            <v>2528</v>
          </cell>
          <cell r="B183" t="str">
            <v>THREE MONKEYS SEMI SWEET RED 750ML</v>
          </cell>
        </row>
        <row r="184">
          <cell r="A184">
            <v>1987</v>
          </cell>
          <cell r="B184" t="str">
            <v>THREE MONKEYS RED 750ML</v>
          </cell>
        </row>
        <row r="185">
          <cell r="A185">
            <v>1986</v>
          </cell>
          <cell r="B185" t="str">
            <v>THREE BARREL'S 1LT</v>
          </cell>
        </row>
        <row r="186">
          <cell r="A186">
            <v>2954</v>
          </cell>
          <cell r="B186" t="str">
            <v>THE YAMAZAKI 12YRS 700ML</v>
          </cell>
        </row>
        <row r="187">
          <cell r="A187">
            <v>2881</v>
          </cell>
          <cell r="B187" t="str">
            <v>THE WILSHIRE BLENDED WHISKY 750ML</v>
          </cell>
        </row>
        <row r="188">
          <cell r="A188">
            <v>1983</v>
          </cell>
          <cell r="B188" t="str">
            <v>THE MACALLAN THE HARMONY COLLECTION WHISKY 700ML</v>
          </cell>
        </row>
        <row r="189">
          <cell r="A189">
            <v>1982</v>
          </cell>
          <cell r="B189" t="str">
            <v>THE MACALLAN NIGHT ON EARTH WHISKY 700ML</v>
          </cell>
        </row>
        <row r="190">
          <cell r="A190">
            <v>1342</v>
          </cell>
          <cell r="B190" t="str">
            <v>THE MACALLAN ENIGMA 700ml</v>
          </cell>
        </row>
        <row r="191">
          <cell r="A191">
            <v>1341</v>
          </cell>
          <cell r="B191" t="str">
            <v>THE MACALLAN AMBER 1LTR</v>
          </cell>
        </row>
        <row r="192">
          <cell r="A192">
            <v>1339</v>
          </cell>
          <cell r="B192" t="str">
            <v>THE MACALLAN 15YR 700ML</v>
          </cell>
        </row>
        <row r="193">
          <cell r="A193">
            <v>1338</v>
          </cell>
          <cell r="B193" t="str">
            <v>THE MACALLAN 12YR 700ML</v>
          </cell>
        </row>
        <row r="194">
          <cell r="A194">
            <v>2337</v>
          </cell>
          <cell r="B194" t="str">
            <v>THE GUV'NOR WHITE 750ML</v>
          </cell>
        </row>
        <row r="195">
          <cell r="A195">
            <v>1978</v>
          </cell>
          <cell r="B195" t="str">
            <v>THE GUV'NOR RED 750ML</v>
          </cell>
        </row>
        <row r="196">
          <cell r="A196">
            <v>1980</v>
          </cell>
          <cell r="B196" t="str">
            <v>THE GUVNOR RED 1.5LTR</v>
          </cell>
        </row>
        <row r="197">
          <cell r="A197">
            <v>2450</v>
          </cell>
          <cell r="B197" t="str">
            <v>THE GLENLIVET GEORGE SMITH 12 YO  750ML</v>
          </cell>
        </row>
        <row r="198">
          <cell r="A198">
            <v>1976</v>
          </cell>
          <cell r="B198" t="str">
            <v>THE GLENLIVET FOUNDERS RESERVE WHISKY 700ML</v>
          </cell>
        </row>
        <row r="199">
          <cell r="A199">
            <v>1975</v>
          </cell>
          <cell r="B199" t="str">
            <v>THE GLENLIVET FOUNDERS RESERVE 1LTR</v>
          </cell>
        </row>
        <row r="200">
          <cell r="A200">
            <v>1967</v>
          </cell>
          <cell r="B200" t="str">
            <v>THE GLENLIVET DOUBLE OAK 12 YO WITH GLASS 750ML</v>
          </cell>
        </row>
        <row r="201">
          <cell r="A201">
            <v>2451</v>
          </cell>
          <cell r="B201" t="str">
            <v>THE GLENLIVET DOUBLE OAK 12 YO 750ML</v>
          </cell>
        </row>
        <row r="202">
          <cell r="A202">
            <v>1973</v>
          </cell>
          <cell r="B202" t="str">
            <v>THE GLENLIVET 21 YO 43% 700ML</v>
          </cell>
        </row>
        <row r="203">
          <cell r="A203">
            <v>1972</v>
          </cell>
          <cell r="B203" t="str">
            <v>THE GLENLIVET 18 YO 43% 700ML</v>
          </cell>
        </row>
        <row r="204">
          <cell r="A204">
            <v>1971</v>
          </cell>
          <cell r="B204" t="str">
            <v>THE GLENLIVET 18 YO 43% 1LT</v>
          </cell>
        </row>
        <row r="205">
          <cell r="A205">
            <v>1970</v>
          </cell>
          <cell r="B205" t="str">
            <v>THE GLENLIVET 15 YO 40% 700ML</v>
          </cell>
        </row>
        <row r="206">
          <cell r="A206">
            <v>1969</v>
          </cell>
          <cell r="B206" t="str">
            <v>THE GLENLIVET 15 YO 40% 1LT</v>
          </cell>
        </row>
        <row r="207">
          <cell r="A207">
            <v>1968</v>
          </cell>
          <cell r="B207" t="str">
            <v>THE GLENLIVET 12 YO 405 1LT</v>
          </cell>
        </row>
        <row r="208">
          <cell r="A208">
            <v>1964</v>
          </cell>
          <cell r="B208" t="str">
            <v>THE GLEN SILVER'S SINGLE MALT SCOTCH WHISKY 700ML</v>
          </cell>
        </row>
        <row r="209">
          <cell r="A209">
            <v>2252</v>
          </cell>
          <cell r="B209" t="str">
            <v>THE FAMOUS GROUSE SMOKY BLACK 1LTR</v>
          </cell>
        </row>
        <row r="210">
          <cell r="A210">
            <v>2270</v>
          </cell>
          <cell r="B210" t="str">
            <v>THE FAMOUS GROUSE CHERRY CASK 700ML</v>
          </cell>
        </row>
        <row r="211">
          <cell r="A211">
            <v>2489</v>
          </cell>
          <cell r="B211" t="str">
            <v>THE FAMOUS GROUSE BOURBON CASK LITRE</v>
          </cell>
        </row>
        <row r="212">
          <cell r="A212">
            <v>2271</v>
          </cell>
          <cell r="B212" t="str">
            <v>THE FAMOUS GROUSE BOURBON CASK 750ML</v>
          </cell>
        </row>
        <row r="213">
          <cell r="A213">
            <v>1963</v>
          </cell>
          <cell r="B213" t="str">
            <v>THE FAMOUS GROUSE 750ML</v>
          </cell>
        </row>
        <row r="214">
          <cell r="A214">
            <v>1962</v>
          </cell>
          <cell r="B214" t="str">
            <v>THE FAMOUS GROUSE 350ML</v>
          </cell>
        </row>
        <row r="215">
          <cell r="A215">
            <v>1961</v>
          </cell>
          <cell r="B215" t="str">
            <v>THE FAMOUS GROUSE 1LT</v>
          </cell>
        </row>
        <row r="216">
          <cell r="A216">
            <v>2286</v>
          </cell>
          <cell r="B216" t="str">
            <v>THE DEN SAUVIGNON BLANC 700ML</v>
          </cell>
        </row>
        <row r="217">
          <cell r="A217">
            <v>1960</v>
          </cell>
          <cell r="B217" t="str">
            <v>THE CHOCOLATE BLOCK 750ML</v>
          </cell>
        </row>
        <row r="218">
          <cell r="A218">
            <v>1958</v>
          </cell>
          <cell r="B218" t="str">
            <v>THE BOTANIST GIN 1LTR</v>
          </cell>
        </row>
        <row r="219">
          <cell r="A219">
            <v>1956</v>
          </cell>
          <cell r="B219" t="str">
            <v>THE BEACHHOUSE SHIRAZ 750ML</v>
          </cell>
        </row>
        <row r="220">
          <cell r="A220">
            <v>1955</v>
          </cell>
          <cell r="B220" t="str">
            <v>THE BEACHHOUSE ROSE 750ML</v>
          </cell>
        </row>
        <row r="221">
          <cell r="A221">
            <v>2708</v>
          </cell>
          <cell r="B221" t="str">
            <v>TERRA LINDA SYRAH RED 750ML</v>
          </cell>
        </row>
        <row r="222">
          <cell r="A222">
            <v>2914</v>
          </cell>
          <cell r="B222" t="str">
            <v>TERRA LINDA GARNACHA RED 750ML</v>
          </cell>
        </row>
        <row r="223">
          <cell r="A223">
            <v>2978</v>
          </cell>
          <cell r="B223" t="str">
            <v>TERRA LINDA CHARDONNAY WHITE 750ML</v>
          </cell>
        </row>
        <row r="224">
          <cell r="A224">
            <v>1954</v>
          </cell>
          <cell r="B224" t="str">
            <v>TEREMANA TEQUILA 750ml</v>
          </cell>
        </row>
        <row r="225">
          <cell r="A225">
            <v>1952</v>
          </cell>
          <cell r="B225" t="str">
            <v>TEQUILA ROSE 750ML</v>
          </cell>
        </row>
        <row r="226">
          <cell r="A226">
            <v>1951</v>
          </cell>
          <cell r="B226" t="str">
            <v>TEQUILA AGAVITA GOLD 700ML</v>
          </cell>
        </row>
        <row r="227">
          <cell r="A227">
            <v>1950</v>
          </cell>
          <cell r="B227" t="str">
            <v>TEQUILA AGAVITA BLANCO 700ML</v>
          </cell>
        </row>
        <row r="228">
          <cell r="A228">
            <v>2958</v>
          </cell>
          <cell r="B228" t="str">
            <v>TEELING WHISKY 700ML</v>
          </cell>
        </row>
        <row r="229">
          <cell r="A229">
            <v>1948</v>
          </cell>
          <cell r="B229" t="str">
            <v>TEACHERS WHISKY 750ML</v>
          </cell>
        </row>
        <row r="230">
          <cell r="A230">
            <v>1946</v>
          </cell>
          <cell r="B230" t="str">
            <v>TEACHERS 1LT</v>
          </cell>
        </row>
        <row r="231">
          <cell r="A231">
            <v>2573</v>
          </cell>
          <cell r="B231" t="str">
            <v>TASSENBERG  750ML</v>
          </cell>
        </row>
        <row r="232">
          <cell r="A232">
            <v>1944</v>
          </cell>
          <cell r="B232" t="str">
            <v>TANQUERY - EXPORT 750ML</v>
          </cell>
        </row>
        <row r="233">
          <cell r="A233">
            <v>1943</v>
          </cell>
          <cell r="B233" t="str">
            <v>TANQUERAY STERLING VODKA 750ml</v>
          </cell>
        </row>
        <row r="234">
          <cell r="A234">
            <v>1935</v>
          </cell>
          <cell r="B234" t="str">
            <v>TANQUERAY STERLING 1LTR</v>
          </cell>
        </row>
        <row r="235">
          <cell r="A235">
            <v>1934</v>
          </cell>
          <cell r="B235" t="str">
            <v>TANQUERAY SEVILLA GIN 1LTR</v>
          </cell>
        </row>
        <row r="236">
          <cell r="A236">
            <v>1942</v>
          </cell>
          <cell r="B236" t="str">
            <v>TANQUERAY ROYALE GIN 700ML</v>
          </cell>
        </row>
        <row r="237">
          <cell r="A237">
            <v>1941</v>
          </cell>
          <cell r="B237" t="str">
            <v>TANQUERAY RANGPUR GIN 750ML</v>
          </cell>
        </row>
        <row r="238">
          <cell r="A238">
            <v>1940</v>
          </cell>
          <cell r="B238" t="str">
            <v>TANQUERAY RANGPUR GIN 1LTR</v>
          </cell>
        </row>
        <row r="239">
          <cell r="A239">
            <v>1936</v>
          </cell>
          <cell r="B239" t="str">
            <v>TANQUERAY  NO. 10 1LTR</v>
          </cell>
        </row>
        <row r="240">
          <cell r="A240">
            <v>2317</v>
          </cell>
          <cell r="B240" t="str">
            <v>TANQUERAY MALACCA 700ML</v>
          </cell>
        </row>
        <row r="241">
          <cell r="A241">
            <v>1939</v>
          </cell>
          <cell r="B241" t="str">
            <v>TANQUERAY MALACCA 1LTR</v>
          </cell>
        </row>
        <row r="242">
          <cell r="A242">
            <v>2963</v>
          </cell>
          <cell r="B242" t="str">
            <v>TANQUERAY 0.0 700ML</v>
          </cell>
        </row>
        <row r="243">
          <cell r="A243">
            <v>1938</v>
          </cell>
          <cell r="B243" t="str">
            <v>TANQUERAY - TEN 750ML</v>
          </cell>
        </row>
        <row r="244">
          <cell r="A244">
            <v>1937</v>
          </cell>
          <cell r="B244" t="str">
            <v>TANQUERAY - SEVILLA 700ML</v>
          </cell>
        </row>
        <row r="245">
          <cell r="A245">
            <v>1933</v>
          </cell>
          <cell r="B245" t="str">
            <v>TANQUERAY - IMPORTED 1LT</v>
          </cell>
        </row>
        <row r="246">
          <cell r="A246">
            <v>1932</v>
          </cell>
          <cell r="B246" t="str">
            <v>TANG SOUR CHERRY 750ML</v>
          </cell>
        </row>
        <row r="247">
          <cell r="A247">
            <v>1931</v>
          </cell>
          <cell r="B247" t="str">
            <v>TANG SOUR  - APPLE 750ML</v>
          </cell>
        </row>
        <row r="248">
          <cell r="A248">
            <v>1928</v>
          </cell>
          <cell r="B248" t="str">
            <v>TALL HORSE MERLOT 750ML</v>
          </cell>
        </row>
        <row r="249">
          <cell r="A249">
            <v>1924</v>
          </cell>
          <cell r="B249" t="str">
            <v>TALL HORSE -  PINOTAGE 750ML</v>
          </cell>
        </row>
        <row r="250">
          <cell r="A250">
            <v>1926</v>
          </cell>
          <cell r="B250" t="str">
            <v>TALL HORSE - CHARDONNAY 750ML</v>
          </cell>
        </row>
        <row r="251">
          <cell r="A251">
            <v>1925</v>
          </cell>
          <cell r="B251" t="str">
            <v>TALL HORSE - CARB.SAUV. 750ML</v>
          </cell>
        </row>
        <row r="252">
          <cell r="A252">
            <v>2384</v>
          </cell>
          <cell r="B252" t="str">
            <v>TALISKER SKYE 700ML</v>
          </cell>
        </row>
        <row r="253">
          <cell r="A253">
            <v>1923</v>
          </cell>
          <cell r="B253" t="str">
            <v>TALISKER SKYE 1ltr</v>
          </cell>
        </row>
        <row r="254">
          <cell r="A254">
            <v>1922</v>
          </cell>
          <cell r="B254" t="str">
            <v>TALISKER SINGLE MALT 700ML</v>
          </cell>
        </row>
        <row r="255">
          <cell r="A255">
            <v>1917</v>
          </cell>
          <cell r="B255" t="str">
            <v>TALISKER  PORT RUIGHE WHISKY 700ML</v>
          </cell>
        </row>
        <row r="256">
          <cell r="A256">
            <v>1916</v>
          </cell>
          <cell r="B256" t="str">
            <v>TALISKER  NEIST POINT 700ml</v>
          </cell>
        </row>
        <row r="257">
          <cell r="A257">
            <v>1921</v>
          </cell>
          <cell r="B257" t="str">
            <v>TALISKER DARK STORM WHISKY 1LTR</v>
          </cell>
        </row>
        <row r="258">
          <cell r="A258">
            <v>1919</v>
          </cell>
          <cell r="B258" t="str">
            <v>TALISKER 10YRS WHISKY 700ML</v>
          </cell>
        </row>
        <row r="259">
          <cell r="A259">
            <v>1918</v>
          </cell>
          <cell r="B259" t="str">
            <v>TALISKER 10YRS WHISKY 1LTR</v>
          </cell>
        </row>
        <row r="260">
          <cell r="A260">
            <v>1915</v>
          </cell>
          <cell r="B260" t="str">
            <v>TAITTINGER PRESTIGE ROSÉ 750ML</v>
          </cell>
        </row>
        <row r="261">
          <cell r="A261">
            <v>1911</v>
          </cell>
          <cell r="B261" t="str">
            <v>TAITTINGER BRUT RESERVE 750ML</v>
          </cell>
        </row>
        <row r="262">
          <cell r="A262">
            <v>1908</v>
          </cell>
          <cell r="B262" t="str">
            <v>SWEET LIPS SWEET WHITE 1LTR</v>
          </cell>
        </row>
        <row r="263">
          <cell r="A263">
            <v>1907</v>
          </cell>
          <cell r="B263" t="str">
            <v>SWEET LIPS SWEET ROSE 1LTR</v>
          </cell>
        </row>
        <row r="264">
          <cell r="A264">
            <v>1906</v>
          </cell>
          <cell r="B264" t="str">
            <v>SWEET LIPS SWEET RED 1LTR</v>
          </cell>
        </row>
        <row r="265">
          <cell r="A265">
            <v>1905</v>
          </cell>
          <cell r="B265" t="str">
            <v>SWARTLAND WINERY BRUT 750ML</v>
          </cell>
        </row>
        <row r="266">
          <cell r="A266">
            <v>2250</v>
          </cell>
          <cell r="B266" t="str">
            <v>SWARTLAND  SYRAH 750ML</v>
          </cell>
        </row>
        <row r="267">
          <cell r="A267">
            <v>2249</v>
          </cell>
          <cell r="B267" t="str">
            <v>SWARTLAND SAUV BLANC 750ML</v>
          </cell>
        </row>
        <row r="268">
          <cell r="A268">
            <v>1904</v>
          </cell>
          <cell r="B268" t="str">
            <v>SUPREME VODKA 250ML</v>
          </cell>
        </row>
        <row r="269">
          <cell r="A269">
            <v>1903</v>
          </cell>
          <cell r="B269" t="str">
            <v>SUNRISE SAUV BLANC 1.5LTR</v>
          </cell>
        </row>
        <row r="270">
          <cell r="A270">
            <v>2375</v>
          </cell>
          <cell r="B270" t="str">
            <v>SUNRISE 3LTR</v>
          </cell>
        </row>
        <row r="271">
          <cell r="A271">
            <v>2918</v>
          </cell>
          <cell r="B271" t="str">
            <v>WOOSH 9000 PUFFS SUN KISSED GRAPE</v>
          </cell>
        </row>
        <row r="272">
          <cell r="A272">
            <v>1901</v>
          </cell>
          <cell r="B272" t="str">
            <v>STRETTON`S WILD BERRIES 750ML</v>
          </cell>
        </row>
        <row r="273">
          <cell r="A273">
            <v>1900</v>
          </cell>
          <cell r="B273" t="str">
            <v>STRETTON`S TRIPPLE BERRY 750ML</v>
          </cell>
        </row>
        <row r="274">
          <cell r="A274">
            <v>1899</v>
          </cell>
          <cell r="B274" t="str">
            <v>STRETTON`S ORIGINAL 750ML</v>
          </cell>
        </row>
        <row r="275">
          <cell r="A275">
            <v>1898</v>
          </cell>
          <cell r="B275" t="str">
            <v>STRETTON RUBY ORANGE 750ML</v>
          </cell>
        </row>
        <row r="276">
          <cell r="A276">
            <v>1897</v>
          </cell>
          <cell r="B276" t="str">
            <v>STRAWBERRY LIPS LIQUEUR 750ML</v>
          </cell>
        </row>
        <row r="277">
          <cell r="A277">
            <v>1896</v>
          </cell>
          <cell r="B277" t="str">
            <v>STRATHISLA 12YRS WHISKY 700ML</v>
          </cell>
        </row>
        <row r="278">
          <cell r="A278">
            <v>1892</v>
          </cell>
          <cell r="B278" t="str">
            <v>STONEY 500ML</v>
          </cell>
        </row>
        <row r="279">
          <cell r="A279">
            <v>2863</v>
          </cell>
          <cell r="B279" t="str">
            <v>Stoney 350ml</v>
          </cell>
        </row>
        <row r="280">
          <cell r="A280">
            <v>1891</v>
          </cell>
          <cell r="B280" t="str">
            <v>STOLICHNAYA VANILLA 750ML</v>
          </cell>
        </row>
        <row r="281">
          <cell r="A281">
            <v>1890</v>
          </cell>
          <cell r="B281" t="str">
            <v>STOLICHNAYA RASBERRY 750ML</v>
          </cell>
        </row>
        <row r="282">
          <cell r="A282">
            <v>1889</v>
          </cell>
          <cell r="B282" t="str">
            <v>STOLICHNAYA ORANGE 750ML</v>
          </cell>
        </row>
        <row r="283">
          <cell r="A283">
            <v>1888</v>
          </cell>
          <cell r="B283" t="str">
            <v>STOLICHNAYA JALAPENO 750ML</v>
          </cell>
        </row>
        <row r="284">
          <cell r="A284">
            <v>2360</v>
          </cell>
          <cell r="B284" t="str">
            <v>STOLICHNAYA HOT 750ML</v>
          </cell>
        </row>
        <row r="285">
          <cell r="A285">
            <v>1887</v>
          </cell>
          <cell r="B285" t="str">
            <v>STOLICHNAYA CITRUS 750ML</v>
          </cell>
        </row>
        <row r="286">
          <cell r="A286">
            <v>2285</v>
          </cell>
          <cell r="B286" t="str">
            <v>STOLICHNAYA 375ML</v>
          </cell>
        </row>
        <row r="287">
          <cell r="A287">
            <v>2299</v>
          </cell>
          <cell r="B287" t="str">
            <v>STOLICHNAYA 1LTR</v>
          </cell>
        </row>
        <row r="288">
          <cell r="A288">
            <v>1884</v>
          </cell>
          <cell r="B288" t="str">
            <v>STELLENBOSCH VINEYARDS CAB SAUV 750ML</v>
          </cell>
        </row>
        <row r="289">
          <cell r="A289">
            <v>1881</v>
          </cell>
          <cell r="B289" t="str">
            <v>STARCHASER  750ML</v>
          </cell>
        </row>
        <row r="290">
          <cell r="A290">
            <v>1876</v>
          </cell>
          <cell r="B290" t="str">
            <v>ST. CELINE 750ML</v>
          </cell>
        </row>
        <row r="291">
          <cell r="A291">
            <v>1874</v>
          </cell>
          <cell r="B291" t="str">
            <v>ST REMY XO  FRENCH BRANDY 750ML</v>
          </cell>
        </row>
        <row r="292">
          <cell r="A292">
            <v>1873</v>
          </cell>
          <cell r="B292" t="str">
            <v>ST REMY VSOP FRENCH BRANDY 750ML</v>
          </cell>
        </row>
        <row r="293">
          <cell r="A293">
            <v>1872</v>
          </cell>
          <cell r="B293" t="str">
            <v>ST REMY VSOP FRENCH BRANDY 1LTR</v>
          </cell>
        </row>
        <row r="294">
          <cell r="A294">
            <v>1868</v>
          </cell>
          <cell r="B294" t="str">
            <v>SPUMANTE FESTA WHITE 750ML</v>
          </cell>
        </row>
        <row r="295">
          <cell r="A295">
            <v>1867</v>
          </cell>
          <cell r="B295" t="str">
            <v>SPUMANTE FESTA RED 750ML</v>
          </cell>
        </row>
        <row r="296">
          <cell r="A296">
            <v>1866</v>
          </cell>
          <cell r="B296" t="str">
            <v>SPRITE 500ML</v>
          </cell>
        </row>
        <row r="297">
          <cell r="A297">
            <v>2862</v>
          </cell>
          <cell r="B297" t="str">
            <v>Sprite 350ml</v>
          </cell>
        </row>
        <row r="298">
          <cell r="A298">
            <v>2248</v>
          </cell>
          <cell r="B298" t="str">
            <v>SPRITE 2L</v>
          </cell>
        </row>
        <row r="299">
          <cell r="A299">
            <v>1865</v>
          </cell>
          <cell r="B299" t="str">
            <v>SPRITE 1.25L</v>
          </cell>
        </row>
        <row r="300">
          <cell r="A300">
            <v>2838</v>
          </cell>
          <cell r="B300" t="str">
            <v>SPRITE 1 LITRE</v>
          </cell>
        </row>
        <row r="301">
          <cell r="A301">
            <v>2910</v>
          </cell>
          <cell r="B301" t="str">
            <v>SPORTMAN KING SIZE</v>
          </cell>
        </row>
        <row r="302">
          <cell r="A302">
            <v>1861</v>
          </cell>
          <cell r="B302" t="str">
            <v>SOUTHERN OCEAN SAUV BLANC 750ML</v>
          </cell>
        </row>
        <row r="303">
          <cell r="A303">
            <v>1860</v>
          </cell>
          <cell r="B303" t="str">
            <v>SOUTHERN COMFORT LIME 700ML</v>
          </cell>
        </row>
        <row r="304">
          <cell r="A304">
            <v>1859</v>
          </cell>
          <cell r="B304" t="str">
            <v>SOUTHERN COMFORT BLACK 700ML</v>
          </cell>
        </row>
        <row r="305">
          <cell r="A305">
            <v>1856</v>
          </cell>
          <cell r="B305" t="str">
            <v>SOUTHERN COMFORT BLACK 1LT</v>
          </cell>
        </row>
        <row r="306">
          <cell r="A306">
            <v>1858</v>
          </cell>
          <cell r="B306" t="str">
            <v>SOUTHERN COMFORT 750ML</v>
          </cell>
        </row>
        <row r="307">
          <cell r="A307">
            <v>1857</v>
          </cell>
          <cell r="B307" t="str">
            <v>SOUTHERN COMFORT 350ML</v>
          </cell>
        </row>
        <row r="308">
          <cell r="A308">
            <v>95</v>
          </cell>
          <cell r="B308" t="str">
            <v>SOUTHERN COMFORT 1LT</v>
          </cell>
        </row>
        <row r="309">
          <cell r="A309">
            <v>1853</v>
          </cell>
          <cell r="B309" t="str">
            <v>SOMETHING SPECIAL 1LTR</v>
          </cell>
        </row>
        <row r="310">
          <cell r="A310">
            <v>1852</v>
          </cell>
          <cell r="B310" t="str">
            <v>SOLO AVIATOR 500ML</v>
          </cell>
        </row>
        <row r="311">
          <cell r="A311">
            <v>1851</v>
          </cell>
          <cell r="B311" t="str">
            <v>SOLAN NO. ONE BLACK 750ML</v>
          </cell>
        </row>
        <row r="312">
          <cell r="A312">
            <v>1850</v>
          </cell>
          <cell r="B312" t="str">
            <v>SODA WATER 500ML</v>
          </cell>
        </row>
        <row r="313">
          <cell r="A313">
            <v>1847</v>
          </cell>
          <cell r="B313" t="str">
            <v>SOBIESKI VODKA 1LTR</v>
          </cell>
        </row>
        <row r="314">
          <cell r="A314">
            <v>2329</v>
          </cell>
          <cell r="B314" t="str">
            <v>Snapp Dry Cider 330ml</v>
          </cell>
        </row>
        <row r="315">
          <cell r="A315">
            <v>1846</v>
          </cell>
          <cell r="B315" t="str">
            <v>SNAPP APPLE CAN 330ML</v>
          </cell>
        </row>
        <row r="316">
          <cell r="A316">
            <v>2845</v>
          </cell>
          <cell r="B316" t="str">
            <v>SMIRNOFF ICE RASPBERRY TWIST CAN 330ML</v>
          </cell>
        </row>
        <row r="317">
          <cell r="A317">
            <v>2431</v>
          </cell>
          <cell r="B317" t="str">
            <v>SMIRNOFF ICE PINEAPPLE PUNCH 330ML</v>
          </cell>
        </row>
        <row r="318">
          <cell r="A318">
            <v>1840</v>
          </cell>
          <cell r="B318" t="str">
            <v>SMIRNOFF GUARANA ELECTRIC ICE 330ML</v>
          </cell>
        </row>
        <row r="319">
          <cell r="A319">
            <v>2866</v>
          </cell>
          <cell r="B319" t="str">
            <v>SMIRNOFF COSMO COCKTAIL 750ML</v>
          </cell>
        </row>
        <row r="320">
          <cell r="A320">
            <v>1834</v>
          </cell>
          <cell r="B320" t="str">
            <v>SMIRNOFF RED VODKA 750ML</v>
          </cell>
        </row>
        <row r="321">
          <cell r="A321">
            <v>1833</v>
          </cell>
          <cell r="B321" t="str">
            <v>SMIRNOFF RED VODKA 350ML</v>
          </cell>
        </row>
        <row r="322">
          <cell r="A322">
            <v>1832</v>
          </cell>
          <cell r="B322" t="str">
            <v>SMIRNOFF RED VODKA 250ML</v>
          </cell>
        </row>
        <row r="323">
          <cell r="A323">
            <v>1831</v>
          </cell>
          <cell r="B323" t="str">
            <v>SMIRNOFF - RED 1LT</v>
          </cell>
        </row>
        <row r="324">
          <cell r="A324">
            <v>1828</v>
          </cell>
          <cell r="B324" t="str">
            <v>SMIRNOFF - LIME 1LT</v>
          </cell>
        </row>
        <row r="325">
          <cell r="A325">
            <v>2430</v>
          </cell>
          <cell r="B325" t="str">
            <v>SMIRNOFF ICE GUARANA 330ML</v>
          </cell>
        </row>
        <row r="326">
          <cell r="A326">
            <v>1823</v>
          </cell>
          <cell r="B326" t="str">
            <v>SMIRNOFF - BLUE 750ML</v>
          </cell>
        </row>
        <row r="327">
          <cell r="A327">
            <v>1821</v>
          </cell>
          <cell r="B327" t="str">
            <v>SMIRNOFF BLACK ICE CAN 330ML</v>
          </cell>
        </row>
        <row r="328">
          <cell r="A328">
            <v>825</v>
          </cell>
          <cell r="B328" t="str">
            <v>SMIRNOFF</v>
          </cell>
        </row>
        <row r="329">
          <cell r="A329">
            <v>1817</v>
          </cell>
          <cell r="B329" t="str">
            <v>SKYY VODKA 1LTR</v>
          </cell>
        </row>
        <row r="330">
          <cell r="A330">
            <v>1814</v>
          </cell>
          <cell r="B330" t="str">
            <v>SKYY INFUSION CITRUS VODKA 700ML</v>
          </cell>
        </row>
        <row r="331">
          <cell r="A331">
            <v>2570</v>
          </cell>
          <cell r="B331" t="str">
            <v>SIX  DOGS KAROO 750ML</v>
          </cell>
        </row>
        <row r="332">
          <cell r="A332">
            <v>1809</v>
          </cell>
          <cell r="B332" t="str">
            <v>SIR EDWARDS WHISKY  700ML</v>
          </cell>
        </row>
        <row r="333">
          <cell r="A333">
            <v>1808</v>
          </cell>
          <cell r="B333" t="str">
            <v>SIR EDWARDS WHISKY  4.5LTR</v>
          </cell>
        </row>
        <row r="334">
          <cell r="A334">
            <v>1806</v>
          </cell>
          <cell r="B334" t="str">
            <v>SIR EDWARDS WHISKY  1LTR</v>
          </cell>
        </row>
        <row r="335">
          <cell r="A335">
            <v>1805</v>
          </cell>
          <cell r="B335" t="str">
            <v>SIR EDWARD'S SMOKY WHISKY 750ML</v>
          </cell>
        </row>
        <row r="336">
          <cell r="A336">
            <v>2162</v>
          </cell>
          <cell r="B336" t="str">
            <v>SIR EDWARDS SMOKY  1L</v>
          </cell>
        </row>
        <row r="337">
          <cell r="A337">
            <v>2284</v>
          </cell>
          <cell r="B337" t="str">
            <v>SIPSMITH LONDON DRY GIN 1LTR</v>
          </cell>
        </row>
        <row r="338">
          <cell r="A338">
            <v>1802</v>
          </cell>
          <cell r="B338" t="str">
            <v>SINGLETON DUFFTOWN 18YRS WHISKY 750ML</v>
          </cell>
        </row>
        <row r="339">
          <cell r="A339">
            <v>1801</v>
          </cell>
          <cell r="B339" t="str">
            <v>SINGLETON DUFFTOWN 15YRS 750ML</v>
          </cell>
        </row>
        <row r="340">
          <cell r="A340">
            <v>2956</v>
          </cell>
          <cell r="B340" t="str">
            <v>SINGLETON ARTISAN 1L</v>
          </cell>
        </row>
        <row r="341">
          <cell r="A341">
            <v>1800</v>
          </cell>
          <cell r="B341" t="str">
            <v>SINGLETON 21YRS 700ML</v>
          </cell>
        </row>
        <row r="342">
          <cell r="A342">
            <v>1799</v>
          </cell>
          <cell r="B342" t="str">
            <v>SINGLETON 12YRS WHISKY 750ML</v>
          </cell>
        </row>
        <row r="343">
          <cell r="A343">
            <v>2282</v>
          </cell>
          <cell r="B343" t="str">
            <v>SINGLETON 12YRS 1LTR</v>
          </cell>
        </row>
        <row r="344">
          <cell r="A344">
            <v>1797</v>
          </cell>
          <cell r="B344" t="str">
            <v>SIMONSIG SAUV BLANC SEMILLON 750ml</v>
          </cell>
        </row>
        <row r="345">
          <cell r="A345">
            <v>1796</v>
          </cell>
          <cell r="B345" t="str">
            <v>SIMONSIG PINOTAGE 750ml</v>
          </cell>
        </row>
        <row r="346">
          <cell r="A346">
            <v>1794</v>
          </cell>
          <cell r="B346" t="str">
            <v>SIMONSIG CAB SAUV SHIRAZ 750ml</v>
          </cell>
        </row>
        <row r="347">
          <cell r="A347">
            <v>1793</v>
          </cell>
          <cell r="B347" t="str">
            <v>SIMONSIG CAB SAUV MERLOT 750ml</v>
          </cell>
        </row>
        <row r="348">
          <cell r="A348">
            <v>2449</v>
          </cell>
          <cell r="B348" t="str">
            <v>SIMONSIG CAB SAUV 750ML</v>
          </cell>
        </row>
        <row r="349">
          <cell r="A349">
            <v>2478</v>
          </cell>
          <cell r="B349" t="str">
            <v>SILK &amp;SPICE  750ML</v>
          </cell>
        </row>
        <row r="350">
          <cell r="A350">
            <v>2979</v>
          </cell>
          <cell r="B350" t="str">
            <v>SIGNORE GIUSEPPE PROSECCO SPUMANTE WHITE 750ML</v>
          </cell>
        </row>
        <row r="351">
          <cell r="A351">
            <v>2980</v>
          </cell>
          <cell r="B351" t="str">
            <v>SIGNORE GIUSEPPE PROSECCO SPUMANTE ROSE 750ML</v>
          </cell>
        </row>
        <row r="352">
          <cell r="A352">
            <v>3003</v>
          </cell>
          <cell r="B352" t="str">
            <v>SIERRA TROPICAL CHILI, PASSIONFRUIT &amp; MANGO 700ML</v>
          </cell>
        </row>
        <row r="353">
          <cell r="A353">
            <v>1791</v>
          </cell>
          <cell r="B353" t="str">
            <v>SIERRA TEQUILA SILVER 700ml</v>
          </cell>
        </row>
        <row r="354">
          <cell r="A354">
            <v>1790</v>
          </cell>
          <cell r="B354" t="str">
            <v>SIERRA TEQUILA SILVER 1ltr</v>
          </cell>
        </row>
        <row r="355">
          <cell r="A355">
            <v>1789</v>
          </cell>
          <cell r="B355" t="str">
            <v>SIERRA REPOSADO 700ML</v>
          </cell>
        </row>
        <row r="356">
          <cell r="A356">
            <v>1788</v>
          </cell>
          <cell r="B356" t="str">
            <v>SIERRA REPOSADO 1LTR</v>
          </cell>
        </row>
        <row r="357">
          <cell r="A357">
            <v>1786</v>
          </cell>
          <cell r="B357" t="str">
            <v>SHUSTOFF 3YRS 1LTR</v>
          </cell>
        </row>
        <row r="358">
          <cell r="A358">
            <v>1783</v>
          </cell>
          <cell r="B358" t="str">
            <v>SHUSHTOFF BRANDY 3YRS 500ML</v>
          </cell>
        </row>
        <row r="359">
          <cell r="A359">
            <v>1782</v>
          </cell>
          <cell r="B359" t="str">
            <v>SHERIDANS LIQUEUR 750ML</v>
          </cell>
        </row>
        <row r="360">
          <cell r="A360">
            <v>1781</v>
          </cell>
          <cell r="B360" t="str">
            <v>SHERIDAN'S LIQUEUR 1LTR</v>
          </cell>
        </row>
        <row r="361">
          <cell r="A361">
            <v>1779</v>
          </cell>
          <cell r="B361" t="str">
            <v>SHACKLETON BLENDED MALT 700ML</v>
          </cell>
        </row>
        <row r="362">
          <cell r="A362">
            <v>2246</v>
          </cell>
          <cell r="B362" t="str">
            <v>SHACKLETON 1LTR</v>
          </cell>
        </row>
        <row r="363">
          <cell r="A363">
            <v>2325</v>
          </cell>
          <cell r="B363" t="str">
            <v>SECRET SAFARI CHERRY RED 750ML</v>
          </cell>
        </row>
        <row r="364">
          <cell r="A364">
            <v>1772</v>
          </cell>
          <cell r="B364" t="str">
            <v>SCOTTISH STAG 1LTR</v>
          </cell>
        </row>
        <row r="365">
          <cell r="A365">
            <v>1775</v>
          </cell>
          <cell r="B365" t="str">
            <v>SCOTTISH LEADER ORIGINAL 700ML</v>
          </cell>
        </row>
        <row r="366">
          <cell r="A366">
            <v>1774</v>
          </cell>
          <cell r="B366" t="str">
            <v>SCOTTISH LEADER ORIGINAL 1LTR</v>
          </cell>
        </row>
        <row r="367">
          <cell r="A367">
            <v>2456</v>
          </cell>
          <cell r="B367" t="str">
            <v>SCHWEEPES BITTER LEMON 500ML</v>
          </cell>
        </row>
        <row r="368">
          <cell r="A368">
            <v>1770</v>
          </cell>
          <cell r="B368" t="str">
            <v>SCAVI &amp; RAY PROSECCO 750ML</v>
          </cell>
        </row>
        <row r="369">
          <cell r="A369">
            <v>2825</v>
          </cell>
          <cell r="B369" t="str">
            <v>SAZERAC RYE 700ML</v>
          </cell>
        </row>
        <row r="370">
          <cell r="A370">
            <v>1764</v>
          </cell>
          <cell r="B370" t="str">
            <v>SAVANNA DRY BOTTLE 330ML</v>
          </cell>
        </row>
        <row r="371">
          <cell r="A371">
            <v>1765</v>
          </cell>
          <cell r="B371" t="str">
            <v>SAVANNA ANGRY LEMON 330ML</v>
          </cell>
        </row>
        <row r="372">
          <cell r="A372">
            <v>1759</v>
          </cell>
          <cell r="B372" t="str">
            <v>SANTA HELLENA DULCEE 750ml</v>
          </cell>
        </row>
        <row r="373">
          <cell r="A373">
            <v>1758</v>
          </cell>
          <cell r="B373" t="str">
            <v>SANTA HELENA TINTO 750ML</v>
          </cell>
        </row>
        <row r="374">
          <cell r="A374">
            <v>2316</v>
          </cell>
          <cell r="B374" t="str">
            <v>SANTA HELENA BLANCO 750ML</v>
          </cell>
        </row>
        <row r="375">
          <cell r="A375">
            <v>2347</v>
          </cell>
          <cell r="B375" t="str">
            <v>SANGRIA PENASOL 1LTR</v>
          </cell>
        </row>
        <row r="376">
          <cell r="A376">
            <v>1750</v>
          </cell>
          <cell r="B376" t="str">
            <v>SANDEMAN SEMI SWEET 750ML</v>
          </cell>
        </row>
        <row r="377">
          <cell r="A377">
            <v>1749</v>
          </cell>
          <cell r="B377" t="str">
            <v>SANDEMAN FINE WHITE 1ltr</v>
          </cell>
        </row>
        <row r="378">
          <cell r="A378">
            <v>1747</v>
          </cell>
          <cell r="B378" t="str">
            <v>SANDEMAN FINE RUBY 700ML</v>
          </cell>
        </row>
        <row r="379">
          <cell r="A379">
            <v>1746</v>
          </cell>
          <cell r="B379" t="str">
            <v>SANDEMAN FINE RUBY 1ltr</v>
          </cell>
        </row>
        <row r="380">
          <cell r="A380">
            <v>1742</v>
          </cell>
          <cell r="B380" t="str">
            <v>SANDARA Premium Sparkling Sangria 750ML</v>
          </cell>
        </row>
        <row r="381">
          <cell r="A381">
            <v>1741</v>
          </cell>
          <cell r="B381" t="str">
            <v>SANDARA PREMIUM SANGIRIA 750ML</v>
          </cell>
        </row>
        <row r="382">
          <cell r="A382">
            <v>1736</v>
          </cell>
          <cell r="B382" t="str">
            <v>SAN FELIPE OAK MALBEC 750ML</v>
          </cell>
        </row>
        <row r="383">
          <cell r="A383">
            <v>1734</v>
          </cell>
          <cell r="B383" t="str">
            <v>SAN FELIPE CLASSIC SAUV BLANC 750ML</v>
          </cell>
        </row>
        <row r="384">
          <cell r="A384">
            <v>2872</v>
          </cell>
          <cell r="B384" t="str">
            <v>SAN FELIPE CLASSIC CAB SAUV 750ML</v>
          </cell>
        </row>
        <row r="385">
          <cell r="A385">
            <v>2964</v>
          </cell>
          <cell r="B385" t="str">
            <v>SALMARI PREMIUM LIQOUR 3L</v>
          </cell>
        </row>
        <row r="386">
          <cell r="A386">
            <v>2912</v>
          </cell>
          <cell r="B386" t="str">
            <v>SAINT RAPHAEL SMOOTH RED 750ML</v>
          </cell>
        </row>
        <row r="387">
          <cell r="A387">
            <v>2913</v>
          </cell>
          <cell r="B387" t="str">
            <v>SAINT CLAIRE NATURAL SWEET ROSE 750ML</v>
          </cell>
        </row>
        <row r="388">
          <cell r="A388">
            <v>2401</v>
          </cell>
          <cell r="B388" t="str">
            <v>SAINT CLAIRE 750ML</v>
          </cell>
        </row>
        <row r="389">
          <cell r="A389">
            <v>1730</v>
          </cell>
          <cell r="B389" t="str">
            <v>SAINT CELINE ROSE WINE 750ML</v>
          </cell>
        </row>
        <row r="390">
          <cell r="A390">
            <v>1729</v>
          </cell>
          <cell r="B390" t="str">
            <v>SAINT CELINE RED WINE 750ML</v>
          </cell>
        </row>
        <row r="391">
          <cell r="A391">
            <v>1728</v>
          </cell>
          <cell r="B391" t="str">
            <v>SAINT ANNA 750ML</v>
          </cell>
        </row>
        <row r="392">
          <cell r="A392">
            <v>1727</v>
          </cell>
          <cell r="B392" t="str">
            <v>S. PELLEGRINO 750ML</v>
          </cell>
        </row>
        <row r="393">
          <cell r="A393">
            <v>2315</v>
          </cell>
          <cell r="B393" t="str">
            <v>RUTINI MENDOZA 750ML</v>
          </cell>
        </row>
        <row r="394">
          <cell r="A394">
            <v>1726</v>
          </cell>
          <cell r="B394" t="str">
            <v>RUTINI MALBEC 750ML</v>
          </cell>
        </row>
        <row r="395">
          <cell r="A395">
            <v>1725</v>
          </cell>
          <cell r="B395" t="str">
            <v>RUTINI ENCUENTRO MALBEC 750ML</v>
          </cell>
        </row>
        <row r="396">
          <cell r="A396">
            <v>2396</v>
          </cell>
          <cell r="B396" t="str">
            <v>RUSSIAN BEAR WILD BERRY EXPORT 750ML</v>
          </cell>
        </row>
        <row r="397">
          <cell r="A397">
            <v>2394</v>
          </cell>
          <cell r="B397" t="str">
            <v>RUSSIAN BEAR VODKA 750ML</v>
          </cell>
        </row>
        <row r="398">
          <cell r="A398">
            <v>2395</v>
          </cell>
          <cell r="B398" t="str">
            <v>RUSSIAN BEAR PASSION FRUIT 750ML</v>
          </cell>
        </row>
        <row r="399">
          <cell r="A399">
            <v>2393</v>
          </cell>
          <cell r="B399" t="str">
            <v>RUSSIAN BEAR ENERGY FUDION EXPORT 750ML</v>
          </cell>
        </row>
        <row r="400">
          <cell r="A400">
            <v>1720</v>
          </cell>
          <cell r="B400" t="str">
            <v>RUPERT &amp; ROTHSCHILD CLASSIQUE 750ML</v>
          </cell>
        </row>
        <row r="401">
          <cell r="A401">
            <v>1719</v>
          </cell>
          <cell r="B401" t="str">
            <v>RUPERT &amp; ROTHS RED 750ML</v>
          </cell>
        </row>
        <row r="402">
          <cell r="A402">
            <v>1718</v>
          </cell>
          <cell r="B402" t="str">
            <v>RUINART ROSE 750ML</v>
          </cell>
        </row>
        <row r="403">
          <cell r="A403">
            <v>2245</v>
          </cell>
          <cell r="B403" t="str">
            <v>RUINART BRUT 750ML</v>
          </cell>
        </row>
        <row r="404">
          <cell r="A404">
            <v>1716</v>
          </cell>
          <cell r="B404" t="str">
            <v>ROYAL WHYTEHALL HONEY 1LTR</v>
          </cell>
        </row>
        <row r="405">
          <cell r="A405">
            <v>1712</v>
          </cell>
          <cell r="B405" t="str">
            <v>ROYAL RHINO CREAM 750ml</v>
          </cell>
        </row>
        <row r="406">
          <cell r="A406">
            <v>2911</v>
          </cell>
          <cell r="B406" t="str">
            <v>ROYAL CIRCLE WHISKY COLA 330ML</v>
          </cell>
        </row>
        <row r="407">
          <cell r="A407">
            <v>2842</v>
          </cell>
          <cell r="B407" t="str">
            <v>ROYAL CIRCLE HONEY 750ML  </v>
          </cell>
        </row>
        <row r="408">
          <cell r="A408">
            <v>1708</v>
          </cell>
          <cell r="B408" t="str">
            <v>ROYAL CIRCLE 750ML</v>
          </cell>
        </row>
        <row r="409">
          <cell r="A409">
            <v>1707</v>
          </cell>
          <cell r="B409" t="str">
            <v>ROYAL CIRCLE 350ML</v>
          </cell>
        </row>
        <row r="410">
          <cell r="A410">
            <v>1706</v>
          </cell>
          <cell r="B410" t="str">
            <v>ROYAL CIRCLE 1LTR</v>
          </cell>
        </row>
        <row r="411">
          <cell r="A411">
            <v>1705</v>
          </cell>
          <cell r="B411" t="str">
            <v>ROYAL CHALLENGE WHISKY RED 750ML</v>
          </cell>
        </row>
        <row r="412">
          <cell r="A412">
            <v>1704</v>
          </cell>
          <cell r="B412" t="str">
            <v>ROYAL CHALLENGE AMERICAN PRIDE 750ML</v>
          </cell>
        </row>
        <row r="413">
          <cell r="A413">
            <v>2244</v>
          </cell>
          <cell r="B413" t="str">
            <v>ROYAL CHALLENGE 375ML</v>
          </cell>
        </row>
        <row r="414">
          <cell r="A414">
            <v>1703</v>
          </cell>
          <cell r="B414" t="str">
            <v>ROYAL ARMS BLUE RESERVE BLACK 750ML</v>
          </cell>
        </row>
        <row r="415">
          <cell r="A415">
            <v>1699</v>
          </cell>
          <cell r="B415" t="str">
            <v>ROSSO NOBILE RASPBERRY &amp; LEMON - BUBBLY 750ML</v>
          </cell>
        </row>
        <row r="416">
          <cell r="A416">
            <v>1698</v>
          </cell>
          <cell r="B416" t="str">
            <v>ROSSO NOBILE NOUGAT 750ML</v>
          </cell>
        </row>
        <row r="417">
          <cell r="A417">
            <v>1697</v>
          </cell>
          <cell r="B417" t="str">
            <v>ROSSO NOBILE NACIOLLA 750ML</v>
          </cell>
        </row>
        <row r="418">
          <cell r="A418">
            <v>1696</v>
          </cell>
          <cell r="B418" t="str">
            <v>ROSSO NOBILE MARZIPAN 750ML</v>
          </cell>
        </row>
        <row r="419">
          <cell r="A419">
            <v>1695</v>
          </cell>
          <cell r="B419" t="str">
            <v>ROSSO NOBILE EXPRESSO 750ML</v>
          </cell>
        </row>
        <row r="420">
          <cell r="A420">
            <v>2582</v>
          </cell>
          <cell r="B420" t="str">
            <v>ROSSO NOBILE DUBAI CHOCOLATE 750ML</v>
          </cell>
        </row>
        <row r="421">
          <cell r="A421">
            <v>2583</v>
          </cell>
          <cell r="B421" t="str">
            <v>ROSSO NOBILE DARK CHOCOLATE 750ML</v>
          </cell>
        </row>
        <row r="422">
          <cell r="A422">
            <v>1694</v>
          </cell>
          <cell r="B422" t="str">
            <v>ROSSO NOBILE CHOCOLATA 750ML</v>
          </cell>
        </row>
        <row r="423">
          <cell r="A423">
            <v>1693</v>
          </cell>
          <cell r="B423" t="str">
            <v>ROSSO NOBILE CHERRY  750ML</v>
          </cell>
        </row>
        <row r="424">
          <cell r="A424">
            <v>2584</v>
          </cell>
          <cell r="B424" t="str">
            <v>ROSSO NOBILE BOIS BANDE PHILTRE 750ML 750ML</v>
          </cell>
        </row>
        <row r="425">
          <cell r="A425">
            <v>1690</v>
          </cell>
          <cell r="B425" t="str">
            <v>ROSE D' ARGENT STRAWBERRY GIN 700ML</v>
          </cell>
        </row>
        <row r="426">
          <cell r="A426">
            <v>1689</v>
          </cell>
          <cell r="B426" t="str">
            <v>ROOIBERG WINERY SWEET WHITE 750ML</v>
          </cell>
        </row>
        <row r="427">
          <cell r="A427">
            <v>1688</v>
          </cell>
          <cell r="B427" t="str">
            <v>ROOIBERG WINERY RED MUSCADEL  750ML</v>
          </cell>
        </row>
        <row r="428">
          <cell r="A428">
            <v>1685</v>
          </cell>
          <cell r="B428" t="str">
            <v>ROLLER PREMIUM CRISP APPLE 330ml</v>
          </cell>
        </row>
        <row r="429">
          <cell r="A429">
            <v>1684</v>
          </cell>
          <cell r="B429" t="str">
            <v>ROCHE MAZET SAUVIGNON 750ML</v>
          </cell>
        </row>
        <row r="430">
          <cell r="A430">
            <v>1683</v>
          </cell>
          <cell r="B430" t="str">
            <v>ROCHE MAZET MERLOT</v>
          </cell>
        </row>
        <row r="431">
          <cell r="A431">
            <v>1682</v>
          </cell>
          <cell r="B431" t="str">
            <v>ROCHE MAZET GRENACHE 750ML</v>
          </cell>
        </row>
        <row r="432">
          <cell r="A432">
            <v>1681</v>
          </cell>
          <cell r="B432" t="str">
            <v>ROCHE MAZET CHARDONNAY 750ML </v>
          </cell>
        </row>
        <row r="433">
          <cell r="A433">
            <v>1680</v>
          </cell>
          <cell r="B433" t="str">
            <v>ROCHE MAZET CAB SAUV  750ml </v>
          </cell>
        </row>
        <row r="434">
          <cell r="A434">
            <v>1679</v>
          </cell>
          <cell r="B434" t="str">
            <v>ROCCA DEI FORTI WHITE 750ML</v>
          </cell>
        </row>
        <row r="435">
          <cell r="A435">
            <v>1678</v>
          </cell>
          <cell r="B435" t="str">
            <v>ROCCA DEI FORTI RED 750ML</v>
          </cell>
        </row>
        <row r="436">
          <cell r="A436">
            <v>1677</v>
          </cell>
          <cell r="B436" t="str">
            <v>ROBERTSON WINERY PINOTAGE 750ML</v>
          </cell>
        </row>
        <row r="437">
          <cell r="A437">
            <v>2487</v>
          </cell>
          <cell r="B437" t="str">
            <v>ROBERTSON  WINERY CHENIN BLANC 750ML</v>
          </cell>
        </row>
        <row r="438">
          <cell r="A438">
            <v>1676</v>
          </cell>
          <cell r="B438" t="str">
            <v>ROBERTSON WINERY CAB SAUV 750ML</v>
          </cell>
        </row>
        <row r="439">
          <cell r="A439">
            <v>1675</v>
          </cell>
          <cell r="B439" t="str">
            <v>ROBERTSON SWEET ROSE 1.5LT</v>
          </cell>
        </row>
        <row r="440">
          <cell r="A440">
            <v>2243</v>
          </cell>
          <cell r="B440" t="str">
            <v>ROBERTSON SAUV BLANC 750ML</v>
          </cell>
        </row>
        <row r="441">
          <cell r="A441">
            <v>1674</v>
          </cell>
          <cell r="B441" t="str">
            <v>ROBERTSON CHARDONNAY 750ML</v>
          </cell>
        </row>
        <row r="442">
          <cell r="A442">
            <v>1673</v>
          </cell>
          <cell r="B442" t="str">
            <v>ROBERTSON - WHITE SWEET 750ML</v>
          </cell>
        </row>
        <row r="443">
          <cell r="A443">
            <v>1672</v>
          </cell>
          <cell r="B443" t="str">
            <v>ROBERTSON - WHITE SWEET 1.5LT</v>
          </cell>
        </row>
        <row r="444">
          <cell r="A444">
            <v>1670</v>
          </cell>
          <cell r="B444" t="str">
            <v>ROBERTSON - SWEET RED 1.5LT</v>
          </cell>
        </row>
        <row r="445">
          <cell r="A445">
            <v>1669</v>
          </cell>
          <cell r="B445" t="str">
            <v>ROBERTSON - RED SWEET 750ML</v>
          </cell>
        </row>
        <row r="446">
          <cell r="A446">
            <v>2281</v>
          </cell>
          <cell r="B446" t="str">
            <v>RIVAGE GIN 1LTR</v>
          </cell>
        </row>
        <row r="447">
          <cell r="A447">
            <v>1667</v>
          </cell>
          <cell r="B447" t="str">
            <v>RIGAL ORIGINAL SAUV BLANC 750ML</v>
          </cell>
        </row>
        <row r="448">
          <cell r="A448">
            <v>1666</v>
          </cell>
          <cell r="B448" t="str">
            <v>RIGAL ORIGINAL MALBEC 750ML</v>
          </cell>
        </row>
        <row r="449">
          <cell r="A449">
            <v>1665</v>
          </cell>
          <cell r="B449" t="str">
            <v>RICHOT 750ML</v>
          </cell>
        </row>
        <row r="450">
          <cell r="A450">
            <v>1664</v>
          </cell>
          <cell r="B450" t="str">
            <v>RICHOT 350ML</v>
          </cell>
        </row>
        <row r="451">
          <cell r="A451">
            <v>1663</v>
          </cell>
          <cell r="B451" t="str">
            <v>RICHOT 250ML</v>
          </cell>
        </row>
        <row r="452">
          <cell r="A452">
            <v>1661</v>
          </cell>
          <cell r="B452" t="str">
            <v>RIB SHACK RED 750ML</v>
          </cell>
        </row>
        <row r="453">
          <cell r="A453">
            <v>1660</v>
          </cell>
          <cell r="B453" t="str">
            <v>RESERVE 7 RARE WHISKY 750ML</v>
          </cell>
        </row>
        <row r="454">
          <cell r="A454">
            <v>1659</v>
          </cell>
          <cell r="B454" t="str">
            <v>REMY MARTIN XO 1LT</v>
          </cell>
        </row>
        <row r="455">
          <cell r="A455">
            <v>1658</v>
          </cell>
          <cell r="B455" t="str">
            <v>REMY MARTIN VSOP GIFT PACK COGNAC 700ML</v>
          </cell>
        </row>
        <row r="456">
          <cell r="A456">
            <v>1655</v>
          </cell>
          <cell r="B456" t="str">
            <v>REMY MARTIN 1738 ACCORD ROYAL COGNAC 700ML</v>
          </cell>
        </row>
        <row r="457">
          <cell r="A457">
            <v>1654</v>
          </cell>
          <cell r="B457" t="str">
            <v>REMY MARTIN - XO 75OML</v>
          </cell>
        </row>
        <row r="458">
          <cell r="A458">
            <v>1653</v>
          </cell>
          <cell r="B458" t="str">
            <v>REMY MARTIN - VSOP 700 ML</v>
          </cell>
        </row>
        <row r="459">
          <cell r="A459">
            <v>1652</v>
          </cell>
          <cell r="B459" t="str">
            <v>REMY MARTIN - VSOP 1LTR</v>
          </cell>
        </row>
        <row r="460">
          <cell r="A460">
            <v>1648</v>
          </cell>
          <cell r="B460" t="str">
            <v>RED HEART 750ML</v>
          </cell>
        </row>
        <row r="461">
          <cell r="A461">
            <v>1647</v>
          </cell>
          <cell r="B461" t="str">
            <v>RED BULL ENERGY DRINK 250ML</v>
          </cell>
        </row>
        <row r="462">
          <cell r="A462">
            <v>1646</v>
          </cell>
          <cell r="B462" t="str">
            <v>RED BULL 0.0 250ML</v>
          </cell>
        </row>
        <row r="463">
          <cell r="A463">
            <v>2242</v>
          </cell>
          <cell r="B463" t="str">
            <v>RED BLAZE 150ML</v>
          </cell>
        </row>
        <row r="464">
          <cell r="A464">
            <v>2589</v>
          </cell>
          <cell r="B464" t="str">
            <v>QUINTA DOS TAWNY PORT 750ML</v>
          </cell>
        </row>
        <row r="465">
          <cell r="A465">
            <v>1639</v>
          </cell>
          <cell r="B465" t="str">
            <v>PROTEA MERLOT 750ML</v>
          </cell>
        </row>
        <row r="466">
          <cell r="A466">
            <v>1637</v>
          </cell>
          <cell r="B466" t="str">
            <v>PROSECO ROSE 750ML</v>
          </cell>
        </row>
        <row r="467">
          <cell r="A467">
            <v>1636</v>
          </cell>
          <cell r="B467" t="str">
            <v>PROPER TWELVE IRISH WHISKY 1LTR</v>
          </cell>
        </row>
        <row r="468">
          <cell r="A468">
            <v>2616</v>
          </cell>
          <cell r="B468" t="str">
            <v>PREDATOR ENERGY</v>
          </cell>
        </row>
        <row r="469">
          <cell r="A469">
            <v>2615</v>
          </cell>
          <cell r="B469" t="str">
            <v>POWER PLAY</v>
          </cell>
        </row>
        <row r="470">
          <cell r="A470">
            <v>1633</v>
          </cell>
          <cell r="B470" t="str">
            <v>PONCHOS TEQUILA REPOSADO 750ML</v>
          </cell>
        </row>
        <row r="471">
          <cell r="A471">
            <v>2359</v>
          </cell>
          <cell r="B471" t="str">
            <v>POMMERY ROYAL BRUT ROSE 750ML</v>
          </cell>
        </row>
        <row r="472">
          <cell r="A472">
            <v>1632</v>
          </cell>
          <cell r="B472" t="str">
            <v>POMMERY ROYAL BRUT 750ML</v>
          </cell>
        </row>
        <row r="473">
          <cell r="A473">
            <v>1631</v>
          </cell>
          <cell r="B473" t="str">
            <v>PLY MOUTH GIN 1LTR</v>
          </cell>
        </row>
        <row r="474">
          <cell r="A474">
            <v>1630</v>
          </cell>
          <cell r="B474" t="str">
            <v>PLAYA DEL SOL MALBEC 75Oml</v>
          </cell>
        </row>
        <row r="475">
          <cell r="A475">
            <v>2852</v>
          </cell>
          <cell r="B475" t="str">
            <v>PLATINUM VODKA LITRE</v>
          </cell>
        </row>
        <row r="476">
          <cell r="A476">
            <v>1629</v>
          </cell>
          <cell r="B476" t="str">
            <v>PIPER HEIDSIECK BRUT CHAMPAGNE 750ML</v>
          </cell>
        </row>
        <row r="477">
          <cell r="A477">
            <v>2988</v>
          </cell>
          <cell r="B477" t="str">
            <v>PINTA NEGRA WHITE 5L</v>
          </cell>
        </row>
        <row r="478">
          <cell r="A478">
            <v>2992</v>
          </cell>
          <cell r="B478" t="str">
            <v>PINTA NEGRA VINHO VERDE WHITE WINE 750ML</v>
          </cell>
        </row>
        <row r="479">
          <cell r="A479">
            <v>2991</v>
          </cell>
          <cell r="B479" t="str">
            <v>PINTA NEGRA SWEET WHITE WINE 2025 750ML</v>
          </cell>
        </row>
        <row r="480">
          <cell r="A480">
            <v>2996</v>
          </cell>
          <cell r="B480" t="str">
            <v>PINTA NEGRA SWEET WHITE WINE 2024 750ML</v>
          </cell>
        </row>
        <row r="481">
          <cell r="A481">
            <v>2995</v>
          </cell>
          <cell r="B481" t="str">
            <v>PINTA NEGRA SWEET RED WINE 750ML</v>
          </cell>
        </row>
        <row r="482">
          <cell r="A482">
            <v>2989</v>
          </cell>
          <cell r="B482" t="str">
            <v>PINTA NEGRA RED 5L</v>
          </cell>
        </row>
        <row r="483">
          <cell r="A483">
            <v>2990</v>
          </cell>
          <cell r="B483" t="str">
            <v>PINTA NEGRA DRY RED WINE 750ML</v>
          </cell>
        </row>
        <row r="484">
          <cell r="A484">
            <v>1628</v>
          </cell>
          <cell r="B484" t="str">
            <v>PIMMS NO. 1 750ML</v>
          </cell>
        </row>
        <row r="485">
          <cell r="A485">
            <v>1627</v>
          </cell>
          <cell r="B485" t="str">
            <v>PIMMS LIQUEUR 1LTR</v>
          </cell>
        </row>
        <row r="486">
          <cell r="A486">
            <v>1626</v>
          </cell>
          <cell r="B486" t="str">
            <v>PILSNER CAN 500ML</v>
          </cell>
        </row>
        <row r="487">
          <cell r="A487">
            <v>1625</v>
          </cell>
          <cell r="B487" t="str">
            <v>PIERRE MARCEL SWEET WHITE 750ML</v>
          </cell>
        </row>
        <row r="488">
          <cell r="A488">
            <v>1623</v>
          </cell>
          <cell r="B488" t="str">
            <v>PIERRE MARCEL SWEET RED 750ML</v>
          </cell>
        </row>
        <row r="489">
          <cell r="A489">
            <v>1622</v>
          </cell>
          <cell r="B489" t="str">
            <v>PIERRE MARCEL SWEET RED  1.5LTR</v>
          </cell>
        </row>
        <row r="490">
          <cell r="A490">
            <v>2869</v>
          </cell>
          <cell r="B490" t="str">
            <v>PIERRE MARCEL SPARKLING WHITE 750ML</v>
          </cell>
        </row>
        <row r="491">
          <cell r="A491">
            <v>2336</v>
          </cell>
          <cell r="B491" t="str">
            <v>PIERRE MARCEL ROSE 750ML</v>
          </cell>
        </row>
        <row r="492">
          <cell r="A492">
            <v>2501</v>
          </cell>
          <cell r="B492" t="str">
            <v>PIERRE JOURDAN TRANQUILLE 750ML</v>
          </cell>
        </row>
        <row r="493">
          <cell r="A493">
            <v>1618</v>
          </cell>
          <cell r="B493" t="str">
            <v>PET SODA 500ML</v>
          </cell>
        </row>
        <row r="494">
          <cell r="A494">
            <v>2314</v>
          </cell>
          <cell r="B494" t="str">
            <v>PERRIER JOUET BLANC 750ML</v>
          </cell>
        </row>
        <row r="495">
          <cell r="A495">
            <v>2569</v>
          </cell>
          <cell r="B495" t="str">
            <v>PETROVSKAIA PLATIMUM VODKA LITRE</v>
          </cell>
        </row>
        <row r="496">
          <cell r="A496">
            <v>2568</v>
          </cell>
          <cell r="B496" t="str">
            <v>PETROVSKAIA CRANBERRY VODKA LITRE</v>
          </cell>
        </row>
        <row r="497">
          <cell r="A497">
            <v>2567</v>
          </cell>
          <cell r="B497" t="str">
            <v>PETROVSKAIA CHOCOLATE VODKA LITRE</v>
          </cell>
        </row>
        <row r="498">
          <cell r="A498">
            <v>1617</v>
          </cell>
          <cell r="B498" t="str">
            <v>PERNOD LIQUEUR 700ML</v>
          </cell>
        </row>
        <row r="499">
          <cell r="A499">
            <v>1616</v>
          </cell>
          <cell r="B499" t="str">
            <v>PERNOD 1LTR</v>
          </cell>
        </row>
        <row r="500">
          <cell r="A500">
            <v>2549</v>
          </cell>
          <cell r="B500" t="str">
            <v>PERIGANS LONDON 700ML</v>
          </cell>
        </row>
        <row r="501">
          <cell r="A501">
            <v>1609</v>
          </cell>
          <cell r="B501" t="str">
            <v>PEPE LOPEZ TEQUILA 1LTR</v>
          </cell>
        </row>
        <row r="502">
          <cell r="A502">
            <v>1608</v>
          </cell>
          <cell r="B502" t="str">
            <v>PEP LIME JUICE 700ML</v>
          </cell>
        </row>
        <row r="503">
          <cell r="A503">
            <v>1607</v>
          </cell>
          <cell r="B503" t="str">
            <v>PEP LIME JUICE 1.5LT</v>
          </cell>
        </row>
        <row r="504">
          <cell r="A504">
            <v>1606</v>
          </cell>
          <cell r="B504" t="str">
            <v>PENASOL TEMPRANILLO GARNACHA 750ML</v>
          </cell>
        </row>
        <row r="505">
          <cell r="A505">
            <v>1605</v>
          </cell>
          <cell r="B505" t="str">
            <v>PENASOL SANGRIA 1.5 LTRS</v>
          </cell>
        </row>
        <row r="506">
          <cell r="A506">
            <v>1604</v>
          </cell>
          <cell r="B506" t="str">
            <v>PENASOL RED WINE 1LTR</v>
          </cell>
        </row>
        <row r="507">
          <cell r="A507">
            <v>2358</v>
          </cell>
          <cell r="B507" t="str">
            <v>PENASOL MEDIUM SWEET WHITE 1L</v>
          </cell>
        </row>
        <row r="508">
          <cell r="A508">
            <v>1603</v>
          </cell>
          <cell r="B508" t="str">
            <v>PENASOL BRUT 750ML</v>
          </cell>
        </row>
        <row r="509">
          <cell r="A509">
            <v>1602</v>
          </cell>
          <cell r="B509" t="str">
            <v>PENASOL ALREN 750ML</v>
          </cell>
        </row>
        <row r="510">
          <cell r="A510">
            <v>1601</v>
          </cell>
          <cell r="B510" t="str">
            <v>PEARLY BAY SWEET WHITE 750ml</v>
          </cell>
        </row>
        <row r="511">
          <cell r="A511">
            <v>1600</v>
          </cell>
          <cell r="B511" t="str">
            <v>PEARLY BAY SWEET RED 750ml</v>
          </cell>
        </row>
        <row r="512">
          <cell r="A512">
            <v>2357</v>
          </cell>
          <cell r="B512" t="str">
            <v>PEARLY BAY CHENIN BLANC 750ML</v>
          </cell>
        </row>
        <row r="513">
          <cell r="A513">
            <v>1597</v>
          </cell>
          <cell r="B513" t="str">
            <v>PATRON TEQUILA SILVER 375ML</v>
          </cell>
        </row>
        <row r="514">
          <cell r="A514">
            <v>1596</v>
          </cell>
          <cell r="B514" t="str">
            <v>PATRON SILVER 1LTR</v>
          </cell>
        </row>
        <row r="515">
          <cell r="A515">
            <v>1592</v>
          </cell>
          <cell r="B515" t="str">
            <v>PATRON - SILVER 750ML</v>
          </cell>
        </row>
        <row r="516">
          <cell r="A516">
            <v>1591</v>
          </cell>
          <cell r="B516" t="str">
            <v>PATRON - REPOSADO 750ML</v>
          </cell>
        </row>
        <row r="517">
          <cell r="A517">
            <v>1590</v>
          </cell>
          <cell r="B517" t="str">
            <v>PATRON - ANEJO TEQUILLA 750ML</v>
          </cell>
        </row>
        <row r="518">
          <cell r="A518">
            <v>1589</v>
          </cell>
          <cell r="B518" t="str">
            <v>PATRON - ANEJO TEQUILLA 1LT</v>
          </cell>
        </row>
        <row r="519">
          <cell r="A519">
            <v>1588</v>
          </cell>
          <cell r="B519" t="str">
            <v>PASSPORT SCOTCH WHISKY 1LTR</v>
          </cell>
        </row>
        <row r="520">
          <cell r="A520">
            <v>1587</v>
          </cell>
          <cell r="B520" t="str">
            <v>PASSPORT SCOTCH 40% 750ML</v>
          </cell>
        </row>
        <row r="521">
          <cell r="A521">
            <v>2313</v>
          </cell>
          <cell r="B521" t="str">
            <v>PAINTED WOLF PINOTAGE 750ML</v>
          </cell>
        </row>
        <row r="522">
          <cell r="A522">
            <v>1577</v>
          </cell>
          <cell r="B522" t="str">
            <v>PAINTED WOLF CHENIN BLANC 750ML</v>
          </cell>
        </row>
        <row r="523">
          <cell r="A523">
            <v>2312</v>
          </cell>
          <cell r="B523" t="str">
            <v>PAINTED WOLF CAB SAUV 750ML</v>
          </cell>
        </row>
        <row r="524">
          <cell r="A524">
            <v>1576</v>
          </cell>
          <cell r="B524" t="str">
            <v>PADDY IRISH WHISKY 375ML</v>
          </cell>
        </row>
        <row r="525">
          <cell r="A525">
            <v>1573</v>
          </cell>
          <cell r="B525" t="str">
            <v>OVERMEER 5LTR</v>
          </cell>
        </row>
        <row r="526">
          <cell r="A526">
            <v>2490</v>
          </cell>
          <cell r="B526" t="str">
            <v>OVEERMEER CELLAR NATURAL SWEET ROSE 5LITRES</v>
          </cell>
        </row>
        <row r="527">
          <cell r="A527">
            <v>2855</v>
          </cell>
          <cell r="B527" t="str">
            <v>ORIJIN BITTERS 750ml</v>
          </cell>
        </row>
        <row r="528">
          <cell r="A528">
            <v>2619</v>
          </cell>
          <cell r="B528" t="str">
            <v>ORIJIN BITTERS 250ML</v>
          </cell>
        </row>
        <row r="529">
          <cell r="A529">
            <v>1572</v>
          </cell>
          <cell r="B529" t="str">
            <v>ORIGIN BITTERS 750ML</v>
          </cell>
        </row>
        <row r="530">
          <cell r="A530">
            <v>1571</v>
          </cell>
          <cell r="B530" t="str">
            <v>ORIGIN 250ML</v>
          </cell>
        </row>
        <row r="531">
          <cell r="A531">
            <v>1569</v>
          </cell>
          <cell r="B531" t="str">
            <v>OREANDA CRYSTAL BRUT 750ML</v>
          </cell>
        </row>
        <row r="532">
          <cell r="A532">
            <v>1568</v>
          </cell>
          <cell r="B532" t="str">
            <v>OREANDA CHARDONNAY 750ML</v>
          </cell>
        </row>
        <row r="533">
          <cell r="A533">
            <v>1565</v>
          </cell>
          <cell r="B533" t="str">
            <v>OPIHR ORIENTAL SPICED LONDON GIN 700ML</v>
          </cell>
        </row>
        <row r="534">
          <cell r="A534">
            <v>2338</v>
          </cell>
          <cell r="B534" t="str">
            <v>OPIHR 1LTR</v>
          </cell>
        </row>
        <row r="535">
          <cell r="A535">
            <v>1564</v>
          </cell>
          <cell r="B535" t="str">
            <v>OMBRE ROSE 750ML</v>
          </cell>
        </row>
        <row r="536">
          <cell r="A536">
            <v>1563</v>
          </cell>
          <cell r="B536" t="str">
            <v>OLMECA TEQUILA GOLD 1LT</v>
          </cell>
        </row>
        <row r="537">
          <cell r="A537">
            <v>1562</v>
          </cell>
          <cell r="B537" t="str">
            <v>OLMECA GOLD 38% 750ML</v>
          </cell>
        </row>
        <row r="538">
          <cell r="A538">
            <v>2241</v>
          </cell>
          <cell r="B538" t="str">
            <v>OLMECA EXTRA AGED 1LTR</v>
          </cell>
        </row>
        <row r="539">
          <cell r="A539">
            <v>1561</v>
          </cell>
          <cell r="B539" t="str">
            <v>OLMECA DARK CHOCOLATE 750ML</v>
          </cell>
        </row>
        <row r="540">
          <cell r="A540">
            <v>1560</v>
          </cell>
          <cell r="B540" t="str">
            <v>OLMECA BLANCO 750ML</v>
          </cell>
        </row>
        <row r="541">
          <cell r="A541">
            <v>1559</v>
          </cell>
          <cell r="B541" t="str">
            <v>OLMECA BLANCO 1LT</v>
          </cell>
        </row>
        <row r="542">
          <cell r="A542">
            <v>1558</v>
          </cell>
          <cell r="B542" t="str">
            <v>OLMECA ANEJO 750ML </v>
          </cell>
        </row>
        <row r="543">
          <cell r="A543">
            <v>1557</v>
          </cell>
          <cell r="B543" t="str">
            <v>OLMECA ALTOS REPOSADO 38% 750ML</v>
          </cell>
        </row>
        <row r="544">
          <cell r="A544">
            <v>2552</v>
          </cell>
          <cell r="B544" t="str">
            <v>OLEPASU SWEET WHITE750ML</v>
          </cell>
        </row>
        <row r="545">
          <cell r="A545">
            <v>2551</v>
          </cell>
          <cell r="B545" t="str">
            <v>OLEPASU SWEET RED 750ML</v>
          </cell>
        </row>
        <row r="546">
          <cell r="A546">
            <v>2532</v>
          </cell>
          <cell r="B546" t="str">
            <v>OLEPASU ROSSO AL CIOCCOLATO 750ML</v>
          </cell>
        </row>
        <row r="547">
          <cell r="A547">
            <v>2550</v>
          </cell>
          <cell r="B547" t="str">
            <v>OLEPASU DRY RED 750ML</v>
          </cell>
        </row>
        <row r="548">
          <cell r="A548">
            <v>2547</v>
          </cell>
          <cell r="B548" t="str">
            <v>OLENAISHU WHITE SWEET 750ML</v>
          </cell>
        </row>
        <row r="549">
          <cell r="A549">
            <v>2546</v>
          </cell>
          <cell r="B549" t="str">
            <v>OLENAISHU RED SWEET 750ML</v>
          </cell>
        </row>
        <row r="550">
          <cell r="A550">
            <v>2545</v>
          </cell>
          <cell r="B550" t="str">
            <v>OLENAISHU RED DRY 750ML</v>
          </cell>
        </row>
        <row r="551">
          <cell r="A551">
            <v>2383</v>
          </cell>
          <cell r="B551" t="str">
            <v>OLD PULLTENEY WHISKY 1LTR</v>
          </cell>
        </row>
        <row r="552">
          <cell r="A552">
            <v>1551</v>
          </cell>
          <cell r="B552" t="str">
            <v>OLD MONK 750ML</v>
          </cell>
        </row>
        <row r="553">
          <cell r="A553">
            <v>2311</v>
          </cell>
          <cell r="B553" t="str">
            <v>OLD MONK 1LTR</v>
          </cell>
        </row>
        <row r="554">
          <cell r="A554">
            <v>1550</v>
          </cell>
          <cell r="B554" t="str">
            <v>OLD FORESTER WHISKY 1ltr</v>
          </cell>
        </row>
        <row r="555">
          <cell r="A555">
            <v>2482</v>
          </cell>
          <cell r="B555" t="str">
            <v>OJ 20% BEER</v>
          </cell>
        </row>
        <row r="556">
          <cell r="A556">
            <v>1549</v>
          </cell>
          <cell r="B556" t="str">
            <v>OJ 16% BEER</v>
          </cell>
        </row>
        <row r="557">
          <cell r="A557">
            <v>1545</v>
          </cell>
          <cell r="B557" t="str">
            <v>OFFICER'S CHOICE WHISKY LITRE</v>
          </cell>
        </row>
        <row r="558">
          <cell r="A558">
            <v>1546</v>
          </cell>
          <cell r="B558" t="str">
            <v>OFFICERS CHOICE 750ML</v>
          </cell>
        </row>
        <row r="559">
          <cell r="A559">
            <v>1543</v>
          </cell>
          <cell r="B559" t="str">
            <v>OETTINGER SUPER FORTE EXTRA STRONG BEER 500ML</v>
          </cell>
        </row>
        <row r="560">
          <cell r="A560">
            <v>2868</v>
          </cell>
          <cell r="B560" t="str">
            <v>NOVIDA 350ML</v>
          </cell>
        </row>
        <row r="561">
          <cell r="A561">
            <v>1535</v>
          </cell>
          <cell r="B561" t="str">
            <v>NOTOLA RED 750ML</v>
          </cell>
        </row>
        <row r="562">
          <cell r="A562">
            <v>1534</v>
          </cell>
          <cell r="B562" t="str">
            <v>NOBLE WHITE 750ML</v>
          </cell>
        </row>
        <row r="563">
          <cell r="A563">
            <v>1533</v>
          </cell>
          <cell r="B563" t="str">
            <v>NOBLE SWEET RED 750ML</v>
          </cell>
        </row>
        <row r="564">
          <cell r="A564">
            <v>1532</v>
          </cell>
          <cell r="B564" t="str">
            <v>NOBLE ROSE 750ML</v>
          </cell>
        </row>
        <row r="565">
          <cell r="A565">
            <v>1531</v>
          </cell>
          <cell r="B565" t="str">
            <v>NOBLE DRY RED 750ML</v>
          </cell>
        </row>
        <row r="566">
          <cell r="A566">
            <v>1530</v>
          </cell>
          <cell r="B566" t="str">
            <v>NEW AMSTERDAM VODKA 1ltr</v>
          </cell>
        </row>
        <row r="567">
          <cell r="A567">
            <v>1529</v>
          </cell>
          <cell r="B567" t="str">
            <v>NEW AMSTERDAM PINEAPPLE 750ML</v>
          </cell>
        </row>
        <row r="568">
          <cell r="A568">
            <v>1528</v>
          </cell>
          <cell r="B568" t="str">
            <v>NEW AMSTERDAM PEACH 750ml</v>
          </cell>
        </row>
        <row r="569">
          <cell r="A569">
            <v>1527</v>
          </cell>
          <cell r="B569" t="str">
            <v>NEW AMSTERDAM MANGO 750ML</v>
          </cell>
        </row>
        <row r="570">
          <cell r="A570">
            <v>1526</v>
          </cell>
          <cell r="B570" t="str">
            <v>NEW AMSTERDAM COCONUT 750ML</v>
          </cell>
        </row>
        <row r="571">
          <cell r="A571">
            <v>1525</v>
          </cell>
          <cell r="B571" t="str">
            <v>NEW AMSTERDAM CITRON 750ML</v>
          </cell>
        </row>
        <row r="572">
          <cell r="A572">
            <v>2308</v>
          </cell>
          <cell r="B572" t="str">
            <v>NEON VANILLA VODKA 750ML</v>
          </cell>
        </row>
        <row r="573">
          <cell r="A573">
            <v>2307</v>
          </cell>
          <cell r="B573" t="str">
            <v>NEON PINEAPPLE VODKA 750ML</v>
          </cell>
        </row>
        <row r="574">
          <cell r="A574">
            <v>2309</v>
          </cell>
          <cell r="B574" t="str">
            <v>NEON ORANGE VODKA 750ML</v>
          </cell>
        </row>
        <row r="575">
          <cell r="A575">
            <v>2310</v>
          </cell>
          <cell r="B575" t="str">
            <v>NEON APPLE VODKA 750ML</v>
          </cell>
        </row>
        <row r="576">
          <cell r="A576">
            <v>1523</v>
          </cell>
          <cell r="B576" t="str">
            <v>NEMIROFF CRANBERRY 1LTR</v>
          </cell>
        </row>
        <row r="577">
          <cell r="A577">
            <v>2324</v>
          </cell>
          <cell r="B577" t="str">
            <v>NEGRITA BARDINET WHITE 700ML</v>
          </cell>
        </row>
        <row r="578">
          <cell r="A578">
            <v>2323</v>
          </cell>
          <cell r="B578" t="str">
            <v>NEGRITA BARDINET ORIGINAL CARIBEAN RUM 1LTR</v>
          </cell>
        </row>
        <row r="579">
          <cell r="A579">
            <v>2322</v>
          </cell>
          <cell r="B579" t="str">
            <v>NEGRITA BARDINET 1LTR</v>
          </cell>
        </row>
        <row r="580">
          <cell r="A580">
            <v>2850</v>
          </cell>
          <cell r="B580" t="str">
            <v>NEDERBURG CUVEE BRUT 750ML</v>
          </cell>
        </row>
        <row r="581">
          <cell r="A581">
            <v>1522</v>
          </cell>
          <cell r="B581" t="str">
            <v>NEDERBURG - SHIRAZ 750ML</v>
          </cell>
        </row>
        <row r="582">
          <cell r="A582">
            <v>1521</v>
          </cell>
          <cell r="B582" t="str">
            <v>NEDERBURG - SAUV. BLANC 750 ML</v>
          </cell>
        </row>
        <row r="583">
          <cell r="A583">
            <v>1520</v>
          </cell>
          <cell r="B583" t="str">
            <v>NEDERBURG - ROSE 750 ML</v>
          </cell>
        </row>
        <row r="584">
          <cell r="A584">
            <v>1519</v>
          </cell>
          <cell r="B584" t="str">
            <v>NEDERBURG - RIESLING 750ML</v>
          </cell>
        </row>
        <row r="585">
          <cell r="A585">
            <v>1518</v>
          </cell>
          <cell r="B585" t="str">
            <v>NEDERBURG - PINOTAGE 750ML</v>
          </cell>
        </row>
        <row r="586">
          <cell r="A586">
            <v>1517</v>
          </cell>
          <cell r="B586" t="str">
            <v>NEDERBURG - MERLOT 750ML</v>
          </cell>
        </row>
        <row r="587">
          <cell r="A587">
            <v>1516</v>
          </cell>
          <cell r="B587" t="str">
            <v>NEDERBURG - MANOR HOUSE SHIRAZ 750ML</v>
          </cell>
        </row>
        <row r="588">
          <cell r="A588">
            <v>1515</v>
          </cell>
          <cell r="B588" t="str">
            <v>NEDERBURG - LYRIC 750ML</v>
          </cell>
        </row>
        <row r="589">
          <cell r="A589">
            <v>1514</v>
          </cell>
          <cell r="B589" t="str">
            <v>NEDERBURG - EDELROOD 750ML</v>
          </cell>
        </row>
        <row r="590">
          <cell r="A590">
            <v>1513</v>
          </cell>
          <cell r="B590" t="str">
            <v>NEDERBURG - DUET 750ML</v>
          </cell>
        </row>
        <row r="591">
          <cell r="A591">
            <v>1512</v>
          </cell>
          <cell r="B591" t="str">
            <v>NEDERBURG - CHARDONNAY 750ML</v>
          </cell>
        </row>
        <row r="592">
          <cell r="A592">
            <v>1511</v>
          </cell>
          <cell r="B592" t="str">
            <v>NEDERBURG - CAB SAUV 750ML</v>
          </cell>
        </row>
        <row r="593">
          <cell r="A593">
            <v>1510</v>
          </cell>
          <cell r="B593" t="str">
            <v>NEDERBURG - CAB SAUV 250ML</v>
          </cell>
        </row>
        <row r="594">
          <cell r="A594">
            <v>1509</v>
          </cell>
          <cell r="B594" t="str">
            <v>NEDERBURG - BARONE 750ML</v>
          </cell>
        </row>
        <row r="595">
          <cell r="A595">
            <v>1508</v>
          </cell>
          <cell r="B595" t="str">
            <v>NEDERBERG (5600) CAB SAUV 750ML</v>
          </cell>
        </row>
        <row r="596">
          <cell r="A596">
            <v>2239</v>
          </cell>
          <cell r="B596" t="str">
            <v>NATURALYS MERLOT 750ML</v>
          </cell>
        </row>
        <row r="597">
          <cell r="A597">
            <v>1504</v>
          </cell>
          <cell r="B597" t="str">
            <v>NATURALYS CAB SAUV 750ML</v>
          </cell>
        </row>
        <row r="598">
          <cell r="A598">
            <v>2280</v>
          </cell>
          <cell r="B598" t="str">
            <v>NAPOLEON GOLD 750ML</v>
          </cell>
        </row>
        <row r="599">
          <cell r="A599">
            <v>2238</v>
          </cell>
          <cell r="B599" t="str">
            <v>NAMAQUA SWT ROSE 5LTR</v>
          </cell>
        </row>
        <row r="600">
          <cell r="A600">
            <v>2163</v>
          </cell>
          <cell r="B600" t="str">
            <v>NAMAQUA SWEET WHITE 750ML</v>
          </cell>
        </row>
        <row r="601">
          <cell r="A601">
            <v>1501</v>
          </cell>
          <cell r="B601" t="str">
            <v>NAMAQUA SWEET WHITE 5LTR</v>
          </cell>
        </row>
        <row r="602">
          <cell r="A602">
            <v>1503</v>
          </cell>
          <cell r="B602" t="str">
            <v>NAMAQUA SWEET RED 750ML</v>
          </cell>
        </row>
        <row r="603">
          <cell r="A603">
            <v>1502</v>
          </cell>
          <cell r="B603" t="str">
            <v>NAMAQUA SWEET RED 5LTR</v>
          </cell>
        </row>
        <row r="604">
          <cell r="A604">
            <v>1500</v>
          </cell>
          <cell r="B604" t="str">
            <v>NAMAQUA JOHANNISBERGER RED 5LTR</v>
          </cell>
        </row>
        <row r="605">
          <cell r="A605">
            <v>1499</v>
          </cell>
          <cell r="B605" t="str">
            <v>NAMAQUA DRY RED 750ML</v>
          </cell>
        </row>
        <row r="606">
          <cell r="A606">
            <v>1498</v>
          </cell>
          <cell r="B606" t="str">
            <v>NAMAQUA DRY RED  5LTR </v>
          </cell>
        </row>
        <row r="607">
          <cell r="A607">
            <v>1497</v>
          </cell>
          <cell r="B607" t="str">
            <v>NAMAQUA CAB SAUV 750ML</v>
          </cell>
        </row>
        <row r="608">
          <cell r="A608">
            <v>1496</v>
          </cell>
          <cell r="B608" t="str">
            <v>NAMAQUA BLANC DE BLANC 5LTR</v>
          </cell>
        </row>
        <row r="609">
          <cell r="A609">
            <v>1495</v>
          </cell>
          <cell r="B609" t="str">
            <v>NAKED MALT 750ml</v>
          </cell>
        </row>
        <row r="610">
          <cell r="A610">
            <v>2328</v>
          </cell>
          <cell r="B610" t="str">
            <v>NAKED GROUSE CAB SAUV 750ML</v>
          </cell>
        </row>
        <row r="611">
          <cell r="A611">
            <v>1494</v>
          </cell>
          <cell r="B611" t="str">
            <v>MYERS RUM 750ML</v>
          </cell>
        </row>
        <row r="612">
          <cell r="A612">
            <v>1492</v>
          </cell>
          <cell r="B612" t="str">
            <v>MYER'S RUM 375ML</v>
          </cell>
        </row>
        <row r="613">
          <cell r="A613">
            <v>1493</v>
          </cell>
          <cell r="B613" t="str">
            <v>MYERS RUM 1LT</v>
          </cell>
        </row>
        <row r="614">
          <cell r="A614">
            <v>2279</v>
          </cell>
          <cell r="B614" t="str">
            <v>MUSGRAVE PINK GIN 750ML</v>
          </cell>
        </row>
        <row r="615">
          <cell r="A615">
            <v>1490</v>
          </cell>
          <cell r="B615" t="str">
            <v>MUSCADOR 750ML</v>
          </cell>
        </row>
        <row r="616">
          <cell r="A616">
            <v>2598</v>
          </cell>
          <cell r="B616" t="str">
            <v>MURVIEDRO TEMPRANILO 750ML</v>
          </cell>
        </row>
        <row r="617">
          <cell r="A617">
            <v>2597</v>
          </cell>
          <cell r="B617" t="str">
            <v>MURVIEDRO CHARDONNAY 750ML</v>
          </cell>
        </row>
        <row r="618">
          <cell r="A618">
            <v>2596</v>
          </cell>
          <cell r="B618" t="str">
            <v>MURVIEDRO CAB SAV 750ML</v>
          </cell>
        </row>
        <row r="619">
          <cell r="A619">
            <v>1489</v>
          </cell>
          <cell r="B619" t="str">
            <v>MUCHO MAS WHITE 750ML</v>
          </cell>
        </row>
        <row r="620">
          <cell r="A620">
            <v>1488</v>
          </cell>
          <cell r="B620" t="str">
            <v>MUCHO MAS ROSE 750ML</v>
          </cell>
        </row>
        <row r="621">
          <cell r="A621">
            <v>1487</v>
          </cell>
          <cell r="B621" t="str">
            <v>MUCHO MAS RED 750ML</v>
          </cell>
        </row>
        <row r="622">
          <cell r="A622">
            <v>1486</v>
          </cell>
          <cell r="B622" t="str">
            <v>MUCHO MAS RED 1.5ltrs</v>
          </cell>
        </row>
        <row r="623">
          <cell r="A623">
            <v>1484</v>
          </cell>
          <cell r="B623" t="str">
            <v>MRDOWELLS NO.1 RESERVE WHISKY 750ML</v>
          </cell>
        </row>
        <row r="624">
          <cell r="A624">
            <v>1482</v>
          </cell>
          <cell r="B624" t="str">
            <v>MR. BOSTON GIN 750ml</v>
          </cell>
        </row>
        <row r="625">
          <cell r="A625">
            <v>1481</v>
          </cell>
          <cell r="B625" t="str">
            <v>MR. BOSTON GIN 1ltr</v>
          </cell>
        </row>
        <row r="626">
          <cell r="A626">
            <v>2278</v>
          </cell>
          <cell r="B626" t="str">
            <v>MR DOWELS 750ML</v>
          </cell>
        </row>
        <row r="627">
          <cell r="A627">
            <v>2409</v>
          </cell>
          <cell r="B627" t="str">
            <v>MR BOSTON VODKA 1LTR</v>
          </cell>
        </row>
        <row r="628">
          <cell r="A628">
            <v>2809</v>
          </cell>
          <cell r="B628" t="str">
            <v>MOULLON VSOP 700ML</v>
          </cell>
        </row>
        <row r="629">
          <cell r="A629">
            <v>1478</v>
          </cell>
          <cell r="B629" t="str">
            <v>MOSCATEL DE SETUBAL 750ML</v>
          </cell>
        </row>
        <row r="630">
          <cell r="A630">
            <v>1477</v>
          </cell>
          <cell r="B630" t="str">
            <v>MORPHEUS 750ML</v>
          </cell>
        </row>
        <row r="631">
          <cell r="A631">
            <v>1474</v>
          </cell>
          <cell r="B631" t="str">
            <v>MONSTER ENERGY 500ML</v>
          </cell>
        </row>
        <row r="632">
          <cell r="A632">
            <v>1471</v>
          </cell>
          <cell r="B632" t="str">
            <v>MONKEY SHOULDER 750ML</v>
          </cell>
        </row>
        <row r="633">
          <cell r="A633">
            <v>1470</v>
          </cell>
          <cell r="B633" t="str">
            <v>MONKEY SHOULDER 1LT</v>
          </cell>
        </row>
        <row r="634">
          <cell r="A634">
            <v>1469</v>
          </cell>
          <cell r="B634" t="str">
            <v>MONKEY 47 DRY GIN 500ML</v>
          </cell>
        </row>
        <row r="635">
          <cell r="A635">
            <v>2277</v>
          </cell>
          <cell r="B635" t="str">
            <v>MOLINA RESERVA 750ML</v>
          </cell>
        </row>
        <row r="636">
          <cell r="A636">
            <v>1459</v>
          </cell>
          <cell r="B636" t="str">
            <v>MOILLARD CHABLIS COQUILLAGE 750ML</v>
          </cell>
        </row>
        <row r="637">
          <cell r="A637">
            <v>1458</v>
          </cell>
          <cell r="B637" t="str">
            <v>MOHANS RESERVE - WHITE SWEET 750ML</v>
          </cell>
        </row>
        <row r="638">
          <cell r="A638">
            <v>1457</v>
          </cell>
          <cell r="B638" t="str">
            <v>MOHANS RESERVE - REDSWEET WINE 750ML</v>
          </cell>
        </row>
        <row r="639">
          <cell r="A639">
            <v>1452</v>
          </cell>
          <cell r="B639" t="str">
            <v>MOET &amp; CHARNDON - ROSE 750ML</v>
          </cell>
        </row>
        <row r="640">
          <cell r="A640">
            <v>1451</v>
          </cell>
          <cell r="B640" t="str">
            <v>MOET &amp; CHARNDON - NECTOR 750ML</v>
          </cell>
        </row>
        <row r="641">
          <cell r="A641">
            <v>1453</v>
          </cell>
          <cell r="B641" t="str">
            <v>MOET &amp; CHANDON ROSE IMPERIAL 750ml</v>
          </cell>
        </row>
        <row r="642">
          <cell r="A642">
            <v>1448</v>
          </cell>
          <cell r="B642" t="str">
            <v>MOET &amp; CHANDON ROSE 1.5LTR</v>
          </cell>
        </row>
        <row r="643">
          <cell r="A643">
            <v>1449</v>
          </cell>
          <cell r="B643" t="str">
            <v>MOET &amp; CHANDON NECTAR IMPERIAL ROSE 750ML</v>
          </cell>
        </row>
        <row r="644">
          <cell r="A644">
            <v>1454</v>
          </cell>
          <cell r="B644" t="str">
            <v>MOET &amp; CHANDON NECTAR IMPERIAL 750ml</v>
          </cell>
        </row>
        <row r="645">
          <cell r="A645">
            <v>1445</v>
          </cell>
          <cell r="B645" t="str">
            <v>MOET &amp; CHANDON ICE IMPERIAL ROSE 750ML</v>
          </cell>
        </row>
        <row r="646">
          <cell r="A646">
            <v>1444</v>
          </cell>
          <cell r="B646" t="str">
            <v>MOET &amp; CHANDON ICE IMPERIAL 750ML</v>
          </cell>
        </row>
        <row r="647">
          <cell r="A647">
            <v>1450</v>
          </cell>
          <cell r="B647" t="str">
            <v>MOET &amp; CHANDON BRUT IMPERIAL 750ML</v>
          </cell>
        </row>
        <row r="648">
          <cell r="A648">
            <v>1441</v>
          </cell>
          <cell r="B648" t="str">
            <v>MOET &amp; CHANDON - GRAND VINTAGE 750ML</v>
          </cell>
        </row>
        <row r="649">
          <cell r="A649">
            <v>1438</v>
          </cell>
          <cell r="B649" t="str">
            <v>MIRADOR RED 750ML</v>
          </cell>
        </row>
        <row r="650">
          <cell r="A650">
            <v>2356</v>
          </cell>
          <cell r="B650" t="str">
            <v>MIRADOR DARK BLEND 750ML</v>
          </cell>
        </row>
        <row r="651">
          <cell r="A651">
            <v>2600</v>
          </cell>
          <cell r="B651" t="str">
            <v>MIRADO RESERVA 750ML</v>
          </cell>
        </row>
        <row r="652">
          <cell r="A652">
            <v>2829</v>
          </cell>
          <cell r="B652" t="str">
            <v>MINUTE MAID MANGO 400ML</v>
          </cell>
        </row>
        <row r="653">
          <cell r="A653">
            <v>2828</v>
          </cell>
          <cell r="B653" t="str">
            <v>MINUTE MAID TROPICAL MIXED FRUIT 1 LTR</v>
          </cell>
        </row>
        <row r="654">
          <cell r="A654">
            <v>2641</v>
          </cell>
          <cell r="B654" t="str">
            <v>MINUTE MAID TROPICAL 400ML</v>
          </cell>
        </row>
        <row r="655">
          <cell r="A655">
            <v>2826</v>
          </cell>
          <cell r="B655" t="str">
            <v>MINUTE MAID MANGO 1 LTR</v>
          </cell>
        </row>
        <row r="656">
          <cell r="A656">
            <v>2827</v>
          </cell>
          <cell r="B656" t="str">
            <v>MINUTE MAID APPPLE 1 LTR</v>
          </cell>
        </row>
        <row r="657">
          <cell r="A657">
            <v>2639</v>
          </cell>
          <cell r="B657" t="str">
            <v>MINUTE MAID APPLE 400ML</v>
          </cell>
        </row>
        <row r="658">
          <cell r="A658">
            <v>1435</v>
          </cell>
          <cell r="B658" t="str">
            <v>MIKADO RED 750ML</v>
          </cell>
        </row>
        <row r="659">
          <cell r="A659">
            <v>1431</v>
          </cell>
          <cell r="B659" t="str">
            <v>MICHEL TORINO TRADITIONAL MALBEC 750ML</v>
          </cell>
        </row>
        <row r="660">
          <cell r="A660">
            <v>1430</v>
          </cell>
          <cell r="B660" t="str">
            <v>MICHEL TORINO MALBEC 750ML</v>
          </cell>
        </row>
        <row r="661">
          <cell r="A661">
            <v>1425</v>
          </cell>
          <cell r="B661" t="str">
            <v>MICHEL TORINO COLECCION MALBEC 750ML</v>
          </cell>
        </row>
        <row r="662">
          <cell r="A662">
            <v>1421</v>
          </cell>
          <cell r="B662" t="str">
            <v>MESTA ROSE 750ML</v>
          </cell>
        </row>
        <row r="663">
          <cell r="A663">
            <v>1420</v>
          </cell>
          <cell r="B663" t="str">
            <v>MESTA RED 750ML</v>
          </cell>
        </row>
        <row r="664">
          <cell r="A664">
            <v>2810</v>
          </cell>
          <cell r="B664" t="str">
            <v>MENARD VSOP 700ML</v>
          </cell>
        </row>
        <row r="665">
          <cell r="A665">
            <v>1418</v>
          </cell>
          <cell r="B665" t="str">
            <v>MENAGE A TROIS ZINFANDEL 2019 750ML</v>
          </cell>
        </row>
        <row r="666">
          <cell r="A666">
            <v>2348</v>
          </cell>
          <cell r="B666" t="str">
            <v>MAYERS SPARKLING 1LTR</v>
          </cell>
        </row>
        <row r="667">
          <cell r="A667">
            <v>2237</v>
          </cell>
          <cell r="B667" t="str">
            <v>MAYERS DRINKING WATER 1LTR</v>
          </cell>
        </row>
        <row r="668">
          <cell r="A668">
            <v>1412</v>
          </cell>
          <cell r="B668" t="str">
            <v>MATEUS ROSE 1.5LTR</v>
          </cell>
        </row>
        <row r="669">
          <cell r="A669">
            <v>1411</v>
          </cell>
          <cell r="B669" t="str">
            <v>MATEUS 1LTR</v>
          </cell>
        </row>
        <row r="670">
          <cell r="A670">
            <v>2236</v>
          </cell>
          <cell r="B670" t="str">
            <v>MARTINI ROSE 750ML</v>
          </cell>
        </row>
        <row r="671">
          <cell r="A671">
            <v>1407</v>
          </cell>
          <cell r="B671" t="str">
            <v>MARTINI ROSATO 1ltr</v>
          </cell>
        </row>
        <row r="672">
          <cell r="A672">
            <v>1404</v>
          </cell>
          <cell r="B672" t="str">
            <v>MARTINI EXTRA DRY 1LTR</v>
          </cell>
        </row>
        <row r="673">
          <cell r="A673">
            <v>1403</v>
          </cell>
          <cell r="B673" t="str">
            <v>MARTINI BRUT 750ML</v>
          </cell>
        </row>
        <row r="674">
          <cell r="A674">
            <v>1402</v>
          </cell>
          <cell r="B674" t="str">
            <v>MARTINI - ROSSO 750ML</v>
          </cell>
        </row>
        <row r="675">
          <cell r="A675">
            <v>1401</v>
          </cell>
          <cell r="B675" t="str">
            <v>MARTINI - ROSSO 1LTR</v>
          </cell>
        </row>
        <row r="676">
          <cell r="A676">
            <v>1400</v>
          </cell>
          <cell r="B676" t="str">
            <v>MARTINI BIANCO 750ML</v>
          </cell>
        </row>
        <row r="677">
          <cell r="A677">
            <v>1399</v>
          </cell>
          <cell r="B677" t="str">
            <v>MARTINI  BIANCO 1LTR</v>
          </cell>
        </row>
        <row r="678">
          <cell r="A678">
            <v>1398</v>
          </cell>
          <cell r="B678" t="str">
            <v>MARTEL XO COGNAC 700ML</v>
          </cell>
        </row>
        <row r="679">
          <cell r="A679">
            <v>2455</v>
          </cell>
          <cell r="B679" t="str">
            <v>MARTEL XO 1LTR</v>
          </cell>
        </row>
        <row r="680">
          <cell r="A680">
            <v>1396</v>
          </cell>
          <cell r="B680" t="str">
            <v>MARTEL VSOP COGNAC 700ML</v>
          </cell>
        </row>
        <row r="681">
          <cell r="A681">
            <v>1393</v>
          </cell>
          <cell r="B681" t="str">
            <v>MARTEL VSOP COGNAC 1LTR</v>
          </cell>
        </row>
        <row r="682">
          <cell r="A682">
            <v>1395</v>
          </cell>
          <cell r="B682" t="str">
            <v>MARTEL VS COGNAC 700ML</v>
          </cell>
        </row>
        <row r="683">
          <cell r="A683">
            <v>1392</v>
          </cell>
          <cell r="B683" t="str">
            <v>MARTEL V.S  COGNAC 1LTR</v>
          </cell>
        </row>
        <row r="684">
          <cell r="A684">
            <v>2851</v>
          </cell>
          <cell r="B684" t="str">
            <v>MARTEL NOBLIGE 1 LITRE</v>
          </cell>
        </row>
        <row r="685">
          <cell r="A685">
            <v>2800</v>
          </cell>
          <cell r="B685" t="str">
            <v>MARTEL CORDON BLEU 700ML</v>
          </cell>
        </row>
        <row r="686">
          <cell r="A686">
            <v>1391</v>
          </cell>
          <cell r="B686" t="str">
            <v>MARTEL CORDON BLEU 1LTR</v>
          </cell>
        </row>
        <row r="687">
          <cell r="A687">
            <v>1390</v>
          </cell>
          <cell r="B687" t="str">
            <v>MARTEL BLUE SWIFT COGNAC 700ML</v>
          </cell>
        </row>
        <row r="688">
          <cell r="A688">
            <v>2527</v>
          </cell>
          <cell r="B688" t="str">
            <v>MARQUES SEGUNDO ANO 750ML</v>
          </cell>
        </row>
        <row r="689">
          <cell r="A689">
            <v>2526</v>
          </cell>
          <cell r="B689" t="str">
            <v>MARQUES CAVA BRUT 750ML</v>
          </cell>
        </row>
        <row r="690">
          <cell r="A690">
            <v>1388</v>
          </cell>
          <cell r="B690" t="str">
            <v>MARA ROSE 750ML</v>
          </cell>
        </row>
        <row r="691">
          <cell r="A691">
            <v>1386</v>
          </cell>
          <cell r="B691" t="str">
            <v>MANYATTA PINEAPPLE MINT 330ML</v>
          </cell>
        </row>
        <row r="692">
          <cell r="A692">
            <v>1383</v>
          </cell>
          <cell r="B692" t="str">
            <v>MANYATTA  MANGO &amp; GINGER 330ML</v>
          </cell>
        </row>
        <row r="693">
          <cell r="A693">
            <v>1385</v>
          </cell>
          <cell r="B693" t="str">
            <v>MANYATTA LEMON &amp; GINGER CIDER 330ML</v>
          </cell>
        </row>
        <row r="694">
          <cell r="A694">
            <v>1384</v>
          </cell>
          <cell r="B694" t="str">
            <v>MANYATTA CIDER 330ML</v>
          </cell>
        </row>
        <row r="695">
          <cell r="A695">
            <v>2399</v>
          </cell>
          <cell r="B695" t="str">
            <v>MANYATTA CAN PINEAPPLE &amp; MINT 330ML</v>
          </cell>
        </row>
        <row r="696">
          <cell r="A696">
            <v>1381</v>
          </cell>
          <cell r="B696" t="str">
            <v>MANDALA MALBEC 750ml</v>
          </cell>
        </row>
        <row r="697">
          <cell r="A697">
            <v>1380</v>
          </cell>
          <cell r="B697" t="str">
            <v>MALIBU RUM COCONUT 21% 750ML</v>
          </cell>
        </row>
        <row r="698">
          <cell r="A698">
            <v>1377</v>
          </cell>
          <cell r="B698" t="str">
            <v>MALIBU RUM 1LTR</v>
          </cell>
        </row>
        <row r="699">
          <cell r="A699">
            <v>1376</v>
          </cell>
          <cell r="B699" t="str">
            <v>MALFY GINS ROSA 750ML</v>
          </cell>
        </row>
        <row r="700">
          <cell r="A700">
            <v>1375</v>
          </cell>
          <cell r="B700" t="str">
            <v>MALFY GINS ORIGINAL 750ML</v>
          </cell>
        </row>
        <row r="701">
          <cell r="A701">
            <v>1374</v>
          </cell>
          <cell r="B701" t="str">
            <v>MALFY GINS LEMON 750ML</v>
          </cell>
        </row>
        <row r="702">
          <cell r="A702">
            <v>1373</v>
          </cell>
          <cell r="B702" t="str">
            <v>MALFY GINS BLOOD ORANGE 750ML</v>
          </cell>
        </row>
        <row r="703">
          <cell r="A703">
            <v>1370</v>
          </cell>
          <cell r="B703" t="str">
            <v>MALFY GIN LEMON 1LTR</v>
          </cell>
        </row>
        <row r="704">
          <cell r="A704">
            <v>1369</v>
          </cell>
          <cell r="B704" t="str">
            <v>MAKERS MARK BOURBON 1LTR</v>
          </cell>
        </row>
        <row r="705">
          <cell r="A705">
            <v>1368</v>
          </cell>
          <cell r="B705" t="str">
            <v>MAKER'S MARK 750ML</v>
          </cell>
        </row>
        <row r="706">
          <cell r="A706">
            <v>2870</v>
          </cell>
          <cell r="B706" t="str">
            <v>MAKER'S MARK 101 1L</v>
          </cell>
        </row>
        <row r="707">
          <cell r="A707">
            <v>1367</v>
          </cell>
          <cell r="B707" t="str">
            <v>MAJOR GUNN'S 1LTR</v>
          </cell>
        </row>
        <row r="708">
          <cell r="A708">
            <v>2513</v>
          </cell>
          <cell r="B708" t="str">
            <v>MAJESTY SEMI-SWEET RED WINE</v>
          </cell>
        </row>
        <row r="709">
          <cell r="A709">
            <v>1366</v>
          </cell>
          <cell r="B709" t="str">
            <v>MAISON CASTEL TOURAINE SAUV BLANC 750ML</v>
          </cell>
        </row>
        <row r="710">
          <cell r="A710">
            <v>2234</v>
          </cell>
          <cell r="B710" t="str">
            <v>MAISON CASTEL SYRAH 750ML</v>
          </cell>
        </row>
        <row r="711">
          <cell r="A711">
            <v>1358</v>
          </cell>
          <cell r="B711" t="str">
            <v>MAISON CASTEL  SAUV BLANC 750ML</v>
          </cell>
        </row>
        <row r="712">
          <cell r="A712">
            <v>1365</v>
          </cell>
          <cell r="B712" t="str">
            <v>MAISON CASTEL PINOT NOIR 750ML</v>
          </cell>
        </row>
        <row r="713">
          <cell r="A713">
            <v>2400</v>
          </cell>
          <cell r="B713" t="str">
            <v>MAISON CASTEL MERLOT 750ML</v>
          </cell>
        </row>
        <row r="714">
          <cell r="A714">
            <v>2235</v>
          </cell>
          <cell r="B714" t="str">
            <v>MAISON CASTEL MENDOZA 750ML</v>
          </cell>
        </row>
        <row r="715">
          <cell r="A715">
            <v>2233</v>
          </cell>
          <cell r="B715" t="str">
            <v>MAISON CASTEL MEDOC 750ML</v>
          </cell>
        </row>
        <row r="716">
          <cell r="A716">
            <v>1364</v>
          </cell>
          <cell r="B716" t="str">
            <v>MAISON CASTEL ICE ROSE  750ML</v>
          </cell>
        </row>
        <row r="717">
          <cell r="A717">
            <v>1363</v>
          </cell>
          <cell r="B717" t="str">
            <v>MAISON CASTEL ICE CUVEE BLANC 750ML</v>
          </cell>
        </row>
        <row r="718">
          <cell r="A718">
            <v>1362</v>
          </cell>
          <cell r="B718" t="str">
            <v>MAISON CASTEL ICE  750ML</v>
          </cell>
        </row>
        <row r="719">
          <cell r="A719">
            <v>1361</v>
          </cell>
          <cell r="B719" t="str">
            <v>MAISON CASTEL CUVEE ROSEE  750ML</v>
          </cell>
        </row>
        <row r="720">
          <cell r="A720">
            <v>1360</v>
          </cell>
          <cell r="B720" t="str">
            <v>MAISON CASTEL CUVEE BRUT 750ML</v>
          </cell>
        </row>
        <row r="721">
          <cell r="A721">
            <v>2183</v>
          </cell>
          <cell r="B721" t="str">
            <v>MAISON CASTEL CHABLIS 2022 750ML</v>
          </cell>
        </row>
        <row r="722">
          <cell r="A722">
            <v>1359</v>
          </cell>
          <cell r="B722" t="str">
            <v>MAISON CASTEL CAB SAUV 750ML</v>
          </cell>
        </row>
        <row r="723">
          <cell r="A723">
            <v>1349</v>
          </cell>
          <cell r="B723" t="str">
            <v>MAD CHIMP 1LTR</v>
          </cell>
        </row>
        <row r="724">
          <cell r="A724">
            <v>2970</v>
          </cell>
          <cell r="B724" t="str">
            <v>M-16 RIFLE ABSOLUTE STANDARD PREMIUM VODKA 700ML</v>
          </cell>
        </row>
        <row r="725">
          <cell r="A725">
            <v>1327</v>
          </cell>
          <cell r="B725" t="str">
            <v>LUIS FELIPE WHITE 750ML</v>
          </cell>
        </row>
        <row r="726">
          <cell r="A726">
            <v>1324</v>
          </cell>
          <cell r="B726" t="str">
            <v>LUC BELAIRE ROSE FANTOM 1.5LTR</v>
          </cell>
        </row>
        <row r="727">
          <cell r="A727">
            <v>2374</v>
          </cell>
          <cell r="B727" t="str">
            <v>LUC BELAIRE ROSE 1.5LTR</v>
          </cell>
        </row>
        <row r="728">
          <cell r="A728">
            <v>1323</v>
          </cell>
          <cell r="B728" t="str">
            <v>LUC BELAIRE RARE ROSE 750ML</v>
          </cell>
        </row>
        <row r="729">
          <cell r="A729">
            <v>1322</v>
          </cell>
          <cell r="B729" t="str">
            <v>LUC BELAIRE RARE LUXE 750ML</v>
          </cell>
        </row>
        <row r="730">
          <cell r="A730">
            <v>2305</v>
          </cell>
          <cell r="B730" t="str">
            <v>LUC BELAIRE  RARE BRUT 750ML</v>
          </cell>
        </row>
        <row r="731">
          <cell r="A731">
            <v>1321</v>
          </cell>
          <cell r="B731" t="str">
            <v>LUC BELAIRE LUXE ROSE 750ML</v>
          </cell>
        </row>
        <row r="732">
          <cell r="A732">
            <v>2304</v>
          </cell>
          <cell r="B732" t="str">
            <v>LUC BELAIRE LUXE RARE FANTOM 750ML</v>
          </cell>
        </row>
        <row r="733">
          <cell r="A733">
            <v>1319</v>
          </cell>
          <cell r="B733" t="str">
            <v>LUC BELAIRE FANTOME ROSE 750ML</v>
          </cell>
        </row>
        <row r="734">
          <cell r="A734">
            <v>2179</v>
          </cell>
          <cell r="B734" t="str">
            <v>LUC BELAIRE BRUT GOLD FANTOME 750ML</v>
          </cell>
        </row>
        <row r="735">
          <cell r="A735">
            <v>2180</v>
          </cell>
          <cell r="B735" t="str">
            <v>LUC BELAIRE BRUT GOLD 750ML</v>
          </cell>
        </row>
        <row r="736">
          <cell r="A736">
            <v>1314</v>
          </cell>
          <cell r="B736" t="str">
            <v>LUC BELAIRE BRUT GOLD 1.5LTR</v>
          </cell>
        </row>
        <row r="737">
          <cell r="A737">
            <v>1313</v>
          </cell>
          <cell r="B737" t="str">
            <v>LUC BELAIRE BLEU CHAMPAGNE 750ML</v>
          </cell>
        </row>
        <row r="738">
          <cell r="A738">
            <v>2969</v>
          </cell>
          <cell r="B738" t="str">
            <v>LOUIS ROEDERER CHAMPAGNE CRISTAL BRUT 2013 1.5L </v>
          </cell>
        </row>
        <row r="739">
          <cell r="A739">
            <v>1300</v>
          </cell>
          <cell r="B739" t="str">
            <v>LORDSON DRY GIN 750ML</v>
          </cell>
        </row>
        <row r="740">
          <cell r="A740">
            <v>1299</v>
          </cell>
          <cell r="B740" t="str">
            <v>LONDON HILL DRY GIN 1LTR</v>
          </cell>
        </row>
        <row r="741">
          <cell r="A741">
            <v>2520</v>
          </cell>
          <cell r="B741" t="str">
            <v>LOLIE SWEET WHITE 750ML</v>
          </cell>
        </row>
        <row r="742">
          <cell r="A742">
            <v>1297</v>
          </cell>
          <cell r="B742" t="str">
            <v>LOLIE SWEET RED 750ML</v>
          </cell>
        </row>
        <row r="743">
          <cell r="A743">
            <v>1296</v>
          </cell>
          <cell r="B743" t="str">
            <v>LODEZ SAUV BLANC 750ML</v>
          </cell>
        </row>
        <row r="744">
          <cell r="A744">
            <v>1295</v>
          </cell>
          <cell r="B744" t="str">
            <v>LODEZ MERLOT RED 750ML</v>
          </cell>
        </row>
        <row r="745">
          <cell r="A745">
            <v>1294</v>
          </cell>
          <cell r="B745" t="str">
            <v>LODEZ CINSAULT ROSE 750ML</v>
          </cell>
        </row>
        <row r="746">
          <cell r="A746">
            <v>1293</v>
          </cell>
          <cell r="B746" t="str">
            <v>LODEZ CHARDONNAY 750ML</v>
          </cell>
        </row>
        <row r="747">
          <cell r="A747">
            <v>1292</v>
          </cell>
          <cell r="B747" t="str">
            <v>LODEZ CABERENT SAUV BLANC 750ML</v>
          </cell>
        </row>
        <row r="748">
          <cell r="A748">
            <v>2571</v>
          </cell>
          <cell r="B748" t="str">
            <v>LIONS SWEET WHITE 750ML</v>
          </cell>
        </row>
        <row r="749">
          <cell r="A749">
            <v>2572</v>
          </cell>
          <cell r="B749" t="str">
            <v>LIONS DRY WHITE  750ML</v>
          </cell>
        </row>
        <row r="750">
          <cell r="A750">
            <v>1288</v>
          </cell>
          <cell r="B750" t="str">
            <v>LIME JUICE 700ML</v>
          </cell>
        </row>
        <row r="751">
          <cell r="A751">
            <v>2415</v>
          </cell>
          <cell r="B751" t="str">
            <v>LIBERTY SPIRIT 250ML</v>
          </cell>
        </row>
        <row r="752">
          <cell r="A752">
            <v>2505</v>
          </cell>
          <cell r="B752" t="str">
            <v>LEOPARDS LEAP SAUV BLANC 750ML</v>
          </cell>
        </row>
        <row r="753">
          <cell r="A753">
            <v>2506</v>
          </cell>
          <cell r="B753" t="str">
            <v>LEOPARDS LEAP MERLOT 750ML</v>
          </cell>
        </row>
        <row r="754">
          <cell r="A754">
            <v>2507</v>
          </cell>
          <cell r="B754" t="str">
            <v>LEOPARDS LEAP CHENIN BLANC750ML</v>
          </cell>
        </row>
        <row r="755">
          <cell r="A755">
            <v>2509</v>
          </cell>
          <cell r="B755" t="str">
            <v>LEOPARDS LEAP CHARDONNAY PINOT NOIR 750ML</v>
          </cell>
        </row>
        <row r="756">
          <cell r="A756">
            <v>2510</v>
          </cell>
          <cell r="B756" t="str">
            <v>LEOPARDS LEAP CAB SAUV  MERLOT 750ML</v>
          </cell>
        </row>
        <row r="757">
          <cell r="A757">
            <v>2511</v>
          </cell>
          <cell r="B757" t="str">
            <v>LEOPARDS LEAP  CAB SAuv 750ML</v>
          </cell>
        </row>
        <row r="758">
          <cell r="A758">
            <v>1287</v>
          </cell>
          <cell r="B758" t="str">
            <v>LEMONADE 300ML</v>
          </cell>
        </row>
        <row r="759">
          <cell r="A759">
            <v>2341</v>
          </cell>
          <cell r="B759" t="str">
            <v>LELESHWA VODKA 750ML</v>
          </cell>
        </row>
        <row r="760">
          <cell r="A760">
            <v>1285</v>
          </cell>
          <cell r="B760" t="str">
            <v>LELESHWA SWEET WHITE WINE 750ML</v>
          </cell>
        </row>
        <row r="761">
          <cell r="A761">
            <v>1284</v>
          </cell>
          <cell r="B761" t="str">
            <v>LELESHWA SAUV BLANC 750ml</v>
          </cell>
        </row>
        <row r="762">
          <cell r="A762">
            <v>2342</v>
          </cell>
          <cell r="B762" t="str">
            <v>LELESHWA CHENIN BLANC 750ML</v>
          </cell>
        </row>
        <row r="763">
          <cell r="A763">
            <v>1282</v>
          </cell>
          <cell r="B763" t="str">
            <v>LEGENDE MEDOC 750ML</v>
          </cell>
        </row>
        <row r="764">
          <cell r="A764">
            <v>1281</v>
          </cell>
          <cell r="B764" t="str">
            <v>LEGENDE BLACK 750ML</v>
          </cell>
        </row>
        <row r="765">
          <cell r="A765">
            <v>2968</v>
          </cell>
          <cell r="B765" t="str">
            <v>LEGENDARY ABSOLUTE PREMIUM VODKA AK-47 700ML</v>
          </cell>
        </row>
        <row r="766">
          <cell r="A766">
            <v>1268</v>
          </cell>
          <cell r="B766" t="str">
            <v>LE BOLICINE PROSECO 750ML</v>
          </cell>
        </row>
        <row r="767">
          <cell r="A767">
            <v>1267</v>
          </cell>
          <cell r="B767" t="str">
            <v>LAURENT- PERRIER ROSE CHAMPAGNE  750ML</v>
          </cell>
        </row>
        <row r="768">
          <cell r="A768">
            <v>1266</v>
          </cell>
          <cell r="B768" t="str">
            <v>LAURENT BRUT CHAMPAGNE 750ML</v>
          </cell>
        </row>
        <row r="769">
          <cell r="A769">
            <v>1265</v>
          </cell>
          <cell r="B769" t="str">
            <v>LAUDERS SCOTH WHISKY 1LTR</v>
          </cell>
        </row>
        <row r="770">
          <cell r="A770">
            <v>1261</v>
          </cell>
          <cell r="B770" t="str">
            <v>LAPHROAIG QUARTER CASK 750ML</v>
          </cell>
        </row>
        <row r="771">
          <cell r="A771">
            <v>1260</v>
          </cell>
          <cell r="B771" t="str">
            <v>LAPHROAIG PX CASK 1LTR</v>
          </cell>
        </row>
        <row r="772">
          <cell r="A772">
            <v>1259</v>
          </cell>
          <cell r="B772" t="str">
            <v>LAPHROAIG FOUR OAK 750ML</v>
          </cell>
        </row>
        <row r="773">
          <cell r="A773">
            <v>2370</v>
          </cell>
          <cell r="B773" t="str">
            <v>LAPHROAIG FOUR OAK 1LTR</v>
          </cell>
        </row>
        <row r="774">
          <cell r="A774">
            <v>2232</v>
          </cell>
          <cell r="B774" t="str">
            <v>LAPHROAIG AN CUAN MOR 700ML</v>
          </cell>
        </row>
        <row r="775">
          <cell r="A775">
            <v>2231</v>
          </cell>
          <cell r="B775" t="str">
            <v>LAPHROAIG 700ML</v>
          </cell>
        </row>
        <row r="776">
          <cell r="A776">
            <v>2799</v>
          </cell>
          <cell r="B776" t="str">
            <v>LAPHROAIG 10YEARS 700ML</v>
          </cell>
        </row>
        <row r="777">
          <cell r="A777">
            <v>2303</v>
          </cell>
          <cell r="B777" t="str">
            <v>LANSON CHAMPAIGN 750ML</v>
          </cell>
        </row>
        <row r="778">
          <cell r="A778">
            <v>2306</v>
          </cell>
          <cell r="B778" t="str">
            <v>LAMBAY WHISKY 1LTR</v>
          </cell>
        </row>
        <row r="779">
          <cell r="A779">
            <v>1251</v>
          </cell>
          <cell r="B779" t="str">
            <v>LAGAVULIN ISLAY SINGLE MALT 16YRS 750ML</v>
          </cell>
        </row>
        <row r="780">
          <cell r="A780">
            <v>2230</v>
          </cell>
          <cell r="B780" t="str">
            <v>LAGAVULIN ISLAY 12YRS 750ML</v>
          </cell>
        </row>
        <row r="781">
          <cell r="A781">
            <v>1250</v>
          </cell>
          <cell r="B781" t="str">
            <v>LA MAUQUELINE 750ML</v>
          </cell>
        </row>
        <row r="782">
          <cell r="A782">
            <v>2945</v>
          </cell>
          <cell r="B782" t="str">
            <v>LA CONSULTA MALBEC </v>
          </cell>
        </row>
        <row r="783">
          <cell r="A783">
            <v>2491</v>
          </cell>
          <cell r="B783" t="str">
            <v>LA CAPRA SAUV BLANC 750ML</v>
          </cell>
        </row>
        <row r="784">
          <cell r="A784">
            <v>2229</v>
          </cell>
          <cell r="B784" t="str">
            <v>LA CAPRA MERLOT 750ML</v>
          </cell>
        </row>
        <row r="785">
          <cell r="A785">
            <v>2228</v>
          </cell>
          <cell r="B785" t="str">
            <v>LA CAPRA CHENIN BLANC 750ML</v>
          </cell>
        </row>
        <row r="786">
          <cell r="A786">
            <v>1248</v>
          </cell>
          <cell r="B786" t="str">
            <v>KWV PINOTAGE 750ML</v>
          </cell>
        </row>
        <row r="787">
          <cell r="A787">
            <v>2227</v>
          </cell>
          <cell r="B787" t="str">
            <v>KWV CUVEE BRUT 750ML</v>
          </cell>
        </row>
        <row r="788">
          <cell r="A788">
            <v>1246</v>
          </cell>
          <cell r="B788" t="str">
            <v>KWV CLASSIC SHIRAZ 750ML</v>
          </cell>
        </row>
        <row r="789">
          <cell r="A789">
            <v>1245</v>
          </cell>
          <cell r="B789" t="str">
            <v>KWV CLASSIC SAUV BLANC 750ML</v>
          </cell>
        </row>
        <row r="790">
          <cell r="A790">
            <v>2392</v>
          </cell>
          <cell r="B790" t="str">
            <v>KWV CLASSIC ROSE 750ML</v>
          </cell>
        </row>
        <row r="791">
          <cell r="A791">
            <v>1244</v>
          </cell>
          <cell r="B791" t="str">
            <v>KWV CLASSIC MERLOT 750ML</v>
          </cell>
        </row>
        <row r="792">
          <cell r="A792">
            <v>1243</v>
          </cell>
          <cell r="B792" t="str">
            <v>KWV CLASSIC CHENIN BLANC 750ML</v>
          </cell>
        </row>
        <row r="793">
          <cell r="A793">
            <v>1242</v>
          </cell>
          <cell r="B793" t="str">
            <v>KWV CLASSIC CHARDONNAY 750ML</v>
          </cell>
        </row>
        <row r="794">
          <cell r="A794">
            <v>1241</v>
          </cell>
          <cell r="B794" t="str">
            <v>KWV CLASSIC CAB SAUV 750ML</v>
          </cell>
        </row>
        <row r="795">
          <cell r="A795">
            <v>1239</v>
          </cell>
          <cell r="B795" t="str">
            <v>KWV CAPE RUBY 750ml</v>
          </cell>
        </row>
        <row r="796">
          <cell r="A796">
            <v>1237</v>
          </cell>
          <cell r="B796" t="str">
            <v>KWV 5YRS 750 ML</v>
          </cell>
        </row>
        <row r="797">
          <cell r="A797">
            <v>1236</v>
          </cell>
          <cell r="B797" t="str">
            <v>KWV 3YRS BRANDY 750 ML</v>
          </cell>
        </row>
        <row r="798">
          <cell r="A798">
            <v>1235</v>
          </cell>
          <cell r="B798" t="str">
            <v>KWV 15YRS BRANDY 750ml</v>
          </cell>
        </row>
        <row r="799">
          <cell r="A799">
            <v>1234</v>
          </cell>
          <cell r="B799" t="str">
            <v>KWV 12YRS BRANDY 750ML</v>
          </cell>
        </row>
        <row r="800">
          <cell r="A800">
            <v>1233</v>
          </cell>
          <cell r="B800" t="str">
            <v>KWV 10YRS BRANDY 750ml</v>
          </cell>
        </row>
        <row r="801">
          <cell r="A801">
            <v>1232</v>
          </cell>
          <cell r="B801" t="str">
            <v>KREST 500ML</v>
          </cell>
        </row>
        <row r="802">
          <cell r="A802">
            <v>1228</v>
          </cell>
          <cell r="B802" t="str">
            <v>KONYAGI 750 ML</v>
          </cell>
        </row>
        <row r="803">
          <cell r="A803">
            <v>1230</v>
          </cell>
          <cell r="B803" t="str">
            <v>KONYAGI 500 ML</v>
          </cell>
        </row>
        <row r="804">
          <cell r="A804">
            <v>1229</v>
          </cell>
          <cell r="B804" t="str">
            <v>KONYAGI 250 ML</v>
          </cell>
        </row>
        <row r="805">
          <cell r="A805">
            <v>1226</v>
          </cell>
          <cell r="B805" t="str">
            <v>KO TAMBUZI GIN 750ML</v>
          </cell>
        </row>
        <row r="806">
          <cell r="A806">
            <v>2405</v>
          </cell>
          <cell r="B806" t="str">
            <v>KO PINEAPPLE &amp; MINT CAN 330ML</v>
          </cell>
        </row>
        <row r="807">
          <cell r="A807">
            <v>1223</v>
          </cell>
          <cell r="B807" t="str">
            <v>KO PINEAPPLE &amp; MINT 330ML</v>
          </cell>
        </row>
        <row r="808">
          <cell r="A808">
            <v>1222</v>
          </cell>
          <cell r="B808" t="str">
            <v>KO PASSION&amp;LIME 330ML</v>
          </cell>
        </row>
        <row r="809">
          <cell r="A809">
            <v>2406</v>
          </cell>
          <cell r="B809" t="str">
            <v>KO PASSION FRUIT &amp; LIME CAN 330ML</v>
          </cell>
        </row>
        <row r="810">
          <cell r="A810">
            <v>2831</v>
          </cell>
          <cell r="B810" t="str">
            <v>KO MUKHOMBERO 10% GIN COCTAIL 330ML CAN</v>
          </cell>
        </row>
        <row r="811">
          <cell r="A811">
            <v>1221</v>
          </cell>
          <cell r="B811" t="str">
            <v>KO MANGO &amp; GINGER 330ML</v>
          </cell>
        </row>
        <row r="812">
          <cell r="A812">
            <v>2164</v>
          </cell>
          <cell r="B812" t="str">
            <v>KO MANGO &amp; CHILLI 330ML</v>
          </cell>
        </row>
        <row r="813">
          <cell r="A813">
            <v>1220</v>
          </cell>
          <cell r="B813" t="str">
            <v>KO LIME &amp; GINGER 330ML</v>
          </cell>
        </row>
        <row r="814">
          <cell r="A814">
            <v>2904</v>
          </cell>
          <cell r="B814" t="str">
            <v>KO LIME AND GINGER 330 ML CAN </v>
          </cell>
        </row>
        <row r="815">
          <cell r="A815">
            <v>2835</v>
          </cell>
          <cell r="B815" t="str">
            <v>KO LEMON CELLO 10% GIN COCKTAIL 330ML CAN</v>
          </cell>
        </row>
        <row r="816">
          <cell r="A816">
            <v>2407</v>
          </cell>
          <cell r="B816" t="str">
            <v>KO HONEY &amp; LEMON 330ML</v>
          </cell>
        </row>
        <row r="817">
          <cell r="A817">
            <v>2580</v>
          </cell>
          <cell r="B817" t="str">
            <v>KO  DRY CIDER 500ML</v>
          </cell>
        </row>
        <row r="818">
          <cell r="A818">
            <v>1219</v>
          </cell>
          <cell r="B818" t="str">
            <v>KO CLASSIC GIN 750ML </v>
          </cell>
        </row>
        <row r="819">
          <cell r="A819">
            <v>2226</v>
          </cell>
          <cell r="B819" t="str">
            <v>KO BLUSH PREMIUM ROSE &amp; CUCUMBER 750ML</v>
          </cell>
        </row>
        <row r="820">
          <cell r="A820">
            <v>1215</v>
          </cell>
          <cell r="B820" t="str">
            <v>KLIPORIFT 750ML</v>
          </cell>
        </row>
        <row r="821">
          <cell r="A821">
            <v>1213</v>
          </cell>
          <cell r="B821" t="str">
            <v>KLEINE RUST  SAVIGNON BLANC 1.5LTR</v>
          </cell>
        </row>
        <row r="822">
          <cell r="A822">
            <v>2225</v>
          </cell>
          <cell r="B822" t="str">
            <v>KINGSTONE GIN 1LTR</v>
          </cell>
        </row>
        <row r="823">
          <cell r="A823">
            <v>1212</v>
          </cell>
          <cell r="B823" t="str">
            <v>KINGFISHER STRAWBERRY 300ML</v>
          </cell>
        </row>
        <row r="824">
          <cell r="A824">
            <v>1211</v>
          </cell>
          <cell r="B824" t="str">
            <v>KING ROBERT WHISKY 750ML</v>
          </cell>
        </row>
        <row r="825">
          <cell r="A825">
            <v>1210</v>
          </cell>
          <cell r="B825" t="str">
            <v>KING ROBERT WHISKY 1LTR</v>
          </cell>
        </row>
        <row r="826">
          <cell r="A826">
            <v>1209</v>
          </cell>
          <cell r="B826" t="str">
            <v>KING ROBERT VODKA 1LTR</v>
          </cell>
        </row>
        <row r="827">
          <cell r="A827">
            <v>1208</v>
          </cell>
          <cell r="B827" t="str">
            <v>KING ROBERT RUM 750ML</v>
          </cell>
        </row>
        <row r="828">
          <cell r="A828">
            <v>1207</v>
          </cell>
          <cell r="B828" t="str">
            <v>KING ROBERT II 750ML</v>
          </cell>
        </row>
        <row r="829">
          <cell r="A829">
            <v>1205</v>
          </cell>
          <cell r="B829" t="str">
            <v>KING ROBERT GIN 1LTR</v>
          </cell>
        </row>
        <row r="830">
          <cell r="A830">
            <v>1204</v>
          </cell>
          <cell r="B830" t="str">
            <v>KING ROBERT DARK RUM 1LTR</v>
          </cell>
        </row>
        <row r="831">
          <cell r="A831">
            <v>1203</v>
          </cell>
          <cell r="B831" t="str">
            <v>KING OF ARAK 500ml</v>
          </cell>
        </row>
        <row r="832">
          <cell r="A832">
            <v>1202</v>
          </cell>
          <cell r="B832" t="str">
            <v>KIBAO GIN 750ML</v>
          </cell>
        </row>
        <row r="833">
          <cell r="A833">
            <v>1201</v>
          </cell>
          <cell r="B833" t="str">
            <v>KIBAO GIN 350ML</v>
          </cell>
        </row>
        <row r="834">
          <cell r="A834">
            <v>1200</v>
          </cell>
          <cell r="B834" t="str">
            <v>KIBAO GIN 250ML</v>
          </cell>
        </row>
        <row r="835">
          <cell r="A835">
            <v>1199</v>
          </cell>
          <cell r="B835" t="str">
            <v>KIBAO 750 ML</v>
          </cell>
        </row>
        <row r="836">
          <cell r="A836">
            <v>1198</v>
          </cell>
          <cell r="B836" t="str">
            <v>KIBAO 350 ML</v>
          </cell>
        </row>
        <row r="837">
          <cell r="A837">
            <v>1197</v>
          </cell>
          <cell r="B837" t="str">
            <v>KIBAO 250 ML</v>
          </cell>
        </row>
        <row r="838">
          <cell r="A838">
            <v>1195</v>
          </cell>
          <cell r="B838" t="str">
            <v>KHOR WHITE &amp; GOLD VODKA 1LTR</v>
          </cell>
        </row>
        <row r="839">
          <cell r="A839">
            <v>1194</v>
          </cell>
          <cell r="B839" t="str">
            <v>KHOR WHITE &amp; GOLD 750ML</v>
          </cell>
        </row>
        <row r="840">
          <cell r="A840">
            <v>2224</v>
          </cell>
          <cell r="B840" t="str">
            <v>KHOR STRACTURED VODKA 1LTR</v>
          </cell>
        </row>
        <row r="841">
          <cell r="A841">
            <v>1193</v>
          </cell>
          <cell r="B841" t="str">
            <v>KHOR PLATINUM VODKA 1LTR</v>
          </cell>
        </row>
        <row r="842">
          <cell r="A842">
            <v>1192</v>
          </cell>
          <cell r="B842" t="str">
            <v>KHOR PLATINUM 750ML</v>
          </cell>
        </row>
        <row r="843">
          <cell r="A843">
            <v>1190</v>
          </cell>
          <cell r="B843" t="str">
            <v>KHOR BLACK &amp; GOLD VODKA 1LTR</v>
          </cell>
        </row>
        <row r="844">
          <cell r="A844">
            <v>1189</v>
          </cell>
          <cell r="B844" t="str">
            <v>KETEL ONE VODKA 750ML</v>
          </cell>
        </row>
        <row r="845">
          <cell r="A845">
            <v>1188</v>
          </cell>
          <cell r="B845" t="str">
            <v>KETELONE VODKA 1LTR</v>
          </cell>
        </row>
        <row r="846">
          <cell r="A846">
            <v>2161</v>
          </cell>
          <cell r="B846" t="str">
            <v>KERINGET SPARKLING WATER 1L</v>
          </cell>
        </row>
        <row r="847">
          <cell r="A847">
            <v>1187</v>
          </cell>
          <cell r="B847" t="str">
            <v>KERINGET MINERAL WATER 500ML</v>
          </cell>
        </row>
        <row r="848">
          <cell r="A848">
            <v>1186</v>
          </cell>
          <cell r="B848" t="str">
            <v>KERINGET MINERAL WATER 1LTR</v>
          </cell>
        </row>
        <row r="849">
          <cell r="A849">
            <v>2297</v>
          </cell>
          <cell r="B849" t="str">
            <v>KENYA GOLD 250ML</v>
          </cell>
        </row>
        <row r="850">
          <cell r="A850">
            <v>1185</v>
          </cell>
          <cell r="B850" t="str">
            <v>KENYA CANE SMOOTH 750 ML</v>
          </cell>
        </row>
        <row r="851">
          <cell r="A851">
            <v>1184</v>
          </cell>
          <cell r="B851" t="str">
            <v>KENYA CANE SMOOTH 350 ML</v>
          </cell>
        </row>
        <row r="852">
          <cell r="A852">
            <v>2429</v>
          </cell>
          <cell r="B852" t="str">
            <v>KENYA CANE SMOOTH 250 ML</v>
          </cell>
        </row>
        <row r="853">
          <cell r="A853">
            <v>2428</v>
          </cell>
          <cell r="B853" t="str">
            <v>KENYA CANE PINEAPPLE 750ML</v>
          </cell>
        </row>
        <row r="854">
          <cell r="A854">
            <v>2427</v>
          </cell>
          <cell r="B854" t="str">
            <v>KENYA CANE PINEAPPLE 250ML</v>
          </cell>
        </row>
        <row r="855">
          <cell r="A855">
            <v>2403</v>
          </cell>
          <cell r="B855" t="str">
            <v>KENYA CANE LEMON &amp; GINGER 750ML</v>
          </cell>
        </row>
        <row r="856">
          <cell r="A856">
            <v>2331</v>
          </cell>
          <cell r="B856" t="str">
            <v>KENYA CANE LEMON &amp; GINGER 250ML</v>
          </cell>
        </row>
        <row r="857">
          <cell r="A857">
            <v>1176</v>
          </cell>
          <cell r="B857" t="str">
            <v>KENSINGTON LONDON DRY GIN 750ML</v>
          </cell>
        </row>
        <row r="858">
          <cell r="A858">
            <v>1165</v>
          </cell>
          <cell r="B858" t="str">
            <v>KANONKOP KADETTE PINOTAGE ROSE 750ml</v>
          </cell>
        </row>
        <row r="859">
          <cell r="A859">
            <v>1173</v>
          </cell>
          <cell r="B859" t="str">
            <v>KANONKOP KADETTE 750ML</v>
          </cell>
        </row>
        <row r="860">
          <cell r="A860">
            <v>2452</v>
          </cell>
          <cell r="B860" t="str">
            <v>KANE EXTRA 750ML</v>
          </cell>
        </row>
        <row r="861">
          <cell r="A861">
            <v>2864</v>
          </cell>
          <cell r="B861" t="str">
            <v>KANE EXTRA 250ML</v>
          </cell>
        </row>
        <row r="862">
          <cell r="A862">
            <v>1169</v>
          </cell>
          <cell r="B862" t="str">
            <v>KAHLUA COFFEE LIQUEUR 750ML</v>
          </cell>
        </row>
        <row r="863">
          <cell r="A863">
            <v>1168</v>
          </cell>
          <cell r="B863" t="str">
            <v>KAHLUA 700ML</v>
          </cell>
        </row>
        <row r="864">
          <cell r="A864">
            <v>1167</v>
          </cell>
          <cell r="B864" t="str">
            <v>KAHLUA  1LTR</v>
          </cell>
        </row>
        <row r="865">
          <cell r="A865">
            <v>1161</v>
          </cell>
          <cell r="B865" t="str">
            <v>JURA FRENCH OAK 700ML</v>
          </cell>
        </row>
        <row r="866">
          <cell r="A866">
            <v>2438</v>
          </cell>
          <cell r="B866" t="str">
            <v>JURA 18YEARS 700ML</v>
          </cell>
        </row>
        <row r="867">
          <cell r="A867">
            <v>1159</v>
          </cell>
          <cell r="B867" t="str">
            <v>JURA 12YRS OLD SINGLE MALT WHISKY 700ML</v>
          </cell>
        </row>
        <row r="868">
          <cell r="A868">
            <v>1157</v>
          </cell>
          <cell r="B868" t="str">
            <v>JP CHENET XO 700ML</v>
          </cell>
        </row>
        <row r="869">
          <cell r="A869">
            <v>1156</v>
          </cell>
          <cell r="B869" t="str">
            <v>JP CHENET VSOP 700ML</v>
          </cell>
        </row>
        <row r="870">
          <cell r="A870">
            <v>2477</v>
          </cell>
          <cell r="B870" t="str">
            <v>JP CHENET VS 700ML</v>
          </cell>
        </row>
        <row r="871">
          <cell r="A871">
            <v>1154</v>
          </cell>
          <cell r="B871" t="str">
            <v>JP CHENET RESERVE CHARDONNAY VIOGNIER 750ML</v>
          </cell>
        </row>
        <row r="872">
          <cell r="A872">
            <v>1152</v>
          </cell>
          <cell r="B872" t="str">
            <v>JP CHENET ORIGINAL SAUV BLANC 750ML</v>
          </cell>
        </row>
        <row r="873">
          <cell r="A873">
            <v>1151</v>
          </cell>
          <cell r="B873" t="str">
            <v>JP CHENET ORIGINAL MERLOT ORIGINAL 750ML</v>
          </cell>
        </row>
        <row r="874">
          <cell r="A874">
            <v>1147</v>
          </cell>
          <cell r="B874" t="str">
            <v>JP CHENET ORIGINAL BRUT-SPARKLING 750ML</v>
          </cell>
        </row>
        <row r="875">
          <cell r="A875">
            <v>2204</v>
          </cell>
          <cell r="B875" t="str">
            <v>JP CHENET ICE EDITION 750ML</v>
          </cell>
        </row>
        <row r="876">
          <cell r="A876">
            <v>1144</v>
          </cell>
          <cell r="B876" t="str">
            <v>JP CHENET FASHION PINEAPPLE 750ML</v>
          </cell>
        </row>
        <row r="877">
          <cell r="A877">
            <v>2591</v>
          </cell>
          <cell r="B877" t="str">
            <v>JP AZEITAO WHITE 750ML </v>
          </cell>
        </row>
        <row r="878">
          <cell r="A878">
            <v>2590</v>
          </cell>
          <cell r="B878" t="str">
            <v>JP AZEITAO RED 750ML </v>
          </cell>
        </row>
        <row r="879">
          <cell r="A879">
            <v>1129</v>
          </cell>
          <cell r="B879" t="str">
            <v>JOSE CUERVO SILVER 750ML</v>
          </cell>
        </row>
        <row r="880">
          <cell r="A880">
            <v>1128</v>
          </cell>
          <cell r="B880" t="str">
            <v>JOSE CUERVO RESERVA 700ML</v>
          </cell>
        </row>
        <row r="881">
          <cell r="A881">
            <v>1132</v>
          </cell>
          <cell r="B881" t="str">
            <v>JOSE CUERVO GOLD 750 ML</v>
          </cell>
        </row>
        <row r="882">
          <cell r="A882">
            <v>1131</v>
          </cell>
          <cell r="B882" t="str">
            <v>JOSE CUERVO GOLD 1LTR</v>
          </cell>
        </row>
        <row r="883">
          <cell r="A883">
            <v>1130</v>
          </cell>
          <cell r="B883" t="str">
            <v>JOSE CUERVO CLEAR 1LTR</v>
          </cell>
        </row>
        <row r="884">
          <cell r="A884">
            <v>1124</v>
          </cell>
          <cell r="B884" t="str">
            <v>JOHNNIE WALKER XR 21YRS WHISKY 700ML</v>
          </cell>
        </row>
        <row r="885">
          <cell r="A885">
            <v>2976</v>
          </cell>
          <cell r="B885" t="str">
            <v>JOHNNIE WALKER XR 19YRS 750ML</v>
          </cell>
        </row>
        <row r="886">
          <cell r="A886">
            <v>1122</v>
          </cell>
          <cell r="B886" t="str">
            <v>JOHNNIE WALKER WHITE WALKER 1LTR</v>
          </cell>
        </row>
        <row r="887">
          <cell r="A887">
            <v>1125</v>
          </cell>
          <cell r="B887" t="str">
            <v>JOHNNIE WALKER SWING 750ML</v>
          </cell>
        </row>
        <row r="888">
          <cell r="A888">
            <v>1121</v>
          </cell>
          <cell r="B888" t="str">
            <v>JOHNNIE WALKER RED LABEL WHISKY 375ML</v>
          </cell>
        </row>
        <row r="889">
          <cell r="A889">
            <v>1119</v>
          </cell>
          <cell r="B889" t="str">
            <v>JOHNNIE WALKER RED LABEL WHISKY 250ML</v>
          </cell>
        </row>
        <row r="890">
          <cell r="A890">
            <v>1118</v>
          </cell>
          <cell r="B890" t="str">
            <v>JOHNNIE WALKER RED LABEL 750ML</v>
          </cell>
        </row>
        <row r="891">
          <cell r="A891">
            <v>2296</v>
          </cell>
          <cell r="B891" t="str">
            <v>JOHNNIE WALKER RED LABEL 500ML</v>
          </cell>
        </row>
        <row r="892">
          <cell r="A892">
            <v>1117</v>
          </cell>
          <cell r="B892" t="str">
            <v>JOHNNIE WALKER RED LABEL  1LTR</v>
          </cell>
        </row>
        <row r="893">
          <cell r="A893">
            <v>1094</v>
          </cell>
          <cell r="B893" t="str">
            <v>JOHNNIE WALKER  PLATINUM WHISKY 1LTR</v>
          </cell>
        </row>
        <row r="894">
          <cell r="A894">
            <v>2203</v>
          </cell>
          <cell r="B894" t="str">
            <v>JOHNNIE WALKER KING GEORGE V 750ML</v>
          </cell>
        </row>
        <row r="895">
          <cell r="A895">
            <v>1116</v>
          </cell>
          <cell r="B895" t="str">
            <v>JOHNNIE WALKER ISLAND GREEN WHISKY 1LTR</v>
          </cell>
        </row>
        <row r="896">
          <cell r="A896">
            <v>2355</v>
          </cell>
          <cell r="B896" t="str">
            <v>JOHNNIE WALKER GREEN LABEL AGED 15YRS 750ML</v>
          </cell>
        </row>
        <row r="897">
          <cell r="A897">
            <v>1114</v>
          </cell>
          <cell r="B897" t="str">
            <v>JOHNNIE WALKER GOLD RESERVE WHISKY 750ML</v>
          </cell>
        </row>
        <row r="898">
          <cell r="A898">
            <v>1113</v>
          </cell>
          <cell r="B898" t="str">
            <v>JOHNNIE WALKER GOLD RESERVE  1LTR</v>
          </cell>
        </row>
        <row r="899">
          <cell r="A899">
            <v>2488</v>
          </cell>
          <cell r="B899" t="str">
            <v>JOHNNIE WALKER BLUE LABEL GHOST &amp; RARE 750ML</v>
          </cell>
        </row>
        <row r="900">
          <cell r="A900">
            <v>1111</v>
          </cell>
          <cell r="B900" t="str">
            <v>JOHNNIE WALKER DOUBLE BLACK 750ML</v>
          </cell>
        </row>
        <row r="901">
          <cell r="A901">
            <v>1110</v>
          </cell>
          <cell r="B901" t="str">
            <v>JOHNNIE WALKER DOUBLE BLACK 1 LTR</v>
          </cell>
        </row>
        <row r="902">
          <cell r="A902">
            <v>2202</v>
          </cell>
          <cell r="B902" t="str">
            <v>JOHNNIE WALKER BLUE LABEL 750ML</v>
          </cell>
        </row>
        <row r="903">
          <cell r="A903">
            <v>1109</v>
          </cell>
          <cell r="B903" t="str">
            <v>JOHNNIE WALKER BLUE LABEL 1LTR</v>
          </cell>
        </row>
        <row r="904">
          <cell r="A904">
            <v>1108</v>
          </cell>
          <cell r="B904" t="str">
            <v>JOHNNIE WALKER BLONDE  750ml</v>
          </cell>
        </row>
        <row r="905">
          <cell r="A905">
            <v>2966</v>
          </cell>
          <cell r="B905" t="str">
            <v>JOHNNIE WALKER BLACK RUBY LITRE</v>
          </cell>
        </row>
        <row r="906">
          <cell r="A906">
            <v>1107</v>
          </cell>
          <cell r="B906" t="str">
            <v>JOHNNIE WALKER BLACK LABEL WHISKY 750ML</v>
          </cell>
        </row>
        <row r="907">
          <cell r="A907">
            <v>2426</v>
          </cell>
          <cell r="B907" t="str">
            <v>JOHNNIE WALKER BLACK LABEL WHISKY 375ML</v>
          </cell>
        </row>
        <row r="908">
          <cell r="A908">
            <v>1105</v>
          </cell>
          <cell r="B908" t="str">
            <v>JOHNNIE WALKER BLACK LABEL WHISKY 250ML</v>
          </cell>
        </row>
        <row r="909">
          <cell r="A909">
            <v>1101</v>
          </cell>
          <cell r="B909" t="str">
            <v>JOHNNIE WALKER BLACK LABEL 1LTR</v>
          </cell>
        </row>
        <row r="910">
          <cell r="A910">
            <v>1099</v>
          </cell>
          <cell r="B910" t="str">
            <v>JOHNNIE WALKER A SONG OF ICE 1LTR</v>
          </cell>
        </row>
        <row r="911">
          <cell r="A911">
            <v>1098</v>
          </cell>
          <cell r="B911" t="str">
            <v>JOHNNIE WALKER A SONG OF FIRE 1LTR</v>
          </cell>
        </row>
        <row r="912">
          <cell r="A912">
            <v>1097</v>
          </cell>
          <cell r="B912" t="str">
            <v>JOHNNIE WALKER 18YRS WHISKY 750ML</v>
          </cell>
        </row>
        <row r="913">
          <cell r="A913">
            <v>1096</v>
          </cell>
          <cell r="B913" t="str">
            <v>JOHNNIE WALKER 18YRS WHISKY 1LTR</v>
          </cell>
        </row>
        <row r="914">
          <cell r="A914">
            <v>1093</v>
          </cell>
          <cell r="B914" t="str">
            <v>JOHN BARR RESERVE WHISKY BLACK 750ML</v>
          </cell>
        </row>
        <row r="915">
          <cell r="A915">
            <v>1092</v>
          </cell>
          <cell r="B915" t="str">
            <v>JOHN BARR RED WHISKY 1LTR</v>
          </cell>
        </row>
        <row r="916">
          <cell r="A916">
            <v>1091</v>
          </cell>
          <cell r="B916" t="str">
            <v>JOHN BARR FINEST WHISKY RED 750ML</v>
          </cell>
        </row>
        <row r="917">
          <cell r="A917">
            <v>2425</v>
          </cell>
          <cell r="B917" t="str">
            <v>JOHN BARR BLACK WHISKY 1LTR</v>
          </cell>
        </row>
        <row r="918">
          <cell r="A918">
            <v>1088</v>
          </cell>
          <cell r="B918" t="str">
            <v>JJ WHITLEY NEIL PINK CHERRY GIN 750ML</v>
          </cell>
        </row>
        <row r="919">
          <cell r="A919">
            <v>1087</v>
          </cell>
          <cell r="B919" t="str">
            <v>JJ WHITLEY NEIL LONDON DRY GIN 750ML</v>
          </cell>
        </row>
        <row r="920">
          <cell r="A920">
            <v>2414</v>
          </cell>
          <cell r="B920" t="str">
            <v>JINRO STRAWBERRY 360ML</v>
          </cell>
        </row>
        <row r="921">
          <cell r="A921">
            <v>2412</v>
          </cell>
          <cell r="B921" t="str">
            <v>JINRO PLUM SOJU 360ML</v>
          </cell>
        </row>
        <row r="922">
          <cell r="A922">
            <v>2411</v>
          </cell>
          <cell r="B922" t="str">
            <v>JINRO PEACH 360ML</v>
          </cell>
        </row>
        <row r="923">
          <cell r="A923">
            <v>2900</v>
          </cell>
          <cell r="B923" t="str">
            <v>JINRO LEMON SOJU 350ML</v>
          </cell>
        </row>
        <row r="924">
          <cell r="A924">
            <v>2410</v>
          </cell>
          <cell r="B924" t="str">
            <v>JINRO GREEN GRAPE 360ML</v>
          </cell>
        </row>
        <row r="925">
          <cell r="A925">
            <v>2413</v>
          </cell>
          <cell r="B925" t="str">
            <v>JINRO GRAPE FRUIT SOJU 360</v>
          </cell>
        </row>
        <row r="926">
          <cell r="A926">
            <v>2833</v>
          </cell>
          <cell r="B926" t="str">
            <v>JINRO CHAMISUL ORIGINAL SOJU 350 ML</v>
          </cell>
        </row>
        <row r="927">
          <cell r="A927">
            <v>2832</v>
          </cell>
          <cell r="B927" t="str">
            <v>JINRO CHAMISUL FRESH SOJU 360 ML</v>
          </cell>
        </row>
        <row r="928">
          <cell r="A928">
            <v>2834</v>
          </cell>
          <cell r="B928" t="str">
            <v>JINRO BLUE SOJU 360ML</v>
          </cell>
        </row>
        <row r="929">
          <cell r="A929">
            <v>1082</v>
          </cell>
          <cell r="B929" t="str">
            <v>JIM BEAM DOUBLE OAK 700ml</v>
          </cell>
        </row>
        <row r="930">
          <cell r="A930">
            <v>1081</v>
          </cell>
          <cell r="B930" t="str">
            <v>JIM BEAM DEVILS CUT WHISKY 700ml</v>
          </cell>
        </row>
        <row r="931">
          <cell r="A931">
            <v>1080</v>
          </cell>
          <cell r="B931" t="str">
            <v>JIM BEAM BOURBON WHISKY 750ML</v>
          </cell>
        </row>
        <row r="932">
          <cell r="A932">
            <v>1079</v>
          </cell>
          <cell r="B932" t="str">
            <v>JIM BEAM BOURBON WHISKY 1LTR</v>
          </cell>
        </row>
        <row r="933">
          <cell r="A933">
            <v>2788</v>
          </cell>
          <cell r="B933" t="str">
            <v>JIM BEAM BLACK CHERRY 700ML</v>
          </cell>
        </row>
        <row r="934">
          <cell r="A934">
            <v>2201</v>
          </cell>
          <cell r="B934" t="str">
            <v>JIM BEAM APPLE 750ML</v>
          </cell>
        </row>
        <row r="935">
          <cell r="A935">
            <v>1069</v>
          </cell>
          <cell r="B935" t="str">
            <v>JAMESON WHISKY  4.5LTR</v>
          </cell>
        </row>
        <row r="936">
          <cell r="A936">
            <v>2965</v>
          </cell>
          <cell r="B936" t="str">
            <v>JAMESON TRIPLE TRIPLE MARSALA LITRE</v>
          </cell>
        </row>
        <row r="937">
          <cell r="A937">
            <v>1068</v>
          </cell>
          <cell r="B937" t="str">
            <v>JAMESON STOUT 750ML</v>
          </cell>
        </row>
        <row r="938">
          <cell r="A938">
            <v>2574</v>
          </cell>
          <cell r="B938" t="str">
            <v>JAMESON SINGLE  POT STILL 750ML</v>
          </cell>
        </row>
        <row r="939">
          <cell r="A939">
            <v>2798</v>
          </cell>
          <cell r="B939" t="str">
            <v>JAMESON ORANGE 700ML</v>
          </cell>
        </row>
        <row r="940">
          <cell r="A940">
            <v>1067</v>
          </cell>
          <cell r="B940" t="str">
            <v>JAMESON IRISH WHISKY 750ML</v>
          </cell>
        </row>
        <row r="941">
          <cell r="A941">
            <v>1066</v>
          </cell>
          <cell r="B941" t="str">
            <v>JAMESON IRISH WHISKY 350ML</v>
          </cell>
        </row>
        <row r="942">
          <cell r="A942">
            <v>1065</v>
          </cell>
          <cell r="B942" t="str">
            <v>JAMESON IRISH WHISKY 1LTR</v>
          </cell>
        </row>
        <row r="943">
          <cell r="A943">
            <v>1064</v>
          </cell>
          <cell r="B943" t="str">
            <v>JAMESON IPA 750ML</v>
          </cell>
        </row>
        <row r="944">
          <cell r="A944">
            <v>2797</v>
          </cell>
          <cell r="B944" t="str">
            <v>JAMESON COLD BREW 700ML</v>
          </cell>
        </row>
        <row r="945">
          <cell r="A945">
            <v>1057</v>
          </cell>
          <cell r="B945" t="str">
            <v>JAMESON BLACK BARREL 750ML</v>
          </cell>
        </row>
        <row r="946">
          <cell r="A946">
            <v>2935</v>
          </cell>
          <cell r="B946" t="str">
            <v>JAMESON BLACK BARREL 1L</v>
          </cell>
        </row>
        <row r="947">
          <cell r="A947">
            <v>2849</v>
          </cell>
          <cell r="B947" t="str">
            <v>JAMESON 18YRS 700ML</v>
          </cell>
        </row>
        <row r="948">
          <cell r="A948">
            <v>2206</v>
          </cell>
          <cell r="B948" t="str">
            <v>JAM JAR SWEET WHITE 750ML</v>
          </cell>
        </row>
        <row r="949">
          <cell r="A949">
            <v>2382</v>
          </cell>
          <cell r="B949" t="str">
            <v>JAM JAR SWEET SHIRAZ 750ML</v>
          </cell>
        </row>
        <row r="950">
          <cell r="A950">
            <v>2205</v>
          </cell>
          <cell r="B950" t="str">
            <v>JAM JAR SWEET RED 750ML</v>
          </cell>
        </row>
        <row r="951">
          <cell r="A951">
            <v>1051</v>
          </cell>
          <cell r="B951" t="str">
            <v>JAGERMEISTER WITH CORK  750ML </v>
          </cell>
        </row>
        <row r="952">
          <cell r="A952">
            <v>1050</v>
          </cell>
          <cell r="B952" t="str">
            <v>JAGERMEISTER WITH CORK  1LTR </v>
          </cell>
        </row>
        <row r="953">
          <cell r="A953">
            <v>2938</v>
          </cell>
          <cell r="B953" t="str">
            <v>JAGERMEISTER ORANGE 700ML</v>
          </cell>
        </row>
        <row r="954">
          <cell r="A954">
            <v>2939</v>
          </cell>
          <cell r="B954" t="str">
            <v>JAGERMEISTER ORANGE 1L</v>
          </cell>
        </row>
        <row r="955">
          <cell r="A955">
            <v>2398</v>
          </cell>
          <cell r="B955" t="str">
            <v>JAGERMEISTER COLD BREW 1LTR</v>
          </cell>
        </row>
        <row r="956">
          <cell r="A956">
            <v>1048</v>
          </cell>
          <cell r="B956" t="str">
            <v>JAGERMEISTER 750ML</v>
          </cell>
        </row>
        <row r="957">
          <cell r="A957">
            <v>2937</v>
          </cell>
          <cell r="B957" t="str">
            <v>JAGERMEISTER 3L</v>
          </cell>
        </row>
        <row r="958">
          <cell r="A958">
            <v>1047</v>
          </cell>
          <cell r="B958" t="str">
            <v>JAGERMEISTER 350ML</v>
          </cell>
        </row>
        <row r="959">
          <cell r="A959">
            <v>1046</v>
          </cell>
          <cell r="B959" t="str">
            <v>JAGERMEISTER 1LTR</v>
          </cell>
        </row>
        <row r="960">
          <cell r="A960">
            <v>2824</v>
          </cell>
          <cell r="B960" t="str">
            <v>JAGERMEISTER 1.75L</v>
          </cell>
        </row>
        <row r="961">
          <cell r="A961">
            <v>1043</v>
          </cell>
          <cell r="B961" t="str">
            <v>JACOB'S CREEK ROSE 750ML</v>
          </cell>
        </row>
        <row r="962">
          <cell r="A962">
            <v>2443</v>
          </cell>
          <cell r="B962" t="str">
            <v>JACOB'S CREEK RESERVE SHIRAZ 750ML</v>
          </cell>
        </row>
        <row r="963">
          <cell r="A963">
            <v>1045</v>
          </cell>
          <cell r="B963" t="str">
            <v>JACOBS CREEK MERLOT 750ML</v>
          </cell>
        </row>
        <row r="964">
          <cell r="A964">
            <v>1042</v>
          </cell>
          <cell r="B964" t="str">
            <v>JACOB'S CREEK CLASSIC SHIRAZ 750ML</v>
          </cell>
        </row>
        <row r="965">
          <cell r="A965">
            <v>1044</v>
          </cell>
          <cell r="B965" t="str">
            <v>JACOBS CREEK CHARDONNAY</v>
          </cell>
        </row>
        <row r="966">
          <cell r="A966">
            <v>2439</v>
          </cell>
          <cell r="B966" t="str">
            <v>JACOB'S CREEK CABERNET SAUVIGNON 750ML</v>
          </cell>
        </row>
        <row r="967">
          <cell r="A967">
            <v>1039</v>
          </cell>
          <cell r="B967" t="str">
            <v>JACK DANIELS WHISKY 3LTR</v>
          </cell>
        </row>
        <row r="968">
          <cell r="A968">
            <v>1037</v>
          </cell>
          <cell r="B968" t="str">
            <v>JACK DANIELS SOUR MASH NO 7 LEGACY EDITION 2 WHISKY 750ML</v>
          </cell>
        </row>
        <row r="969">
          <cell r="A969">
            <v>1036</v>
          </cell>
          <cell r="B969" t="str">
            <v>JACK DANIELS SOUR MASH NO 7 700ML WHISKY</v>
          </cell>
        </row>
        <row r="970">
          <cell r="A970">
            <v>1035</v>
          </cell>
          <cell r="B970" t="str">
            <v>JACK DANIELS SINGLE BARREL 750ML</v>
          </cell>
        </row>
        <row r="971">
          <cell r="A971">
            <v>1034</v>
          </cell>
          <cell r="B971" t="str">
            <v>JACK DANIELS SINATRA  1LTR</v>
          </cell>
        </row>
        <row r="972">
          <cell r="A972">
            <v>2330</v>
          </cell>
          <cell r="B972" t="str">
            <v>JACK DANIELS RYE 1LTR</v>
          </cell>
        </row>
        <row r="973">
          <cell r="A973">
            <v>1022</v>
          </cell>
          <cell r="B973" t="str">
            <v>JACK DANIEL'S MASTER DISTILLER SERIES WHISKY 1LTR</v>
          </cell>
        </row>
        <row r="974">
          <cell r="A974">
            <v>1032</v>
          </cell>
          <cell r="B974" t="str">
            <v>JACK DANIELS LEGACY EDITION 1 1LTR</v>
          </cell>
        </row>
        <row r="975">
          <cell r="A975">
            <v>1031</v>
          </cell>
          <cell r="B975" t="str">
            <v>JACK DANIELS HONEY WHISKY 700ML</v>
          </cell>
        </row>
        <row r="976">
          <cell r="A976">
            <v>1029</v>
          </cell>
          <cell r="B976" t="str">
            <v>JACK DANIELS FIRE 1LTR</v>
          </cell>
        </row>
        <row r="977">
          <cell r="A977">
            <v>1028</v>
          </cell>
          <cell r="B977" t="str">
            <v>JACK DANIELS FINE OLD NO 7 LEGACY EDITION 3 WHISKY 700ML</v>
          </cell>
        </row>
        <row r="978">
          <cell r="A978">
            <v>2940</v>
          </cell>
          <cell r="B978" t="str">
            <v>JACK DANIELS BLACK BERRY 700ML</v>
          </cell>
        </row>
        <row r="979">
          <cell r="A979">
            <v>1026</v>
          </cell>
          <cell r="B979" t="str">
            <v>JACK DANIELS APPLE 700ML</v>
          </cell>
        </row>
        <row r="980">
          <cell r="A980">
            <v>2847</v>
          </cell>
          <cell r="B980" t="str">
            <v>JACK DANIEL'S APPLE 350ML</v>
          </cell>
        </row>
        <row r="981">
          <cell r="A981">
            <v>1025</v>
          </cell>
          <cell r="B981" t="str">
            <v>JACK DANIELS APPLE 1LTR</v>
          </cell>
        </row>
        <row r="982">
          <cell r="A982">
            <v>1023</v>
          </cell>
          <cell r="B982" t="str">
            <v>JACK DANIELS  700ML</v>
          </cell>
        </row>
        <row r="983">
          <cell r="A983">
            <v>1024</v>
          </cell>
          <cell r="B983" t="str">
            <v>JACK DANIELS 375 ML</v>
          </cell>
        </row>
        <row r="984">
          <cell r="A984">
            <v>1021</v>
          </cell>
          <cell r="B984" t="str">
            <v>JACK DANIEL'S 1LTR</v>
          </cell>
        </row>
        <row r="985">
          <cell r="A985">
            <v>2951</v>
          </cell>
          <cell r="B985" t="str">
            <v>JACK DANIELS 1.75L</v>
          </cell>
        </row>
        <row r="986">
          <cell r="A986">
            <v>1020</v>
          </cell>
          <cell r="B986" t="str">
            <v>JACK DANIEL HONEY WHISKY 1LTR</v>
          </cell>
        </row>
        <row r="987">
          <cell r="A987">
            <v>1019</v>
          </cell>
          <cell r="B987" t="str">
            <v>JACK DANIEL FIRE WHISKY 750ML</v>
          </cell>
        </row>
        <row r="988">
          <cell r="A988">
            <v>1018</v>
          </cell>
          <cell r="B988" t="str">
            <v>J&amp;B RARE WHISKY 750ML</v>
          </cell>
        </row>
        <row r="989">
          <cell r="A989">
            <v>1016</v>
          </cell>
          <cell r="B989" t="str">
            <v>J&amp;B RARE WHISKY 200ML</v>
          </cell>
        </row>
        <row r="990">
          <cell r="A990">
            <v>1015</v>
          </cell>
          <cell r="B990" t="str">
            <v>J&amp;B RARE WHISKY 1LTR</v>
          </cell>
        </row>
        <row r="991">
          <cell r="A991">
            <v>1014</v>
          </cell>
          <cell r="B991" t="str">
            <v>IWAI JAPANESE WHISKY 750ml</v>
          </cell>
        </row>
        <row r="992">
          <cell r="A992">
            <v>1013</v>
          </cell>
          <cell r="B992" t="str">
            <v>ITINERA PROSECCO 750ML</v>
          </cell>
        </row>
        <row r="993">
          <cell r="A993">
            <v>2294</v>
          </cell>
          <cell r="B993" t="str">
            <v>IRISH  MIST 1LTR</v>
          </cell>
        </row>
        <row r="994">
          <cell r="A994">
            <v>2534</v>
          </cell>
          <cell r="B994" t="str">
            <v>IRIS VERMOUTH ROJO LITRE</v>
          </cell>
        </row>
        <row r="995">
          <cell r="A995">
            <v>2533</v>
          </cell>
          <cell r="B995" t="str">
            <v>IRIS VERMOUTH BLANCO LITRE</v>
          </cell>
        </row>
        <row r="996">
          <cell r="A996">
            <v>1010</v>
          </cell>
          <cell r="B996" t="str">
            <v>INVERROCHE GIN VERDANT 750ML</v>
          </cell>
        </row>
        <row r="997">
          <cell r="A997">
            <v>1009</v>
          </cell>
          <cell r="B997" t="str">
            <v>INVERROCHE GIN AMBER 750ML</v>
          </cell>
        </row>
        <row r="998">
          <cell r="A998">
            <v>1008</v>
          </cell>
          <cell r="B998" t="str">
            <v>INVERROCHE CLASSIC 750ML </v>
          </cell>
        </row>
        <row r="999">
          <cell r="A999">
            <v>2577</v>
          </cell>
          <cell r="B999" t="str">
            <v>INDEPENDENCE BLENDED IRISH 700ML</v>
          </cell>
        </row>
        <row r="1000">
          <cell r="A1000">
            <v>1007</v>
          </cell>
          <cell r="B1000" t="str">
            <v>IMPERIAL BLUE WHISKY 750ML</v>
          </cell>
        </row>
        <row r="1001">
          <cell r="A1001">
            <v>2960</v>
          </cell>
          <cell r="B1001" t="str">
            <v>ICE TROPEZ 275ML</v>
          </cell>
        </row>
        <row r="1002">
          <cell r="A1002">
            <v>1004</v>
          </cell>
          <cell r="B1002" t="str">
            <v>HUNTING LODGE WHISKY 750ML</v>
          </cell>
        </row>
        <row r="1003">
          <cell r="A1003">
            <v>1003</v>
          </cell>
          <cell r="B1003" t="str">
            <v>HUNTING LODGE WHISKY 1LTR</v>
          </cell>
        </row>
        <row r="1004">
          <cell r="A1004">
            <v>1002</v>
          </cell>
          <cell r="B1004" t="str">
            <v>HUNTING LODGE VODKA 700ML</v>
          </cell>
        </row>
        <row r="1005">
          <cell r="A1005">
            <v>1001</v>
          </cell>
          <cell r="B1005" t="str">
            <v>HUNTING LODGE VODKA 1LTR</v>
          </cell>
        </row>
        <row r="1006">
          <cell r="A1006">
            <v>2199</v>
          </cell>
          <cell r="B1006" t="str">
            <v>HUNTING LODGE GREEN APPLE 1LTR</v>
          </cell>
        </row>
        <row r="1007">
          <cell r="A1007">
            <v>1000</v>
          </cell>
          <cell r="B1007" t="str">
            <v>HUNTING LODGE GIN 750ML</v>
          </cell>
        </row>
        <row r="1008">
          <cell r="A1008">
            <v>998</v>
          </cell>
          <cell r="B1008" t="str">
            <v>HUNTERS GOLD 330ML</v>
          </cell>
        </row>
        <row r="1009">
          <cell r="A1009">
            <v>997</v>
          </cell>
          <cell r="B1009" t="str">
            <v>HUNTERS DRY 330ML</v>
          </cell>
        </row>
        <row r="1010">
          <cell r="A1010">
            <v>994</v>
          </cell>
          <cell r="B1010" t="str">
            <v>HUNTERS 750 ML</v>
          </cell>
        </row>
        <row r="1011">
          <cell r="A1011">
            <v>993</v>
          </cell>
          <cell r="B1011" t="str">
            <v>HUNTERS 350 ML</v>
          </cell>
        </row>
        <row r="1012">
          <cell r="A1012">
            <v>992</v>
          </cell>
          <cell r="B1012" t="str">
            <v>HUNTERS 250 ML</v>
          </cell>
        </row>
        <row r="1013">
          <cell r="A1013">
            <v>2298</v>
          </cell>
          <cell r="B1013" t="str">
            <v>HOWLING OWL BLUE GIN 750ML</v>
          </cell>
        </row>
        <row r="1014">
          <cell r="A1014">
            <v>989</v>
          </cell>
          <cell r="B1014" t="str">
            <v>HIGHLAND QUEEN WHISKY 1LTR</v>
          </cell>
        </row>
        <row r="1015">
          <cell r="A1015">
            <v>988</v>
          </cell>
          <cell r="B1015" t="str">
            <v>HIGHLAND PARK SINGLE MALT 700ML</v>
          </cell>
        </row>
        <row r="1016">
          <cell r="A1016">
            <v>2344</v>
          </cell>
          <cell r="B1016" t="str">
            <v>HIGH COMMISSIONER  1LTR</v>
          </cell>
        </row>
        <row r="1017">
          <cell r="A1017">
            <v>984</v>
          </cell>
          <cell r="B1017" t="str">
            <v>HIBIKI SUNTORY WHISKY JAPANESE 700ML</v>
          </cell>
        </row>
        <row r="1018">
          <cell r="A1018">
            <v>968</v>
          </cell>
          <cell r="B1018" t="str">
            <v>HERITAGE AOP LANGUEDOC 750ML</v>
          </cell>
        </row>
        <row r="1019">
          <cell r="A1019">
            <v>967</v>
          </cell>
          <cell r="B1019" t="str">
            <v>HENNESSY XO COGNAC 700ML</v>
          </cell>
        </row>
        <row r="1020">
          <cell r="A1020">
            <v>966</v>
          </cell>
          <cell r="B1020" t="str">
            <v>HENNESSY XO COGNAC 1LTR</v>
          </cell>
        </row>
        <row r="1021">
          <cell r="A1021">
            <v>2985</v>
          </cell>
          <cell r="B1021" t="str">
            <v>HENNESSY XO COGNAC 1.5L</v>
          </cell>
        </row>
        <row r="1022">
          <cell r="A1022">
            <v>965</v>
          </cell>
          <cell r="B1022" t="str">
            <v>HENNESSY VSOP COGNAC 750ML</v>
          </cell>
        </row>
        <row r="1023">
          <cell r="A1023">
            <v>964</v>
          </cell>
          <cell r="B1023" t="str">
            <v>HENNESSY VSOP 350ML</v>
          </cell>
        </row>
        <row r="1024">
          <cell r="A1024">
            <v>963</v>
          </cell>
          <cell r="B1024" t="str">
            <v>HENNESSY VSOP 1LTR</v>
          </cell>
        </row>
        <row r="1025">
          <cell r="A1025">
            <v>962</v>
          </cell>
          <cell r="B1025" t="str">
            <v>HENNESSY V.S COGNAC 700ML</v>
          </cell>
        </row>
        <row r="1026">
          <cell r="A1026">
            <v>961</v>
          </cell>
          <cell r="B1026" t="str">
            <v>HENNESSY V.S COGNAC 350ML</v>
          </cell>
        </row>
        <row r="1027">
          <cell r="A1027">
            <v>960</v>
          </cell>
          <cell r="B1027" t="str">
            <v>HENNESSY VS COGNAC 1LTR</v>
          </cell>
        </row>
        <row r="1028">
          <cell r="A1028">
            <v>2804</v>
          </cell>
          <cell r="B1028" t="str">
            <v>HENNESSY PURE WHITE 700ML</v>
          </cell>
        </row>
        <row r="1029">
          <cell r="A1029">
            <v>959</v>
          </cell>
          <cell r="B1029" t="str">
            <v>HENNESSY MASTER BLENDER'S  500ml</v>
          </cell>
        </row>
        <row r="1030">
          <cell r="A1030">
            <v>2576</v>
          </cell>
          <cell r="B1030" t="str">
            <v>HENKES GIN 750ML</v>
          </cell>
        </row>
        <row r="1031">
          <cell r="A1031">
            <v>953</v>
          </cell>
          <cell r="B1031" t="str">
            <v>HENDRICKS ORBIUM GIN 700ML</v>
          </cell>
        </row>
        <row r="1032">
          <cell r="A1032">
            <v>957</v>
          </cell>
          <cell r="B1032" t="str">
            <v>HENDRICKS GIN 750ML</v>
          </cell>
        </row>
        <row r="1033">
          <cell r="A1033">
            <v>956</v>
          </cell>
          <cell r="B1033" t="str">
            <v>HENDRICKS GIN 1LTR</v>
          </cell>
        </row>
        <row r="1034">
          <cell r="A1034">
            <v>951</v>
          </cell>
          <cell r="B1034" t="str">
            <v>HENDRICK'S AMAZONIA GIN 1LTR</v>
          </cell>
        </row>
        <row r="1035">
          <cell r="A1035">
            <v>955</v>
          </cell>
          <cell r="B1035" t="str">
            <v>HENDRICKS 350ML</v>
          </cell>
        </row>
        <row r="1036">
          <cell r="A1036">
            <v>954</v>
          </cell>
          <cell r="B1036" t="str">
            <v>HENDRICKS LUNAR GIN 750ML</v>
          </cell>
        </row>
        <row r="1037">
          <cell r="A1037">
            <v>949</v>
          </cell>
          <cell r="B1037" t="str">
            <v>HEINEKEN CAN 500ML</v>
          </cell>
        </row>
        <row r="1038">
          <cell r="A1038">
            <v>948</v>
          </cell>
          <cell r="B1038" t="str">
            <v>HEINEKEN BOTTLE 330 ML</v>
          </cell>
        </row>
        <row r="1039">
          <cell r="A1039">
            <v>947</v>
          </cell>
          <cell r="B1039" t="str">
            <v>HEINEKEN 0.0 NRB 330ML</v>
          </cell>
        </row>
        <row r="1040">
          <cell r="A1040">
            <v>2959</v>
          </cell>
          <cell r="B1040" t="str">
            <v>HEERING CHERRY LIQUEUR 700ML</v>
          </cell>
        </row>
        <row r="1041">
          <cell r="A1041">
            <v>2819</v>
          </cell>
          <cell r="B1041" t="str">
            <v>HAYMAN'S SLOE GIN 700ML</v>
          </cell>
        </row>
        <row r="1042">
          <cell r="A1042">
            <v>2818</v>
          </cell>
          <cell r="B1042" t="str">
            <v>HAYMAN'S OLD TOM 700ML</v>
          </cell>
        </row>
        <row r="1043">
          <cell r="A1043">
            <v>2817</v>
          </cell>
          <cell r="B1043" t="str">
            <v>HAYMAN'S LONDON DRY GIN 700ML</v>
          </cell>
        </row>
        <row r="1044">
          <cell r="A1044">
            <v>946</v>
          </cell>
          <cell r="B1044" t="str">
            <v>HAYMANS GIN 750ML</v>
          </cell>
        </row>
        <row r="1045">
          <cell r="A1045">
            <v>2476</v>
          </cell>
          <cell r="B1045" t="str">
            <v>HAVANA CLUB RHUM ESPECIA LITRE</v>
          </cell>
        </row>
        <row r="1046">
          <cell r="A1046">
            <v>2475</v>
          </cell>
          <cell r="B1046" t="str">
            <v>HAVANA CLUB RHUM ANEJO 3YRS LITRE</v>
          </cell>
        </row>
        <row r="1047">
          <cell r="A1047">
            <v>942</v>
          </cell>
          <cell r="B1047" t="str">
            <v>HAVANA CLUB ANEJO 3YRS TEQUILA 700ML</v>
          </cell>
        </row>
        <row r="1048">
          <cell r="A1048">
            <v>941</v>
          </cell>
          <cell r="B1048" t="str">
            <v>HAVANA ANEJO ESPECIAL TEQUILA 700ML</v>
          </cell>
        </row>
        <row r="1049">
          <cell r="A1049">
            <v>2517</v>
          </cell>
          <cell r="B1049" t="str">
            <v>HAUTE CABRIERE UNWOODED PINOTNOIR 750ML</v>
          </cell>
        </row>
        <row r="1050">
          <cell r="A1050">
            <v>2497</v>
          </cell>
          <cell r="B1050" t="str">
            <v>HAUTE CABRIERE UNWOODED CHARDONNAY 750ML</v>
          </cell>
        </row>
        <row r="1051">
          <cell r="A1051">
            <v>2512</v>
          </cell>
          <cell r="B1051" t="str">
            <v>HAUTE CABRIERE CHARDONNAY  PINOT 750ML750ML</v>
          </cell>
        </row>
        <row r="1052">
          <cell r="A1052">
            <v>940</v>
          </cell>
          <cell r="B1052" t="str">
            <v>HARVEYS BRISTOL CREAM 750ML</v>
          </cell>
        </row>
        <row r="1053">
          <cell r="A1053">
            <v>939</v>
          </cell>
          <cell r="B1053" t="str">
            <v>HARVEYS BRISTOL CREAM 1LTR</v>
          </cell>
        </row>
        <row r="1054">
          <cell r="A1054">
            <v>937</v>
          </cell>
          <cell r="B1054" t="str">
            <v>HARRINGTON  WHISKY 750ML</v>
          </cell>
        </row>
        <row r="1055">
          <cell r="A1055">
            <v>938</v>
          </cell>
          <cell r="B1055" t="str">
            <v>HARRINGTON SCOTCH WHISKY 750ML</v>
          </cell>
        </row>
        <row r="1056">
          <cell r="A1056">
            <v>2519</v>
          </cell>
          <cell r="B1056" t="str">
            <v>HAMSINI SWEET WHITE750ML</v>
          </cell>
        </row>
        <row r="1057">
          <cell r="A1057">
            <v>2518</v>
          </cell>
          <cell r="B1057" t="str">
            <v>HAMSINI SWEET RED 750ML</v>
          </cell>
        </row>
        <row r="1058">
          <cell r="A1058">
            <v>933</v>
          </cell>
          <cell r="B1058" t="str">
            <v>HAMPTON DRAM WHISKY 750ML</v>
          </cell>
        </row>
        <row r="1059">
          <cell r="A1059">
            <v>931</v>
          </cell>
          <cell r="B1059" t="str">
            <v>GUNPOWDER IRISH GIN 750ML</v>
          </cell>
        </row>
        <row r="1060">
          <cell r="A1060">
            <v>928</v>
          </cell>
          <cell r="B1060" t="str">
            <v>GUINESS SMOOTH CAN 500ML</v>
          </cell>
        </row>
        <row r="1061">
          <cell r="A1061">
            <v>2408</v>
          </cell>
          <cell r="B1061" t="str">
            <v>GUINESS CAN SMOOTH 330ML CAN</v>
          </cell>
        </row>
        <row r="1062">
          <cell r="A1062">
            <v>2424</v>
          </cell>
          <cell r="B1062" t="str">
            <v>GUINESS CAN 500ML</v>
          </cell>
        </row>
        <row r="1063">
          <cell r="A1063">
            <v>924</v>
          </cell>
          <cell r="B1063" t="str">
            <v>GREY GOOSE VODKA  750ML</v>
          </cell>
        </row>
        <row r="1064">
          <cell r="A1064">
            <v>925</v>
          </cell>
          <cell r="B1064" t="str">
            <v>GREY GOOSE VODKA 1LTR</v>
          </cell>
        </row>
        <row r="1065">
          <cell r="A1065">
            <v>923</v>
          </cell>
          <cell r="B1065" t="str">
            <v>GREY GOOSE ORANGE VODKA 750ML</v>
          </cell>
        </row>
        <row r="1066">
          <cell r="A1066">
            <v>2295</v>
          </cell>
          <cell r="B1066" t="str">
            <v>GREY GOOSE 375ML</v>
          </cell>
        </row>
        <row r="1067">
          <cell r="A1067">
            <v>922</v>
          </cell>
          <cell r="B1067" t="str">
            <v>GRENADINE SYRUP 750ML</v>
          </cell>
        </row>
        <row r="1068">
          <cell r="A1068">
            <v>2197</v>
          </cell>
          <cell r="B1068" t="str">
            <v>GREENALLS WILDBERRIES ROSEA 1LTR</v>
          </cell>
        </row>
        <row r="1069">
          <cell r="A1069">
            <v>921</v>
          </cell>
          <cell r="B1069" t="str">
            <v>GREENALLS WILD BERRY PINK 700ML</v>
          </cell>
        </row>
        <row r="1070">
          <cell r="A1070">
            <v>920</v>
          </cell>
          <cell r="B1070" t="str">
            <v>GREENALLS SLOE GIN 700ML</v>
          </cell>
        </row>
        <row r="1071">
          <cell r="A1071">
            <v>2198</v>
          </cell>
          <cell r="B1071" t="str">
            <v>GREENALLS RASPBERRY 700ML</v>
          </cell>
        </row>
        <row r="1072">
          <cell r="A1072">
            <v>916</v>
          </cell>
          <cell r="B1072" t="str">
            <v>GREENALL WILDBERRY  1LTR</v>
          </cell>
        </row>
        <row r="1073">
          <cell r="A1073">
            <v>915</v>
          </cell>
          <cell r="B1073" t="str">
            <v>GREENALL ORIGINAL 1LTR</v>
          </cell>
        </row>
        <row r="1074">
          <cell r="A1074">
            <v>908</v>
          </cell>
          <cell r="B1074" t="str">
            <v>GRANT'S WITHOUT GLASS 750ML </v>
          </cell>
        </row>
        <row r="1075">
          <cell r="A1075">
            <v>2454</v>
          </cell>
          <cell r="B1075" t="str">
            <v>GRANTS WITHOUT GLASS 1LTR</v>
          </cell>
        </row>
        <row r="1076">
          <cell r="A1076">
            <v>913</v>
          </cell>
          <cell r="B1076" t="str">
            <v>GRANTS WITH GLASS 750ML</v>
          </cell>
        </row>
        <row r="1077">
          <cell r="A1077">
            <v>912</v>
          </cell>
          <cell r="B1077" t="str">
            <v>GRANTS TRIPPLE WOOD (WITH GLASS) 1LTR</v>
          </cell>
        </row>
        <row r="1078">
          <cell r="A1078">
            <v>2949</v>
          </cell>
          <cell r="B1078" t="str">
            <v>GRANTS SUMMER ORANGE 700ML</v>
          </cell>
        </row>
        <row r="1079">
          <cell r="A1079">
            <v>911</v>
          </cell>
          <cell r="B1079" t="str">
            <v>GRANTS SELECT WHISKY 750ML</v>
          </cell>
        </row>
        <row r="1080">
          <cell r="A1080">
            <v>906</v>
          </cell>
          <cell r="B1080" t="str">
            <v>GRANT'S 375ML</v>
          </cell>
        </row>
        <row r="1081">
          <cell r="A1081">
            <v>910</v>
          </cell>
          <cell r="B1081" t="str">
            <v>GRANTS 12YRS WHISKY 750ML </v>
          </cell>
        </row>
        <row r="1082">
          <cell r="A1082">
            <v>2923</v>
          </cell>
          <cell r="B1082" t="str">
            <v>GRANDE RESERVE LE LYS ROUGE BORDEAUX RED 750ML</v>
          </cell>
        </row>
        <row r="1083">
          <cell r="A1083">
            <v>905</v>
          </cell>
          <cell r="B1083" t="str">
            <v>GRANDE FRANCE SEMI SWEET WHITE 750ML</v>
          </cell>
        </row>
        <row r="1084">
          <cell r="A1084">
            <v>2195</v>
          </cell>
          <cell r="B1084" t="str">
            <v>GRANDE FRANCE ROSE 750ML</v>
          </cell>
        </row>
        <row r="1085">
          <cell r="A1085">
            <v>2194</v>
          </cell>
          <cell r="B1085" t="str">
            <v>GRANDE FRANCE BRUT 750ML</v>
          </cell>
        </row>
        <row r="1086">
          <cell r="A1086">
            <v>903</v>
          </cell>
          <cell r="B1086" t="str">
            <v>GRAND MARNIER LIQUEUR 1LTR</v>
          </cell>
        </row>
        <row r="1087">
          <cell r="A1087">
            <v>902</v>
          </cell>
          <cell r="B1087" t="str">
            <v>GRAND MARNIER 350ML</v>
          </cell>
        </row>
        <row r="1088">
          <cell r="A1088">
            <v>901</v>
          </cell>
          <cell r="B1088" t="str">
            <v>GRAND MANIER LIQUEUR 750ML</v>
          </cell>
        </row>
        <row r="1089">
          <cell r="A1089">
            <v>2807</v>
          </cell>
          <cell r="B1089" t="str">
            <v>GRAHAM'S FINE WHITE 750ML</v>
          </cell>
        </row>
        <row r="1090">
          <cell r="A1090">
            <v>2806</v>
          </cell>
          <cell r="B1090" t="str">
            <v>GRAHAM'S FINE TAWNY 750ML</v>
          </cell>
        </row>
        <row r="1091">
          <cell r="A1091">
            <v>2805</v>
          </cell>
          <cell r="B1091" t="str">
            <v>GRAHAM'S FINE RUBY</v>
          </cell>
        </row>
        <row r="1092">
          <cell r="A1092">
            <v>2193</v>
          </cell>
          <cell r="B1092" t="str">
            <v>GRAHAM BECK NECTAR ROSE 750ML</v>
          </cell>
        </row>
        <row r="1093">
          <cell r="A1093">
            <v>897</v>
          </cell>
          <cell r="B1093" t="str">
            <v>GRAHAM BECK BRUT ROSE 750ML</v>
          </cell>
        </row>
        <row r="1094">
          <cell r="A1094">
            <v>894</v>
          </cell>
          <cell r="B1094" t="str">
            <v>GRACA WHITE 750ML</v>
          </cell>
        </row>
        <row r="1095">
          <cell r="A1095">
            <v>889</v>
          </cell>
          <cell r="B1095" t="str">
            <v>GORDON'S PINK&amp;TONIC 330ml</v>
          </cell>
        </row>
        <row r="1096">
          <cell r="A1096">
            <v>888</v>
          </cell>
          <cell r="B1096" t="str">
            <v>GORDON'S ORIGINAL 1LTR</v>
          </cell>
        </row>
        <row r="1097">
          <cell r="A1097">
            <v>887</v>
          </cell>
          <cell r="B1097" t="str">
            <v>GORDON'S MEDITERANEAN ORANGE GIN 700ML</v>
          </cell>
        </row>
        <row r="1098">
          <cell r="A1098">
            <v>2192</v>
          </cell>
          <cell r="B1098" t="str">
            <v>GORDONS LEMON 1LTR</v>
          </cell>
        </row>
        <row r="1099">
          <cell r="A1099">
            <v>885</v>
          </cell>
          <cell r="B1099" t="str">
            <v>GORDON'S GIN 750ML</v>
          </cell>
        </row>
        <row r="1100">
          <cell r="A1100">
            <v>892</v>
          </cell>
          <cell r="B1100" t="str">
            <v>GORDONS 375ML</v>
          </cell>
        </row>
        <row r="1101">
          <cell r="A1101">
            <v>884</v>
          </cell>
          <cell r="B1101" t="str">
            <v>GORDON'S &amp;TONIC PURPLE 330ml</v>
          </cell>
        </row>
        <row r="1102">
          <cell r="A1102">
            <v>891</v>
          </cell>
          <cell r="B1102" t="str">
            <v>GORDON`S SICILIAN LEMON 700ML</v>
          </cell>
        </row>
        <row r="1103">
          <cell r="A1103">
            <v>883</v>
          </cell>
          <cell r="B1103" t="str">
            <v>GORDON PINK GIN 1LTR</v>
          </cell>
        </row>
        <row r="1104">
          <cell r="A1104">
            <v>882</v>
          </cell>
          <cell r="B1104" t="str">
            <v>GORDON PINK 700ML</v>
          </cell>
        </row>
        <row r="1105">
          <cell r="A1105">
            <v>835</v>
          </cell>
          <cell r="B1105" t="str">
            <v>GLEN'S GIN 1LTR</v>
          </cell>
        </row>
        <row r="1106">
          <cell r="A1106">
            <v>876</v>
          </cell>
          <cell r="B1106" t="str">
            <v>GLENMORANGIE X 700ML</v>
          </cell>
        </row>
        <row r="1107">
          <cell r="A1107">
            <v>875</v>
          </cell>
          <cell r="B1107" t="str">
            <v>GLENMORANGIE QUINTA RUBAN 700ML</v>
          </cell>
        </row>
        <row r="1108">
          <cell r="A1108">
            <v>872</v>
          </cell>
          <cell r="B1108" t="str">
            <v>GLENMORANGIE ORIGINAL 10YRS 1LTR</v>
          </cell>
        </row>
        <row r="1109">
          <cell r="A1109">
            <v>871</v>
          </cell>
          <cell r="B1109" t="str">
            <v>GLENMORANGIE NECTAR D'OR 700ML</v>
          </cell>
        </row>
        <row r="1110">
          <cell r="A1110">
            <v>2354</v>
          </cell>
          <cell r="B1110" t="str">
            <v>GLENMORANGIE LASANTA 12YRS 750ML</v>
          </cell>
        </row>
        <row r="1111">
          <cell r="A1111">
            <v>870</v>
          </cell>
          <cell r="B1111" t="str">
            <v>GLENMORANGIE 19YRS WHISKY 700ML</v>
          </cell>
        </row>
        <row r="1112">
          <cell r="A1112">
            <v>869</v>
          </cell>
          <cell r="B1112" t="str">
            <v>GLENMORANGIE 18YRS WHISKY EXTREME  700ML</v>
          </cell>
        </row>
        <row r="1113">
          <cell r="A1113">
            <v>2848</v>
          </cell>
          <cell r="B1113" t="str">
            <v>GLENMORANGIE 18YRS THE INFINITA 700ML</v>
          </cell>
        </row>
        <row r="1114">
          <cell r="A1114">
            <v>2191</v>
          </cell>
          <cell r="B1114" t="str">
            <v>GLENMORANGIE 12YRS 700ML</v>
          </cell>
        </row>
        <row r="1115">
          <cell r="A1115">
            <v>868</v>
          </cell>
          <cell r="B1115" t="str">
            <v>GLENMORANGIE 12YRS 1LTR</v>
          </cell>
        </row>
        <row r="1116">
          <cell r="A1116">
            <v>873</v>
          </cell>
          <cell r="B1116" t="str">
            <v>GLENMORANGIE 10YRS ORIGINAL WHISKY 750ML</v>
          </cell>
        </row>
        <row r="1117">
          <cell r="A1117">
            <v>2190</v>
          </cell>
          <cell r="B1117" t="str">
            <v>GLENMORANGIE 10YRS 1LTR</v>
          </cell>
        </row>
        <row r="1118">
          <cell r="A1118">
            <v>862</v>
          </cell>
          <cell r="B1118" t="str">
            <v>GLENGRANT 12YRS  MALT SCOTCH WHISKY 700ML</v>
          </cell>
        </row>
        <row r="1119">
          <cell r="A1119">
            <v>861</v>
          </cell>
          <cell r="B1119" t="str">
            <v>GLENFIDICH 15YRS WHISKY 1LTR</v>
          </cell>
        </row>
        <row r="1120">
          <cell r="A1120">
            <v>860</v>
          </cell>
          <cell r="B1120" t="str">
            <v>GLENFIDICH 12YRS WHISKY 700ML</v>
          </cell>
        </row>
        <row r="1121">
          <cell r="A1121">
            <v>859</v>
          </cell>
          <cell r="B1121" t="str">
            <v>GLENFIDICH 12YRS WHISKY 350ML</v>
          </cell>
        </row>
        <row r="1122">
          <cell r="A1122">
            <v>857</v>
          </cell>
          <cell r="B1122" t="str">
            <v>GLENFIDICH 12YRS WHISKY 1LTR</v>
          </cell>
        </row>
        <row r="1123">
          <cell r="A1123">
            <v>2275</v>
          </cell>
          <cell r="B1123" t="str">
            <v>GLENFIDICH 12YRS 50ML</v>
          </cell>
        </row>
        <row r="1124">
          <cell r="A1124">
            <v>837</v>
          </cell>
          <cell r="B1124" t="str">
            <v>GLENFIDDICH SOLERA 15YRS 700ML</v>
          </cell>
        </row>
        <row r="1125">
          <cell r="A1125">
            <v>854</v>
          </cell>
          <cell r="B1125" t="str">
            <v>GLENFIDDICH SELECT CASK WHISKY 1LTR</v>
          </cell>
        </row>
        <row r="1126">
          <cell r="A1126">
            <v>853</v>
          </cell>
          <cell r="B1126" t="str">
            <v>GLENFIDDICH RESERVE CASK 1LTR</v>
          </cell>
        </row>
        <row r="1127">
          <cell r="A1127">
            <v>2474</v>
          </cell>
          <cell r="B1127" t="str">
            <v>GLENFIDDICH RESERVE 18YRS 700ML</v>
          </cell>
        </row>
        <row r="1128">
          <cell r="A1128">
            <v>849</v>
          </cell>
          <cell r="B1128" t="str">
            <v>GLENFIDDICH IPA EXPERIMENT SERIES WHISKY 700ML</v>
          </cell>
        </row>
        <row r="1129">
          <cell r="A1129">
            <v>847</v>
          </cell>
          <cell r="B1129" t="str">
            <v>GLENFIDDICH GRAND CORONNE 26YRS 700ML</v>
          </cell>
        </row>
        <row r="1130">
          <cell r="A1130">
            <v>846</v>
          </cell>
          <cell r="B1130" t="str">
            <v>GLENFIDDICH FIRE &amp; CANE WHISKY 700ML</v>
          </cell>
        </row>
        <row r="1131">
          <cell r="A1131">
            <v>844</v>
          </cell>
          <cell r="B1131" t="str">
            <v>GLENFIDDICH 25YRS WHISKY 750ML </v>
          </cell>
        </row>
        <row r="1132">
          <cell r="A1132">
            <v>843</v>
          </cell>
          <cell r="B1132" t="str">
            <v>GLENFIDDICH 21YRS WHISKY 700ML</v>
          </cell>
        </row>
        <row r="1133">
          <cell r="A1133">
            <v>841</v>
          </cell>
          <cell r="B1133" t="str">
            <v>GLENFIDDICH 18YRS 750ML GIFT PACK</v>
          </cell>
        </row>
        <row r="1134">
          <cell r="A1134">
            <v>840</v>
          </cell>
          <cell r="B1134" t="str">
            <v>GLENFIDDICH 18YRS 1LTR</v>
          </cell>
        </row>
        <row r="1135">
          <cell r="A1135">
            <v>839</v>
          </cell>
          <cell r="B1135" t="str">
            <v>GLENFIDDICH 18YEARS 700ML</v>
          </cell>
        </row>
        <row r="1136">
          <cell r="A1136">
            <v>838</v>
          </cell>
          <cell r="B1136" t="str">
            <v>GLENFIDDICH 15YRS VAT 03 700ML</v>
          </cell>
        </row>
        <row r="1137">
          <cell r="A1137">
            <v>836</v>
          </cell>
          <cell r="B1137" t="str">
            <v>GLENFIDDICH 12YRS 750ML GIFT PACK</v>
          </cell>
        </row>
        <row r="1138">
          <cell r="A1138">
            <v>2274</v>
          </cell>
          <cell r="B1138" t="str">
            <v>GLEN SILVER'S 8YRS 700ML</v>
          </cell>
        </row>
        <row r="1139">
          <cell r="A1139">
            <v>2803</v>
          </cell>
          <cell r="B1139" t="str">
            <v>GLEN SCANLAN LITRE</v>
          </cell>
        </row>
        <row r="1140">
          <cell r="A1140">
            <v>2967</v>
          </cell>
          <cell r="B1140" t="str">
            <v>GLEN SCANLAN 4.5L</v>
          </cell>
        </row>
        <row r="1141">
          <cell r="A1141">
            <v>2548</v>
          </cell>
          <cell r="B1141" t="str">
            <v>GINBERYS LONDON DRY GIN  700ML</v>
          </cell>
        </row>
        <row r="1142">
          <cell r="A1142">
            <v>833</v>
          </cell>
          <cell r="B1142" t="str">
            <v>GIN MARE 700ML</v>
          </cell>
        </row>
        <row r="1143">
          <cell r="A1143">
            <v>832</v>
          </cell>
          <cell r="B1143" t="str">
            <v>GIN MARE 1LTR</v>
          </cell>
        </row>
        <row r="1144">
          <cell r="A1144">
            <v>2223</v>
          </cell>
          <cell r="B1144" t="str">
            <v>GILBEYS PINK 250ML</v>
          </cell>
        </row>
        <row r="1145">
          <cell r="A1145">
            <v>828</v>
          </cell>
          <cell r="B1145" t="str">
            <v>GILBEYS MIXED BERRIES 250ML</v>
          </cell>
        </row>
        <row r="1146">
          <cell r="A1146">
            <v>2867</v>
          </cell>
          <cell r="B1146" t="str">
            <v>GILBEYS BERRY BRAMBLE COCKTAIL 750ML</v>
          </cell>
        </row>
        <row r="1147">
          <cell r="A1147">
            <v>2423</v>
          </cell>
          <cell r="B1147" t="str">
            <v>GILBEYS GIN 750ML</v>
          </cell>
        </row>
        <row r="1148">
          <cell r="A1148">
            <v>2422</v>
          </cell>
          <cell r="B1148" t="str">
            <v>GILBEYS GIN 350ML</v>
          </cell>
        </row>
        <row r="1149">
          <cell r="A1149">
            <v>2326</v>
          </cell>
          <cell r="B1149" t="str">
            <v>GILBEYS GIN 250ML</v>
          </cell>
        </row>
        <row r="1150">
          <cell r="A1150">
            <v>822</v>
          </cell>
          <cell r="B1150" t="str">
            <v>GIBSON'S PINK 700ML</v>
          </cell>
        </row>
        <row r="1151">
          <cell r="A1151">
            <v>821</v>
          </cell>
          <cell r="B1151" t="str">
            <v>GIBSON'S GIN 700ML</v>
          </cell>
        </row>
        <row r="1152">
          <cell r="A1152">
            <v>820</v>
          </cell>
          <cell r="B1152" t="str">
            <v>GIBSON'S GIN 1LTR</v>
          </cell>
        </row>
        <row r="1153">
          <cell r="A1153">
            <v>819</v>
          </cell>
          <cell r="B1153" t="str">
            <v>GIBSON ORANGE 700ml</v>
          </cell>
        </row>
        <row r="1154">
          <cell r="A1154">
            <v>818</v>
          </cell>
          <cell r="B1154" t="str">
            <v>GH MUMM 750ML</v>
          </cell>
        </row>
        <row r="1155">
          <cell r="A1155">
            <v>817</v>
          </cell>
          <cell r="B1155" t="str">
            <v>GENTLEMAN JACK 750ML</v>
          </cell>
        </row>
        <row r="1156">
          <cell r="A1156">
            <v>2200</v>
          </cell>
          <cell r="B1156" t="str">
            <v>GENTLEMAN JACK 1LTR</v>
          </cell>
        </row>
        <row r="1157">
          <cell r="A1157">
            <v>815</v>
          </cell>
          <cell r="B1157" t="str">
            <v>GATONEGRO SEMI SWEET RED 750ML</v>
          </cell>
        </row>
        <row r="1158">
          <cell r="A1158">
            <v>814</v>
          </cell>
          <cell r="B1158" t="str">
            <v>GATONEGRO SAUV BLANC 1.5LTR</v>
          </cell>
        </row>
        <row r="1159">
          <cell r="A1159">
            <v>813</v>
          </cell>
          <cell r="B1159" t="str">
            <v>GATONEGRO MERLOT 750ML</v>
          </cell>
        </row>
        <row r="1160">
          <cell r="A1160">
            <v>812</v>
          </cell>
          <cell r="B1160" t="str">
            <v>GATONEGRO MERLOT 1.5LTR</v>
          </cell>
        </row>
        <row r="1161">
          <cell r="A1161">
            <v>811</v>
          </cell>
          <cell r="B1161" t="str">
            <v>GATONEGRO CHARDONNAY 750ML</v>
          </cell>
        </row>
        <row r="1162">
          <cell r="A1162">
            <v>810</v>
          </cell>
          <cell r="B1162" t="str">
            <v>GATONEGRO CHARDONNAY 1.5LTR</v>
          </cell>
        </row>
        <row r="1163">
          <cell r="A1163">
            <v>809</v>
          </cell>
          <cell r="B1163" t="str">
            <v>GATONEGRO CAB SAUV 750ML</v>
          </cell>
        </row>
        <row r="1164">
          <cell r="A1164">
            <v>807</v>
          </cell>
          <cell r="B1164" t="str">
            <v>GATONEGRO CAB MERLOT 1.5LTR</v>
          </cell>
        </row>
        <row r="1165">
          <cell r="A1165">
            <v>806</v>
          </cell>
          <cell r="B1165" t="str">
            <v>GATO NEGRO SEMI SWEET WHITE 750ML</v>
          </cell>
        </row>
        <row r="1166">
          <cell r="A1166">
            <v>805</v>
          </cell>
          <cell r="B1166" t="str">
            <v>GATO NEGRO SAUV BLANC 750ML</v>
          </cell>
        </row>
        <row r="1167">
          <cell r="A1167">
            <v>2222</v>
          </cell>
          <cell r="B1167" t="str">
            <v>GATO NEGRO MOSCATO 750ML</v>
          </cell>
        </row>
        <row r="1168">
          <cell r="A1168">
            <v>2221</v>
          </cell>
          <cell r="B1168" t="str">
            <v>GATO NEGRO CREMENERE 750ML</v>
          </cell>
        </row>
        <row r="1169">
          <cell r="A1169">
            <v>2441</v>
          </cell>
          <cell r="B1169" t="str">
            <v>GATO NEGRO CAB SAUV MERLOT 750ML</v>
          </cell>
        </row>
        <row r="1170">
          <cell r="A1170">
            <v>2402</v>
          </cell>
          <cell r="B1170" t="str">
            <v>GATO NEGRO CAB SAUV 1.5L</v>
          </cell>
        </row>
        <row r="1171">
          <cell r="A1171">
            <v>803</v>
          </cell>
          <cell r="B1171" t="str">
            <v>GALLO FAMILY CAB SAUV 750ML</v>
          </cell>
        </row>
        <row r="1172">
          <cell r="A1172">
            <v>801</v>
          </cell>
          <cell r="B1172" t="str">
            <v>G.H. MUMM ROSEE 750ML</v>
          </cell>
        </row>
        <row r="1173">
          <cell r="A1173">
            <v>799</v>
          </cell>
          <cell r="B1173" t="str">
            <v>FRONTERA SWEET ROSE 750ML</v>
          </cell>
        </row>
        <row r="1174">
          <cell r="A1174">
            <v>800</v>
          </cell>
          <cell r="B1174" t="str">
            <v>FRONTERA SWEET RED 750ML</v>
          </cell>
        </row>
        <row r="1175">
          <cell r="A1175">
            <v>2602</v>
          </cell>
          <cell r="B1175" t="str">
            <v>FRONTERA SPARKLING SWEET ROSE 750ML</v>
          </cell>
        </row>
        <row r="1176">
          <cell r="A1176">
            <v>797</v>
          </cell>
          <cell r="B1176" t="str">
            <v>FRONTERA SPARKLING BRUT 750ML</v>
          </cell>
        </row>
        <row r="1177">
          <cell r="A1177">
            <v>796</v>
          </cell>
          <cell r="B1177" t="str">
            <v>FRONTERA SHIRAZ 750ML</v>
          </cell>
        </row>
        <row r="1178">
          <cell r="A1178">
            <v>793</v>
          </cell>
          <cell r="B1178" t="str">
            <v>FRONTERA SAUV BLANC  750ML</v>
          </cell>
        </row>
        <row r="1179">
          <cell r="A1179">
            <v>794</v>
          </cell>
          <cell r="B1179" t="str">
            <v>FRONTERA SAUV BLANC 1.5LTR</v>
          </cell>
        </row>
        <row r="1180">
          <cell r="A1180">
            <v>791</v>
          </cell>
          <cell r="B1180" t="str">
            <v>FRONTERA MERLOT 750ML</v>
          </cell>
        </row>
        <row r="1181">
          <cell r="A1181">
            <v>790</v>
          </cell>
          <cell r="B1181" t="str">
            <v>FRONTERA MERLOT 1.5LTR</v>
          </cell>
        </row>
        <row r="1182">
          <cell r="A1182">
            <v>789</v>
          </cell>
          <cell r="B1182" t="str">
            <v>FRONTERA LATE HARVEST 750ML</v>
          </cell>
        </row>
        <row r="1183">
          <cell r="A1183">
            <v>788</v>
          </cell>
          <cell r="B1183" t="str">
            <v>FRONTERA CHARDONNAY 750ML</v>
          </cell>
        </row>
        <row r="1184">
          <cell r="A1184">
            <v>787</v>
          </cell>
          <cell r="B1184" t="str">
            <v>FRONTERA CHARDONNAY 1.5LTR</v>
          </cell>
        </row>
        <row r="1185">
          <cell r="A1185">
            <v>786</v>
          </cell>
          <cell r="B1185" t="str">
            <v>FRONTERA CAB SAUV  750ML</v>
          </cell>
        </row>
        <row r="1186">
          <cell r="A1186">
            <v>785</v>
          </cell>
          <cell r="B1186" t="str">
            <v>FRONTERA CAB SAUV  1.5LTR</v>
          </cell>
        </row>
        <row r="1187">
          <cell r="A1187">
            <v>782</v>
          </cell>
          <cell r="B1187" t="str">
            <v>FRONTERA CAB  BLUSH 750ML</v>
          </cell>
        </row>
        <row r="1188">
          <cell r="A1188">
            <v>783</v>
          </cell>
          <cell r="B1188" t="str">
            <v>FRONTERA BRUT 750ML</v>
          </cell>
        </row>
        <row r="1189">
          <cell r="A1189">
            <v>781</v>
          </cell>
          <cell r="B1189" t="str">
            <v>FRONTERA AFTER MIDNIGHT 750ML</v>
          </cell>
        </row>
        <row r="1190">
          <cell r="A1190">
            <v>775</v>
          </cell>
          <cell r="B1190" t="str">
            <v>FRANSCHHOEK CELLAR MERLOT 750ML</v>
          </cell>
        </row>
        <row r="1191">
          <cell r="A1191">
            <v>770</v>
          </cell>
          <cell r="B1191" t="str">
            <v>FRANSCHHOEK CELLAR BRUT ROSE 750ML</v>
          </cell>
        </row>
        <row r="1192">
          <cell r="A1192">
            <v>769</v>
          </cell>
          <cell r="B1192" t="str">
            <v>FRANGELICO LIQUEUR 750ML</v>
          </cell>
        </row>
        <row r="1193">
          <cell r="A1193">
            <v>768</v>
          </cell>
          <cell r="B1193" t="str">
            <v>FRANGELICO 1LTR</v>
          </cell>
        </row>
        <row r="1194">
          <cell r="A1194">
            <v>764</v>
          </cell>
          <cell r="B1194" t="str">
            <v>FOUR PILLARS SPICED NEGRONI GIN 700ML</v>
          </cell>
        </row>
        <row r="1195">
          <cell r="A1195">
            <v>763</v>
          </cell>
          <cell r="B1195" t="str">
            <v>FOUR PILLARS RARE DRY GIN 700ML</v>
          </cell>
        </row>
        <row r="1196">
          <cell r="A1196">
            <v>762</v>
          </cell>
          <cell r="B1196" t="str">
            <v>FOUR PILLARS OLIVE LEAF GIN 700ML</v>
          </cell>
        </row>
        <row r="1197">
          <cell r="A1197">
            <v>761</v>
          </cell>
          <cell r="B1197" t="str">
            <v>FOUR PILLARS NAVY STRENGTH GIN 700ML</v>
          </cell>
        </row>
        <row r="1198">
          <cell r="A1198">
            <v>760</v>
          </cell>
          <cell r="B1198" t="str">
            <v>FOUR PILLARS BLOODY GIN 700ML</v>
          </cell>
        </row>
        <row r="1199">
          <cell r="A1199">
            <v>759</v>
          </cell>
          <cell r="B1199" t="str">
            <v>FOUR COUSINS WHITE DRY 1.5LTR</v>
          </cell>
        </row>
        <row r="1200">
          <cell r="A1200">
            <v>758</v>
          </cell>
          <cell r="B1200" t="str">
            <v>FOUR COUSINS WHITE 750ML</v>
          </cell>
        </row>
        <row r="1201">
          <cell r="A1201">
            <v>757</v>
          </cell>
          <cell r="B1201" t="str">
            <v>FOUR COUSINS WHITE 5LTR</v>
          </cell>
        </row>
        <row r="1202">
          <cell r="A1202">
            <v>755</v>
          </cell>
          <cell r="B1202" t="str">
            <v>FOUR COUSINS SWEET WHITE 1.5LTR</v>
          </cell>
        </row>
        <row r="1203">
          <cell r="A1203">
            <v>2220</v>
          </cell>
          <cell r="B1203" t="str">
            <v>FOUR COUSINS SWEET SPARKLING WHITE 750ML</v>
          </cell>
        </row>
        <row r="1204">
          <cell r="A1204">
            <v>2219</v>
          </cell>
          <cell r="B1204" t="str">
            <v>FOUR COUSINS SWEET SPARKLING BLUSH 750ML</v>
          </cell>
        </row>
        <row r="1205">
          <cell r="A1205">
            <v>754</v>
          </cell>
          <cell r="B1205" t="str">
            <v>FOUR COUSINS SWEET ROSE 750ML</v>
          </cell>
        </row>
        <row r="1206">
          <cell r="A1206">
            <v>753</v>
          </cell>
          <cell r="B1206" t="str">
            <v>FOUR COUSINS SWEET RED 3LTR</v>
          </cell>
        </row>
        <row r="1207">
          <cell r="A1207">
            <v>752</v>
          </cell>
          <cell r="B1207" t="str">
            <v>FOUR COUSINS SAUV BLANC 750ml</v>
          </cell>
        </row>
        <row r="1208">
          <cell r="A1208">
            <v>751</v>
          </cell>
          <cell r="B1208" t="str">
            <v>FOUR COUSINS RED DRY 1.5LTR</v>
          </cell>
        </row>
        <row r="1209">
          <cell r="A1209">
            <v>750</v>
          </cell>
          <cell r="B1209" t="str">
            <v>FOUR COUSINS RED 750ML</v>
          </cell>
        </row>
        <row r="1210">
          <cell r="A1210">
            <v>749</v>
          </cell>
          <cell r="B1210" t="str">
            <v>FOUR COUSINS MARULA CREAM 500ML </v>
          </cell>
        </row>
        <row r="1211">
          <cell r="A1211">
            <v>2397</v>
          </cell>
          <cell r="B1211" t="str">
            <v>FOUR COUSINS DRY RED 5LTR</v>
          </cell>
        </row>
        <row r="1212">
          <cell r="A1212">
            <v>747</v>
          </cell>
          <cell r="B1212" t="str">
            <v>FOUR COUSINS COLLECTION CAB SAUV 750ml</v>
          </cell>
        </row>
        <row r="1213">
          <cell r="A1213">
            <v>2372</v>
          </cell>
          <cell r="B1213" t="str">
            <v>FOUR COUSINS CAB SAUV 750ML</v>
          </cell>
        </row>
        <row r="1214">
          <cell r="A1214">
            <v>746</v>
          </cell>
          <cell r="B1214" t="str">
            <v>FOUR COUSIN SWEET RED 5LTR</v>
          </cell>
        </row>
        <row r="1215">
          <cell r="A1215">
            <v>745</v>
          </cell>
          <cell r="B1215" t="str">
            <v>FOUR COUSIN SWEET RED 1.5LTR</v>
          </cell>
        </row>
        <row r="1216">
          <cell r="A1216">
            <v>743</v>
          </cell>
          <cell r="B1216" t="str">
            <v>FORMENTERA WHITE OCEAN SWEET 750ML</v>
          </cell>
        </row>
        <row r="1217">
          <cell r="A1217">
            <v>742</v>
          </cell>
          <cell r="B1217" t="str">
            <v>FOOTPRINT WHITE 5LTR</v>
          </cell>
        </row>
        <row r="1218">
          <cell r="A1218">
            <v>2448</v>
          </cell>
          <cell r="B1218" t="str">
            <v>FOOTPRINT RED 5LTR</v>
          </cell>
        </row>
        <row r="1219">
          <cell r="A1219">
            <v>738</v>
          </cell>
          <cell r="B1219" t="str">
            <v>FLIRT VODKA STRAWBERRY 350ML</v>
          </cell>
        </row>
        <row r="1220">
          <cell r="A1220">
            <v>735</v>
          </cell>
          <cell r="B1220" t="str">
            <v>FLIRT VODKA RED 1LTR</v>
          </cell>
        </row>
        <row r="1221">
          <cell r="A1221">
            <v>733</v>
          </cell>
          <cell r="B1221" t="str">
            <v>FLIRT VODKA ORANGE 750ML</v>
          </cell>
        </row>
        <row r="1222">
          <cell r="A1222">
            <v>732</v>
          </cell>
          <cell r="B1222" t="str">
            <v>FLIRT VODKA ORANGE  1LTR</v>
          </cell>
        </row>
        <row r="1223">
          <cell r="A1223">
            <v>731</v>
          </cell>
          <cell r="B1223" t="str">
            <v>FLIRT VODKA LEMON  1LTR</v>
          </cell>
        </row>
        <row r="1224">
          <cell r="A1224">
            <v>729</v>
          </cell>
          <cell r="B1224" t="str">
            <v>FLIRT VODKA GREEN APPLE 1LTR</v>
          </cell>
        </row>
        <row r="1225">
          <cell r="A1225">
            <v>2581</v>
          </cell>
          <cell r="B1225" t="str">
            <v>FLIRT VODKA CHOCOLATE 700ML</v>
          </cell>
        </row>
        <row r="1226">
          <cell r="A1226">
            <v>727</v>
          </cell>
          <cell r="B1226" t="str">
            <v>FLIRT VODKA CHOCOLATE 1LTR</v>
          </cell>
        </row>
        <row r="1227">
          <cell r="A1227">
            <v>726</v>
          </cell>
          <cell r="B1227" t="str">
            <v>FLIRT STRAWBERRY VODKA 1LTR</v>
          </cell>
        </row>
        <row r="1228">
          <cell r="A1228">
            <v>2579</v>
          </cell>
          <cell r="B1228" t="str">
            <v>FLIRT STRAWBERRY 700ML</v>
          </cell>
        </row>
        <row r="1229">
          <cell r="A1229">
            <v>722</v>
          </cell>
          <cell r="B1229" t="str">
            <v>FLIRT BLACK SILVER VODKA 1LTR</v>
          </cell>
        </row>
        <row r="1230">
          <cell r="A1230">
            <v>2273</v>
          </cell>
          <cell r="B1230" t="str">
            <v>FIVE'S RESERVE MERLOT ROSE 750ML</v>
          </cell>
        </row>
        <row r="1231">
          <cell r="A1231">
            <v>719</v>
          </cell>
          <cell r="B1231" t="str">
            <v>FITCH &amp; LEEDES PINK TONIC SUGAR FREE CAN 200ML</v>
          </cell>
        </row>
        <row r="1232">
          <cell r="A1232">
            <v>718</v>
          </cell>
          <cell r="B1232" t="str">
            <v>FITCH &amp; LEEDES PINK TONIC CAN 200ML</v>
          </cell>
        </row>
        <row r="1233">
          <cell r="A1233">
            <v>713</v>
          </cell>
          <cell r="B1233" t="str">
            <v>FITCH &amp; LEEDES LEMONADE CAN 200ML</v>
          </cell>
        </row>
        <row r="1234">
          <cell r="A1234">
            <v>712</v>
          </cell>
          <cell r="B1234" t="str">
            <v>FITCH &amp; LEEDES INDIAN TONIC SUGAR FREE CAN 200ML</v>
          </cell>
        </row>
        <row r="1235">
          <cell r="A1235">
            <v>711</v>
          </cell>
          <cell r="B1235" t="str">
            <v>FITCH &amp; LEEDES INDIAN TONIC CAN 200ML</v>
          </cell>
        </row>
        <row r="1236">
          <cell r="A1236">
            <v>709</v>
          </cell>
          <cell r="B1236" t="str">
            <v>FITCH &amp; LEEDES GINGER ALE CAN 200ML</v>
          </cell>
        </row>
        <row r="1237">
          <cell r="A1237">
            <v>704</v>
          </cell>
          <cell r="B1237" t="str">
            <v>FITCH &amp; LEEDES CLASSIC GINGER BEER 300ML</v>
          </cell>
        </row>
        <row r="1238">
          <cell r="A1238">
            <v>699</v>
          </cell>
          <cell r="B1238" t="str">
            <v>FIRE WATER 750ML</v>
          </cell>
        </row>
        <row r="1239">
          <cell r="A1239">
            <v>698</v>
          </cell>
          <cell r="B1239" t="str">
            <v>FIRE WATER 1LTR</v>
          </cell>
        </row>
        <row r="1240">
          <cell r="A1240">
            <v>2962</v>
          </cell>
          <cell r="B1240" t="str">
            <v>FIRE STARTER VODKA 700ML</v>
          </cell>
        </row>
        <row r="1241">
          <cell r="A1241">
            <v>2957</v>
          </cell>
          <cell r="B1241" t="str">
            <v>FIRE STARTER GIN 700ML</v>
          </cell>
        </row>
        <row r="1242">
          <cell r="A1242">
            <v>2453</v>
          </cell>
          <cell r="B1242" t="str">
            <v>FIRE BALL 1LTR</v>
          </cell>
        </row>
        <row r="1243">
          <cell r="A1243">
            <v>2272</v>
          </cell>
          <cell r="B1243" t="str">
            <v>FINCA LOS ALTOS 750ML</v>
          </cell>
        </row>
        <row r="1244">
          <cell r="A1244">
            <v>686</v>
          </cell>
          <cell r="B1244" t="str">
            <v>FESTA ROSE DOLCEE</v>
          </cell>
        </row>
        <row r="1245">
          <cell r="A1245">
            <v>685</v>
          </cell>
          <cell r="B1245" t="str">
            <v>FERNET BRANCA LIQUEUR 700ML</v>
          </cell>
        </row>
        <row r="1246">
          <cell r="A1246">
            <v>684</v>
          </cell>
          <cell r="B1246" t="str">
            <v>FERNET BRANCA LIQUEUR 1LTR</v>
          </cell>
        </row>
        <row r="1247">
          <cell r="A1247">
            <v>683</v>
          </cell>
          <cell r="B1247" t="str">
            <v>FAXE CAN 500ML</v>
          </cell>
        </row>
        <row r="1248">
          <cell r="A1248">
            <v>2999</v>
          </cell>
          <cell r="B1248" t="str">
            <v>FANTINEL SPUMANTE ZUCCOLO PROSECCO EXTRA-DRY 750ML</v>
          </cell>
        </row>
        <row r="1249">
          <cell r="A1249">
            <v>2638</v>
          </cell>
          <cell r="B1249" t="str">
            <v>FANTA PASSION 500ML</v>
          </cell>
        </row>
        <row r="1250">
          <cell r="A1250">
            <v>2637</v>
          </cell>
          <cell r="B1250" t="str">
            <v>FANTA PASSION 2L</v>
          </cell>
        </row>
        <row r="1251">
          <cell r="A1251">
            <v>681</v>
          </cell>
          <cell r="B1251" t="str">
            <v>FANTA ORANGE 500ML</v>
          </cell>
        </row>
        <row r="1252">
          <cell r="A1252">
            <v>2861</v>
          </cell>
          <cell r="B1252" t="str">
            <v>FANTA ORANGE 350ML</v>
          </cell>
        </row>
        <row r="1253">
          <cell r="A1253">
            <v>680</v>
          </cell>
          <cell r="B1253" t="str">
            <v>FANTA ORANGE 2L</v>
          </cell>
        </row>
        <row r="1254">
          <cell r="A1254">
            <v>679</v>
          </cell>
          <cell r="B1254" t="str">
            <v>FANTA ORANGE 1.25L</v>
          </cell>
        </row>
        <row r="1255">
          <cell r="A1255">
            <v>3006</v>
          </cell>
          <cell r="B1255" t="str">
            <v>FANTA BLACKCURRANT 1L</v>
          </cell>
        </row>
        <row r="1256">
          <cell r="A1256">
            <v>2636</v>
          </cell>
          <cell r="B1256" t="str">
            <v>FANTA BLACKCURRANT 500ML</v>
          </cell>
        </row>
        <row r="1257">
          <cell r="A1257">
            <v>2865</v>
          </cell>
          <cell r="B1257" t="str">
            <v>FANTA BLACKCURRANT 350ML</v>
          </cell>
        </row>
        <row r="1258">
          <cell r="A1258">
            <v>2635</v>
          </cell>
          <cell r="B1258" t="str">
            <v>FANTA BLACKCURRANT 2L</v>
          </cell>
        </row>
        <row r="1259">
          <cell r="A1259">
            <v>2634</v>
          </cell>
          <cell r="B1259" t="str">
            <v>FANTA  BLACKCURRANT 1.25L</v>
          </cell>
        </row>
        <row r="1260">
          <cell r="A1260">
            <v>674</v>
          </cell>
          <cell r="B1260" t="str">
            <v>FAIRVIEW SHIRAZ 750ML</v>
          </cell>
        </row>
        <row r="1261">
          <cell r="A1261">
            <v>673</v>
          </cell>
          <cell r="B1261" t="str">
            <v>FAIRVIEW GOATS DO ROAM 750ML</v>
          </cell>
        </row>
        <row r="1262">
          <cell r="A1262">
            <v>672</v>
          </cell>
          <cell r="B1262" t="str">
            <v>FAIRVIEW DARLING SAUV BLANC 750ml</v>
          </cell>
        </row>
        <row r="1263">
          <cell r="A1263">
            <v>671</v>
          </cell>
          <cell r="B1263" t="str">
            <v>EXPRESSION SWEET WHITE  750ml</v>
          </cell>
        </row>
        <row r="1264">
          <cell r="A1264">
            <v>670</v>
          </cell>
          <cell r="B1264" t="str">
            <v>EXPRESSION SWEET RED 750ml</v>
          </cell>
        </row>
        <row r="1265">
          <cell r="A1265">
            <v>2218</v>
          </cell>
          <cell r="B1265" t="str">
            <v>EXPRESSION PINK ROSE 750ML</v>
          </cell>
        </row>
        <row r="1266">
          <cell r="A1266">
            <v>2217</v>
          </cell>
          <cell r="B1266" t="str">
            <v>EXPRESSION MOSCATO 750ML</v>
          </cell>
        </row>
        <row r="1267">
          <cell r="A1267">
            <v>2601</v>
          </cell>
          <cell r="B1267" t="str">
            <v> EXPRESSION MOJITO 750ML</v>
          </cell>
        </row>
        <row r="1268">
          <cell r="A1268">
            <v>2594</v>
          </cell>
          <cell r="B1268" t="str">
            <v>EXPRESSION MIMOSA 750ML</v>
          </cell>
        </row>
        <row r="1269">
          <cell r="A1269">
            <v>2495</v>
          </cell>
          <cell r="B1269" t="str">
            <v>EXPRESION SWEET ROSE 750ML</v>
          </cell>
        </row>
        <row r="1270">
          <cell r="A1270">
            <v>2494</v>
          </cell>
          <cell r="B1270" t="str">
            <v>EXPRESION BRUT SPARKLING 750ML</v>
          </cell>
        </row>
        <row r="1271">
          <cell r="A1271">
            <v>669</v>
          </cell>
          <cell r="B1271" t="str">
            <v>ESTANCIA MENDOZA MERLOT 750ml</v>
          </cell>
        </row>
        <row r="1272">
          <cell r="A1272">
            <v>668</v>
          </cell>
          <cell r="B1272" t="str">
            <v>ESTANCIA MENDOZA MALBEC 750ml</v>
          </cell>
        </row>
        <row r="1273">
          <cell r="A1273">
            <v>667</v>
          </cell>
          <cell r="B1273" t="str">
            <v>ESTANCIA MENDOZA 750ML</v>
          </cell>
        </row>
        <row r="1274">
          <cell r="A1274">
            <v>2943</v>
          </cell>
          <cell r="B1274" t="str">
            <v>EROS POD 20000 PUFFS</v>
          </cell>
        </row>
        <row r="1275">
          <cell r="A1275">
            <v>2928</v>
          </cell>
          <cell r="B1275" t="str">
            <v>EROS KIT WATERMELON ICE</v>
          </cell>
        </row>
        <row r="1276">
          <cell r="A1276">
            <v>2932</v>
          </cell>
          <cell r="B1276" t="str">
            <v>EROS KIT TROPICAL ICE</v>
          </cell>
        </row>
        <row r="1277">
          <cell r="A1277">
            <v>2930</v>
          </cell>
          <cell r="B1277" t="str">
            <v>EROS KIT PEACH MANGO ICE</v>
          </cell>
        </row>
        <row r="1278">
          <cell r="A1278">
            <v>2929</v>
          </cell>
          <cell r="B1278" t="str">
            <v>EROS KIT GRAPE ICE</v>
          </cell>
        </row>
        <row r="1279">
          <cell r="A1279">
            <v>2931</v>
          </cell>
          <cell r="B1279" t="str">
            <v>EROS KIT COOL MINT</v>
          </cell>
        </row>
        <row r="1280">
          <cell r="A1280">
            <v>2944</v>
          </cell>
          <cell r="B1280" t="str">
            <v>EROS BATTERY</v>
          </cell>
        </row>
        <row r="1281">
          <cell r="A1281">
            <v>665</v>
          </cell>
          <cell r="B1281" t="str">
            <v>ERISTOFF 750ML </v>
          </cell>
        </row>
        <row r="1282">
          <cell r="A1282">
            <v>664</v>
          </cell>
          <cell r="B1282" t="str">
            <v>ERISTOFF 1LTR</v>
          </cell>
        </row>
        <row r="1283">
          <cell r="A1283">
            <v>2903</v>
          </cell>
          <cell r="B1283" t="str">
            <v>EMBER PINE POA 750  ML</v>
          </cell>
        </row>
        <row r="1284">
          <cell r="A1284">
            <v>2902</v>
          </cell>
          <cell r="B1284" t="str">
            <v>EMBER PINE POA 250 ML</v>
          </cell>
        </row>
        <row r="1285">
          <cell r="A1285">
            <v>2293</v>
          </cell>
          <cell r="B1285" t="str">
            <v>ELIT VODKA 1LTR</v>
          </cell>
        </row>
        <row r="1286">
          <cell r="A1286">
            <v>2390</v>
          </cell>
          <cell r="B1286" t="str">
            <v>ELECTIO MERLOT 750ML</v>
          </cell>
        </row>
        <row r="1287">
          <cell r="A1287">
            <v>2389</v>
          </cell>
          <cell r="B1287" t="str">
            <v>ELECTIO CAB SAUV 750ML</v>
          </cell>
        </row>
        <row r="1288">
          <cell r="A1288">
            <v>3001</v>
          </cell>
          <cell r="B1288" t="str">
            <v>EARLY TIMES WHISKY 700ML</v>
          </cell>
        </row>
        <row r="1289">
          <cell r="A1289">
            <v>2442</v>
          </cell>
          <cell r="B1289" t="str">
            <v>DURBANVILLE HILLS SAUV BLANC 750ML</v>
          </cell>
        </row>
        <row r="1290">
          <cell r="A1290">
            <v>655</v>
          </cell>
          <cell r="B1290" t="str">
            <v>DURBANVILLE HILLS RESERVE CHARDONNAY 750ML</v>
          </cell>
        </row>
        <row r="1291">
          <cell r="A1291">
            <v>654</v>
          </cell>
          <cell r="B1291" t="str">
            <v>DURBANVILLE HILLS PINOTAGE 750ML</v>
          </cell>
        </row>
        <row r="1292">
          <cell r="A1292">
            <v>652</v>
          </cell>
          <cell r="B1292" t="str">
            <v>DURBANVILLE HILLS CAB SAUV 750ML</v>
          </cell>
        </row>
        <row r="1293">
          <cell r="A1293">
            <v>2368</v>
          </cell>
          <cell r="B1293" t="str">
            <v>DUNHILL SINGLE SWITCH</v>
          </cell>
        </row>
        <row r="1294">
          <cell r="A1294">
            <v>648</v>
          </cell>
          <cell r="B1294" t="str">
            <v>DUCHESALIA FRAGOLINO WHITE 750ML</v>
          </cell>
        </row>
        <row r="1295">
          <cell r="A1295">
            <v>647</v>
          </cell>
          <cell r="B1295" t="str">
            <v>DUCHESALIA FRAGOLINO ROSE 750ML</v>
          </cell>
        </row>
        <row r="1296">
          <cell r="A1296">
            <v>646</v>
          </cell>
          <cell r="B1296" t="str">
            <v>DUCHESALIA FRAGOLINO RED 750ML</v>
          </cell>
        </row>
        <row r="1297">
          <cell r="A1297">
            <v>2216</v>
          </cell>
          <cell r="B1297" t="str">
            <v>DUCHESALIA BARBERA 750ML</v>
          </cell>
        </row>
        <row r="1298">
          <cell r="A1298">
            <v>2839</v>
          </cell>
          <cell r="B1298" t="str">
            <v>DRUMSHANBO GUN POWDER SARDINIAN CITRUS 700ML</v>
          </cell>
        </row>
        <row r="1299">
          <cell r="A1299">
            <v>2841</v>
          </cell>
          <cell r="B1299" t="str">
            <v>DRUMSHANBO GUN POWDER ORIENTAL BOTANICAL 700ML</v>
          </cell>
        </row>
        <row r="1300">
          <cell r="A1300">
            <v>2840</v>
          </cell>
          <cell r="B1300" t="str">
            <v>DRUMSHANBO GUN POWDER ORANGE CITRUS 700ML</v>
          </cell>
        </row>
        <row r="1301">
          <cell r="A1301">
            <v>645</v>
          </cell>
          <cell r="B1301" t="str">
            <v>DROSTDY-HOF G/CRU 750ML</v>
          </cell>
        </row>
        <row r="1302">
          <cell r="A1302">
            <v>644</v>
          </cell>
          <cell r="B1302" t="str">
            <v>DROSTDY-HOF G/CRU 5LTR</v>
          </cell>
        </row>
        <row r="1303">
          <cell r="A1303">
            <v>643</v>
          </cell>
          <cell r="B1303" t="str">
            <v>DROSTDY-HOF CLARET 750ML</v>
          </cell>
        </row>
        <row r="1304">
          <cell r="A1304">
            <v>2189</v>
          </cell>
          <cell r="B1304" t="str">
            <v>DROSTDY SWEET ROSE 750ML</v>
          </cell>
        </row>
        <row r="1305">
          <cell r="A1305">
            <v>641</v>
          </cell>
          <cell r="B1305" t="str">
            <v>DROSTDY RED CLARET 5LTR</v>
          </cell>
        </row>
        <row r="1306">
          <cell r="A1306">
            <v>642</v>
          </cell>
          <cell r="B1306" t="str">
            <v>DROSTDY HOF WHITE 3LTR</v>
          </cell>
        </row>
        <row r="1307">
          <cell r="A1307">
            <v>640</v>
          </cell>
          <cell r="B1307" t="str">
            <v>DROSTDY HOF WHITE 375ML</v>
          </cell>
        </row>
        <row r="1308">
          <cell r="A1308">
            <v>639</v>
          </cell>
          <cell r="B1308" t="str">
            <v>DROSTDY HOF RED 375ML</v>
          </cell>
        </row>
        <row r="1309">
          <cell r="A1309">
            <v>638</v>
          </cell>
          <cell r="B1309" t="str">
            <v>DROSTDY HOF CLARET 3LTR</v>
          </cell>
        </row>
        <row r="1310">
          <cell r="A1310">
            <v>636</v>
          </cell>
          <cell r="B1310" t="str">
            <v>DRAMBUIE 1LTR</v>
          </cell>
        </row>
        <row r="1311">
          <cell r="A1311">
            <v>632</v>
          </cell>
          <cell r="B1311" t="str">
            <v>DOUGLAS GREEN MERLOT 750ML</v>
          </cell>
        </row>
        <row r="1312">
          <cell r="A1312">
            <v>2813</v>
          </cell>
          <cell r="B1312" t="str">
            <v>DON PAPA SINGLE ISLAND RUM 700ML</v>
          </cell>
        </row>
        <row r="1313">
          <cell r="A1313">
            <v>627</v>
          </cell>
          <cell r="B1313" t="str">
            <v>DON MONTEGO BRANDY(AGED 5 YEARS )750ML</v>
          </cell>
        </row>
        <row r="1314">
          <cell r="A1314">
            <v>626</v>
          </cell>
          <cell r="B1314" t="str">
            <v>DON MONTEGO (AGED 5 YEARS)250ML</v>
          </cell>
        </row>
        <row r="1315">
          <cell r="A1315">
            <v>625</v>
          </cell>
          <cell r="B1315" t="str">
            <v>DON MONTEGO (AGE 5 YEARS) 500ML</v>
          </cell>
        </row>
        <row r="1316">
          <cell r="A1316">
            <v>624</v>
          </cell>
          <cell r="B1316" t="str">
            <v>DON JULIO REPOSADO 750ML</v>
          </cell>
        </row>
        <row r="1317">
          <cell r="A1317">
            <v>623</v>
          </cell>
          <cell r="B1317" t="str">
            <v>DON JULIO BLANCO 750ML</v>
          </cell>
        </row>
        <row r="1318">
          <cell r="A1318">
            <v>622</v>
          </cell>
          <cell r="B1318" t="str">
            <v>DON JULIO ANEJO 750ML</v>
          </cell>
        </row>
        <row r="1319">
          <cell r="A1319">
            <v>2952</v>
          </cell>
          <cell r="B1319" t="str">
            <v>DON JULIO 70 CRISTALINO 700ML</v>
          </cell>
        </row>
        <row r="1320">
          <cell r="A1320">
            <v>621</v>
          </cell>
          <cell r="B1320" t="str">
            <v>DON JULIO 1942 750ml</v>
          </cell>
        </row>
        <row r="1321">
          <cell r="A1321">
            <v>2334</v>
          </cell>
          <cell r="B1321" t="str">
            <v>DOMPO SWT WHITE 750ML</v>
          </cell>
        </row>
        <row r="1322">
          <cell r="A1322">
            <v>2333</v>
          </cell>
          <cell r="B1322" t="str">
            <v>DOMPO SWT ROSE 750ML</v>
          </cell>
        </row>
        <row r="1323">
          <cell r="A1323">
            <v>2332</v>
          </cell>
          <cell r="B1323" t="str">
            <v>DOMPO SWT RED 750ML</v>
          </cell>
        </row>
        <row r="1324">
          <cell r="A1324">
            <v>614</v>
          </cell>
          <cell r="B1324" t="str">
            <v>DOM PERIGNON ROSE 750ML</v>
          </cell>
        </row>
        <row r="1325">
          <cell r="A1325">
            <v>612</v>
          </cell>
          <cell r="B1325" t="str">
            <v>DOM PERIGNON BRUT 750ML</v>
          </cell>
        </row>
        <row r="1326">
          <cell r="A1326">
            <v>611</v>
          </cell>
          <cell r="B1326" t="str">
            <v>DISARONNO VELVET 700ML</v>
          </cell>
        </row>
        <row r="1327">
          <cell r="A1327">
            <v>610</v>
          </cell>
          <cell r="B1327" t="str">
            <v>DISARONNO LIQUEUR 1ltr</v>
          </cell>
        </row>
        <row r="1328">
          <cell r="A1328">
            <v>609</v>
          </cell>
          <cell r="B1328" t="str">
            <v>DIMPLE 15YRS WHISKY 750ML</v>
          </cell>
        </row>
        <row r="1329">
          <cell r="A1329">
            <v>608</v>
          </cell>
          <cell r="B1329" t="str">
            <v>DIMPLE 15YRS WHISKY 1LTR</v>
          </cell>
        </row>
        <row r="1330">
          <cell r="A1330">
            <v>607</v>
          </cell>
          <cell r="B1330" t="str">
            <v>DEWARS WHITE LABEL WHISKY 750ML</v>
          </cell>
        </row>
        <row r="1331">
          <cell r="A1331">
            <v>2188</v>
          </cell>
          <cell r="B1331" t="str">
            <v>DEWARS WHITE LABEL 1LTR</v>
          </cell>
        </row>
        <row r="1332">
          <cell r="A1332">
            <v>606</v>
          </cell>
          <cell r="B1332" t="str">
            <v>DEWARS 750ML</v>
          </cell>
        </row>
        <row r="1333">
          <cell r="A1333">
            <v>605</v>
          </cell>
          <cell r="B1333" t="str">
            <v>DEWARS 1LTR</v>
          </cell>
        </row>
        <row r="1334">
          <cell r="A1334">
            <v>2802</v>
          </cell>
          <cell r="B1334" t="str">
            <v>DEWARS 18YEARS LITRE</v>
          </cell>
        </row>
        <row r="1335">
          <cell r="A1335">
            <v>2187</v>
          </cell>
          <cell r="B1335" t="str">
            <v>DEWARS 15YRS 1LTR</v>
          </cell>
        </row>
        <row r="1336">
          <cell r="A1336">
            <v>602</v>
          </cell>
          <cell r="B1336" t="str">
            <v>DEWAR'S 12YRS WHISKY 750ML</v>
          </cell>
        </row>
        <row r="1337">
          <cell r="A1337">
            <v>2269</v>
          </cell>
          <cell r="B1337" t="str">
            <v>DEWARS 12YRS 1LTR</v>
          </cell>
        </row>
        <row r="1338">
          <cell r="A1338">
            <v>600</v>
          </cell>
          <cell r="B1338" t="str">
            <v>DESPERADOS TEQ BEER 330ML</v>
          </cell>
        </row>
        <row r="1339">
          <cell r="A1339">
            <v>599</v>
          </cell>
          <cell r="B1339" t="str">
            <v>DESPERADOS 500ML</v>
          </cell>
        </row>
        <row r="1340">
          <cell r="A1340">
            <v>598</v>
          </cell>
          <cell r="B1340" t="str">
            <v>DELUSH SWEET WHITE 750ML</v>
          </cell>
        </row>
        <row r="1341">
          <cell r="A1341">
            <v>597</v>
          </cell>
          <cell r="B1341" t="str">
            <v>DELUSH SWEET ROSE 750ML</v>
          </cell>
        </row>
        <row r="1342">
          <cell r="A1342">
            <v>596</v>
          </cell>
          <cell r="B1342" t="str">
            <v>DELUSH SWEET RED 750ML</v>
          </cell>
        </row>
        <row r="1343">
          <cell r="A1343">
            <v>594</v>
          </cell>
          <cell r="B1343" t="str">
            <v>DELMONTE TROPICAL 1LTR</v>
          </cell>
        </row>
        <row r="1344">
          <cell r="A1344">
            <v>593</v>
          </cell>
          <cell r="B1344" t="str">
            <v>DELMONTE PINEAPPLE MANGO 1LTR</v>
          </cell>
        </row>
        <row r="1345">
          <cell r="A1345">
            <v>592</v>
          </cell>
          <cell r="B1345" t="str">
            <v>DELMONTE PINEAPPLE 1LTR</v>
          </cell>
        </row>
        <row r="1346">
          <cell r="A1346">
            <v>590</v>
          </cell>
          <cell r="B1346" t="str">
            <v>DELMONTE PASSION 1LTR</v>
          </cell>
        </row>
        <row r="1347">
          <cell r="A1347">
            <v>588</v>
          </cell>
          <cell r="B1347" t="str">
            <v>DELMONTE MIXED BERRY 1LTR</v>
          </cell>
        </row>
        <row r="1348">
          <cell r="A1348">
            <v>587</v>
          </cell>
          <cell r="B1348" t="str">
            <v>DELMONTE MANGO 1LTR</v>
          </cell>
        </row>
        <row r="1349">
          <cell r="A1349">
            <v>586</v>
          </cell>
          <cell r="B1349" t="str">
            <v>DELMONTE APPLE 1LTR</v>
          </cell>
        </row>
        <row r="1350">
          <cell r="A1350">
            <v>2946</v>
          </cell>
          <cell r="B1350" t="str">
            <v>DAWA GINGER DRINK 1L</v>
          </cell>
        </row>
        <row r="1351">
          <cell r="A1351">
            <v>2493</v>
          </cell>
          <cell r="B1351" t="str">
            <v>DAWA DRINK 500ML</v>
          </cell>
        </row>
        <row r="1352">
          <cell r="A1352">
            <v>580</v>
          </cell>
          <cell r="B1352" t="str">
            <v>DASANI DRINKING WATER 500ML</v>
          </cell>
        </row>
        <row r="1353">
          <cell r="A1353">
            <v>579</v>
          </cell>
          <cell r="B1353" t="str">
            <v>DASANI DRINKING WATER 1LTR</v>
          </cell>
        </row>
        <row r="1354">
          <cell r="A1354">
            <v>571</v>
          </cell>
          <cell r="B1354" t="str">
            <v>DALWHINNE 15YRS WHISKY 750ML </v>
          </cell>
        </row>
        <row r="1355">
          <cell r="A1355">
            <v>570</v>
          </cell>
          <cell r="B1355" t="str">
            <v>DALMORE 18YRS SINGLE MALT 700ML</v>
          </cell>
        </row>
        <row r="1356">
          <cell r="A1356">
            <v>2473</v>
          </cell>
          <cell r="B1356" t="str">
            <v>DALMORE 12YRS SHERRY CASK SELECT 700ML</v>
          </cell>
        </row>
        <row r="1357">
          <cell r="A1357">
            <v>2873</v>
          </cell>
          <cell r="B1357" t="str">
            <v>DALLAS BRANDY 250ML</v>
          </cell>
        </row>
        <row r="1358">
          <cell r="A1358">
            <v>567</v>
          </cell>
          <cell r="B1358" t="str">
            <v>DALALI WATER STILL MINERAL 1LTR</v>
          </cell>
        </row>
        <row r="1359">
          <cell r="A1359">
            <v>2921</v>
          </cell>
          <cell r="B1359" t="str">
            <v>DALALI WATER MINERAL 500ml</v>
          </cell>
        </row>
        <row r="1360">
          <cell r="A1360">
            <v>2856</v>
          </cell>
          <cell r="B1360" t="str">
            <v>DALALI SPARKLING WATER 1L</v>
          </cell>
        </row>
        <row r="1361">
          <cell r="A1361">
            <v>560</v>
          </cell>
          <cell r="B1361" t="str">
            <v>CUTTY SARK WHISKY 1LTR</v>
          </cell>
        </row>
        <row r="1362">
          <cell r="A1362">
            <v>559</v>
          </cell>
          <cell r="B1362" t="str">
            <v>CUTTY SARK 750ML</v>
          </cell>
        </row>
        <row r="1363">
          <cell r="A1363">
            <v>553</v>
          </cell>
          <cell r="B1363" t="str">
            <v>CULEMBORG S.A RED 750ML</v>
          </cell>
        </row>
        <row r="1364">
          <cell r="A1364">
            <v>552</v>
          </cell>
          <cell r="B1364" t="str">
            <v>CULEMBORG MERLOT 750ML</v>
          </cell>
        </row>
        <row r="1365">
          <cell r="A1365">
            <v>549</v>
          </cell>
          <cell r="B1365" t="str">
            <v>CULEMBORG CAPE RED 1.5LTR</v>
          </cell>
        </row>
        <row r="1366">
          <cell r="A1366">
            <v>548</v>
          </cell>
          <cell r="B1366" t="str">
            <v>CRUZ VODKA 750ML</v>
          </cell>
        </row>
        <row r="1367">
          <cell r="A1367">
            <v>2404</v>
          </cell>
          <cell r="B1367" t="str">
            <v>CRUXLAND TUFFLE GIN 750ML</v>
          </cell>
        </row>
        <row r="1368">
          <cell r="A1368">
            <v>2801</v>
          </cell>
          <cell r="B1368" t="str">
            <v>CROWN ROYAL FINE DE LUXE LITRE</v>
          </cell>
        </row>
        <row r="1369">
          <cell r="A1369">
            <v>547</v>
          </cell>
          <cell r="B1369" t="str">
            <v>CREMA NOBILE AL CIOCCOLATA 750ML</v>
          </cell>
        </row>
        <row r="1370">
          <cell r="A1370">
            <v>544</v>
          </cell>
          <cell r="B1370" t="str">
            <v>CRAZY COCK 375ML</v>
          </cell>
        </row>
        <row r="1371">
          <cell r="A1371">
            <v>996</v>
          </cell>
          <cell r="B1371" t="str">
            <v> CRATES DEPOSIT</v>
          </cell>
        </row>
        <row r="1372">
          <cell r="A1372">
            <v>542</v>
          </cell>
          <cell r="B1372" t="str">
            <v>CRAGGANMORE 12YRS WHISKY 750ML</v>
          </cell>
        </row>
        <row r="1373">
          <cell r="A1373">
            <v>541</v>
          </cell>
          <cell r="B1373" t="str">
            <v>CRAGGANMORE 12YRS WHISKY 1LTR</v>
          </cell>
        </row>
        <row r="1374">
          <cell r="A1374">
            <v>539</v>
          </cell>
          <cell r="B1374" t="str">
            <v>COURVOISIER V.S.O.P. 700ML</v>
          </cell>
        </row>
        <row r="1375">
          <cell r="A1375">
            <v>538</v>
          </cell>
          <cell r="B1375" t="str">
            <v>COURVOISIER V.S.O.P 1LTR</v>
          </cell>
        </row>
        <row r="1376">
          <cell r="A1376">
            <v>537</v>
          </cell>
          <cell r="B1376" t="str">
            <v>COURVOISIER V.S. 700ML</v>
          </cell>
        </row>
        <row r="1377">
          <cell r="A1377">
            <v>536</v>
          </cell>
          <cell r="B1377" t="str">
            <v>COURVOISIER V.S 1LTR</v>
          </cell>
        </row>
        <row r="1378">
          <cell r="A1378">
            <v>535</v>
          </cell>
          <cell r="B1378" t="str">
            <v>COUNTY BRANDY 750ML</v>
          </cell>
        </row>
        <row r="1379">
          <cell r="A1379">
            <v>534</v>
          </cell>
          <cell r="B1379" t="str">
            <v>COUNTY BRANDY 250ML</v>
          </cell>
        </row>
        <row r="1380">
          <cell r="A1380">
            <v>529</v>
          </cell>
          <cell r="B1380" t="str">
            <v>CORONA EXTRA 355ML</v>
          </cell>
        </row>
        <row r="1381">
          <cell r="A1381">
            <v>525</v>
          </cell>
          <cell r="B1381" t="str">
            <v>CONSIGNIA SHIRAZ 750ML</v>
          </cell>
        </row>
        <row r="1382">
          <cell r="A1382">
            <v>524</v>
          </cell>
          <cell r="B1382" t="str">
            <v>CONSIGNIA ROSE 750ML</v>
          </cell>
        </row>
        <row r="1383">
          <cell r="A1383">
            <v>2186</v>
          </cell>
          <cell r="B1383" t="str">
            <v>CONSIGNIA  MERLOT 750ML</v>
          </cell>
        </row>
        <row r="1384">
          <cell r="A1384">
            <v>523</v>
          </cell>
          <cell r="B1384" t="str">
            <v>CONSIGNIA CHARDONNAY 750ML</v>
          </cell>
        </row>
        <row r="1385">
          <cell r="A1385">
            <v>2916</v>
          </cell>
          <cell r="B1385" t="str">
            <v>WOOSH 9000 PUFFS COLA LIME</v>
          </cell>
        </row>
        <row r="1386">
          <cell r="A1386">
            <v>2919</v>
          </cell>
          <cell r="B1386" t="str">
            <v>WOOSH PEN 1800 PUFFS COLA LIME </v>
          </cell>
        </row>
        <row r="1387">
          <cell r="A1387">
            <v>509</v>
          </cell>
          <cell r="B1387" t="str">
            <v>COKE 500ML</v>
          </cell>
        </row>
        <row r="1388">
          <cell r="A1388">
            <v>508</v>
          </cell>
          <cell r="B1388" t="str">
            <v>COKE 350ML</v>
          </cell>
        </row>
        <row r="1389">
          <cell r="A1389">
            <v>507</v>
          </cell>
          <cell r="B1389" t="str">
            <v>COKE 2LTR</v>
          </cell>
        </row>
        <row r="1390">
          <cell r="A1390">
            <v>2836</v>
          </cell>
          <cell r="B1390" t="str">
            <v>COKE 1LITRE</v>
          </cell>
        </row>
        <row r="1391">
          <cell r="A1391">
            <v>506</v>
          </cell>
          <cell r="B1391" t="str">
            <v>COKE 1.25LTR</v>
          </cell>
        </row>
        <row r="1392">
          <cell r="A1392">
            <v>505</v>
          </cell>
          <cell r="B1392" t="str">
            <v>COINTREAU LIQUEUR 700ML</v>
          </cell>
        </row>
        <row r="1393">
          <cell r="A1393">
            <v>504</v>
          </cell>
          <cell r="B1393" t="str">
            <v>COINTREAU LIQUEUR 1LTR</v>
          </cell>
        </row>
        <row r="1394">
          <cell r="A1394">
            <v>503</v>
          </cell>
          <cell r="B1394" t="str">
            <v>COCKBURN FINE TAWNY 1LTR</v>
          </cell>
        </row>
        <row r="1395">
          <cell r="A1395">
            <v>2215</v>
          </cell>
          <cell r="B1395" t="str">
            <v>CLEN BACK CANADIAN 750ML</v>
          </cell>
        </row>
        <row r="1396">
          <cell r="A1396">
            <v>497</v>
          </cell>
          <cell r="B1396" t="str">
            <v>CLAYMORE BLENDED SCOTCH WHISKY 1LTR</v>
          </cell>
        </row>
        <row r="1397">
          <cell r="A1397">
            <v>496</v>
          </cell>
          <cell r="B1397" t="str">
            <v>CLASE AZUL TEQUILA REPOSADO 750ML</v>
          </cell>
        </row>
        <row r="1398">
          <cell r="A1398">
            <v>495</v>
          </cell>
          <cell r="B1398" t="str">
            <v>CLASE AZUL PLATA 700ML</v>
          </cell>
        </row>
        <row r="1399">
          <cell r="A1399">
            <v>494</v>
          </cell>
          <cell r="B1399" t="str">
            <v>CLASE AZUL MEZCAL DURANGO 750ml</v>
          </cell>
        </row>
        <row r="1400">
          <cell r="A1400">
            <v>493</v>
          </cell>
          <cell r="B1400" t="str">
            <v>CLASE AZUL ANEJO 700ML </v>
          </cell>
        </row>
        <row r="1401">
          <cell r="A1401">
            <v>492</v>
          </cell>
          <cell r="B1401" t="str">
            <v>CLAN MCGREGOR 1ltr</v>
          </cell>
        </row>
        <row r="1402">
          <cell r="A1402">
            <v>491</v>
          </cell>
          <cell r="B1402" t="str">
            <v>CLAN MACGREGOR WHISKY 750ML</v>
          </cell>
        </row>
        <row r="1403">
          <cell r="A1403">
            <v>489</v>
          </cell>
          <cell r="B1403" t="str">
            <v>CIROC VODKA 1LTR</v>
          </cell>
        </row>
        <row r="1404">
          <cell r="A1404">
            <v>2381</v>
          </cell>
          <cell r="B1404" t="str">
            <v>CIROC SNAP FOREST 1LTR</v>
          </cell>
        </row>
        <row r="1405">
          <cell r="A1405">
            <v>2458</v>
          </cell>
          <cell r="B1405" t="str">
            <v>CIROC RED BERRY LITRE</v>
          </cell>
        </row>
        <row r="1406">
          <cell r="A1406">
            <v>483</v>
          </cell>
          <cell r="B1406" t="str">
            <v>CIROC PINEAPPLE VODKA 750ML</v>
          </cell>
        </row>
        <row r="1407">
          <cell r="A1407">
            <v>485</v>
          </cell>
          <cell r="B1407" t="str">
            <v>CIROC PINEAPPLE VODKA 1LTR</v>
          </cell>
        </row>
        <row r="1408">
          <cell r="A1408">
            <v>482</v>
          </cell>
          <cell r="B1408" t="str">
            <v>CIROC PEACH VODKA 1LTR</v>
          </cell>
        </row>
        <row r="1409">
          <cell r="A1409">
            <v>2472</v>
          </cell>
          <cell r="B1409" t="str">
            <v>CIROC PEACH 700ML</v>
          </cell>
        </row>
        <row r="1410">
          <cell r="A1410">
            <v>481</v>
          </cell>
          <cell r="B1410" t="str">
            <v>CIROC MANGO 750ML</v>
          </cell>
        </row>
        <row r="1411">
          <cell r="A1411">
            <v>2471</v>
          </cell>
          <cell r="B1411" t="str">
            <v>CIROC LIMONATA 700ML</v>
          </cell>
        </row>
        <row r="1412">
          <cell r="A1412">
            <v>2470</v>
          </cell>
          <cell r="B1412" t="str">
            <v>CIROC COCONUT 700ML</v>
          </cell>
        </row>
        <row r="1413">
          <cell r="A1413">
            <v>479</v>
          </cell>
          <cell r="B1413" t="str">
            <v>CIROC APPLE 750ML</v>
          </cell>
        </row>
        <row r="1414">
          <cell r="A1414">
            <v>478</v>
          </cell>
          <cell r="B1414" t="str">
            <v>CINZANO VINO SPUMANTE 750ML</v>
          </cell>
        </row>
        <row r="1415">
          <cell r="A1415">
            <v>2185</v>
          </cell>
          <cell r="B1415" t="str">
            <v>CICERO BRANDY 350ML</v>
          </cell>
        </row>
        <row r="1416">
          <cell r="A1416">
            <v>2388</v>
          </cell>
          <cell r="B1416" t="str">
            <v>CICERO BRANDY 250ML</v>
          </cell>
        </row>
        <row r="1417">
          <cell r="A1417">
            <v>2421</v>
          </cell>
          <cell r="B1417" t="str">
            <v>CHROME VODKA CLEAR 250ML</v>
          </cell>
        </row>
        <row r="1418">
          <cell r="A1418">
            <v>2420</v>
          </cell>
          <cell r="B1418" t="str">
            <v>CHROME VODKA 750ML</v>
          </cell>
        </row>
        <row r="1419">
          <cell r="A1419">
            <v>472</v>
          </cell>
          <cell r="B1419" t="str">
            <v>CHROME LEMON 250ML</v>
          </cell>
        </row>
        <row r="1420">
          <cell r="A1420">
            <v>471</v>
          </cell>
          <cell r="B1420" t="str">
            <v>CHROME GIN 750ML</v>
          </cell>
        </row>
        <row r="1421">
          <cell r="A1421">
            <v>2419</v>
          </cell>
          <cell r="B1421" t="str">
            <v>CHROME GIN 250ML</v>
          </cell>
        </row>
        <row r="1422">
          <cell r="A1422">
            <v>2984</v>
          </cell>
          <cell r="B1422" t="str">
            <v>CHROME BRANDY 750 ML</v>
          </cell>
        </row>
        <row r="1423">
          <cell r="A1423">
            <v>2983</v>
          </cell>
          <cell r="B1423" t="str">
            <v>CHROME BRANDY 250 ML</v>
          </cell>
        </row>
        <row r="1424">
          <cell r="A1424">
            <v>468</v>
          </cell>
          <cell r="B1424" t="str">
            <v>CHIVAS REGAL XV 15YRS WHISKY 750ML</v>
          </cell>
        </row>
        <row r="1425">
          <cell r="A1425">
            <v>467</v>
          </cell>
          <cell r="B1425" t="str">
            <v>CHIVAS REGAL 25YRS WHISKY 700ML</v>
          </cell>
        </row>
        <row r="1426">
          <cell r="A1426">
            <v>464</v>
          </cell>
          <cell r="B1426" t="str">
            <v>CHIVAS REGAL 18YS WHISKY 1LTR</v>
          </cell>
        </row>
        <row r="1427">
          <cell r="A1427">
            <v>463</v>
          </cell>
          <cell r="B1427" t="str">
            <v>CHIVAS REGAL 18YRS WHISKY 750ML</v>
          </cell>
        </row>
        <row r="1428">
          <cell r="A1428">
            <v>461</v>
          </cell>
          <cell r="B1428" t="str">
            <v>CHIVAS REGAL 13YRS WHISKY 1LTR</v>
          </cell>
        </row>
        <row r="1429">
          <cell r="A1429">
            <v>460</v>
          </cell>
          <cell r="B1429" t="str">
            <v>CHIVAS REGAL 12YRS WHISKY GIFT PACK 4.5LTR</v>
          </cell>
        </row>
        <row r="1430">
          <cell r="A1430">
            <v>458</v>
          </cell>
          <cell r="B1430" t="str">
            <v>CHIVAS REGAL 12YRS WHISKY 750ML</v>
          </cell>
        </row>
        <row r="1431">
          <cell r="A1431">
            <v>455</v>
          </cell>
          <cell r="B1431" t="str">
            <v>CHIVAS REGAL 12YRS WHISKY 1LTR</v>
          </cell>
        </row>
        <row r="1432">
          <cell r="A1432">
            <v>454</v>
          </cell>
          <cell r="B1432" t="str">
            <v>CHIVAS REGAL 12YRS CRADLE WHISKY 4.5LTR</v>
          </cell>
        </row>
        <row r="1433">
          <cell r="A1433">
            <v>2184</v>
          </cell>
          <cell r="B1433" t="str">
            <v>CHILINERO WHITE 750ML</v>
          </cell>
        </row>
        <row r="1434">
          <cell r="A1434">
            <v>2387</v>
          </cell>
          <cell r="B1434" t="str">
            <v>CHILINERO RED 750ML</v>
          </cell>
        </row>
        <row r="1435">
          <cell r="A1435">
            <v>2846</v>
          </cell>
          <cell r="B1435" t="str">
            <v>CHATEAU MONTIFAUD VSOP 700ML</v>
          </cell>
        </row>
        <row r="1436">
          <cell r="A1436">
            <v>443</v>
          </cell>
          <cell r="B1436" t="str">
            <v>CHARLES HEIDSECK BLANC DE BLANC 750ml</v>
          </cell>
        </row>
        <row r="1437">
          <cell r="A1437">
            <v>2373</v>
          </cell>
          <cell r="B1437" t="str">
            <v>CHARLES HEIDESECK ROSE 750ML</v>
          </cell>
        </row>
        <row r="1438">
          <cell r="A1438">
            <v>3005</v>
          </cell>
          <cell r="B1438" t="str">
            <v>CHARGED LEMON BURST ENERGY DRINK 330ML</v>
          </cell>
        </row>
        <row r="1439">
          <cell r="A1439">
            <v>3004</v>
          </cell>
          <cell r="B1439" t="str">
            <v>CHARGED ELECTRIC PINEAPPLE ENERGY DRINK 330ML</v>
          </cell>
        </row>
        <row r="1440">
          <cell r="A1440">
            <v>435</v>
          </cell>
          <cell r="B1440" t="str">
            <v>CHANGE GRENACHE-SYRAH ROSE (ORGANIC) 750ML</v>
          </cell>
        </row>
        <row r="1441">
          <cell r="A1441">
            <v>430</v>
          </cell>
          <cell r="B1441" t="str">
            <v>CHAMDOR WHITE 750ML</v>
          </cell>
        </row>
        <row r="1442">
          <cell r="A1442">
            <v>428</v>
          </cell>
          <cell r="B1442" t="str">
            <v>CHAMDOR RED  750ML</v>
          </cell>
        </row>
        <row r="1443">
          <cell r="A1443">
            <v>2522</v>
          </cell>
          <cell r="B1443" t="str">
            <v>CHALK ROAD SAV BLANC 750ML</v>
          </cell>
        </row>
        <row r="1444">
          <cell r="A1444">
            <v>2521</v>
          </cell>
          <cell r="B1444" t="str">
            <v>CHALK ROAD CHARDONAY 750ML</v>
          </cell>
        </row>
        <row r="1445">
          <cell r="A1445">
            <v>2664</v>
          </cell>
          <cell r="B1445" t="str">
            <v>CH VALAC RED 750ML</v>
          </cell>
        </row>
        <row r="1446">
          <cell r="A1446">
            <v>2663</v>
          </cell>
          <cell r="B1446" t="str">
            <v>CH VALAC MEDIUM SWEET WHITE 750ML</v>
          </cell>
        </row>
        <row r="1447">
          <cell r="A1447">
            <v>2662</v>
          </cell>
          <cell r="B1447" t="str">
            <v>CH VALAC MEDIUM SWEET RED 750ML</v>
          </cell>
        </row>
        <row r="1448">
          <cell r="A1448">
            <v>426</v>
          </cell>
          <cell r="B1448" t="str">
            <v>CELLAR J'BURG WHITE 750ML</v>
          </cell>
        </row>
        <row r="1449">
          <cell r="A1449">
            <v>425</v>
          </cell>
          <cell r="B1449" t="str">
            <v>CELLAR J'BURG WHITE 5LTR</v>
          </cell>
        </row>
        <row r="1450">
          <cell r="A1450">
            <v>424</v>
          </cell>
          <cell r="B1450" t="str">
            <v>CELLAR J'BURG RED 750ML</v>
          </cell>
        </row>
        <row r="1451">
          <cell r="A1451">
            <v>423</v>
          </cell>
          <cell r="B1451" t="str">
            <v>CELLAR J'BURG RED 5LTR</v>
          </cell>
        </row>
        <row r="1452">
          <cell r="A1452">
            <v>416</v>
          </cell>
          <cell r="B1452" t="str">
            <v>CATTOS BLENDED WHISKY 1ltr</v>
          </cell>
        </row>
        <row r="1453">
          <cell r="A1453">
            <v>415</v>
          </cell>
          <cell r="B1453" t="str">
            <v>CATENA MALBEC 750ML</v>
          </cell>
        </row>
        <row r="1454">
          <cell r="A1454">
            <v>414</v>
          </cell>
          <cell r="B1454" t="str">
            <v>CATENA CHARDONNAY 750ML</v>
          </cell>
        </row>
        <row r="1455">
          <cell r="A1455">
            <v>413</v>
          </cell>
          <cell r="B1455" t="str">
            <v>CATENA CAB SAUV 750ML</v>
          </cell>
        </row>
        <row r="1456">
          <cell r="A1456">
            <v>411</v>
          </cell>
          <cell r="B1456" t="str">
            <v>CASTILLO DEL MOLINA SAUV BLANC 750ML</v>
          </cell>
        </row>
        <row r="1457">
          <cell r="A1457">
            <v>2182</v>
          </cell>
          <cell r="B1457" t="str">
            <v>CASTILLO DEL DIABLO MERLOT 750ML</v>
          </cell>
        </row>
        <row r="1458">
          <cell r="A1458">
            <v>2181</v>
          </cell>
          <cell r="B1458" t="str">
            <v>CASTILLO DEL CHARDONNAY 750ML</v>
          </cell>
        </row>
        <row r="1459">
          <cell r="A1459">
            <v>2543</v>
          </cell>
          <cell r="B1459" t="str">
            <v>CASTILLO DE FERRER WHITE SWEET 750ML 750ML</v>
          </cell>
        </row>
        <row r="1460">
          <cell r="A1460">
            <v>2541</v>
          </cell>
          <cell r="B1460" t="str">
            <v>CASTILLO DE FERRER RED SWEET 750ML</v>
          </cell>
        </row>
        <row r="1461">
          <cell r="A1461">
            <v>2542</v>
          </cell>
          <cell r="B1461" t="str">
            <v>CASTILLO DE FERRER RED DRY 750ML</v>
          </cell>
        </row>
        <row r="1462">
          <cell r="A1462">
            <v>2540</v>
          </cell>
          <cell r="B1462" t="str">
            <v>CASTILLO DE FERRER BRUT SPARKLING 750ML</v>
          </cell>
        </row>
        <row r="1463">
          <cell r="A1463">
            <v>410</v>
          </cell>
          <cell r="B1463" t="str">
            <v>CASTEL SYRAH 750ML</v>
          </cell>
        </row>
        <row r="1464">
          <cell r="A1464">
            <v>409</v>
          </cell>
          <cell r="B1464" t="str">
            <v>CASILELLERO DEL DIABLO 750ML</v>
          </cell>
        </row>
        <row r="1465">
          <cell r="A1465">
            <v>408</v>
          </cell>
          <cell r="B1465" t="str">
            <v>CASALDOMO CUVEE BRUT 750ML </v>
          </cell>
        </row>
        <row r="1466">
          <cell r="A1466">
            <v>1751</v>
          </cell>
          <cell r="B1466" t="str">
            <v>CASAL MENDES SANGRIA 750ML</v>
          </cell>
        </row>
        <row r="1467">
          <cell r="A1467">
            <v>407</v>
          </cell>
          <cell r="B1467" t="str">
            <v>CASAL MENDES RED 750ML</v>
          </cell>
        </row>
        <row r="1468">
          <cell r="A1468">
            <v>406</v>
          </cell>
          <cell r="B1468" t="str">
            <v>CASA SOLIS SAUV BLANC 750ML</v>
          </cell>
        </row>
        <row r="1469">
          <cell r="A1469">
            <v>405</v>
          </cell>
          <cell r="B1469" t="str">
            <v>CASA SOLIS MERLOT 750ML</v>
          </cell>
        </row>
        <row r="1470">
          <cell r="A1470">
            <v>2214</v>
          </cell>
          <cell r="B1470" t="str">
            <v>CASA SOLIS CHARDONNAY 750ML</v>
          </cell>
        </row>
        <row r="1471">
          <cell r="A1471">
            <v>404</v>
          </cell>
          <cell r="B1471" t="str">
            <v>CASA SOLIS CAB SAUV 750ML</v>
          </cell>
        </row>
        <row r="1472">
          <cell r="A1472">
            <v>403</v>
          </cell>
          <cell r="B1472" t="str">
            <v>CASA MIGOS REPOSADO 1LTR</v>
          </cell>
        </row>
        <row r="1473">
          <cell r="A1473">
            <v>402</v>
          </cell>
          <cell r="B1473" t="str">
            <v>CASA MIGOS MESCAL 700ML</v>
          </cell>
        </row>
        <row r="1474">
          <cell r="A1474">
            <v>2469</v>
          </cell>
          <cell r="B1474" t="str">
            <v>CASA MIGOS BLANCO 700ML</v>
          </cell>
        </row>
        <row r="1475">
          <cell r="A1475">
            <v>2468</v>
          </cell>
          <cell r="B1475" t="str">
            <v>CASA MIGOS ANEJO 700ML</v>
          </cell>
        </row>
        <row r="1476">
          <cell r="A1476">
            <v>400</v>
          </cell>
          <cell r="B1476" t="str">
            <v>CASA BUENA SWEET WHITE 1LTR</v>
          </cell>
        </row>
        <row r="1477">
          <cell r="A1477">
            <v>399</v>
          </cell>
          <cell r="B1477" t="str">
            <v>CASA BUENA SWEET RED 1LTR</v>
          </cell>
        </row>
        <row r="1478">
          <cell r="A1478">
            <v>398</v>
          </cell>
          <cell r="B1478" t="str">
            <v>CARNIVOR 750ML</v>
          </cell>
        </row>
        <row r="1479">
          <cell r="A1479">
            <v>397</v>
          </cell>
          <cell r="B1479" t="str">
            <v>CARMELA SPARKLING SWEET WINE 750ML</v>
          </cell>
        </row>
        <row r="1480">
          <cell r="A1480">
            <v>396</v>
          </cell>
          <cell r="B1480" t="str">
            <v>CARLO ROSSI WHITE 750ML</v>
          </cell>
        </row>
        <row r="1481">
          <cell r="A1481">
            <v>395</v>
          </cell>
          <cell r="B1481" t="str">
            <v>CARLO ROSSI WHITE 1.5LTR</v>
          </cell>
        </row>
        <row r="1482">
          <cell r="A1482">
            <v>394</v>
          </cell>
          <cell r="B1482" t="str">
            <v>CARLO ROSSI SWEET RED 3LTR</v>
          </cell>
        </row>
        <row r="1483">
          <cell r="A1483">
            <v>393</v>
          </cell>
          <cell r="B1483" t="str">
            <v>CARLO ROSSI ROSEE 1.5LTR</v>
          </cell>
        </row>
        <row r="1484">
          <cell r="A1484">
            <v>2213</v>
          </cell>
          <cell r="B1484" t="str">
            <v>CARLO ROSSI ROSE 750ML</v>
          </cell>
        </row>
        <row r="1485">
          <cell r="A1485">
            <v>392</v>
          </cell>
          <cell r="B1485" t="str">
            <v>CARLO ROSSI RED WINE 750ML</v>
          </cell>
        </row>
        <row r="1486">
          <cell r="A1486">
            <v>391</v>
          </cell>
          <cell r="B1486" t="str">
            <v>CARLO ROSSI RED 1.5LTR</v>
          </cell>
        </row>
        <row r="1487">
          <cell r="A1487">
            <v>390</v>
          </cell>
          <cell r="B1487" t="str">
            <v>CARLO ROSSI PINK MOSCATO 750ML</v>
          </cell>
        </row>
        <row r="1488">
          <cell r="A1488">
            <v>389</v>
          </cell>
          <cell r="B1488" t="str">
            <v>CARLO ROSSI DRY WHITE 3LTR </v>
          </cell>
        </row>
        <row r="1489">
          <cell r="A1489">
            <v>2714</v>
          </cell>
          <cell r="B1489" t="str">
            <v>CARIBIA GIN 750ML</v>
          </cell>
        </row>
        <row r="1490">
          <cell r="A1490">
            <v>388</v>
          </cell>
          <cell r="B1490" t="str">
            <v>CARIBIA GIN 375ML</v>
          </cell>
        </row>
        <row r="1491">
          <cell r="A1491">
            <v>2713</v>
          </cell>
          <cell r="B1491" t="str">
            <v>CARIBIA GIN 250ML</v>
          </cell>
        </row>
        <row r="1492">
          <cell r="A1492">
            <v>387</v>
          </cell>
          <cell r="B1492" t="str">
            <v>CARIBIA CANE 750ML</v>
          </cell>
        </row>
        <row r="1493">
          <cell r="A1493">
            <v>2821</v>
          </cell>
          <cell r="B1493" t="str">
            <v>CARDHU AMBER ROCK 700ML</v>
          </cell>
        </row>
        <row r="1494">
          <cell r="A1494">
            <v>385</v>
          </cell>
          <cell r="B1494" t="str">
            <v>CARDHU 15YRS WHISKY 700ML</v>
          </cell>
        </row>
        <row r="1495">
          <cell r="A1495">
            <v>383</v>
          </cell>
          <cell r="B1495" t="str">
            <v>CARDHU 12YRS 750ML</v>
          </cell>
        </row>
        <row r="1496">
          <cell r="A1496">
            <v>2418</v>
          </cell>
          <cell r="B1496" t="str">
            <v>CAPTAIN MORGAN GOLD 250ML</v>
          </cell>
        </row>
        <row r="1497">
          <cell r="A1497">
            <v>2652</v>
          </cell>
          <cell r="B1497" t="str">
            <v>CAPTAIN MORGAN MUCK PIT 250ML</v>
          </cell>
        </row>
        <row r="1498">
          <cell r="A1498">
            <v>380</v>
          </cell>
          <cell r="B1498" t="str">
            <v>CAPTAIN MORGAN WHITE RUM 1LTR</v>
          </cell>
        </row>
        <row r="1499">
          <cell r="A1499">
            <v>2961</v>
          </cell>
          <cell r="B1499" t="str">
            <v>CAPTAIN MORGAN TIKI MANGO &amp; PINEAPPLE 700ML</v>
          </cell>
        </row>
        <row r="1500">
          <cell r="A1500">
            <v>2651</v>
          </cell>
          <cell r="B1500" t="str">
            <v>CAPTAIN MORGAN MUCK PIT 750ML</v>
          </cell>
        </row>
        <row r="1501">
          <cell r="A1501">
            <v>2417</v>
          </cell>
          <cell r="B1501" t="str">
            <v>CAPTAIN MORGAN GOLD 750ML</v>
          </cell>
        </row>
        <row r="1502">
          <cell r="A1502">
            <v>377</v>
          </cell>
          <cell r="B1502" t="str">
            <v>CAPTAIN MORGAN BLACK SPICED 1LTR</v>
          </cell>
        </row>
        <row r="1503">
          <cell r="A1503">
            <v>376</v>
          </cell>
          <cell r="B1503" t="str">
            <v>CAPTAIN MORGAN DARK 1LTR</v>
          </cell>
        </row>
        <row r="1504">
          <cell r="A1504">
            <v>375</v>
          </cell>
          <cell r="B1504" t="str">
            <v>CAPTAIN MORGAN SPICED 1LTR</v>
          </cell>
        </row>
        <row r="1505">
          <cell r="A1505">
            <v>374</v>
          </cell>
          <cell r="B1505" t="str">
            <v>CAPTAIN MORGAN SPICED GOLD 750ML</v>
          </cell>
        </row>
        <row r="1506">
          <cell r="A1506">
            <v>373</v>
          </cell>
          <cell r="B1506" t="str">
            <v>CAPTAIN MORGAN DARK 750ML</v>
          </cell>
        </row>
        <row r="1507">
          <cell r="A1507">
            <v>372</v>
          </cell>
          <cell r="B1507" t="str">
            <v>CAPRICE WHITE DRY TETRA 1LTR</v>
          </cell>
        </row>
        <row r="1508">
          <cell r="A1508">
            <v>371</v>
          </cell>
          <cell r="B1508" t="str">
            <v>CAPRICE RED DRY TETRA 1LTR</v>
          </cell>
        </row>
        <row r="1509">
          <cell r="A1509">
            <v>370</v>
          </cell>
          <cell r="B1509" t="str">
            <v>CAPRICE NATURAL SWT WHITE 1LTR</v>
          </cell>
        </row>
        <row r="1510">
          <cell r="A1510">
            <v>369</v>
          </cell>
          <cell r="B1510" t="str">
            <v>CAPRICE NATURAL SWEET RED 1LTR</v>
          </cell>
        </row>
        <row r="1511">
          <cell r="A1511">
            <v>2292</v>
          </cell>
          <cell r="B1511" t="str">
            <v>CAPE VELVET CREAM 750ML</v>
          </cell>
        </row>
        <row r="1512">
          <cell r="A1512">
            <v>2267</v>
          </cell>
          <cell r="B1512" t="str">
            <v>CAPE AUCTION 750ML</v>
          </cell>
        </row>
        <row r="1513">
          <cell r="A1513">
            <v>2626</v>
          </cell>
          <cell r="B1513" t="str">
            <v>CANDY FLOSS SWEET WHITE WINE 750ML</v>
          </cell>
        </row>
        <row r="1514">
          <cell r="A1514">
            <v>2660</v>
          </cell>
          <cell r="B1514" t="str">
            <v>CANDY FLOSS SWEET RED WINE 750ML</v>
          </cell>
        </row>
        <row r="1515">
          <cell r="A1515">
            <v>365</v>
          </cell>
          <cell r="B1515" t="str">
            <v>CANADIAN CLUB WHISKY 1LTR</v>
          </cell>
        </row>
        <row r="1516">
          <cell r="A1516">
            <v>364</v>
          </cell>
          <cell r="B1516" t="str">
            <v>CANADIAN CLUB 750ML</v>
          </cell>
        </row>
        <row r="1517">
          <cell r="A1517">
            <v>3000</v>
          </cell>
          <cell r="B1517" t="str">
            <v>CANADIAN BLACK VELVET 1L</v>
          </cell>
        </row>
        <row r="1518">
          <cell r="A1518">
            <v>363</v>
          </cell>
          <cell r="B1518" t="str">
            <v>CAMUS XO COGNAC 750ML</v>
          </cell>
        </row>
        <row r="1519">
          <cell r="A1519">
            <v>2268</v>
          </cell>
          <cell r="B1519" t="str">
            <v>CAMUS XO 1LTR</v>
          </cell>
        </row>
        <row r="1520">
          <cell r="A1520">
            <v>362</v>
          </cell>
          <cell r="B1520" t="str">
            <v>CAMUS VSOP COGNAC 700ML</v>
          </cell>
        </row>
        <row r="1521">
          <cell r="A1521">
            <v>361</v>
          </cell>
          <cell r="B1521" t="str">
            <v>CAMUS VSOP COGNAC 1LTR</v>
          </cell>
        </row>
        <row r="1522">
          <cell r="A1522">
            <v>360</v>
          </cell>
          <cell r="B1522" t="str">
            <v>CAMUS VS COGNAC 700ML</v>
          </cell>
        </row>
        <row r="1523">
          <cell r="A1523">
            <v>359</v>
          </cell>
          <cell r="B1523" t="str">
            <v>CAMUS VS COGNAC 1LTR</v>
          </cell>
        </row>
        <row r="1524">
          <cell r="A1524">
            <v>358</v>
          </cell>
          <cell r="B1524" t="str">
            <v>CAMPARI MILANO BITTER 750ML</v>
          </cell>
        </row>
        <row r="1525">
          <cell r="A1525">
            <v>357</v>
          </cell>
          <cell r="B1525" t="str">
            <v>CAMPARI MILANO BITTER 1LTR</v>
          </cell>
        </row>
        <row r="1526">
          <cell r="A1526">
            <v>356</v>
          </cell>
          <cell r="B1526" t="str">
            <v>CAMINO GOLD 750ML</v>
          </cell>
        </row>
        <row r="1527">
          <cell r="A1527">
            <v>355</v>
          </cell>
          <cell r="B1527" t="str">
            <v>CAMINO CLEAR 750ML</v>
          </cell>
        </row>
        <row r="1528">
          <cell r="A1528">
            <v>354</v>
          </cell>
          <cell r="B1528" t="str">
            <v>CALVET VARIETALS SYRAH 750ML</v>
          </cell>
        </row>
        <row r="1529">
          <cell r="A1529">
            <v>353</v>
          </cell>
          <cell r="B1529" t="str">
            <v>CALVET VARIETALS SAUV BLANC 750ML</v>
          </cell>
        </row>
        <row r="1530">
          <cell r="A1530">
            <v>352</v>
          </cell>
          <cell r="B1530" t="str">
            <v>CALVET VARIETALS MERLOT 750ML</v>
          </cell>
        </row>
        <row r="1531">
          <cell r="A1531">
            <v>351</v>
          </cell>
          <cell r="B1531" t="str">
            <v>CALVET VARIETALS CHARDONNAY 750ML</v>
          </cell>
        </row>
        <row r="1532">
          <cell r="A1532">
            <v>349</v>
          </cell>
          <cell r="B1532" t="str">
            <v>CALVET SANCERRE BLANC 750ML</v>
          </cell>
        </row>
        <row r="1533">
          <cell r="A1533">
            <v>347</v>
          </cell>
          <cell r="B1533" t="str">
            <v>CALVET RÉSERVE BORDEAUX SAUV BLANC 750ML</v>
          </cell>
        </row>
        <row r="1534">
          <cell r="A1534">
            <v>344</v>
          </cell>
          <cell r="B1534" t="str">
            <v>CALVET GRANDE RESERVE BORDEAUX 1.5LTR</v>
          </cell>
        </row>
        <row r="1535">
          <cell r="A1535">
            <v>2982</v>
          </cell>
          <cell r="B1535" t="str">
            <v>CALVET CINSUALT ROSE 750ML</v>
          </cell>
        </row>
        <row r="1536">
          <cell r="A1536">
            <v>2981</v>
          </cell>
          <cell r="B1536" t="str">
            <v>CALVET CHARDONNAY WHITE 750ML</v>
          </cell>
        </row>
        <row r="1537">
          <cell r="A1537">
            <v>335</v>
          </cell>
          <cell r="B1537" t="str">
            <v>CALVET BOURGOGNE CHARDONNAY 750ML</v>
          </cell>
        </row>
        <row r="1538">
          <cell r="A1538">
            <v>330</v>
          </cell>
          <cell r="B1538" t="str">
            <v>CALIFORNIA ROOTS ROSE 750ML</v>
          </cell>
        </row>
        <row r="1539">
          <cell r="A1539">
            <v>326</v>
          </cell>
          <cell r="B1539" t="str">
            <v>BUTTERFLY RIDGE CHARDONNAY 750ml</v>
          </cell>
        </row>
        <row r="1540">
          <cell r="A1540">
            <v>325</v>
          </cell>
          <cell r="B1540" t="str">
            <v>BUTLERS TRIPLE SEC LIQUEUR 750ML</v>
          </cell>
        </row>
        <row r="1541">
          <cell r="A1541">
            <v>323</v>
          </cell>
          <cell r="B1541" t="str">
            <v>BUTLERS PEPPERMINT 750ML</v>
          </cell>
        </row>
        <row r="1542">
          <cell r="A1542">
            <v>322</v>
          </cell>
          <cell r="B1542" t="str">
            <v>BUTLERS GINGER 750ML</v>
          </cell>
        </row>
        <row r="1543">
          <cell r="A1543">
            <v>321</v>
          </cell>
          <cell r="B1543" t="str">
            <v>BUTLERS ESPRESSO LIQUEUR  750ML</v>
          </cell>
        </row>
        <row r="1544">
          <cell r="A1544">
            <v>320</v>
          </cell>
          <cell r="B1544" t="str">
            <v>BUTLERS ESPRESSO 750ML</v>
          </cell>
        </row>
        <row r="1545">
          <cell r="A1545">
            <v>315</v>
          </cell>
          <cell r="B1545" t="str">
            <v>BUTLERS  CRÈME DE BANANA 750ML</v>
          </cell>
        </row>
        <row r="1546">
          <cell r="A1546">
            <v>319</v>
          </cell>
          <cell r="B1546" t="str">
            <v>BUTLERS CHERRY KIRSCH 750ML</v>
          </cell>
        </row>
        <row r="1547">
          <cell r="A1547">
            <v>318</v>
          </cell>
          <cell r="B1547" t="str">
            <v>BUTLERS CHERRY KIRSCH 700ML</v>
          </cell>
        </row>
        <row r="1548">
          <cell r="A1548">
            <v>317</v>
          </cell>
          <cell r="B1548" t="str">
            <v>BUTLERS BLUE CURACAO 750ML</v>
          </cell>
        </row>
        <row r="1549">
          <cell r="A1549">
            <v>2266</v>
          </cell>
          <cell r="B1549" t="str">
            <v>BUSHMILLS STEAMSHIP 1LTR</v>
          </cell>
        </row>
        <row r="1550">
          <cell r="A1550">
            <v>314</v>
          </cell>
          <cell r="B1550" t="str">
            <v>BUSHMILLS RED BUSH 700ML</v>
          </cell>
        </row>
        <row r="1551">
          <cell r="A1551">
            <v>313</v>
          </cell>
          <cell r="B1551" t="str">
            <v>BUSHMILLS 1LTR</v>
          </cell>
        </row>
        <row r="1552">
          <cell r="A1552">
            <v>2977</v>
          </cell>
          <cell r="B1552" t="str">
            <v>BUSHMILL SHERRY CASK 1LTR</v>
          </cell>
        </row>
        <row r="1553">
          <cell r="A1553">
            <v>310</v>
          </cell>
          <cell r="B1553" t="str">
            <v>BUSHMILLS ORIGINAL 750ML</v>
          </cell>
        </row>
        <row r="1554">
          <cell r="A1554">
            <v>309</v>
          </cell>
          <cell r="B1554" t="str">
            <v>BUSHMILL BLACK BUSH 750ML</v>
          </cell>
        </row>
        <row r="1555">
          <cell r="A1555">
            <v>2523</v>
          </cell>
          <cell r="B1555" t="str">
            <v>BUSHMANSPAD SAUV BLANC 750ML</v>
          </cell>
        </row>
        <row r="1556">
          <cell r="A1556">
            <v>2380</v>
          </cell>
          <cell r="B1556" t="str">
            <v>BUMBU XO 700ML</v>
          </cell>
        </row>
        <row r="1557">
          <cell r="A1557">
            <v>306</v>
          </cell>
          <cell r="B1557" t="str">
            <v>BUMBU RUM 700ML</v>
          </cell>
        </row>
        <row r="1558">
          <cell r="A1558">
            <v>305</v>
          </cell>
          <cell r="B1558" t="str">
            <v>BULLEIT BOURBON FRONTIER WHSKY 700ML</v>
          </cell>
        </row>
        <row r="1559">
          <cell r="A1559">
            <v>304</v>
          </cell>
          <cell r="B1559" t="str">
            <v>BULLEIT BOURBON FRONTIER WHISKY 1LTR</v>
          </cell>
        </row>
        <row r="1560">
          <cell r="A1560">
            <v>301</v>
          </cell>
          <cell r="B1560" t="str">
            <v>BUFFALO TRACE WHISKY 1LTR</v>
          </cell>
        </row>
        <row r="1561">
          <cell r="A1561">
            <v>300</v>
          </cell>
          <cell r="B1561" t="str">
            <v>BUFFALO TRACE BOURBON WHISKY 750ML</v>
          </cell>
        </row>
        <row r="1562">
          <cell r="A1562">
            <v>2906</v>
          </cell>
          <cell r="B1562" t="str">
            <v>BUDWEISER 500ML CAN</v>
          </cell>
        </row>
        <row r="1563">
          <cell r="A1563">
            <v>2905</v>
          </cell>
          <cell r="B1563" t="str">
            <v>BUDWEISER 330ML BOTTLE </v>
          </cell>
        </row>
        <row r="1564">
          <cell r="A1564">
            <v>297</v>
          </cell>
          <cell r="B1564" t="str">
            <v>BRUCE JACK SAUV BLANC 750ML</v>
          </cell>
        </row>
        <row r="1565">
          <cell r="A1565">
            <v>285</v>
          </cell>
          <cell r="B1565" t="str">
            <v>BRUCE JACK  SAUV BLANC 2021 750ML</v>
          </cell>
        </row>
        <row r="1566">
          <cell r="A1566">
            <v>296</v>
          </cell>
          <cell r="B1566" t="str">
            <v>BRUCE JACK RESERVE SAUV BLANC 750ML</v>
          </cell>
        </row>
        <row r="1567">
          <cell r="A1567">
            <v>295</v>
          </cell>
          <cell r="B1567" t="str">
            <v>BRUCE JACK RESERVE PINOTAGE 750ML</v>
          </cell>
        </row>
        <row r="1568">
          <cell r="A1568">
            <v>293</v>
          </cell>
          <cell r="B1568" t="str">
            <v>BRUCE JACK RESERVE CHARDONNAY 750ML</v>
          </cell>
        </row>
        <row r="1569">
          <cell r="A1569">
            <v>291</v>
          </cell>
          <cell r="B1569" t="str">
            <v>BRUCE JACK PINOTAGE MALBEC 750ML</v>
          </cell>
        </row>
        <row r="1570">
          <cell r="A1570">
            <v>290</v>
          </cell>
          <cell r="B1570" t="str">
            <v>BRUCE JACK MERLOT 750ML</v>
          </cell>
        </row>
        <row r="1571">
          <cell r="A1571">
            <v>289</v>
          </cell>
          <cell r="B1571" t="str">
            <v>BRUCE JACK CHENIN BLANC 750ML</v>
          </cell>
        </row>
        <row r="1572">
          <cell r="A1572">
            <v>288</v>
          </cell>
          <cell r="B1572" t="str">
            <v>BRUCE JACK CHARDONNAY 2020 750ML</v>
          </cell>
        </row>
        <row r="1573">
          <cell r="A1573">
            <v>287</v>
          </cell>
          <cell r="B1573" t="str">
            <v>BRUCE JACK CABERNET SAUV 2020 750ML</v>
          </cell>
        </row>
        <row r="1574">
          <cell r="A1574">
            <v>286</v>
          </cell>
          <cell r="B1574" t="str">
            <v>BRUCE JACK 750ML</v>
          </cell>
        </row>
        <row r="1575">
          <cell r="A1575">
            <v>282</v>
          </cell>
          <cell r="B1575" t="str">
            <v>BROOKLYN GIN 750ML</v>
          </cell>
        </row>
        <row r="1576">
          <cell r="A1576">
            <v>280</v>
          </cell>
          <cell r="B1576" t="str">
            <v>BROKER'S PINK GIN 750ML</v>
          </cell>
        </row>
        <row r="1577">
          <cell r="A1577">
            <v>281</v>
          </cell>
          <cell r="B1577" t="str">
            <v>BROKERS GIN 700ml</v>
          </cell>
        </row>
        <row r="1578">
          <cell r="A1578">
            <v>279</v>
          </cell>
          <cell r="B1578" t="str">
            <v>BROKER'S GIN 1ltr</v>
          </cell>
        </row>
        <row r="1579">
          <cell r="A1579">
            <v>277</v>
          </cell>
          <cell r="B1579" t="str">
            <v>BRAZOS MALBEC 750ML</v>
          </cell>
        </row>
        <row r="1580">
          <cell r="A1580">
            <v>276</v>
          </cell>
          <cell r="B1580" t="str">
            <v>BRANDY MARNAT XO 750ML</v>
          </cell>
        </row>
        <row r="1581">
          <cell r="A1581">
            <v>275</v>
          </cell>
          <cell r="B1581" t="str">
            <v>BOWMORE 18YRS WHISKY 700ML</v>
          </cell>
        </row>
        <row r="1582">
          <cell r="A1582">
            <v>274</v>
          </cell>
          <cell r="B1582" t="str">
            <v>BOWMORE 12YRS WHISKY 700ML </v>
          </cell>
        </row>
        <row r="1583">
          <cell r="A1583">
            <v>273</v>
          </cell>
          <cell r="B1583" t="str">
            <v>BOWMORE 10YRS 1LTR</v>
          </cell>
        </row>
        <row r="1584">
          <cell r="A1584">
            <v>995</v>
          </cell>
          <cell r="B1584" t="str">
            <v> BOTTLES DEPOSIT</v>
          </cell>
        </row>
        <row r="1585">
          <cell r="A1585">
            <v>2345</v>
          </cell>
          <cell r="B1585" t="str">
            <v>BOTTEGA WHITE GOLD 750ML</v>
          </cell>
        </row>
        <row r="1586">
          <cell r="A1586">
            <v>2595</v>
          </cell>
          <cell r="B1586" t="str">
            <v>BOTTEGA VERMOUTH 750ML</v>
          </cell>
        </row>
        <row r="1587">
          <cell r="A1587">
            <v>271</v>
          </cell>
          <cell r="B1587" t="str">
            <v>BOTTEGA ROSSO 2016 750ml</v>
          </cell>
        </row>
        <row r="1588">
          <cell r="A1588">
            <v>2346</v>
          </cell>
          <cell r="B1588" t="str">
            <v>BOTTEGA GOLD 750ML</v>
          </cell>
        </row>
        <row r="1589">
          <cell r="A1589">
            <v>269</v>
          </cell>
          <cell r="B1589" t="str">
            <v>BOND 7 750 ML</v>
          </cell>
        </row>
        <row r="1590">
          <cell r="A1590">
            <v>268</v>
          </cell>
          <cell r="B1590" t="str">
            <v>BOND 7 350 ML</v>
          </cell>
        </row>
        <row r="1591">
          <cell r="A1591">
            <v>267</v>
          </cell>
          <cell r="B1591" t="str">
            <v>BOND 7 250 ML</v>
          </cell>
        </row>
        <row r="1592">
          <cell r="A1592">
            <v>2212</v>
          </cell>
          <cell r="B1592" t="str">
            <v>BON VOYAGE 750ML</v>
          </cell>
        </row>
        <row r="1593">
          <cell r="A1593">
            <v>2812</v>
          </cell>
          <cell r="B1593" t="str">
            <v>BOMBAY SAPPHIRE SUNSET SPERCIAL 500ML</v>
          </cell>
        </row>
        <row r="1594">
          <cell r="A1594">
            <v>2811</v>
          </cell>
          <cell r="B1594" t="str">
            <v>BOMBAY SAPPHIRE PREMIER CRU 700ML</v>
          </cell>
        </row>
        <row r="1595">
          <cell r="A1595">
            <v>266</v>
          </cell>
          <cell r="B1595" t="str">
            <v>BOMBAY SAPPHIRE LONDON DRY GIN 750ML</v>
          </cell>
        </row>
        <row r="1596">
          <cell r="A1596">
            <v>265</v>
          </cell>
          <cell r="B1596" t="str">
            <v>BOMBAY SAPPHIRE LONDON DRY GIN 1LTR</v>
          </cell>
        </row>
        <row r="1597">
          <cell r="A1597">
            <v>264</v>
          </cell>
          <cell r="B1597" t="str">
            <v>BOMBAY SAPPHIRE DRY GIN 375ML</v>
          </cell>
        </row>
        <row r="1598">
          <cell r="A1598">
            <v>262</v>
          </cell>
          <cell r="B1598" t="str">
            <v>BOMBAY DRY GIN 750ML</v>
          </cell>
        </row>
        <row r="1599">
          <cell r="A1599">
            <v>261</v>
          </cell>
          <cell r="B1599" t="str">
            <v>BOMBAY DRY GIN 1LTR</v>
          </cell>
        </row>
        <row r="1600">
          <cell r="A1600">
            <v>260</v>
          </cell>
          <cell r="B1600" t="str">
            <v>BOMBAY BRAMBLE 1LTR</v>
          </cell>
        </row>
        <row r="1601">
          <cell r="A1601">
            <v>259</v>
          </cell>
          <cell r="B1601" t="str">
            <v>BOLS TRIPLE SEC LIQUEUR 700ML</v>
          </cell>
        </row>
        <row r="1602">
          <cell r="A1602">
            <v>257</v>
          </cell>
          <cell r="B1602" t="str">
            <v>BOLS DRY ORANGE 750ML</v>
          </cell>
        </row>
        <row r="1603">
          <cell r="A1603">
            <v>256</v>
          </cell>
          <cell r="B1603" t="str">
            <v>BOLS BLUE CURACAO 750ML</v>
          </cell>
        </row>
        <row r="1604">
          <cell r="A1604">
            <v>255</v>
          </cell>
          <cell r="B1604" t="str">
            <v>BOLAND CELLAR CAB SHIRAZ 750ML</v>
          </cell>
        </row>
        <row r="1605">
          <cell r="A1605">
            <v>254</v>
          </cell>
          <cell r="B1605" t="str">
            <v>BOLAND CELLAR CAB SAUV 750ML</v>
          </cell>
        </row>
        <row r="1606">
          <cell r="A1606">
            <v>2920</v>
          </cell>
          <cell r="B1606" t="str">
            <v>WOOSH PEN 1800 PUFFS BLUEBERRY ICE</v>
          </cell>
        </row>
        <row r="1607">
          <cell r="A1607">
            <v>2515</v>
          </cell>
          <cell r="B1607" t="str">
            <v>BLUE WARRIOR WHISY LITRE</v>
          </cell>
        </row>
        <row r="1608">
          <cell r="A1608">
            <v>2915</v>
          </cell>
          <cell r="B1608" t="str">
            <v>WOOSH 9000 PUFFS BLUE RAZZ </v>
          </cell>
        </row>
        <row r="1609">
          <cell r="A1609">
            <v>2265</v>
          </cell>
          <cell r="B1609" t="str">
            <v>BLUE MOON 750ML</v>
          </cell>
        </row>
        <row r="1610">
          <cell r="A1610">
            <v>250</v>
          </cell>
          <cell r="B1610" t="str">
            <v>BLUE CURACAO LIQUEUR 750ML</v>
          </cell>
        </row>
        <row r="1611">
          <cell r="A1611">
            <v>243</v>
          </cell>
          <cell r="B1611" t="str">
            <v>BLOOM LONDON DRY GIN 1LTR</v>
          </cell>
        </row>
        <row r="1612">
          <cell r="A1612">
            <v>242</v>
          </cell>
          <cell r="B1612" t="str">
            <v>BLOOM JASMINE &amp; ROSE GIN 700ML</v>
          </cell>
        </row>
        <row r="1613">
          <cell r="A1613">
            <v>2264</v>
          </cell>
          <cell r="B1613" t="str">
            <v>BLACK STALLION 750ML</v>
          </cell>
        </row>
        <row r="1614">
          <cell r="A1614">
            <v>238</v>
          </cell>
          <cell r="B1614" t="str">
            <v>BLACK RAM WHISKY HONEY 700ML</v>
          </cell>
        </row>
        <row r="1615">
          <cell r="A1615">
            <v>237</v>
          </cell>
          <cell r="B1615" t="str">
            <v>BLACK RAM WHISKY 700ML</v>
          </cell>
        </row>
        <row r="1616">
          <cell r="A1616">
            <v>236</v>
          </cell>
          <cell r="B1616" t="str">
            <v>BLACK RAM WHISKY 1LTR</v>
          </cell>
        </row>
        <row r="1617">
          <cell r="A1617">
            <v>2793</v>
          </cell>
          <cell r="B1617" t="str">
            <v>BLACK RAM HONEY 1 LITRE</v>
          </cell>
        </row>
        <row r="1618">
          <cell r="A1618">
            <v>2792</v>
          </cell>
          <cell r="B1618" t="str">
            <v>BLACK RAM BOURBON FINISH 700 ML</v>
          </cell>
        </row>
        <row r="1619">
          <cell r="A1619">
            <v>2791</v>
          </cell>
          <cell r="B1619" t="str">
            <v>BLACK RAM BOURBON FINISH 1 LITRE</v>
          </cell>
        </row>
        <row r="1620">
          <cell r="A1620">
            <v>2794</v>
          </cell>
          <cell r="B1620" t="str">
            <v>BLACK RAM APPLE 1 LITRE</v>
          </cell>
        </row>
        <row r="1621">
          <cell r="A1621">
            <v>235</v>
          </cell>
          <cell r="B1621" t="str">
            <v>BLACK BIRD SWEET WHITE 750ML</v>
          </cell>
        </row>
        <row r="1622">
          <cell r="A1622">
            <v>234</v>
          </cell>
          <cell r="B1622" t="str">
            <v>BLACK BIRD SWEET ROSE 750ML</v>
          </cell>
        </row>
        <row r="1623">
          <cell r="A1623">
            <v>233</v>
          </cell>
          <cell r="B1623" t="str">
            <v>BLACK BIRD SWEET RED 750ML</v>
          </cell>
        </row>
        <row r="1624">
          <cell r="A1624">
            <v>232</v>
          </cell>
          <cell r="B1624" t="str">
            <v>BLACK &amp; WHITE WHISKY 750ML</v>
          </cell>
        </row>
        <row r="1625">
          <cell r="A1625">
            <v>231</v>
          </cell>
          <cell r="B1625" t="str">
            <v>BLACK &amp; WHITE WHISKY 375ML</v>
          </cell>
        </row>
        <row r="1626">
          <cell r="A1626">
            <v>229</v>
          </cell>
          <cell r="B1626" t="str">
            <v>BLACK &amp; WHITE WHISKY 1LTR</v>
          </cell>
        </row>
        <row r="1627">
          <cell r="A1627">
            <v>228</v>
          </cell>
          <cell r="B1627" t="str">
            <v> BITOLA RED 750ML</v>
          </cell>
        </row>
        <row r="1628">
          <cell r="A1628">
            <v>227</v>
          </cell>
          <cell r="B1628" t="str">
            <v>BIRDS N BEES SWEET WHITE 750ML</v>
          </cell>
        </row>
        <row r="1629">
          <cell r="A1629">
            <v>226</v>
          </cell>
          <cell r="B1629" t="str">
            <v>BIRDS N BEES SWEET RED 750ML</v>
          </cell>
        </row>
        <row r="1630">
          <cell r="A1630">
            <v>225</v>
          </cell>
          <cell r="B1630" t="str">
            <v>BIG OAK  RED 750ML</v>
          </cell>
        </row>
        <row r="1631">
          <cell r="A1631">
            <v>2263</v>
          </cell>
          <cell r="B1631" t="str">
            <v>BIG OAK RED 1LTR</v>
          </cell>
        </row>
        <row r="1632">
          <cell r="A1632">
            <v>2416</v>
          </cell>
          <cell r="B1632" t="str">
            <v>ROSSO BIANCO NOBILE ALLA VANIGLIA 750ML</v>
          </cell>
        </row>
        <row r="1633">
          <cell r="A1633">
            <v>223</v>
          </cell>
          <cell r="B1633" t="str">
            <v>BEST WHISKY 750ML</v>
          </cell>
        </row>
        <row r="1634">
          <cell r="A1634">
            <v>222</v>
          </cell>
          <cell r="B1634" t="str">
            <v>BEST WHISKY 250ML</v>
          </cell>
        </row>
        <row r="1635">
          <cell r="A1635">
            <v>221</v>
          </cell>
          <cell r="B1635" t="str">
            <v>BEST VODKA 750ML</v>
          </cell>
        </row>
        <row r="1636">
          <cell r="A1636">
            <v>220</v>
          </cell>
          <cell r="B1636" t="str">
            <v>BEST VODKA 250ML</v>
          </cell>
        </row>
        <row r="1637">
          <cell r="A1637">
            <v>219</v>
          </cell>
          <cell r="B1637" t="str">
            <v>BEST GIN 750ML</v>
          </cell>
        </row>
        <row r="1638">
          <cell r="A1638">
            <v>218</v>
          </cell>
          <cell r="B1638" t="str">
            <v>BEST GIN 250ML</v>
          </cell>
        </row>
        <row r="1639">
          <cell r="A1639">
            <v>217</v>
          </cell>
          <cell r="B1639" t="str">
            <v>BEST CREAM 750ML</v>
          </cell>
        </row>
        <row r="1640">
          <cell r="A1640">
            <v>215</v>
          </cell>
          <cell r="B1640" t="str">
            <v>BERTRAMS VO OLD 750ML</v>
          </cell>
        </row>
        <row r="1641">
          <cell r="A1641">
            <v>214</v>
          </cell>
          <cell r="B1641" t="str">
            <v>BERTRAMS TRIPLE 'R' BRANDY 750ML</v>
          </cell>
        </row>
        <row r="1642">
          <cell r="A1642">
            <v>213</v>
          </cell>
          <cell r="B1642" t="str">
            <v>BERKSHIRE 500ML</v>
          </cell>
        </row>
        <row r="1643">
          <cell r="A1643">
            <v>2262</v>
          </cell>
          <cell r="B1643" t="str">
            <v>BENARD LANCLAS BRUT 750ML</v>
          </cell>
        </row>
        <row r="1644">
          <cell r="A1644">
            <v>210</v>
          </cell>
          <cell r="B1644" t="str">
            <v>BELVEDERE VODKA 750ML</v>
          </cell>
        </row>
        <row r="1645">
          <cell r="A1645">
            <v>209</v>
          </cell>
          <cell r="B1645" t="str">
            <v>BELVEDERE VODKA 1LTR</v>
          </cell>
        </row>
        <row r="1646">
          <cell r="A1646">
            <v>208</v>
          </cell>
          <cell r="B1646" t="str">
            <v>BELVEDERE SMOGORY FOREST 1LTR</v>
          </cell>
        </row>
        <row r="1647">
          <cell r="A1647">
            <v>205</v>
          </cell>
          <cell r="B1647" t="str">
            <v>BELUGA NOBLE 1ltr</v>
          </cell>
        </row>
        <row r="1648">
          <cell r="A1648">
            <v>203</v>
          </cell>
          <cell r="B1648" t="str">
            <v>BELLS 750ML</v>
          </cell>
        </row>
        <row r="1649">
          <cell r="A1649">
            <v>2486</v>
          </cell>
          <cell r="B1649" t="str">
            <v>BELLINGHAM PREMIER GRANC CRU 750ML</v>
          </cell>
        </row>
        <row r="1650">
          <cell r="A1650">
            <v>197</v>
          </cell>
          <cell r="B1650" t="str">
            <v>BELLINGHAM HOMESTEAD SAUV BLANC 750ML</v>
          </cell>
        </row>
        <row r="1651">
          <cell r="A1651">
            <v>196</v>
          </cell>
          <cell r="B1651" t="str">
            <v>BELLINGHAM HOMESTEAD PINOTAGE 750ML</v>
          </cell>
        </row>
        <row r="1652">
          <cell r="A1652">
            <v>2210</v>
          </cell>
          <cell r="B1652" t="str">
            <v>BELLINGHAM HOMESTEAD GRAND CRU 750ML</v>
          </cell>
        </row>
        <row r="1653">
          <cell r="A1653">
            <v>195</v>
          </cell>
          <cell r="B1653" t="str">
            <v>BELLINGHAM HOMESTEAD CHARDONNAY 750ML</v>
          </cell>
        </row>
        <row r="1654">
          <cell r="A1654">
            <v>192</v>
          </cell>
          <cell r="B1654" t="str">
            <v>BEEHIVE VSOP BRANDY 1LTR</v>
          </cell>
        </row>
        <row r="1655">
          <cell r="A1655">
            <v>191</v>
          </cell>
          <cell r="B1655" t="str">
            <v>BEEFEATER PINK LONDON DRY GIN 750ML</v>
          </cell>
        </row>
        <row r="1656">
          <cell r="A1656">
            <v>190</v>
          </cell>
          <cell r="B1656" t="str">
            <v>BEEFEATER PINK GIN 1LTR</v>
          </cell>
        </row>
        <row r="1657">
          <cell r="A1657">
            <v>189</v>
          </cell>
          <cell r="B1657" t="str">
            <v>BEEFEATER LONDON DRY GIN 350ML</v>
          </cell>
        </row>
        <row r="1658">
          <cell r="A1658">
            <v>188</v>
          </cell>
          <cell r="B1658" t="str">
            <v>BEEFEATER CLEAR LONDON DRY GIN 750ML</v>
          </cell>
        </row>
        <row r="1659">
          <cell r="A1659">
            <v>187</v>
          </cell>
          <cell r="B1659" t="str">
            <v>BEEFEATER CLEAR LONDON DRY GIN 1LTR</v>
          </cell>
        </row>
        <row r="1660">
          <cell r="A1660">
            <v>2261</v>
          </cell>
          <cell r="B1660" t="str">
            <v>BEEFEATER BLOOD ORANGE 750ML</v>
          </cell>
        </row>
        <row r="1661">
          <cell r="A1661">
            <v>182</v>
          </cell>
          <cell r="B1661" t="str">
            <v>BARON DE VALLS SPARKLING WHITE WINE 750ML</v>
          </cell>
        </row>
        <row r="1662">
          <cell r="A1662">
            <v>2484</v>
          </cell>
          <cell r="B1662" t="str">
            <v>BARON DE RUBI SPARKLING WHITE BRUT 750ML</v>
          </cell>
        </row>
        <row r="1663">
          <cell r="A1663">
            <v>2483</v>
          </cell>
          <cell r="B1663" t="str">
            <v>BARON DE RUBI CAB SAV SWEET RED 750ML</v>
          </cell>
        </row>
        <row r="1664">
          <cell r="A1664">
            <v>2260</v>
          </cell>
          <cell r="B1664" t="str">
            <v>BARON DE LIRONDEAU BLANC 750ML</v>
          </cell>
        </row>
        <row r="1665">
          <cell r="A1665">
            <v>181</v>
          </cell>
          <cell r="B1665" t="str">
            <v>BARON DE LESTAC BORDEAUX 750ML</v>
          </cell>
        </row>
        <row r="1666">
          <cell r="A1666">
            <v>178</v>
          </cell>
          <cell r="B1666" t="str">
            <v>BARON D' ARIGNAC ASSORTED 5LTRS</v>
          </cell>
        </row>
        <row r="1667">
          <cell r="A1667">
            <v>177</v>
          </cell>
          <cell r="B1667" t="str">
            <v>BAREFOOT MERLOT 750ML</v>
          </cell>
        </row>
        <row r="1668">
          <cell r="A1668">
            <v>176</v>
          </cell>
          <cell r="B1668" t="str">
            <v>BAREFOOT CHARDONNAY 750ML</v>
          </cell>
        </row>
        <row r="1669">
          <cell r="A1669">
            <v>2351</v>
          </cell>
          <cell r="B1669" t="str">
            <v>BARDINET TRIPLE SEC 750ML</v>
          </cell>
        </row>
        <row r="1670">
          <cell r="A1670">
            <v>2440</v>
          </cell>
          <cell r="B1670" t="str">
            <v>BARDINET CREME DE CAFE 750ML</v>
          </cell>
        </row>
        <row r="1671">
          <cell r="A1671">
            <v>2350</v>
          </cell>
          <cell r="B1671" t="str">
            <v>BARDINET CREME DE BANANA 750ML</v>
          </cell>
        </row>
        <row r="1672">
          <cell r="A1672">
            <v>2352</v>
          </cell>
          <cell r="B1672" t="str">
            <v>BARDINET CHERRY 750ML</v>
          </cell>
        </row>
        <row r="1673">
          <cell r="A1673">
            <v>174</v>
          </cell>
          <cell r="B1673" t="str">
            <v>BARDINET BRANDY VSOP 1ltr</v>
          </cell>
        </row>
        <row r="1674">
          <cell r="A1674">
            <v>2353</v>
          </cell>
          <cell r="B1674" t="str">
            <v>BARDINET BLUE CURACAO 750ML</v>
          </cell>
        </row>
        <row r="1675">
          <cell r="A1675">
            <v>172</v>
          </cell>
          <cell r="B1675" t="str">
            <v>BARCARDI OAKHEART RUM 1LTR</v>
          </cell>
        </row>
        <row r="1676">
          <cell r="A1676">
            <v>2240</v>
          </cell>
          <cell r="B1676" t="str">
            <v>BARCADI OAKHEART 700ML</v>
          </cell>
        </row>
        <row r="1677">
          <cell r="A1677">
            <v>170</v>
          </cell>
          <cell r="B1677" t="str">
            <v>BALOZI CANS 500ML</v>
          </cell>
        </row>
        <row r="1678">
          <cell r="A1678">
            <v>168</v>
          </cell>
          <cell r="B1678" t="str">
            <v>BALLANTINES FINEST WHISKY 750ml</v>
          </cell>
        </row>
        <row r="1679">
          <cell r="A1679">
            <v>167</v>
          </cell>
          <cell r="B1679" t="str">
            <v>BALLANTINES FINEST WHISKY 1LTR</v>
          </cell>
        </row>
        <row r="1680">
          <cell r="A1680">
            <v>166</v>
          </cell>
          <cell r="B1680" t="str">
            <v>BALLANTINES FINEST WHISKY 12YRS 750ml</v>
          </cell>
        </row>
        <row r="1681">
          <cell r="A1681">
            <v>162</v>
          </cell>
          <cell r="B1681" t="str">
            <v>BALLANTINE'S FINEST 21YRS WHISKY 700ML</v>
          </cell>
        </row>
        <row r="1682">
          <cell r="A1682">
            <v>169</v>
          </cell>
          <cell r="B1682" t="str">
            <v>BALLANTINES 375ML</v>
          </cell>
        </row>
        <row r="1683">
          <cell r="A1683">
            <v>2575</v>
          </cell>
          <cell r="B1683" t="str">
            <v>BALLANTINE BRASIL 750ML</v>
          </cell>
        </row>
        <row r="1684">
          <cell r="A1684">
            <v>158</v>
          </cell>
          <cell r="B1684" t="str">
            <v>BAIN'S WAY SWEET RED 750ML</v>
          </cell>
        </row>
        <row r="1685">
          <cell r="A1685">
            <v>157</v>
          </cell>
          <cell r="B1685" t="str">
            <v>BAILEYS VANILLA 1LTR</v>
          </cell>
        </row>
        <row r="1686">
          <cell r="A1686">
            <v>156</v>
          </cell>
          <cell r="B1686" t="str">
            <v>BAILEYS STRAWBERRY CREAM 700ML</v>
          </cell>
        </row>
        <row r="1687">
          <cell r="A1687">
            <v>155</v>
          </cell>
          <cell r="B1687" t="str">
            <v>BAILEYS SALTED CARAMEL 700ML</v>
          </cell>
        </row>
        <row r="1688">
          <cell r="A1688">
            <v>154</v>
          </cell>
          <cell r="B1688" t="str">
            <v>BAILEYS RED VELVET 700ML</v>
          </cell>
        </row>
        <row r="1689">
          <cell r="A1689">
            <v>2936</v>
          </cell>
          <cell r="B1689" t="str">
            <v>BAILEYS MINT CHOCOLATE 1L</v>
          </cell>
        </row>
        <row r="1690">
          <cell r="A1690">
            <v>153</v>
          </cell>
          <cell r="B1690" t="str">
            <v>BAILEYS EXPRESSO CRÈME 1LTR</v>
          </cell>
        </row>
        <row r="1691">
          <cell r="A1691">
            <v>151</v>
          </cell>
          <cell r="B1691" t="str">
            <v>BAILEYS DELIGHT 750ML</v>
          </cell>
        </row>
        <row r="1692">
          <cell r="A1692">
            <v>150</v>
          </cell>
          <cell r="B1692" t="str">
            <v>BAILEYS CREAM 750ML</v>
          </cell>
        </row>
        <row r="1693">
          <cell r="A1693">
            <v>148</v>
          </cell>
          <cell r="B1693" t="str">
            <v>BAILEYS CREAM 1LTR</v>
          </cell>
        </row>
        <row r="1694">
          <cell r="A1694">
            <v>146</v>
          </cell>
          <cell r="B1694" t="str">
            <v>BACARDI SUPERIOR  350ML</v>
          </cell>
        </row>
        <row r="1695">
          <cell r="A1695">
            <v>145</v>
          </cell>
          <cell r="B1695" t="str">
            <v>BACARDI RUM SPICED 700ML</v>
          </cell>
        </row>
        <row r="1696">
          <cell r="A1696">
            <v>144</v>
          </cell>
          <cell r="B1696" t="str">
            <v>BACARDI RAZZ 1LTR</v>
          </cell>
        </row>
        <row r="1697">
          <cell r="A1697">
            <v>2467</v>
          </cell>
          <cell r="B1697" t="str">
            <v>BACARDI LIMON 1 LITRE</v>
          </cell>
        </row>
        <row r="1698">
          <cell r="A1698">
            <v>2975</v>
          </cell>
          <cell r="B1698" t="str">
            <v>BACARDI LIMON 750ML</v>
          </cell>
        </row>
        <row r="1699">
          <cell r="A1699">
            <v>143</v>
          </cell>
          <cell r="B1699" t="str">
            <v>BACARDI CARTA ORO GOLD 750ML</v>
          </cell>
        </row>
        <row r="1700">
          <cell r="A1700">
            <v>142</v>
          </cell>
          <cell r="B1700" t="str">
            <v>BACARDI CARTA ORO GOLD 1LTR</v>
          </cell>
        </row>
        <row r="1701">
          <cell r="A1701">
            <v>141</v>
          </cell>
          <cell r="B1701" t="str">
            <v>BACARDI CARTA NEGRA 750ML</v>
          </cell>
        </row>
        <row r="1702">
          <cell r="A1702">
            <v>140</v>
          </cell>
          <cell r="B1702" t="str">
            <v>BACARDI CARTA NEGRA 1ltr</v>
          </cell>
        </row>
        <row r="1703">
          <cell r="A1703">
            <v>139</v>
          </cell>
          <cell r="B1703" t="str">
            <v>BACARDI CARTA BLANCA WHITE 1LTR</v>
          </cell>
        </row>
        <row r="1704">
          <cell r="A1704">
            <v>138</v>
          </cell>
          <cell r="B1704" t="str">
            <v>BACARDI CARTA BLANCA 700 ML</v>
          </cell>
        </row>
        <row r="1705">
          <cell r="A1705">
            <v>137</v>
          </cell>
          <cell r="B1705" t="str">
            <v>BACARDI BLACK 750ML</v>
          </cell>
        </row>
        <row r="1706">
          <cell r="A1706">
            <v>136</v>
          </cell>
          <cell r="B1706" t="str">
            <v>BACARDI BLACK 1LTR</v>
          </cell>
        </row>
        <row r="1707">
          <cell r="A1707">
            <v>2466</v>
          </cell>
          <cell r="B1707" t="str">
            <v>B&amp;G MERLOT IGP PAYS DOC 750ML</v>
          </cell>
        </row>
        <row r="1708">
          <cell r="A1708">
            <v>2465</v>
          </cell>
          <cell r="B1708" t="str">
            <v>B&amp;G MALBEC IGP PAYS DOC 750ML</v>
          </cell>
        </row>
        <row r="1709">
          <cell r="A1709">
            <v>2464</v>
          </cell>
          <cell r="B1709" t="str">
            <v>B&amp;G CAB SAV IGP PAYS DOC 750ML</v>
          </cell>
        </row>
        <row r="1710">
          <cell r="A1710">
            <v>2463</v>
          </cell>
          <cell r="B1710" t="str">
            <v>B&amp;G BORDEAUX ROUGE 750ML</v>
          </cell>
        </row>
        <row r="1711">
          <cell r="A1711">
            <v>2462</v>
          </cell>
          <cell r="B1711" t="str">
            <v>B&amp;G BORDEAUX MEDOC 750ML</v>
          </cell>
        </row>
        <row r="1712">
          <cell r="A1712">
            <v>2461</v>
          </cell>
          <cell r="B1712" t="str">
            <v>B&amp;G BISTRO SAUVIGNON BLANC 750ML</v>
          </cell>
        </row>
        <row r="1713">
          <cell r="A1713">
            <v>2460</v>
          </cell>
          <cell r="B1713" t="str">
            <v>B&amp;G AOP CHATEAUNEUF DU PAPE 750ML</v>
          </cell>
        </row>
        <row r="1714">
          <cell r="A1714">
            <v>2879</v>
          </cell>
          <cell r="B1714" t="str">
            <v>AVALON VODKA 750ML</v>
          </cell>
        </row>
        <row r="1715">
          <cell r="A1715">
            <v>2878</v>
          </cell>
          <cell r="B1715" t="str">
            <v>AVALON VODKA 250ML</v>
          </cell>
        </row>
        <row r="1716">
          <cell r="A1716">
            <v>2877</v>
          </cell>
          <cell r="B1716" t="str">
            <v>AVALON PREMIUM WHISKY 750ML</v>
          </cell>
        </row>
        <row r="1717">
          <cell r="A1717">
            <v>2875</v>
          </cell>
          <cell r="B1717" t="str">
            <v>AVALON PREMIUM WHISKY 250ML</v>
          </cell>
        </row>
        <row r="1718">
          <cell r="A1718">
            <v>2876</v>
          </cell>
          <cell r="B1718" t="str">
            <v>AVALON GIN 750ML</v>
          </cell>
        </row>
        <row r="1719">
          <cell r="A1719">
            <v>2874</v>
          </cell>
          <cell r="B1719" t="str">
            <v>AVALON GIN 250ML</v>
          </cell>
        </row>
        <row r="1720">
          <cell r="A1720">
            <v>134</v>
          </cell>
          <cell r="B1720" t="str">
            <v>AUSTRALIAN BUSH SHIRAZ 750ML</v>
          </cell>
        </row>
        <row r="1721">
          <cell r="A1721">
            <v>133</v>
          </cell>
          <cell r="B1721" t="str">
            <v>AUSTRALIAN BUSH SHIRAZ 3LTR</v>
          </cell>
        </row>
        <row r="1722">
          <cell r="A1722">
            <v>132</v>
          </cell>
          <cell r="B1722" t="str">
            <v>AUSTRALIAN BUSH CHARDONNAY 750ML</v>
          </cell>
        </row>
        <row r="1723">
          <cell r="A1723">
            <v>2386</v>
          </cell>
          <cell r="B1723" t="str">
            <v>AUSTRALIAN BUSH CHARDONNAY 3LTR</v>
          </cell>
        </row>
        <row r="1724">
          <cell r="A1724">
            <v>131</v>
          </cell>
          <cell r="B1724" t="str">
            <v>AUCHENTOSHAN WHISKY 750ML</v>
          </cell>
        </row>
        <row r="1725">
          <cell r="A1725">
            <v>2259</v>
          </cell>
          <cell r="B1725" t="str">
            <v>AUCHENTOSHAN AMERICAN  OAK 700ML</v>
          </cell>
        </row>
        <row r="1726">
          <cell r="A1726">
            <v>2258</v>
          </cell>
          <cell r="B1726" t="str">
            <v>AUCHENTOSHAN 12YRS 700ML</v>
          </cell>
        </row>
        <row r="1727">
          <cell r="A1727">
            <v>127</v>
          </cell>
          <cell r="B1727" t="str">
            <v>ASCONI WINERY MOSCAT 700ML</v>
          </cell>
        </row>
        <row r="1728">
          <cell r="A1728">
            <v>126</v>
          </cell>
          <cell r="B1728" t="str">
            <v>ASCONI WINERY MERLOT 700ML</v>
          </cell>
        </row>
        <row r="1729">
          <cell r="A1729">
            <v>125</v>
          </cell>
          <cell r="B1729" t="str">
            <v>ASCONI WINERY CAB SAUV 700ML</v>
          </cell>
        </row>
        <row r="1730">
          <cell r="A1730">
            <v>2899</v>
          </cell>
          <cell r="B1730" t="str">
            <v>Asconi Sweet Flavored Strawberry Rose Wine</v>
          </cell>
        </row>
        <row r="1731">
          <cell r="A1731">
            <v>2898</v>
          </cell>
          <cell r="B1731" t="str">
            <v>Asconi Sweet Flavored Peach White Wine</v>
          </cell>
        </row>
        <row r="1732">
          <cell r="A1732">
            <v>2897</v>
          </cell>
          <cell r="B1732" t="str">
            <v>Asconi Sweet Flavored Passion Fruit White Wine</v>
          </cell>
        </row>
        <row r="1733">
          <cell r="A1733">
            <v>2896</v>
          </cell>
          <cell r="B1733" t="str">
            <v>Asconi Sweet Flavored Grapefruit Red Wine</v>
          </cell>
        </row>
        <row r="1734">
          <cell r="A1734">
            <v>2895</v>
          </cell>
          <cell r="B1734" t="str">
            <v>Asconi Sweet Flavored Chocolate Red Wine</v>
          </cell>
        </row>
        <row r="1735">
          <cell r="A1735">
            <v>124</v>
          </cell>
          <cell r="B1735" t="str">
            <v>ASCONI RED-SEMIDRY WINE 750ML</v>
          </cell>
        </row>
        <row r="1736">
          <cell r="A1736">
            <v>2893</v>
          </cell>
          <cell r="B1736" t="str">
            <v>Asconi Prestige White Semisweet Wine</v>
          </cell>
        </row>
        <row r="1737">
          <cell r="A1737">
            <v>2894</v>
          </cell>
          <cell r="B1737" t="str">
            <v>Asconi Prestige Red Semisweet Wine</v>
          </cell>
        </row>
        <row r="1738">
          <cell r="A1738">
            <v>123</v>
          </cell>
          <cell r="B1738" t="str">
            <v>ASCONI PASTORAL WINE 750ML</v>
          </cell>
        </row>
        <row r="1739">
          <cell r="A1739">
            <v>2377</v>
          </cell>
          <cell r="B1739" t="str">
            <v>ASCONI MUSCAT SWEET WHITE 750ML</v>
          </cell>
        </row>
        <row r="1740">
          <cell r="A1740">
            <v>2378</v>
          </cell>
          <cell r="B1740" t="str">
            <v>ASCONI MOSCATO SWEET WHITE 750ML</v>
          </cell>
        </row>
        <row r="1741">
          <cell r="A1741">
            <v>122</v>
          </cell>
          <cell r="B1741" t="str">
            <v>ASCONI MOSCATO ROSE 750ML</v>
          </cell>
        </row>
        <row r="1742">
          <cell r="A1742">
            <v>121</v>
          </cell>
          <cell r="B1742" t="str">
            <v>ASCONI MOSCATO 750ML</v>
          </cell>
        </row>
        <row r="1743">
          <cell r="A1743">
            <v>120</v>
          </cell>
          <cell r="B1743" t="str">
            <v>ASCONI KISS ME NOW MERLOT 750ML</v>
          </cell>
        </row>
        <row r="1744">
          <cell r="A1744">
            <v>119</v>
          </cell>
          <cell r="B1744" t="str">
            <v>ASCONI KISS ME NOW CARBERNET 750ML</v>
          </cell>
        </row>
        <row r="1745">
          <cell r="A1745">
            <v>2209</v>
          </cell>
          <cell r="B1745" t="str">
            <v>ASCONI CAB SAUV ROSE 750ML</v>
          </cell>
        </row>
        <row r="1746">
          <cell r="A1746">
            <v>2208</v>
          </cell>
          <cell r="B1746" t="str">
            <v>ASCONI CAB SAUV MERLOT 750ML</v>
          </cell>
        </row>
        <row r="1747">
          <cell r="A1747">
            <v>118</v>
          </cell>
          <cell r="B1747" t="str">
            <v>ASCONI AGOR LUX 750ML</v>
          </cell>
        </row>
        <row r="1748">
          <cell r="A1748">
            <v>2514</v>
          </cell>
          <cell r="B1748" t="str">
            <v>ARTHUR METS CREMANT DALSACE ROSE 750ML</v>
          </cell>
        </row>
        <row r="1749">
          <cell r="A1749">
            <v>2499</v>
          </cell>
          <cell r="B1749" t="str">
            <v>ARNISTON BAY SHIRAZ 750ML</v>
          </cell>
        </row>
        <row r="1750">
          <cell r="A1750">
            <v>2500</v>
          </cell>
          <cell r="B1750" t="str">
            <v>ARNISTON BAY SAUVIGNON 750ML</v>
          </cell>
        </row>
        <row r="1751">
          <cell r="A1751">
            <v>2498</v>
          </cell>
          <cell r="B1751" t="str">
            <v>ARNISTON BAY ROSE 750ML</v>
          </cell>
        </row>
        <row r="1752">
          <cell r="A1752">
            <v>116</v>
          </cell>
          <cell r="B1752" t="str">
            <v>ARNISTON BAY RED 750ML</v>
          </cell>
        </row>
        <row r="1753">
          <cell r="A1753">
            <v>115</v>
          </cell>
          <cell r="B1753" t="str">
            <v>ARNEGUI VIURA BLANC 750ML</v>
          </cell>
        </row>
        <row r="1754">
          <cell r="A1754">
            <v>114</v>
          </cell>
          <cell r="B1754" t="str">
            <v>ARNEGUI RIOJA 750ML</v>
          </cell>
        </row>
        <row r="1755">
          <cell r="A1755">
            <v>113</v>
          </cell>
          <cell r="B1755" t="str">
            <v>ARMAND DE BRIGNAC ROSE 750ML</v>
          </cell>
        </row>
        <row r="1756">
          <cell r="A1756">
            <v>2796</v>
          </cell>
          <cell r="B1756" t="str">
            <v>ARMAND DE BRIGNAC BRUT GOLD 750ML</v>
          </cell>
        </row>
        <row r="1757">
          <cell r="A1757">
            <v>2207</v>
          </cell>
          <cell r="B1757" t="str">
            <v>ARGENTO TORRONTES 750ML</v>
          </cell>
        </row>
        <row r="1758">
          <cell r="A1758">
            <v>112</v>
          </cell>
          <cell r="B1758" t="str">
            <v>ARGENTO SHIRAZ 750ml</v>
          </cell>
        </row>
        <row r="1759">
          <cell r="A1759">
            <v>111</v>
          </cell>
          <cell r="B1759" t="str">
            <v>ARGENTO RESERVA MALBEC 750ml</v>
          </cell>
        </row>
        <row r="1760">
          <cell r="A1760">
            <v>110</v>
          </cell>
          <cell r="B1760" t="str">
            <v>ARGENTO ORGANIC MALBEC 750ml</v>
          </cell>
        </row>
        <row r="1761">
          <cell r="A1761">
            <v>2178</v>
          </cell>
          <cell r="B1761" t="str">
            <v>ARCADIA DEMI SEC 750ML</v>
          </cell>
        </row>
        <row r="1762">
          <cell r="A1762">
            <v>2820</v>
          </cell>
          <cell r="B1762" t="str">
            <v>APPLETON ESTATE 12 YEARS LITRE</v>
          </cell>
        </row>
        <row r="1763">
          <cell r="A1763">
            <v>106</v>
          </cell>
          <cell r="B1763" t="str">
            <v>APEROL APERITIF 700ml</v>
          </cell>
        </row>
        <row r="1764">
          <cell r="A1764">
            <v>105</v>
          </cell>
          <cell r="B1764" t="str">
            <v>APEROL 1LTR</v>
          </cell>
        </row>
        <row r="1765">
          <cell r="A1765">
            <v>104</v>
          </cell>
          <cell r="B1765" t="str">
            <v>ANGOVE SAV BLANC 750ML</v>
          </cell>
        </row>
        <row r="1766">
          <cell r="A1766">
            <v>2176</v>
          </cell>
          <cell r="B1766" t="str">
            <v>ANGOVE RIESLING 750ML</v>
          </cell>
        </row>
        <row r="1767">
          <cell r="A1767">
            <v>2177</v>
          </cell>
          <cell r="B1767" t="str">
            <v>ANGOVE  MCLAREN VALE SHIRAZ 2016 750ML</v>
          </cell>
        </row>
        <row r="1768">
          <cell r="A1768">
            <v>99</v>
          </cell>
          <cell r="B1768" t="str">
            <v>ANGOSTURA 200ML</v>
          </cell>
        </row>
        <row r="1769">
          <cell r="A1769">
            <v>98</v>
          </cell>
          <cell r="B1769" t="str">
            <v>ANGELO RED 750ML</v>
          </cell>
        </row>
        <row r="1770">
          <cell r="A1770">
            <v>97</v>
          </cell>
          <cell r="B1770" t="str">
            <v>ANDRE RUBY RED 750ML</v>
          </cell>
        </row>
        <row r="1771">
          <cell r="A1771">
            <v>2385</v>
          </cell>
          <cell r="B1771" t="str">
            <v>ANDRE MOSCATO SPUMANTE 750ML</v>
          </cell>
        </row>
        <row r="1772">
          <cell r="A1772">
            <v>96</v>
          </cell>
          <cell r="B1772" t="str">
            <v>ANDRE MOSCATO 750ML</v>
          </cell>
        </row>
        <row r="1773">
          <cell r="A1773">
            <v>2971</v>
          </cell>
          <cell r="B1773" t="str">
            <v>AMSTERDAM CANNABIS SATIVA VODKA 700ML</v>
          </cell>
        </row>
        <row r="1774">
          <cell r="A1774">
            <v>2955</v>
          </cell>
          <cell r="B1774" t="str">
            <v>AMSTERDAM CANNABIS SATIVA RUM 700ML</v>
          </cell>
        </row>
        <row r="1775">
          <cell r="A1775">
            <v>2871</v>
          </cell>
          <cell r="B1775" t="str">
            <v>AMRUT SINGLE MALT WHISKY 700ML</v>
          </cell>
        </row>
        <row r="1776">
          <cell r="A1776">
            <v>2843</v>
          </cell>
          <cell r="B1776" t="str">
            <v>AMARULA RASPBERRY CHOCOLATE 750ML  </v>
          </cell>
        </row>
        <row r="1777">
          <cell r="A1777">
            <v>94</v>
          </cell>
          <cell r="B1777" t="str">
            <v>AMARULA RASPBERRY CHOCOLATE 1LTR</v>
          </cell>
        </row>
        <row r="1778">
          <cell r="A1778">
            <v>93</v>
          </cell>
          <cell r="B1778" t="str">
            <v>AMARULA ETHIOPIAN COFFFE 750ML</v>
          </cell>
        </row>
        <row r="1779">
          <cell r="A1779">
            <v>92</v>
          </cell>
          <cell r="B1779" t="str">
            <v>AMARULA 750ML</v>
          </cell>
        </row>
        <row r="1780">
          <cell r="A1780">
            <v>91</v>
          </cell>
          <cell r="B1780" t="str">
            <v>AMARULA 375ML</v>
          </cell>
        </row>
        <row r="1781">
          <cell r="A1781">
            <v>90</v>
          </cell>
          <cell r="B1781" t="str">
            <v>AMARULA 1LTR</v>
          </cell>
        </row>
        <row r="1782">
          <cell r="A1782">
            <v>2588</v>
          </cell>
          <cell r="B1782" t="str">
            <v>AMARONE VALPOLI RED 750ML</v>
          </cell>
        </row>
        <row r="1783">
          <cell r="A1783">
            <v>89</v>
          </cell>
          <cell r="B1783" t="str">
            <v>AMANI BAY SMOOTH RED 750ML</v>
          </cell>
        </row>
        <row r="1784">
          <cell r="A1784">
            <v>88</v>
          </cell>
          <cell r="B1784" t="str">
            <v>AMANI BAY NATURAL SWEET WHITE 750ML</v>
          </cell>
        </row>
        <row r="1785">
          <cell r="A1785">
            <v>87</v>
          </cell>
          <cell r="B1785" t="str">
            <v>AMANI BAY NATURAL SWEET ROSE 750ML</v>
          </cell>
        </row>
        <row r="1786">
          <cell r="A1786">
            <v>86</v>
          </cell>
          <cell r="B1786" t="str">
            <v>AMANI BAY NATURAL SWEET RED 750ML</v>
          </cell>
        </row>
        <row r="1787">
          <cell r="A1787">
            <v>85</v>
          </cell>
          <cell r="B1787" t="str">
            <v>AMANI BAY FRESH WHITE 750ML</v>
          </cell>
        </row>
        <row r="1788">
          <cell r="A1788">
            <v>84</v>
          </cell>
          <cell r="B1788" t="str">
            <v>AMANI BAY DRY ROSE 750ML</v>
          </cell>
        </row>
        <row r="1789">
          <cell r="A1789">
            <v>2301</v>
          </cell>
          <cell r="B1789" t="str">
            <v>AMA LA VIDA SWEET WHITE 750ML</v>
          </cell>
        </row>
        <row r="1790">
          <cell r="A1790">
            <v>2175</v>
          </cell>
          <cell r="B1790" t="str">
            <v>AMA LA VIDA SIGNATURE SWT RED 750ML</v>
          </cell>
        </row>
        <row r="1791">
          <cell r="A1791">
            <v>83</v>
          </cell>
          <cell r="B1791" t="str">
            <v>ALTAR WINE 750ml</v>
          </cell>
        </row>
        <row r="1792">
          <cell r="A1792">
            <v>2973</v>
          </cell>
          <cell r="B1792" t="str">
            <v>ALTA AZUL TEQUILA REPOSADO 1LTR</v>
          </cell>
        </row>
        <row r="1793">
          <cell r="A1793">
            <v>2974</v>
          </cell>
          <cell r="B1793" t="str">
            <v>ALTA AZUL TEQUILA BLANCO 1LTR</v>
          </cell>
        </row>
        <row r="1794">
          <cell r="A1794">
            <v>2539</v>
          </cell>
          <cell r="B1794" t="str">
            <v>ALPACA SAUVIGNON BLANC 750ML</v>
          </cell>
        </row>
        <row r="1795">
          <cell r="A1795">
            <v>2538</v>
          </cell>
          <cell r="B1795" t="str">
            <v>ALPACA MERLOT 750ML</v>
          </cell>
        </row>
        <row r="1796">
          <cell r="A1796">
            <v>2537</v>
          </cell>
          <cell r="B1796" t="str">
            <v>ALPACA CHARDONNAY 750ML</v>
          </cell>
        </row>
        <row r="1797">
          <cell r="A1797">
            <v>2536</v>
          </cell>
          <cell r="B1797" t="str">
            <v>ALPACA CAB SAUVIGNON 750ML</v>
          </cell>
        </row>
        <row r="1798">
          <cell r="A1798">
            <v>79</v>
          </cell>
          <cell r="B1798" t="str">
            <v>ALL SEASONS WHISKY 750ML</v>
          </cell>
        </row>
        <row r="1799">
          <cell r="A1799">
            <v>76</v>
          </cell>
          <cell r="B1799" t="str">
            <v>ALL SEASONS WHISKY 250ML</v>
          </cell>
        </row>
        <row r="1800">
          <cell r="A1800">
            <v>75</v>
          </cell>
          <cell r="B1800" t="str">
            <v>ALL SEASONS WHISKY 1LTR</v>
          </cell>
        </row>
        <row r="1801">
          <cell r="A1801">
            <v>78</v>
          </cell>
          <cell r="B1801" t="str">
            <v>ALL SEASONS 375ML</v>
          </cell>
        </row>
        <row r="1802">
          <cell r="A1802">
            <v>72</v>
          </cell>
          <cell r="B1802" t="str">
            <v>ALAMOS MALBEC 750ML</v>
          </cell>
        </row>
        <row r="1803">
          <cell r="A1803">
            <v>2174</v>
          </cell>
          <cell r="B1803" t="str">
            <v>ALAMOS CHARDONNAY 750ML</v>
          </cell>
        </row>
        <row r="1804">
          <cell r="A1804">
            <v>71</v>
          </cell>
          <cell r="B1804" t="str">
            <v>ALAMOS CAB SAUV 750ML</v>
          </cell>
        </row>
        <row r="1805">
          <cell r="A1805">
            <v>2173</v>
          </cell>
          <cell r="B1805" t="str">
            <v>AG FORTY SEVEN MALBEC SHIRAZ 750ML</v>
          </cell>
        </row>
        <row r="1806">
          <cell r="A1806">
            <v>2994</v>
          </cell>
          <cell r="B1806" t="str">
            <v>ADEGAMAE TERRAS DE LISBOA SWEET WHITE WINE 850ML</v>
          </cell>
        </row>
        <row r="1807">
          <cell r="A1807">
            <v>2993</v>
          </cell>
          <cell r="B1807" t="str">
            <v>ADEGAMAE TERRAS DE LISBOA DRY RED 750ML</v>
          </cell>
        </row>
        <row r="1808">
          <cell r="A1808">
            <v>2998</v>
          </cell>
          <cell r="B1808" t="str">
            <v>ADEGAMAE MAR LINDO SWEET WHITE 750ML</v>
          </cell>
        </row>
        <row r="1809">
          <cell r="A1809">
            <v>2997</v>
          </cell>
          <cell r="B1809" t="str">
            <v>ADEGAMAE MAR LINDO DRY RED 750ML</v>
          </cell>
        </row>
        <row r="1810">
          <cell r="A1810">
            <v>58</v>
          </cell>
          <cell r="B1810" t="str">
            <v>ABSOLUTE VANILLA 1LTR</v>
          </cell>
        </row>
        <row r="1811">
          <cell r="A1811">
            <v>57</v>
          </cell>
          <cell r="B1811" t="str">
            <v>ABSOLUTE RASPBERRY 1LTR</v>
          </cell>
        </row>
        <row r="1812">
          <cell r="A1812">
            <v>56</v>
          </cell>
          <cell r="B1812" t="str">
            <v>ABSOLUTE MANGO 1LTR</v>
          </cell>
        </row>
        <row r="1813">
          <cell r="A1813">
            <v>53</v>
          </cell>
          <cell r="B1813" t="str">
            <v>ABSOLUT RUBY RED GRAPEFRUIT 1LTR</v>
          </cell>
        </row>
        <row r="1814">
          <cell r="A1814">
            <v>51</v>
          </cell>
          <cell r="B1814" t="str">
            <v>ABSOLUT PEPPAR VODKA 1LTR</v>
          </cell>
        </row>
        <row r="1815">
          <cell r="A1815">
            <v>49</v>
          </cell>
          <cell r="B1815" t="str">
            <v>ABSOLUT PEARS VODKA 1LTR</v>
          </cell>
        </row>
        <row r="1816">
          <cell r="A1816">
            <v>36</v>
          </cell>
          <cell r="B1816" t="str">
            <v>ABSOLUT PEACH 1LTR</v>
          </cell>
        </row>
        <row r="1817">
          <cell r="A1817">
            <v>47</v>
          </cell>
          <cell r="B1817" t="str">
            <v>ABSOLUT MANDARIN VODKA 750ML</v>
          </cell>
        </row>
        <row r="1818">
          <cell r="A1818">
            <v>2457</v>
          </cell>
          <cell r="B1818" t="str">
            <v>ABSOLUT LIME LITRE</v>
          </cell>
        </row>
        <row r="1819">
          <cell r="A1819">
            <v>46</v>
          </cell>
          <cell r="B1819" t="str">
            <v>ABSOLUT KURRANT VODKA 750ML</v>
          </cell>
        </row>
        <row r="1820">
          <cell r="A1820">
            <v>42</v>
          </cell>
          <cell r="B1820" t="str">
            <v>ABSOLUT CITRON VODKA 750ML</v>
          </cell>
        </row>
        <row r="1821">
          <cell r="A1821">
            <v>41</v>
          </cell>
          <cell r="B1821" t="str">
            <v>ABSOLUT CITRON VODKA 1LTR</v>
          </cell>
        </row>
        <row r="1822">
          <cell r="A1822">
            <v>40</v>
          </cell>
          <cell r="B1822" t="str">
            <v>ABSOLUT BLUE VODKA 750ML</v>
          </cell>
        </row>
        <row r="1823">
          <cell r="A1823">
            <v>39</v>
          </cell>
          <cell r="B1823" t="str">
            <v>ABSOLUT BLUE VODKA 4.5LTR</v>
          </cell>
        </row>
        <row r="1824">
          <cell r="A1824">
            <v>38</v>
          </cell>
          <cell r="B1824" t="str">
            <v>ABSOLUT BLUE VODKA 375ML</v>
          </cell>
        </row>
        <row r="1825">
          <cell r="A1825">
            <v>37</v>
          </cell>
          <cell r="B1825" t="str">
            <v>ABSOLUT BLUE VODKA 1LTR</v>
          </cell>
        </row>
        <row r="1826">
          <cell r="A1826">
            <v>2172</v>
          </cell>
          <cell r="B1826" t="str">
            <v>ABERLOUR SPEYSIDE SINGLE MALT 12YRS 700ML</v>
          </cell>
        </row>
        <row r="1827">
          <cell r="A1827">
            <v>2171</v>
          </cell>
          <cell r="B1827" t="str">
            <v>ABERLOUR SPEYSIDE SINGLE MALT 12YRS 1LTR</v>
          </cell>
        </row>
        <row r="1828">
          <cell r="A1828">
            <v>33</v>
          </cell>
          <cell r="B1828" t="str">
            <v>ABERLOUR 16 YRS  DOUBLE CASK WHISKY 700ML</v>
          </cell>
        </row>
        <row r="1829">
          <cell r="A1829">
            <v>2459</v>
          </cell>
          <cell r="B1829" t="str">
            <v>ABERLOUR 12YRS DOUBLE CASK LITRE</v>
          </cell>
        </row>
        <row r="1830">
          <cell r="A1830">
            <v>32</v>
          </cell>
          <cell r="B1830" t="str">
            <v>ABERFELDY 12YRS WHISKY 750ML</v>
          </cell>
        </row>
        <row r="1831">
          <cell r="A1831">
            <v>28</v>
          </cell>
          <cell r="B1831" t="str">
            <v>8PM WHISKY HONEY 750ML</v>
          </cell>
        </row>
        <row r="1832">
          <cell r="A1832">
            <v>27</v>
          </cell>
          <cell r="B1832" t="str">
            <v>8PM BLENDED WHISKY FIRE 750ML</v>
          </cell>
        </row>
        <row r="1833">
          <cell r="A1833">
            <v>31</v>
          </cell>
          <cell r="B1833" t="str">
            <v>8PM BLENDED WHISKY 750ML</v>
          </cell>
        </row>
        <row r="1834">
          <cell r="A1834">
            <v>30</v>
          </cell>
          <cell r="B1834" t="str">
            <v>8PM BLENDED WHISKY 1LTR</v>
          </cell>
        </row>
        <row r="1835">
          <cell r="A1835">
            <v>29</v>
          </cell>
          <cell r="B1835" t="str">
            <v>818 TEQUILA REPOSADO 750ML</v>
          </cell>
        </row>
        <row r="1836">
          <cell r="A1836">
            <v>2170</v>
          </cell>
          <cell r="B1836" t="str">
            <v>7EVEN BOUQUET BLANC 750ML</v>
          </cell>
        </row>
        <row r="1837">
          <cell r="A1837">
            <v>26</v>
          </cell>
          <cell r="B1837" t="str">
            <v>7 HILLS SWEET WHITE 750ml</v>
          </cell>
        </row>
        <row r="1838">
          <cell r="A1838">
            <v>2795</v>
          </cell>
          <cell r="B1838" t="str">
            <v>6TH SENSE LONDON DRY GIN 1 LITRE</v>
          </cell>
        </row>
        <row r="1839">
          <cell r="A1839">
            <v>25</v>
          </cell>
          <cell r="B1839" t="str">
            <v>5TH CARINO SWEET WHITE 750ML</v>
          </cell>
        </row>
        <row r="1840">
          <cell r="A1840">
            <v>24</v>
          </cell>
          <cell r="B1840" t="str">
            <v>5TH CARINO SWEET RED 750ML</v>
          </cell>
        </row>
        <row r="1841">
          <cell r="A1841">
            <v>2168</v>
          </cell>
          <cell r="B1841" t="str">
            <v>58 VERY BERRY G&amp;T 330ML CAN</v>
          </cell>
        </row>
        <row r="1842">
          <cell r="A1842">
            <v>2169</v>
          </cell>
          <cell r="B1842" t="str">
            <v>58 SPICED ORANGE GIN 350ML</v>
          </cell>
        </row>
        <row r="1843">
          <cell r="A1843">
            <v>2165</v>
          </cell>
          <cell r="B1843" t="str">
            <v>58 SPICED ORANGE 750ML</v>
          </cell>
        </row>
        <row r="1844">
          <cell r="A1844">
            <v>2167</v>
          </cell>
          <cell r="B1844" t="str">
            <v>58 SPICED ORANGE 330ML CAN</v>
          </cell>
        </row>
        <row r="1845">
          <cell r="A1845">
            <v>22</v>
          </cell>
          <cell r="B1845" t="str">
            <v>58 GIN 350ml</v>
          </cell>
        </row>
        <row r="1846">
          <cell r="A1846">
            <v>21</v>
          </cell>
          <cell r="B1846" t="str">
            <v>58 CLASSIC GIN 750ML</v>
          </cell>
        </row>
        <row r="1847">
          <cell r="A1847">
            <v>2166</v>
          </cell>
          <cell r="B1847" t="str">
            <v>58 CLASSIC G&amp;T 330ML CAN</v>
          </cell>
        </row>
        <row r="1848">
          <cell r="A1848">
            <v>20</v>
          </cell>
          <cell r="B1848" t="str">
            <v>4TH STREET WHITE 750ML</v>
          </cell>
        </row>
        <row r="1849">
          <cell r="A1849">
            <v>19</v>
          </cell>
          <cell r="B1849" t="str">
            <v>4TH STREET WHITE 5LTR</v>
          </cell>
        </row>
        <row r="1850">
          <cell r="A1850">
            <v>15</v>
          </cell>
          <cell r="B1850" t="str">
            <v>4TH STREET RED 750ML</v>
          </cell>
        </row>
        <row r="1851">
          <cell r="A1851">
            <v>14</v>
          </cell>
          <cell r="B1851" t="str">
            <v>4TH STREET RED 5LTR</v>
          </cell>
        </row>
        <row r="1852">
          <cell r="A1852">
            <v>13</v>
          </cell>
          <cell r="B1852" t="str">
            <v>4TH STREET RED 1.5LTR</v>
          </cell>
        </row>
        <row r="1853">
          <cell r="A1853">
            <v>2530</v>
          </cell>
          <cell r="B1853" t="str">
            <v>44 BLENDED SCOTCH 700ML</v>
          </cell>
        </row>
        <row r="1854">
          <cell r="A1854">
            <v>12</v>
          </cell>
          <cell r="B1854" t="str">
            <v>35 SOUTH ASSORTED 750ML</v>
          </cell>
        </row>
        <row r="1855">
          <cell r="A1855">
            <v>11</v>
          </cell>
          <cell r="B1855" t="str">
            <v>2SHARE 750ML</v>
          </cell>
        </row>
        <row r="1856">
          <cell r="A1856">
            <v>9</v>
          </cell>
          <cell r="B1856" t="str">
            <v>1800 TEQUILA REPOSADO 700ML</v>
          </cell>
        </row>
        <row r="1857">
          <cell r="A1857">
            <v>8</v>
          </cell>
          <cell r="B1857" t="str">
            <v>1800 TEQUILA BLANCO 700ml</v>
          </cell>
        </row>
        <row r="1858">
          <cell r="A1858">
            <v>7</v>
          </cell>
          <cell r="B1858" t="str">
            <v>1800 TEQUILA ANEJO 700ml</v>
          </cell>
        </row>
        <row r="1859">
          <cell r="A1859">
            <v>2481</v>
          </cell>
          <cell r="B1859" t="str">
            <v>1800 REPOSADO RF LITRE</v>
          </cell>
        </row>
        <row r="1860">
          <cell r="A1860">
            <v>5</v>
          </cell>
          <cell r="B1860" t="str">
            <v>18 MERLOT 750ML</v>
          </cell>
        </row>
        <row r="1861">
          <cell r="A1861">
            <v>6</v>
          </cell>
          <cell r="B1861" t="str">
            <v>18 CHARDONNAY 750ML</v>
          </cell>
        </row>
        <row r="1862">
          <cell r="A1862">
            <v>2349</v>
          </cell>
          <cell r="B1862" t="str">
            <v>18 CAB SAUV 750ML</v>
          </cell>
        </row>
        <row r="1863">
          <cell r="A1863">
            <v>4</v>
          </cell>
          <cell r="B1863" t="str">
            <v>1692 SPIER CREATIVE BLOCK 3 SHIRAZ 750ML</v>
          </cell>
        </row>
        <row r="1864">
          <cell r="A1864">
            <v>2</v>
          </cell>
          <cell r="B1864" t="str">
            <v>1659 CLASSIC RED 750ML</v>
          </cell>
        </row>
        <row r="1865">
          <cell r="A1865">
            <v>2858</v>
          </cell>
          <cell r="B1865" t="str">
            <v>100 Strokes Whisky 750ML</v>
          </cell>
        </row>
        <row r="1866">
          <cell r="A1866">
            <v>2859</v>
          </cell>
          <cell r="B1866" t="str">
            <v>100 Strokes Whisky 375ML</v>
          </cell>
        </row>
        <row r="1867">
          <cell r="B1867" t="str">
            <v/>
          </cell>
        </row>
        <row r="1868">
          <cell r="B1868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ockregister"/>
    </sheetNames>
    <sheetDataSet>
      <sheetData sheetId="0">
        <row r="2">
          <cell r="A2">
            <v>105</v>
          </cell>
          <cell r="B2" t="str">
            <v>APEROL 1LTR</v>
          </cell>
          <cell r="C2" t="str">
            <v>Pcs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3000</v>
          </cell>
        </row>
        <row r="3">
          <cell r="A3">
            <v>106</v>
          </cell>
          <cell r="B3" t="str">
            <v>APEROL APERITIF 700ml</v>
          </cell>
          <cell r="C3" t="str">
            <v>Pcs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2450</v>
          </cell>
        </row>
        <row r="4">
          <cell r="A4">
            <v>357</v>
          </cell>
          <cell r="B4" t="str">
            <v>CAMPARI MILANO BITTER 1LTR</v>
          </cell>
          <cell r="C4" t="str">
            <v>Pcs</v>
          </cell>
          <cell r="D4">
            <v>475</v>
          </cell>
          <cell r="E4">
            <v>0</v>
          </cell>
          <cell r="F4">
            <v>84</v>
          </cell>
          <cell r="G4">
            <v>391</v>
          </cell>
          <cell r="H4">
            <v>2500</v>
          </cell>
        </row>
        <row r="5">
          <cell r="A5">
            <v>358</v>
          </cell>
          <cell r="B5" t="str">
            <v>CAMPARI MILANO BITTER 750ML</v>
          </cell>
          <cell r="C5" t="str">
            <v>Pcs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2100</v>
          </cell>
        </row>
        <row r="6">
          <cell r="A6">
            <v>1399</v>
          </cell>
          <cell r="B6" t="str">
            <v>MARTINI  BIANCO 1LTR</v>
          </cell>
          <cell r="C6" t="str">
            <v>Pcs</v>
          </cell>
          <cell r="D6">
            <v>19</v>
          </cell>
          <cell r="E6">
            <v>6</v>
          </cell>
          <cell r="F6">
            <v>18</v>
          </cell>
          <cell r="G6">
            <v>7</v>
          </cell>
          <cell r="H6">
            <v>1600</v>
          </cell>
        </row>
        <row r="7">
          <cell r="A7">
            <v>1400</v>
          </cell>
          <cell r="B7" t="str">
            <v>MARTINI BIANCO 750ML</v>
          </cell>
          <cell r="C7" t="str">
            <v>Pcs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1400</v>
          </cell>
        </row>
        <row r="8">
          <cell r="A8">
            <v>1403</v>
          </cell>
          <cell r="B8" t="str">
            <v>MARTINI BRUT 750ML</v>
          </cell>
          <cell r="C8" t="str">
            <v>Pcs</v>
          </cell>
          <cell r="D8">
            <v>2</v>
          </cell>
          <cell r="E8">
            <v>0</v>
          </cell>
          <cell r="F8">
            <v>0</v>
          </cell>
          <cell r="G8">
            <v>2</v>
          </cell>
          <cell r="H8">
            <v>1400</v>
          </cell>
        </row>
        <row r="9">
          <cell r="A9">
            <v>1404</v>
          </cell>
          <cell r="B9" t="str">
            <v>MARTINI EXTRA DRY 1LTR</v>
          </cell>
          <cell r="C9" t="str">
            <v>Pcs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1450</v>
          </cell>
        </row>
        <row r="10">
          <cell r="A10">
            <v>1407</v>
          </cell>
          <cell r="B10" t="str">
            <v>MARTINI ROSATO 1ltr</v>
          </cell>
          <cell r="C10" t="str">
            <v>Pcs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1450</v>
          </cell>
        </row>
        <row r="11">
          <cell r="A11">
            <v>2236</v>
          </cell>
          <cell r="B11" t="str">
            <v>MARTINI ROSE 750ML</v>
          </cell>
          <cell r="C11" t="str">
            <v>Pcs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1450</v>
          </cell>
        </row>
        <row r="12">
          <cell r="A12">
            <v>1401</v>
          </cell>
          <cell r="B12" t="str">
            <v>MARTINI - ROSSO 1LTR</v>
          </cell>
          <cell r="C12" t="str">
            <v>Pcs</v>
          </cell>
          <cell r="D12">
            <v>156</v>
          </cell>
          <cell r="E12">
            <v>2</v>
          </cell>
          <cell r="F12">
            <v>42</v>
          </cell>
          <cell r="G12">
            <v>116</v>
          </cell>
          <cell r="H12">
            <v>1700</v>
          </cell>
        </row>
        <row r="13">
          <cell r="A13">
            <v>1402</v>
          </cell>
          <cell r="B13" t="str">
            <v>MARTINI - ROSSO 750ML</v>
          </cell>
          <cell r="C13" t="str">
            <v>Pcs</v>
          </cell>
          <cell r="D13">
            <v>39</v>
          </cell>
          <cell r="E13">
            <v>0</v>
          </cell>
          <cell r="F13">
            <v>36</v>
          </cell>
          <cell r="G13">
            <v>3</v>
          </cell>
          <cell r="H13">
            <v>1450</v>
          </cell>
        </row>
        <row r="14">
          <cell r="A14">
            <v>2166</v>
          </cell>
          <cell r="B14" t="str">
            <v>58 CLASSIC G&amp;T 330ML CAN</v>
          </cell>
          <cell r="C14" t="str">
            <v>Pcs</v>
          </cell>
          <cell r="D14">
            <v>96</v>
          </cell>
          <cell r="E14">
            <v>0</v>
          </cell>
          <cell r="F14">
            <v>24</v>
          </cell>
          <cell r="G14">
            <v>72</v>
          </cell>
          <cell r="H14">
            <v>220</v>
          </cell>
        </row>
        <row r="15">
          <cell r="A15">
            <v>2167</v>
          </cell>
          <cell r="B15" t="str">
            <v>58 SPICED ORANGE 330ML CAN</v>
          </cell>
          <cell r="C15" t="str">
            <v>Pcs</v>
          </cell>
          <cell r="D15">
            <v>48</v>
          </cell>
          <cell r="E15">
            <v>0</v>
          </cell>
          <cell r="F15">
            <v>48</v>
          </cell>
          <cell r="G15">
            <v>0</v>
          </cell>
          <cell r="H15">
            <v>220</v>
          </cell>
        </row>
        <row r="16">
          <cell r="A16">
            <v>2169</v>
          </cell>
          <cell r="B16" t="str">
            <v>58 SPICED ORANGE GIN 350ML</v>
          </cell>
          <cell r="C16" t="str">
            <v>Pcs</v>
          </cell>
          <cell r="D16">
            <v>24</v>
          </cell>
          <cell r="E16">
            <v>0</v>
          </cell>
          <cell r="F16">
            <v>0</v>
          </cell>
          <cell r="G16">
            <v>24</v>
          </cell>
          <cell r="H16">
            <v>550</v>
          </cell>
        </row>
        <row r="17">
          <cell r="A17">
            <v>2168</v>
          </cell>
          <cell r="B17" t="str">
            <v>58 VERY BERRY G&amp;T 330ML CAN</v>
          </cell>
          <cell r="C17" t="str">
            <v>Pcs</v>
          </cell>
          <cell r="D17">
            <v>144</v>
          </cell>
          <cell r="E17">
            <v>0</v>
          </cell>
          <cell r="F17">
            <v>48</v>
          </cell>
          <cell r="G17">
            <v>96</v>
          </cell>
          <cell r="H17">
            <v>220</v>
          </cell>
        </row>
        <row r="18">
          <cell r="A18">
            <v>170</v>
          </cell>
          <cell r="B18" t="str">
            <v>BALOZI CANS 500ML</v>
          </cell>
          <cell r="C18" t="str">
            <v>Pcs</v>
          </cell>
          <cell r="D18">
            <v>840</v>
          </cell>
          <cell r="E18">
            <v>2400</v>
          </cell>
          <cell r="F18">
            <v>1560</v>
          </cell>
          <cell r="G18">
            <v>1680</v>
          </cell>
          <cell r="H18">
            <v>205</v>
          </cell>
        </row>
        <row r="19">
          <cell r="A19">
            <v>2905</v>
          </cell>
          <cell r="B19" t="str">
            <v>BUDWEISER 330ML BOTTLE </v>
          </cell>
          <cell r="C19" t="str">
            <v>Pcs</v>
          </cell>
          <cell r="D19">
            <v>1200</v>
          </cell>
          <cell r="E19">
            <v>0</v>
          </cell>
          <cell r="F19">
            <v>48</v>
          </cell>
          <cell r="G19">
            <v>1152</v>
          </cell>
          <cell r="H19">
            <v>215</v>
          </cell>
        </row>
        <row r="20">
          <cell r="A20">
            <v>2906</v>
          </cell>
          <cell r="B20" t="str">
            <v>BUDWEISER 500ML CAN</v>
          </cell>
          <cell r="C20" t="str">
            <v>Pcs</v>
          </cell>
          <cell r="D20">
            <v>96</v>
          </cell>
          <cell r="E20">
            <v>0</v>
          </cell>
          <cell r="F20">
            <v>96</v>
          </cell>
          <cell r="G20">
            <v>0</v>
          </cell>
          <cell r="H20">
            <v>230</v>
          </cell>
        </row>
        <row r="21">
          <cell r="A21">
            <v>529</v>
          </cell>
          <cell r="B21" t="str">
            <v>CORONA EXTRA 355ML</v>
          </cell>
          <cell r="C21" t="str">
            <v>Pcs</v>
          </cell>
          <cell r="D21">
            <v>4176</v>
          </cell>
          <cell r="E21">
            <v>0</v>
          </cell>
          <cell r="F21">
            <v>480</v>
          </cell>
          <cell r="G21">
            <v>3696</v>
          </cell>
          <cell r="H21">
            <v>250</v>
          </cell>
        </row>
        <row r="22">
          <cell r="A22">
            <v>599</v>
          </cell>
          <cell r="B22" t="str">
            <v>DESPERADOS 500ML</v>
          </cell>
          <cell r="C22" t="str">
            <v>Pcs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320</v>
          </cell>
        </row>
        <row r="23">
          <cell r="A23">
            <v>600</v>
          </cell>
          <cell r="B23" t="str">
            <v>DESPERADOS TEQ BEER 330ML</v>
          </cell>
          <cell r="C23" t="str">
            <v>Pcs</v>
          </cell>
          <cell r="D23">
            <v>696</v>
          </cell>
          <cell r="E23">
            <v>1200</v>
          </cell>
          <cell r="F23">
            <v>960</v>
          </cell>
          <cell r="G23">
            <v>936</v>
          </cell>
          <cell r="H23">
            <v>285</v>
          </cell>
        </row>
        <row r="24">
          <cell r="A24">
            <v>2902</v>
          </cell>
          <cell r="B24" t="str">
            <v>EMBER PINE POA 250 ML</v>
          </cell>
          <cell r="C24" t="str">
            <v>Pcs</v>
          </cell>
          <cell r="D24">
            <v>168</v>
          </cell>
          <cell r="E24">
            <v>0</v>
          </cell>
          <cell r="F24">
            <v>0</v>
          </cell>
          <cell r="G24">
            <v>168</v>
          </cell>
          <cell r="H24">
            <v>230</v>
          </cell>
        </row>
        <row r="25">
          <cell r="A25">
            <v>2903</v>
          </cell>
          <cell r="B25" t="str">
            <v>EMBER PINE POA 750  ML</v>
          </cell>
          <cell r="C25" t="str">
            <v>Pcs</v>
          </cell>
          <cell r="D25">
            <v>36</v>
          </cell>
          <cell r="E25">
            <v>0</v>
          </cell>
          <cell r="F25">
            <v>0</v>
          </cell>
          <cell r="G25">
            <v>36</v>
          </cell>
          <cell r="H25">
            <v>600</v>
          </cell>
        </row>
        <row r="26">
          <cell r="A26">
            <v>683</v>
          </cell>
          <cell r="B26" t="str">
            <v>FAXE CAN 500ML</v>
          </cell>
          <cell r="C26" t="str">
            <v>Pcs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260</v>
          </cell>
        </row>
        <row r="27">
          <cell r="A27">
            <v>704</v>
          </cell>
          <cell r="B27" t="str">
            <v>FITCH &amp; LEEDES CLASSIC GINGER BEER 300ML</v>
          </cell>
          <cell r="C27" t="str">
            <v>Pcs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130</v>
          </cell>
        </row>
        <row r="28">
          <cell r="A28">
            <v>889</v>
          </cell>
          <cell r="B28" t="str">
            <v>GORDON'S PINK&amp;TONIC 330ml</v>
          </cell>
          <cell r="C28" t="str">
            <v>Pcs</v>
          </cell>
          <cell r="D28">
            <v>240</v>
          </cell>
          <cell r="E28">
            <v>240</v>
          </cell>
          <cell r="F28">
            <v>216</v>
          </cell>
          <cell r="G28">
            <v>264</v>
          </cell>
          <cell r="H28">
            <v>200</v>
          </cell>
        </row>
        <row r="29">
          <cell r="A29">
            <v>884</v>
          </cell>
          <cell r="B29" t="str">
            <v>GORDON'S &amp;TONIC PURPLE 330ml</v>
          </cell>
          <cell r="C29" t="str">
            <v>Pcs</v>
          </cell>
          <cell r="D29">
            <v>456</v>
          </cell>
          <cell r="E29">
            <v>480</v>
          </cell>
          <cell r="F29">
            <v>336</v>
          </cell>
          <cell r="G29">
            <v>600</v>
          </cell>
          <cell r="H29">
            <v>200</v>
          </cell>
        </row>
        <row r="30">
          <cell r="A30">
            <v>2424</v>
          </cell>
          <cell r="B30" t="str">
            <v>GUINESS CAN 500ML</v>
          </cell>
          <cell r="C30" t="str">
            <v>Pcs</v>
          </cell>
          <cell r="D30">
            <v>1440</v>
          </cell>
          <cell r="E30">
            <v>2400</v>
          </cell>
          <cell r="F30">
            <v>2328</v>
          </cell>
          <cell r="G30">
            <v>1512</v>
          </cell>
          <cell r="H30">
            <v>220</v>
          </cell>
        </row>
        <row r="31">
          <cell r="A31">
            <v>2408</v>
          </cell>
          <cell r="B31" t="str">
            <v>GUINESS CAN SMOOTH 330ML CAN</v>
          </cell>
          <cell r="C31" t="str">
            <v>Pcs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180</v>
          </cell>
        </row>
        <row r="32">
          <cell r="A32">
            <v>928</v>
          </cell>
          <cell r="B32" t="str">
            <v>GUINESS SMOOTH CAN 500ML</v>
          </cell>
          <cell r="C32" t="str">
            <v>Pcs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205</v>
          </cell>
        </row>
        <row r="33">
          <cell r="A33">
            <v>947</v>
          </cell>
          <cell r="B33" t="str">
            <v>HEINEKEN 0.0 NRB 330ML</v>
          </cell>
          <cell r="C33" t="str">
            <v>Pcs</v>
          </cell>
          <cell r="D33">
            <v>1488</v>
          </cell>
          <cell r="E33">
            <v>0</v>
          </cell>
          <cell r="F33">
            <v>960</v>
          </cell>
          <cell r="G33">
            <v>528</v>
          </cell>
          <cell r="H33">
            <v>205</v>
          </cell>
        </row>
        <row r="34">
          <cell r="A34">
            <v>948</v>
          </cell>
          <cell r="B34" t="str">
            <v>HEINEKEN BOTTLE 330 ML</v>
          </cell>
          <cell r="C34" t="str">
            <v>Pcs</v>
          </cell>
          <cell r="D34">
            <v>216</v>
          </cell>
          <cell r="E34">
            <v>6072</v>
          </cell>
          <cell r="F34">
            <v>3744</v>
          </cell>
          <cell r="G34">
            <v>2544</v>
          </cell>
          <cell r="H34">
            <v>240</v>
          </cell>
        </row>
        <row r="35">
          <cell r="A35">
            <v>949</v>
          </cell>
          <cell r="B35" t="str">
            <v>HEINEKEN CAN 500ML</v>
          </cell>
          <cell r="C35" t="str">
            <v>Pcs</v>
          </cell>
          <cell r="D35">
            <v>840</v>
          </cell>
          <cell r="E35">
            <v>1200</v>
          </cell>
          <cell r="F35">
            <v>1612</v>
          </cell>
          <cell r="G35">
            <v>428</v>
          </cell>
          <cell r="H35">
            <v>275</v>
          </cell>
        </row>
        <row r="36">
          <cell r="A36">
            <v>2834</v>
          </cell>
          <cell r="B36" t="str">
            <v>JINRO BLUE SOJU 360ML</v>
          </cell>
          <cell r="C36" t="str">
            <v>Pcs</v>
          </cell>
          <cell r="D36">
            <v>276</v>
          </cell>
          <cell r="E36">
            <v>0</v>
          </cell>
          <cell r="F36">
            <v>0</v>
          </cell>
          <cell r="G36">
            <v>276</v>
          </cell>
          <cell r="H36">
            <v>380</v>
          </cell>
        </row>
        <row r="37">
          <cell r="A37">
            <v>2832</v>
          </cell>
          <cell r="B37" t="str">
            <v>JINRO CHAMISUL FRESH SOJU 360 ML</v>
          </cell>
          <cell r="C37" t="str">
            <v>Pcs</v>
          </cell>
          <cell r="D37">
            <v>240</v>
          </cell>
          <cell r="E37">
            <v>0</v>
          </cell>
          <cell r="F37">
            <v>140</v>
          </cell>
          <cell r="G37">
            <v>100</v>
          </cell>
          <cell r="H37">
            <v>380</v>
          </cell>
        </row>
        <row r="38">
          <cell r="A38">
            <v>2833</v>
          </cell>
          <cell r="B38" t="str">
            <v>JINRO CHAMISUL ORIGINAL SOJU 350 ML</v>
          </cell>
          <cell r="C38" t="str">
            <v>Pcs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380</v>
          </cell>
        </row>
        <row r="39">
          <cell r="A39">
            <v>2413</v>
          </cell>
          <cell r="B39" t="str">
            <v>JINRO GRAPE FRUIT SOJU 360</v>
          </cell>
          <cell r="C39" t="str">
            <v>Pcs</v>
          </cell>
          <cell r="D39">
            <v>20</v>
          </cell>
          <cell r="E39">
            <v>0</v>
          </cell>
          <cell r="F39">
            <v>20</v>
          </cell>
          <cell r="G39">
            <v>0</v>
          </cell>
          <cell r="H39">
            <v>380</v>
          </cell>
        </row>
        <row r="40">
          <cell r="A40">
            <v>2410</v>
          </cell>
          <cell r="B40" t="str">
            <v>JINRO GREEN GRAPE 360ML</v>
          </cell>
          <cell r="C40" t="str">
            <v>Pcs</v>
          </cell>
          <cell r="D40">
            <v>100</v>
          </cell>
          <cell r="E40">
            <v>20</v>
          </cell>
          <cell r="F40">
            <v>120</v>
          </cell>
          <cell r="G40">
            <v>0</v>
          </cell>
          <cell r="H40">
            <v>380</v>
          </cell>
        </row>
        <row r="41">
          <cell r="A41">
            <v>2900</v>
          </cell>
          <cell r="B41" t="str">
            <v>JINRO LEMON SOJU 350ML</v>
          </cell>
          <cell r="C41" t="str">
            <v>Pcs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380</v>
          </cell>
        </row>
        <row r="42">
          <cell r="A42">
            <v>2411</v>
          </cell>
          <cell r="B42" t="str">
            <v>JINRO PEACH 360ML</v>
          </cell>
          <cell r="C42" t="str">
            <v>Pcs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380</v>
          </cell>
        </row>
        <row r="43">
          <cell r="A43">
            <v>2412</v>
          </cell>
          <cell r="B43" t="str">
            <v>JINRO PLUM SOJU 360ML</v>
          </cell>
          <cell r="C43" t="str">
            <v>Pcs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380</v>
          </cell>
        </row>
        <row r="44">
          <cell r="A44">
            <v>2414</v>
          </cell>
          <cell r="B44" t="str">
            <v>JINRO STRAWBERRY 360ML</v>
          </cell>
          <cell r="C44" t="str">
            <v>Pcs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380</v>
          </cell>
        </row>
        <row r="45">
          <cell r="A45">
            <v>1212</v>
          </cell>
          <cell r="B45" t="str">
            <v>KINGFISHER STRAWBERRY 300ML</v>
          </cell>
          <cell r="C45" t="str">
            <v>Pcs</v>
          </cell>
          <cell r="D45">
            <v>1752</v>
          </cell>
          <cell r="E45">
            <v>0</v>
          </cell>
          <cell r="F45">
            <v>408</v>
          </cell>
          <cell r="G45">
            <v>1344</v>
          </cell>
          <cell r="H45">
            <v>205</v>
          </cell>
        </row>
        <row r="46">
          <cell r="A46">
            <v>2904</v>
          </cell>
          <cell r="B46" t="str">
            <v>KO LIME AND GINGER 330 ML CAN </v>
          </cell>
          <cell r="C46" t="str">
            <v>Pcs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230</v>
          </cell>
        </row>
        <row r="47">
          <cell r="A47">
            <v>1543</v>
          </cell>
          <cell r="B47" t="str">
            <v>OETTINGER SUPER FORTE EXTRA STRONG BEER 500ML</v>
          </cell>
          <cell r="C47" t="str">
            <v>Pcs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250</v>
          </cell>
        </row>
        <row r="48">
          <cell r="A48">
            <v>1549</v>
          </cell>
          <cell r="B48" t="str">
            <v>OJ 16% BEER</v>
          </cell>
          <cell r="C48" t="str">
            <v>Pcs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345</v>
          </cell>
        </row>
        <row r="49">
          <cell r="A49">
            <v>2482</v>
          </cell>
          <cell r="B49" t="str">
            <v>OJ 20% BEER</v>
          </cell>
          <cell r="C49" t="str">
            <v>Pcs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374</v>
          </cell>
        </row>
        <row r="50">
          <cell r="A50">
            <v>1626</v>
          </cell>
          <cell r="B50" t="str">
            <v>PILSNER CAN 500ML</v>
          </cell>
          <cell r="C50" t="str">
            <v>Pcs</v>
          </cell>
          <cell r="D50">
            <v>312</v>
          </cell>
          <cell r="E50">
            <v>480</v>
          </cell>
          <cell r="F50">
            <v>360</v>
          </cell>
          <cell r="G50">
            <v>432</v>
          </cell>
          <cell r="H50">
            <v>205</v>
          </cell>
        </row>
        <row r="51">
          <cell r="A51">
            <v>2911</v>
          </cell>
          <cell r="B51" t="str">
            <v>ROYAL CIRCLE WHISKY COLA 330ML</v>
          </cell>
          <cell r="C51" t="str">
            <v>Pcs</v>
          </cell>
          <cell r="D51">
            <v>480</v>
          </cell>
          <cell r="E51">
            <v>0</v>
          </cell>
          <cell r="F51">
            <v>192</v>
          </cell>
          <cell r="G51">
            <v>288</v>
          </cell>
          <cell r="H51">
            <v>260</v>
          </cell>
        </row>
        <row r="52">
          <cell r="A52">
            <v>1821</v>
          </cell>
          <cell r="B52" t="str">
            <v>SMIRNOFF BLACK ICE CAN 330ML</v>
          </cell>
          <cell r="C52" t="str">
            <v>Pcs</v>
          </cell>
          <cell r="D52">
            <v>1632</v>
          </cell>
          <cell r="E52">
            <v>0</v>
          </cell>
          <cell r="F52">
            <v>1056</v>
          </cell>
          <cell r="G52">
            <v>576</v>
          </cell>
          <cell r="H52">
            <v>180</v>
          </cell>
        </row>
        <row r="53">
          <cell r="A53">
            <v>1840</v>
          </cell>
          <cell r="B53" t="str">
            <v>SMIRNOFF GUARANA ELECTRIC ICE 330ML</v>
          </cell>
          <cell r="C53" t="str">
            <v>Pcs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167</v>
          </cell>
        </row>
        <row r="54">
          <cell r="A54">
            <v>2430</v>
          </cell>
          <cell r="B54" t="str">
            <v>SMIRNOFF ICE GUARANA 330ML</v>
          </cell>
          <cell r="C54" t="str">
            <v>Pcs</v>
          </cell>
          <cell r="D54">
            <v>456</v>
          </cell>
          <cell r="E54">
            <v>2424</v>
          </cell>
          <cell r="F54">
            <v>1656</v>
          </cell>
          <cell r="G54">
            <v>1224</v>
          </cell>
          <cell r="H54">
            <v>180</v>
          </cell>
        </row>
        <row r="55">
          <cell r="A55">
            <v>2431</v>
          </cell>
          <cell r="B55" t="str">
            <v>SMIRNOFF ICE PINEAPPLE PUNCH 330ML</v>
          </cell>
          <cell r="C55" t="str">
            <v>Pcs</v>
          </cell>
          <cell r="D55">
            <v>961</v>
          </cell>
          <cell r="E55">
            <v>2400</v>
          </cell>
          <cell r="F55">
            <v>2281</v>
          </cell>
          <cell r="G55">
            <v>1080</v>
          </cell>
          <cell r="H55">
            <v>180</v>
          </cell>
        </row>
        <row r="56">
          <cell r="A56">
            <v>2845</v>
          </cell>
          <cell r="B56" t="str">
            <v>SMIRNOFF ICE RASPBERRY TWIST CAN 330ML</v>
          </cell>
          <cell r="C56" t="str">
            <v>Pcs</v>
          </cell>
          <cell r="D56">
            <v>480</v>
          </cell>
          <cell r="E56">
            <v>960</v>
          </cell>
          <cell r="F56">
            <v>1176</v>
          </cell>
          <cell r="G56">
            <v>264</v>
          </cell>
          <cell r="H56">
            <v>180</v>
          </cell>
        </row>
        <row r="57">
          <cell r="A57">
            <v>2922</v>
          </cell>
          <cell r="B57" t="str">
            <v>TUBORG GREEN BOTTLE 330ML</v>
          </cell>
          <cell r="C57" t="str">
            <v>Pcs</v>
          </cell>
          <cell r="D57">
            <v>120</v>
          </cell>
          <cell r="E57">
            <v>0</v>
          </cell>
          <cell r="F57">
            <v>120</v>
          </cell>
          <cell r="G57">
            <v>0</v>
          </cell>
          <cell r="H57">
            <v>210</v>
          </cell>
        </row>
        <row r="58">
          <cell r="A58">
            <v>2020</v>
          </cell>
          <cell r="B58" t="str">
            <v>TUBORG GREEN CAN 500ML</v>
          </cell>
          <cell r="C58" t="str">
            <v>Pcs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235</v>
          </cell>
        </row>
        <row r="59">
          <cell r="A59">
            <v>2432</v>
          </cell>
          <cell r="B59" t="str">
            <v>TUSKER LAGER CAN 500ML</v>
          </cell>
          <cell r="C59" t="str">
            <v>Pcs</v>
          </cell>
          <cell r="D59">
            <v>1007</v>
          </cell>
          <cell r="E59">
            <v>2400</v>
          </cell>
          <cell r="F59">
            <v>1751</v>
          </cell>
          <cell r="G59">
            <v>1656</v>
          </cell>
          <cell r="H59">
            <v>205</v>
          </cell>
        </row>
        <row r="60">
          <cell r="A60">
            <v>2433</v>
          </cell>
          <cell r="B60" t="str">
            <v>TUSKER LITE CAN 500ML</v>
          </cell>
          <cell r="C60" t="str">
            <v>Pcs</v>
          </cell>
          <cell r="D60">
            <v>1248</v>
          </cell>
          <cell r="E60">
            <v>1200</v>
          </cell>
          <cell r="F60">
            <v>1563</v>
          </cell>
          <cell r="G60">
            <v>885</v>
          </cell>
          <cell r="H60">
            <v>245</v>
          </cell>
        </row>
        <row r="61">
          <cell r="A61">
            <v>2434</v>
          </cell>
          <cell r="B61" t="str">
            <v>TUSKER MALT CAN 500ML</v>
          </cell>
          <cell r="C61" t="str">
            <v>Pcs</v>
          </cell>
          <cell r="D61">
            <v>696</v>
          </cell>
          <cell r="E61">
            <v>720</v>
          </cell>
          <cell r="F61">
            <v>576</v>
          </cell>
          <cell r="G61">
            <v>840</v>
          </cell>
          <cell r="H61">
            <v>245</v>
          </cell>
        </row>
        <row r="62">
          <cell r="A62">
            <v>2088</v>
          </cell>
          <cell r="B62" t="str">
            <v>WHITECAP CRISP 330ML</v>
          </cell>
          <cell r="C62" t="str">
            <v>Pcs</v>
          </cell>
          <cell r="D62">
            <v>312</v>
          </cell>
          <cell r="E62">
            <v>0</v>
          </cell>
          <cell r="F62">
            <v>48</v>
          </cell>
          <cell r="G62">
            <v>264</v>
          </cell>
          <cell r="H62">
            <v>240</v>
          </cell>
        </row>
        <row r="63">
          <cell r="A63">
            <v>2435</v>
          </cell>
          <cell r="B63" t="str">
            <v>WHITECAP LAGER 500ML</v>
          </cell>
          <cell r="C63" t="str">
            <v>Pcs</v>
          </cell>
          <cell r="D63">
            <v>336</v>
          </cell>
          <cell r="E63">
            <v>3696</v>
          </cell>
          <cell r="F63">
            <v>3264</v>
          </cell>
          <cell r="G63">
            <v>768</v>
          </cell>
          <cell r="H63">
            <v>220</v>
          </cell>
        </row>
        <row r="64">
          <cell r="A64">
            <v>2127</v>
          </cell>
          <cell r="B64" t="str">
            <v>WINDHOEK DRAUGHT NRB 440ML</v>
          </cell>
          <cell r="C64" t="str">
            <v>Pcs</v>
          </cell>
          <cell r="D64">
            <v>312</v>
          </cell>
          <cell r="E64">
            <v>720</v>
          </cell>
          <cell r="F64">
            <v>336</v>
          </cell>
          <cell r="G64">
            <v>696</v>
          </cell>
          <cell r="H64">
            <v>190</v>
          </cell>
        </row>
        <row r="65">
          <cell r="A65">
            <v>2126</v>
          </cell>
          <cell r="B65" t="str">
            <v>WINDHOEK LAGER 33OML</v>
          </cell>
          <cell r="C65" t="str">
            <v>Pcs</v>
          </cell>
          <cell r="D65">
            <v>384</v>
          </cell>
          <cell r="E65">
            <v>720</v>
          </cell>
          <cell r="F65">
            <v>600</v>
          </cell>
          <cell r="G65">
            <v>504</v>
          </cell>
          <cell r="H65">
            <v>190</v>
          </cell>
        </row>
        <row r="66">
          <cell r="A66">
            <v>174</v>
          </cell>
          <cell r="B66" t="str">
            <v>BARDINET BRANDY VSOP 1ltr</v>
          </cell>
          <cell r="C66" t="str">
            <v>Pcs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1800</v>
          </cell>
        </row>
        <row r="67">
          <cell r="A67">
            <v>192</v>
          </cell>
          <cell r="B67" t="str">
            <v>BEEHIVE VSOP BRANDY 1LTR</v>
          </cell>
          <cell r="C67" t="str">
            <v>Pcs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1900</v>
          </cell>
        </row>
        <row r="68">
          <cell r="A68">
            <v>214</v>
          </cell>
          <cell r="B68" t="str">
            <v>BERTRAMS TRIPLE 'R' BRANDY 750ML</v>
          </cell>
          <cell r="C68" t="str">
            <v>Pcs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600</v>
          </cell>
        </row>
        <row r="69">
          <cell r="A69">
            <v>215</v>
          </cell>
          <cell r="B69" t="str">
            <v>BERTRAMS VO OLD 750ML</v>
          </cell>
          <cell r="C69" t="str">
            <v>Pcs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700</v>
          </cell>
        </row>
        <row r="70">
          <cell r="A70">
            <v>276</v>
          </cell>
          <cell r="B70" t="str">
            <v>BRANDY MARNAT XO 750ML</v>
          </cell>
          <cell r="C70" t="str">
            <v>Pcs</v>
          </cell>
          <cell r="D70">
            <v>178</v>
          </cell>
          <cell r="E70">
            <v>0</v>
          </cell>
          <cell r="F70">
            <v>0</v>
          </cell>
          <cell r="G70">
            <v>178</v>
          </cell>
          <cell r="H70">
            <v>2000</v>
          </cell>
        </row>
        <row r="71">
          <cell r="A71">
            <v>2983</v>
          </cell>
          <cell r="B71" t="str">
            <v>CHROME BRANDY 250 ML</v>
          </cell>
          <cell r="C71" t="str">
            <v>Pcs</v>
          </cell>
          <cell r="D71">
            <v>360</v>
          </cell>
          <cell r="E71">
            <v>0</v>
          </cell>
          <cell r="F71">
            <v>40</v>
          </cell>
          <cell r="G71">
            <v>320</v>
          </cell>
          <cell r="H71">
            <v>250</v>
          </cell>
        </row>
        <row r="72">
          <cell r="A72">
            <v>2984</v>
          </cell>
          <cell r="B72" t="str">
            <v>CHROME BRANDY 750 ML</v>
          </cell>
          <cell r="C72" t="str">
            <v>Pcs</v>
          </cell>
          <cell r="D72">
            <v>48</v>
          </cell>
          <cell r="E72">
            <v>0</v>
          </cell>
          <cell r="F72">
            <v>24</v>
          </cell>
          <cell r="G72">
            <v>24</v>
          </cell>
          <cell r="H72">
            <v>780</v>
          </cell>
        </row>
        <row r="73">
          <cell r="A73">
            <v>2388</v>
          </cell>
          <cell r="B73" t="str">
            <v>CICERO BRANDY 250ML</v>
          </cell>
          <cell r="C73" t="str">
            <v>Pcs</v>
          </cell>
          <cell r="D73">
            <v>160</v>
          </cell>
          <cell r="E73">
            <v>0</v>
          </cell>
          <cell r="F73">
            <v>158</v>
          </cell>
          <cell r="G73">
            <v>2</v>
          </cell>
          <cell r="H73">
            <v>200</v>
          </cell>
        </row>
        <row r="74">
          <cell r="A74">
            <v>2185</v>
          </cell>
          <cell r="B74" t="str">
            <v>CICERO BRANDY 350ML</v>
          </cell>
          <cell r="C74" t="str">
            <v>Pcs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480</v>
          </cell>
        </row>
        <row r="75">
          <cell r="A75">
            <v>534</v>
          </cell>
          <cell r="B75" t="str">
            <v>COUNTY BRANDY 250ML</v>
          </cell>
          <cell r="C75" t="str">
            <v>Pcs</v>
          </cell>
          <cell r="D75">
            <v>648</v>
          </cell>
          <cell r="E75">
            <v>1200</v>
          </cell>
          <cell r="F75">
            <v>984</v>
          </cell>
          <cell r="G75">
            <v>864</v>
          </cell>
          <cell r="H75">
            <v>232</v>
          </cell>
        </row>
        <row r="76">
          <cell r="A76">
            <v>535</v>
          </cell>
          <cell r="B76" t="str">
            <v>COUNTY BRANDY 750ML</v>
          </cell>
          <cell r="C76" t="str">
            <v>Pcs</v>
          </cell>
          <cell r="D76">
            <v>168</v>
          </cell>
          <cell r="E76">
            <v>240</v>
          </cell>
          <cell r="F76">
            <v>168</v>
          </cell>
          <cell r="G76">
            <v>240</v>
          </cell>
          <cell r="H76">
            <v>655</v>
          </cell>
        </row>
        <row r="77">
          <cell r="A77">
            <v>536</v>
          </cell>
          <cell r="B77" t="str">
            <v>COURVOISIER V.S 1LTR</v>
          </cell>
          <cell r="C77" t="str">
            <v>Pcs</v>
          </cell>
          <cell r="D77">
            <v>8</v>
          </cell>
          <cell r="E77">
            <v>0</v>
          </cell>
          <cell r="F77">
            <v>8</v>
          </cell>
          <cell r="G77">
            <v>0</v>
          </cell>
          <cell r="H77">
            <v>6500</v>
          </cell>
        </row>
        <row r="78">
          <cell r="A78">
            <v>537</v>
          </cell>
          <cell r="B78" t="str">
            <v>COURVOISIER V.S. 700ML</v>
          </cell>
          <cell r="C78" t="str">
            <v>Pcs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4500</v>
          </cell>
        </row>
        <row r="79">
          <cell r="A79">
            <v>538</v>
          </cell>
          <cell r="B79" t="str">
            <v>COURVOISIER V.S.O.P 1LTR</v>
          </cell>
          <cell r="C79" t="str">
            <v>Pcs</v>
          </cell>
          <cell r="D79">
            <v>120</v>
          </cell>
          <cell r="E79">
            <v>0</v>
          </cell>
          <cell r="F79">
            <v>0</v>
          </cell>
          <cell r="G79">
            <v>120</v>
          </cell>
          <cell r="H79">
            <v>7500</v>
          </cell>
        </row>
        <row r="80">
          <cell r="A80">
            <v>539</v>
          </cell>
          <cell r="B80" t="str">
            <v>COURVOISIER V.S.O.P. 700ML</v>
          </cell>
          <cell r="C80" t="str">
            <v>Pcs</v>
          </cell>
          <cell r="D80">
            <v>120</v>
          </cell>
          <cell r="E80">
            <v>0</v>
          </cell>
          <cell r="F80">
            <v>0</v>
          </cell>
          <cell r="G80">
            <v>120</v>
          </cell>
          <cell r="H80">
            <v>5500</v>
          </cell>
        </row>
        <row r="81">
          <cell r="A81">
            <v>3008</v>
          </cell>
          <cell r="B81" t="str">
            <v>DALLAS BRANDY 750ML</v>
          </cell>
          <cell r="C81" t="str">
            <v>Pcs</v>
          </cell>
          <cell r="D81">
            <v>0</v>
          </cell>
          <cell r="E81">
            <v>300</v>
          </cell>
          <cell r="F81">
            <v>12</v>
          </cell>
          <cell r="G81">
            <v>288</v>
          </cell>
          <cell r="H81">
            <v>550</v>
          </cell>
        </row>
        <row r="82">
          <cell r="A82">
            <v>625</v>
          </cell>
          <cell r="B82" t="str">
            <v>DON MONTEGO (AGE 5 YEARS) 500ML</v>
          </cell>
          <cell r="C82" t="str">
            <v>Pcs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1000</v>
          </cell>
        </row>
        <row r="83">
          <cell r="A83">
            <v>626</v>
          </cell>
          <cell r="B83" t="str">
            <v>DON MONTEGO (AGED 5 YEARS)250ML</v>
          </cell>
          <cell r="C83" t="str">
            <v>Pcs</v>
          </cell>
          <cell r="D83">
            <v>158</v>
          </cell>
          <cell r="E83">
            <v>0</v>
          </cell>
          <cell r="F83">
            <v>0</v>
          </cell>
          <cell r="G83">
            <v>158</v>
          </cell>
          <cell r="H83">
            <v>450</v>
          </cell>
        </row>
        <row r="84">
          <cell r="A84">
            <v>627</v>
          </cell>
          <cell r="B84" t="str">
            <v>DON MONTEGO BRANDY(AGED 5 YEARS )750ML</v>
          </cell>
          <cell r="C84" t="str">
            <v>Pcs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1650</v>
          </cell>
        </row>
        <row r="85">
          <cell r="A85">
            <v>2477</v>
          </cell>
          <cell r="B85" t="str">
            <v>JP CHENET VS 700ML</v>
          </cell>
          <cell r="C85" t="str">
            <v>Pcs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1400</v>
          </cell>
        </row>
        <row r="86">
          <cell r="A86">
            <v>1156</v>
          </cell>
          <cell r="B86" t="str">
            <v>JP CHENET VSOP 700ML</v>
          </cell>
          <cell r="C86" t="str">
            <v>Pcs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1600</v>
          </cell>
        </row>
        <row r="87">
          <cell r="A87">
            <v>1157</v>
          </cell>
          <cell r="B87" t="str">
            <v>JP CHENET XO 700ML</v>
          </cell>
          <cell r="C87" t="str">
            <v>Pcs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2000</v>
          </cell>
        </row>
        <row r="88">
          <cell r="A88">
            <v>1215</v>
          </cell>
          <cell r="B88" t="str">
            <v>KLIPORIFT 750ML</v>
          </cell>
          <cell r="C88" t="str">
            <v>Pcs</v>
          </cell>
          <cell r="D88">
            <v>24</v>
          </cell>
          <cell r="E88">
            <v>0</v>
          </cell>
          <cell r="F88">
            <v>0</v>
          </cell>
          <cell r="G88">
            <v>24</v>
          </cell>
          <cell r="H88">
            <v>2000</v>
          </cell>
        </row>
        <row r="89">
          <cell r="A89">
            <v>1233</v>
          </cell>
          <cell r="B89" t="str">
            <v>KWV 10YRS BRANDY 750ml</v>
          </cell>
          <cell r="C89" t="str">
            <v>Pcs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3000</v>
          </cell>
        </row>
        <row r="90">
          <cell r="A90">
            <v>1234</v>
          </cell>
          <cell r="B90" t="str">
            <v>KWV 12YRS BRANDY 750ML</v>
          </cell>
          <cell r="C90" t="str">
            <v>Pcs</v>
          </cell>
          <cell r="D90">
            <v>18</v>
          </cell>
          <cell r="E90">
            <v>0</v>
          </cell>
          <cell r="F90">
            <v>0</v>
          </cell>
          <cell r="G90">
            <v>18</v>
          </cell>
          <cell r="H90">
            <v>6500</v>
          </cell>
        </row>
        <row r="91">
          <cell r="A91">
            <v>1235</v>
          </cell>
          <cell r="B91" t="str">
            <v>KWV 15YRS BRANDY 750ml</v>
          </cell>
          <cell r="C91" t="str">
            <v>Pcs</v>
          </cell>
          <cell r="D91">
            <v>1</v>
          </cell>
          <cell r="E91">
            <v>0</v>
          </cell>
          <cell r="F91">
            <v>1</v>
          </cell>
          <cell r="G91">
            <v>0</v>
          </cell>
          <cell r="H91">
            <v>7500</v>
          </cell>
        </row>
        <row r="92">
          <cell r="A92">
            <v>1236</v>
          </cell>
          <cell r="B92" t="str">
            <v>KWV 3YRS BRANDY 750 ML</v>
          </cell>
          <cell r="C92" t="str">
            <v>Pcs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1100</v>
          </cell>
        </row>
        <row r="93">
          <cell r="A93">
            <v>1237</v>
          </cell>
          <cell r="B93" t="str">
            <v>KWV 5YRS 750 ML</v>
          </cell>
          <cell r="C93" t="str">
            <v>Pcs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1300</v>
          </cell>
        </row>
        <row r="94">
          <cell r="A94">
            <v>2415</v>
          </cell>
          <cell r="B94" t="str">
            <v>LIBERTY SPIRIT 250ML</v>
          </cell>
          <cell r="C94" t="str">
            <v>Pcs</v>
          </cell>
          <cell r="D94">
            <v>80</v>
          </cell>
          <cell r="E94">
            <v>0</v>
          </cell>
          <cell r="F94">
            <v>0</v>
          </cell>
          <cell r="G94">
            <v>80</v>
          </cell>
          <cell r="H94">
            <v>220</v>
          </cell>
        </row>
        <row r="95">
          <cell r="A95">
            <v>1477</v>
          </cell>
          <cell r="B95" t="str">
            <v>MORPHEUS 750ML</v>
          </cell>
          <cell r="C95" t="str">
            <v>Pcs</v>
          </cell>
          <cell r="D95">
            <v>12</v>
          </cell>
          <cell r="E95">
            <v>0</v>
          </cell>
          <cell r="F95">
            <v>0</v>
          </cell>
          <cell r="G95">
            <v>12</v>
          </cell>
          <cell r="H95">
            <v>1200</v>
          </cell>
        </row>
        <row r="96">
          <cell r="A96">
            <v>2280</v>
          </cell>
          <cell r="B96" t="str">
            <v>NAPOLEON GOLD 750ML</v>
          </cell>
          <cell r="C96" t="str">
            <v>Pcs</v>
          </cell>
          <cell r="D96">
            <v>1</v>
          </cell>
          <cell r="E96">
            <v>0</v>
          </cell>
          <cell r="F96">
            <v>0</v>
          </cell>
          <cell r="G96">
            <v>1</v>
          </cell>
          <cell r="H96">
            <v>800</v>
          </cell>
        </row>
        <row r="97">
          <cell r="A97">
            <v>1663</v>
          </cell>
          <cell r="B97" t="str">
            <v>RICHOT 250ML</v>
          </cell>
          <cell r="C97" t="str">
            <v>Pcs</v>
          </cell>
          <cell r="D97">
            <v>561</v>
          </cell>
          <cell r="E97">
            <v>0</v>
          </cell>
          <cell r="F97">
            <v>121</v>
          </cell>
          <cell r="G97">
            <v>440</v>
          </cell>
          <cell r="H97">
            <v>416</v>
          </cell>
        </row>
        <row r="98">
          <cell r="A98">
            <v>1664</v>
          </cell>
          <cell r="B98" t="str">
            <v>RICHOT 350ML</v>
          </cell>
          <cell r="C98" t="str">
            <v>Pcs</v>
          </cell>
          <cell r="D98">
            <v>168</v>
          </cell>
          <cell r="E98">
            <v>360</v>
          </cell>
          <cell r="F98">
            <v>216</v>
          </cell>
          <cell r="G98">
            <v>312</v>
          </cell>
          <cell r="H98">
            <v>576</v>
          </cell>
        </row>
        <row r="99">
          <cell r="A99">
            <v>1665</v>
          </cell>
          <cell r="B99" t="str">
            <v>RICHOT 750ML</v>
          </cell>
          <cell r="C99" t="str">
            <v>Pcs</v>
          </cell>
          <cell r="D99">
            <v>72</v>
          </cell>
          <cell r="E99">
            <v>180</v>
          </cell>
          <cell r="F99">
            <v>36</v>
          </cell>
          <cell r="G99">
            <v>216</v>
          </cell>
          <cell r="H99">
            <v>1240</v>
          </cell>
        </row>
        <row r="100">
          <cell r="A100">
            <v>1783</v>
          </cell>
          <cell r="B100" t="str">
            <v>SHUSHTOFF BRANDY 3YRS 500ML</v>
          </cell>
          <cell r="C100" t="str">
            <v>Pcs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1450</v>
          </cell>
        </row>
        <row r="101">
          <cell r="A101">
            <v>1786</v>
          </cell>
          <cell r="B101" t="str">
            <v>SHUSTOFF 3YRS 1LTR</v>
          </cell>
          <cell r="C101" t="str">
            <v>Pcs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1450</v>
          </cell>
        </row>
        <row r="102">
          <cell r="A102">
            <v>1872</v>
          </cell>
          <cell r="B102" t="str">
            <v>ST REMY VSOP FRENCH BRANDY 1LTR</v>
          </cell>
          <cell r="C102" t="str">
            <v>Pcs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2000</v>
          </cell>
        </row>
        <row r="103">
          <cell r="A103">
            <v>1873</v>
          </cell>
          <cell r="B103" t="str">
            <v>ST REMY VSOP FRENCH BRANDY 750ML</v>
          </cell>
          <cell r="C103" t="str">
            <v>Pcs</v>
          </cell>
          <cell r="D103">
            <v>2256</v>
          </cell>
          <cell r="E103">
            <v>0</v>
          </cell>
          <cell r="F103">
            <v>24</v>
          </cell>
          <cell r="G103">
            <v>2232</v>
          </cell>
          <cell r="H103">
            <v>1750</v>
          </cell>
        </row>
        <row r="104">
          <cell r="A104">
            <v>1874</v>
          </cell>
          <cell r="B104" t="str">
            <v>ST REMY XO  FRENCH BRANDY 750ML</v>
          </cell>
          <cell r="C104" t="str">
            <v>Pcs</v>
          </cell>
          <cell r="D104">
            <v>60</v>
          </cell>
          <cell r="E104">
            <v>0</v>
          </cell>
          <cell r="F104">
            <v>0</v>
          </cell>
          <cell r="G104">
            <v>60</v>
          </cell>
          <cell r="H104">
            <v>1800</v>
          </cell>
        </row>
        <row r="105">
          <cell r="A105">
            <v>1986</v>
          </cell>
          <cell r="B105" t="str">
            <v>THREE BARREL'S 1LT</v>
          </cell>
          <cell r="C105" t="str">
            <v>Pcs</v>
          </cell>
          <cell r="D105">
            <v>60</v>
          </cell>
          <cell r="E105">
            <v>0</v>
          </cell>
          <cell r="F105">
            <v>0</v>
          </cell>
          <cell r="G105">
            <v>60</v>
          </cell>
          <cell r="H105">
            <v>2100</v>
          </cell>
        </row>
        <row r="106">
          <cell r="A106">
            <v>2060</v>
          </cell>
          <cell r="B106" t="str">
            <v>VICEROY 250ML</v>
          </cell>
          <cell r="C106" t="str">
            <v>Pcs</v>
          </cell>
          <cell r="D106">
            <v>408</v>
          </cell>
          <cell r="E106">
            <v>1200</v>
          </cell>
          <cell r="F106">
            <v>648</v>
          </cell>
          <cell r="G106">
            <v>960</v>
          </cell>
          <cell r="H106">
            <v>430</v>
          </cell>
        </row>
        <row r="107">
          <cell r="A107">
            <v>2061</v>
          </cell>
          <cell r="B107" t="str">
            <v>VICEROY 375ML</v>
          </cell>
          <cell r="C107" t="str">
            <v>Pcs</v>
          </cell>
          <cell r="D107">
            <v>24</v>
          </cell>
          <cell r="E107">
            <v>1224</v>
          </cell>
          <cell r="F107">
            <v>1200</v>
          </cell>
          <cell r="G107">
            <v>48</v>
          </cell>
          <cell r="H107">
            <v>625</v>
          </cell>
        </row>
        <row r="108">
          <cell r="A108">
            <v>2062</v>
          </cell>
          <cell r="B108" t="str">
            <v>VICEROY 750ML</v>
          </cell>
          <cell r="C108" t="str">
            <v>Pcs</v>
          </cell>
          <cell r="D108">
            <v>227</v>
          </cell>
          <cell r="E108">
            <v>432</v>
          </cell>
          <cell r="F108">
            <v>659</v>
          </cell>
          <cell r="G108">
            <v>0</v>
          </cell>
          <cell r="H108">
            <v>1215</v>
          </cell>
        </row>
        <row r="109">
          <cell r="A109">
            <v>612</v>
          </cell>
          <cell r="B109" t="str">
            <v>DOM PERIGNON BRUT 750ML</v>
          </cell>
          <cell r="C109" t="str">
            <v>Pcs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38000</v>
          </cell>
        </row>
        <row r="110">
          <cell r="A110">
            <v>818</v>
          </cell>
          <cell r="B110" t="str">
            <v>GH MUMM 750ML</v>
          </cell>
          <cell r="C110" t="str">
            <v>Pcs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8000</v>
          </cell>
        </row>
        <row r="111">
          <cell r="A111">
            <v>801</v>
          </cell>
          <cell r="B111" t="str">
            <v>G.H. MUMM ROSEE 750ML</v>
          </cell>
          <cell r="C111" t="str">
            <v>Pcs</v>
          </cell>
          <cell r="D111">
            <v>18</v>
          </cell>
          <cell r="E111">
            <v>0</v>
          </cell>
          <cell r="F111">
            <v>0</v>
          </cell>
          <cell r="G111">
            <v>18</v>
          </cell>
          <cell r="H111">
            <v>7500</v>
          </cell>
        </row>
        <row r="112">
          <cell r="A112">
            <v>2303</v>
          </cell>
          <cell r="B112" t="str">
            <v>LANSON CHAMPAIGN 750ML</v>
          </cell>
          <cell r="C112" t="str">
            <v>Pcs</v>
          </cell>
          <cell r="D112">
            <v>6</v>
          </cell>
          <cell r="E112">
            <v>0</v>
          </cell>
          <cell r="F112">
            <v>0</v>
          </cell>
          <cell r="G112">
            <v>6</v>
          </cell>
          <cell r="H112">
            <v>9500</v>
          </cell>
        </row>
        <row r="113">
          <cell r="A113">
            <v>1266</v>
          </cell>
          <cell r="B113" t="str">
            <v>LAURENT BRUT CHAMPAGNE 750ML</v>
          </cell>
          <cell r="C113" t="str">
            <v>Pcs</v>
          </cell>
          <cell r="D113">
            <v>16</v>
          </cell>
          <cell r="E113">
            <v>0</v>
          </cell>
          <cell r="F113">
            <v>0</v>
          </cell>
          <cell r="G113">
            <v>16</v>
          </cell>
          <cell r="H113">
            <v>9500</v>
          </cell>
        </row>
        <row r="114">
          <cell r="A114">
            <v>1267</v>
          </cell>
          <cell r="B114" t="str">
            <v>LAURENT- PERRIER ROSE CHAMPAGNE  750ML</v>
          </cell>
          <cell r="C114" t="str">
            <v>Pcs</v>
          </cell>
          <cell r="D114">
            <v>12</v>
          </cell>
          <cell r="E114">
            <v>0</v>
          </cell>
          <cell r="F114">
            <v>0</v>
          </cell>
          <cell r="G114">
            <v>12</v>
          </cell>
          <cell r="H114">
            <v>9500</v>
          </cell>
        </row>
        <row r="115">
          <cell r="A115">
            <v>2969</v>
          </cell>
          <cell r="B115" t="str">
            <v>LOUIS ROEDERER CHAMPAGNE CRISTAL BRUT 2013 1.5L </v>
          </cell>
          <cell r="C115" t="str">
            <v>Pcs</v>
          </cell>
          <cell r="D115">
            <v>3</v>
          </cell>
          <cell r="E115">
            <v>0</v>
          </cell>
          <cell r="F115">
            <v>0</v>
          </cell>
          <cell r="G115">
            <v>3</v>
          </cell>
          <cell r="H115">
            <v>85000</v>
          </cell>
        </row>
        <row r="116">
          <cell r="A116">
            <v>1313</v>
          </cell>
          <cell r="B116" t="str">
            <v>LUC BELAIRE BLEU CHAMPAGNE 750ML</v>
          </cell>
          <cell r="C116" t="str">
            <v>Pcs</v>
          </cell>
          <cell r="D116">
            <v>113</v>
          </cell>
          <cell r="E116">
            <v>0</v>
          </cell>
          <cell r="F116">
            <v>0</v>
          </cell>
          <cell r="G116">
            <v>113</v>
          </cell>
          <cell r="H116">
            <v>4500</v>
          </cell>
        </row>
        <row r="117">
          <cell r="A117">
            <v>1314</v>
          </cell>
          <cell r="B117" t="str">
            <v>LUC BELAIRE BRUT GOLD 1.5LTR</v>
          </cell>
          <cell r="C117" t="str">
            <v>Pcs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9000</v>
          </cell>
        </row>
        <row r="118">
          <cell r="A118">
            <v>2180</v>
          </cell>
          <cell r="B118" t="str">
            <v>LUC BELAIRE BRUT GOLD 750ML</v>
          </cell>
          <cell r="C118" t="str">
            <v>Pcs</v>
          </cell>
          <cell r="D118">
            <v>251</v>
          </cell>
          <cell r="E118">
            <v>0</v>
          </cell>
          <cell r="F118">
            <v>0</v>
          </cell>
          <cell r="G118">
            <v>251</v>
          </cell>
          <cell r="H118">
            <v>4500</v>
          </cell>
        </row>
        <row r="119">
          <cell r="A119">
            <v>2179</v>
          </cell>
          <cell r="B119" t="str">
            <v>LUC BELAIRE BRUT GOLD FANTOME 750ML</v>
          </cell>
          <cell r="C119" t="str">
            <v>Pcs</v>
          </cell>
          <cell r="D119">
            <v>158</v>
          </cell>
          <cell r="E119">
            <v>0</v>
          </cell>
          <cell r="F119">
            <v>0</v>
          </cell>
          <cell r="G119">
            <v>158</v>
          </cell>
          <cell r="H119">
            <v>4500</v>
          </cell>
        </row>
        <row r="120">
          <cell r="A120">
            <v>1319</v>
          </cell>
          <cell r="B120" t="str">
            <v>LUC BELAIRE FANTOME ROSE 750ML</v>
          </cell>
          <cell r="C120" t="str">
            <v>Pcs</v>
          </cell>
          <cell r="D120">
            <v>1</v>
          </cell>
          <cell r="E120">
            <v>0</v>
          </cell>
          <cell r="F120">
            <v>1</v>
          </cell>
          <cell r="G120">
            <v>0</v>
          </cell>
          <cell r="H120">
            <v>4900</v>
          </cell>
        </row>
        <row r="121">
          <cell r="A121">
            <v>2304</v>
          </cell>
          <cell r="B121" t="str">
            <v>LUC BELAIRE LUXE RARE FANTOM 750ML</v>
          </cell>
          <cell r="C121" t="str">
            <v>Pcs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4900</v>
          </cell>
        </row>
        <row r="122">
          <cell r="A122">
            <v>1321</v>
          </cell>
          <cell r="B122" t="str">
            <v>LUC BELAIRE LUXE ROSE 750ML</v>
          </cell>
          <cell r="C122" t="str">
            <v>Pcs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4500</v>
          </cell>
        </row>
        <row r="123">
          <cell r="A123">
            <v>2305</v>
          </cell>
          <cell r="B123" t="str">
            <v>LUC BELAIRE  RARE BRUT 750ML</v>
          </cell>
          <cell r="C123" t="str">
            <v>Pcs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4900</v>
          </cell>
        </row>
        <row r="124">
          <cell r="A124">
            <v>1322</v>
          </cell>
          <cell r="B124" t="str">
            <v>LUC BELAIRE RARE LUXE 750ML</v>
          </cell>
          <cell r="C124" t="str">
            <v>Pcs</v>
          </cell>
          <cell r="D124">
            <v>1</v>
          </cell>
          <cell r="E124">
            <v>0</v>
          </cell>
          <cell r="F124">
            <v>1</v>
          </cell>
          <cell r="G124">
            <v>0</v>
          </cell>
          <cell r="H124">
            <v>4200</v>
          </cell>
        </row>
        <row r="125">
          <cell r="A125">
            <v>1323</v>
          </cell>
          <cell r="B125" t="str">
            <v>LUC BELAIRE RARE ROSE 750ML</v>
          </cell>
          <cell r="C125" t="str">
            <v>Pcs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4600</v>
          </cell>
        </row>
        <row r="126">
          <cell r="A126">
            <v>2374</v>
          </cell>
          <cell r="B126" t="str">
            <v>LUC BELAIRE ROSE 1.5LTR</v>
          </cell>
          <cell r="C126" t="str">
            <v>Pcs</v>
          </cell>
          <cell r="D126">
            <v>6</v>
          </cell>
          <cell r="E126">
            <v>0</v>
          </cell>
          <cell r="F126">
            <v>0</v>
          </cell>
          <cell r="G126">
            <v>6</v>
          </cell>
          <cell r="H126">
            <v>8000</v>
          </cell>
        </row>
        <row r="127">
          <cell r="A127">
            <v>1324</v>
          </cell>
          <cell r="B127" t="str">
            <v>LUC BELAIRE ROSE FANTOM 1.5LTR</v>
          </cell>
          <cell r="C127" t="str">
            <v>Pcs</v>
          </cell>
          <cell r="D127">
            <v>12</v>
          </cell>
          <cell r="E127">
            <v>0</v>
          </cell>
          <cell r="F127">
            <v>0</v>
          </cell>
          <cell r="G127">
            <v>12</v>
          </cell>
          <cell r="H127">
            <v>9000</v>
          </cell>
        </row>
        <row r="128">
          <cell r="A128">
            <v>1450</v>
          </cell>
          <cell r="B128" t="str">
            <v>MOET &amp; CHANDON BRUT IMPERIAL 750ML</v>
          </cell>
          <cell r="C128" t="str">
            <v>Pcs</v>
          </cell>
          <cell r="D128">
            <v>294</v>
          </cell>
          <cell r="E128">
            <v>0</v>
          </cell>
          <cell r="F128">
            <v>48</v>
          </cell>
          <cell r="G128">
            <v>246</v>
          </cell>
          <cell r="H128">
            <v>8000</v>
          </cell>
        </row>
        <row r="129">
          <cell r="A129">
            <v>1441</v>
          </cell>
          <cell r="B129" t="str">
            <v>MOET &amp; CHANDON - GRAND VINTAGE 750ML</v>
          </cell>
          <cell r="C129" t="str">
            <v>Pcs</v>
          </cell>
          <cell r="D129">
            <v>6</v>
          </cell>
          <cell r="E129">
            <v>0</v>
          </cell>
          <cell r="F129">
            <v>0</v>
          </cell>
          <cell r="G129">
            <v>6</v>
          </cell>
          <cell r="H129">
            <v>9500</v>
          </cell>
        </row>
        <row r="130">
          <cell r="A130">
            <v>1444</v>
          </cell>
          <cell r="B130" t="str">
            <v>MOET &amp; CHANDON ICE IMPERIAL 750ML</v>
          </cell>
          <cell r="C130" t="str">
            <v>Pcs</v>
          </cell>
          <cell r="D130">
            <v>84</v>
          </cell>
          <cell r="E130">
            <v>0</v>
          </cell>
          <cell r="F130">
            <v>0</v>
          </cell>
          <cell r="G130">
            <v>84</v>
          </cell>
          <cell r="H130">
            <v>12500</v>
          </cell>
        </row>
        <row r="131">
          <cell r="A131">
            <v>1445</v>
          </cell>
          <cell r="B131" t="str">
            <v>MOET &amp; CHANDON ICE IMPERIAL ROSE 750ML</v>
          </cell>
          <cell r="C131" t="str">
            <v>Pcs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11500</v>
          </cell>
        </row>
        <row r="132">
          <cell r="A132">
            <v>1454</v>
          </cell>
          <cell r="B132" t="str">
            <v>MOET &amp; CHANDON NECTAR IMPERIAL 750ml</v>
          </cell>
          <cell r="C132" t="str">
            <v>Pcs</v>
          </cell>
          <cell r="D132">
            <v>30</v>
          </cell>
          <cell r="E132">
            <v>0</v>
          </cell>
          <cell r="F132">
            <v>18</v>
          </cell>
          <cell r="G132">
            <v>12</v>
          </cell>
          <cell r="H132">
            <v>12000</v>
          </cell>
        </row>
        <row r="133">
          <cell r="A133">
            <v>1449</v>
          </cell>
          <cell r="B133" t="str">
            <v>MOET &amp; CHANDON NECTAR IMPERIAL ROSE 750ML</v>
          </cell>
          <cell r="C133" t="str">
            <v>Pcs</v>
          </cell>
          <cell r="D133">
            <v>396</v>
          </cell>
          <cell r="E133">
            <v>0</v>
          </cell>
          <cell r="F133">
            <v>6</v>
          </cell>
          <cell r="G133">
            <v>390</v>
          </cell>
          <cell r="H133">
            <v>12500</v>
          </cell>
        </row>
        <row r="134">
          <cell r="A134">
            <v>1448</v>
          </cell>
          <cell r="B134" t="str">
            <v>MOET &amp; CHANDON ROSE 1.5LTR</v>
          </cell>
          <cell r="C134" t="str">
            <v>Pcs</v>
          </cell>
          <cell r="D134">
            <v>7</v>
          </cell>
          <cell r="E134">
            <v>0</v>
          </cell>
          <cell r="F134">
            <v>0</v>
          </cell>
          <cell r="G134">
            <v>7</v>
          </cell>
          <cell r="H134">
            <v>15000</v>
          </cell>
        </row>
        <row r="135">
          <cell r="A135">
            <v>1453</v>
          </cell>
          <cell r="B135" t="str">
            <v>MOET &amp; CHANDON ROSE IMPERIAL 750ml</v>
          </cell>
          <cell r="C135" t="str">
            <v>Pcs</v>
          </cell>
          <cell r="D135">
            <v>83</v>
          </cell>
          <cell r="E135">
            <v>0</v>
          </cell>
          <cell r="F135">
            <v>6</v>
          </cell>
          <cell r="G135">
            <v>77</v>
          </cell>
          <cell r="H135">
            <v>12500</v>
          </cell>
        </row>
        <row r="136">
          <cell r="A136">
            <v>1451</v>
          </cell>
          <cell r="B136" t="str">
            <v>MOET &amp; CHARNDON - NECTOR 750ML</v>
          </cell>
          <cell r="C136" t="str">
            <v>Pcs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12500</v>
          </cell>
        </row>
        <row r="137">
          <cell r="A137">
            <v>1452</v>
          </cell>
          <cell r="B137" t="str">
            <v>MOET &amp; CHARNDON - ROSE 750ML</v>
          </cell>
          <cell r="C137" t="str">
            <v>Pcs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10500</v>
          </cell>
        </row>
        <row r="138">
          <cell r="A138">
            <v>1629</v>
          </cell>
          <cell r="B138" t="str">
            <v>PIPER HEIDSIECK BRUT CHAMPAGNE 750ML</v>
          </cell>
          <cell r="C138" t="str">
            <v>Pcs</v>
          </cell>
          <cell r="D138">
            <v>6</v>
          </cell>
          <cell r="E138">
            <v>0</v>
          </cell>
          <cell r="F138">
            <v>0</v>
          </cell>
          <cell r="G138">
            <v>6</v>
          </cell>
          <cell r="H138">
            <v>6000</v>
          </cell>
        </row>
        <row r="139">
          <cell r="A139">
            <v>1911</v>
          </cell>
          <cell r="B139" t="str">
            <v>TAITTINGER BRUT RESERVE 750ML</v>
          </cell>
          <cell r="C139" t="str">
            <v>Pcs</v>
          </cell>
          <cell r="D139">
            <v>1</v>
          </cell>
          <cell r="E139">
            <v>0</v>
          </cell>
          <cell r="F139">
            <v>0</v>
          </cell>
          <cell r="G139">
            <v>1</v>
          </cell>
          <cell r="H139">
            <v>7500</v>
          </cell>
        </row>
        <row r="140">
          <cell r="A140">
            <v>1915</v>
          </cell>
          <cell r="B140" t="str">
            <v>TAITTINGER PRESTIGE ROSÉ 750ML</v>
          </cell>
          <cell r="C140" t="str">
            <v>Pcs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9500</v>
          </cell>
        </row>
        <row r="141">
          <cell r="A141">
            <v>2056</v>
          </cell>
          <cell r="B141" t="str">
            <v>VEUVE CLICQUOT - BRUT 750ML</v>
          </cell>
          <cell r="C141" t="str">
            <v>Pcs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10200</v>
          </cell>
        </row>
        <row r="142">
          <cell r="A142">
            <v>2972</v>
          </cell>
          <cell r="B142" t="str">
            <v>VEUVE CLICQUOT DEMI-SEC 750ML</v>
          </cell>
          <cell r="C142" t="str">
            <v>Pcs</v>
          </cell>
          <cell r="D142">
            <v>24</v>
          </cell>
          <cell r="E142">
            <v>0</v>
          </cell>
          <cell r="F142">
            <v>0</v>
          </cell>
          <cell r="G142">
            <v>24</v>
          </cell>
          <cell r="H142">
            <v>15000</v>
          </cell>
        </row>
        <row r="143">
          <cell r="A143">
            <v>2057</v>
          </cell>
          <cell r="B143" t="str">
            <v>VEUVE CLICQUOT- ROSE 750ML</v>
          </cell>
          <cell r="C143" t="str">
            <v>Pcs</v>
          </cell>
          <cell r="D143">
            <v>1</v>
          </cell>
          <cell r="E143">
            <v>0</v>
          </cell>
          <cell r="F143">
            <v>0</v>
          </cell>
          <cell r="G143">
            <v>1</v>
          </cell>
          <cell r="H143">
            <v>12500</v>
          </cell>
        </row>
        <row r="144">
          <cell r="A144">
            <v>2058</v>
          </cell>
          <cell r="B144" t="str">
            <v>VEUVE DU VERNAY BRUT ROSE 750ML</v>
          </cell>
          <cell r="C144" t="str">
            <v>Pcs</v>
          </cell>
          <cell r="D144">
            <v>6</v>
          </cell>
          <cell r="E144">
            <v>0</v>
          </cell>
          <cell r="F144">
            <v>0</v>
          </cell>
          <cell r="G144">
            <v>6</v>
          </cell>
          <cell r="H144">
            <v>7500</v>
          </cell>
        </row>
        <row r="145">
          <cell r="A145">
            <v>2153</v>
          </cell>
          <cell r="B145" t="str">
            <v>ZONIN PROSECCO750ml</v>
          </cell>
          <cell r="C145" t="str">
            <v>Pcs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2300</v>
          </cell>
        </row>
        <row r="146">
          <cell r="A146">
            <v>997</v>
          </cell>
          <cell r="B146" t="str">
            <v>HUNTERS DRY 330ML</v>
          </cell>
          <cell r="C146" t="str">
            <v>Pcs</v>
          </cell>
          <cell r="D146">
            <v>456</v>
          </cell>
          <cell r="E146">
            <v>1200</v>
          </cell>
          <cell r="F146">
            <v>864</v>
          </cell>
          <cell r="G146">
            <v>792</v>
          </cell>
          <cell r="H146">
            <v>195</v>
          </cell>
        </row>
        <row r="147">
          <cell r="A147">
            <v>998</v>
          </cell>
          <cell r="B147" t="str">
            <v>HUNTERS GOLD 330ML</v>
          </cell>
          <cell r="C147" t="str">
            <v>Pcs</v>
          </cell>
          <cell r="D147">
            <v>528</v>
          </cell>
          <cell r="E147">
            <v>1200</v>
          </cell>
          <cell r="F147">
            <v>670</v>
          </cell>
          <cell r="G147">
            <v>1058</v>
          </cell>
          <cell r="H147">
            <v>195</v>
          </cell>
        </row>
        <row r="148">
          <cell r="A148">
            <v>2226</v>
          </cell>
          <cell r="B148" t="str">
            <v>KO BLUSH PREMIUM ROSE &amp; CUCUMBER 750ML</v>
          </cell>
          <cell r="C148" t="str">
            <v>Pcs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2300</v>
          </cell>
        </row>
        <row r="149">
          <cell r="A149">
            <v>2580</v>
          </cell>
          <cell r="B149" t="str">
            <v>KO  DRY CIDER 500ML</v>
          </cell>
          <cell r="C149" t="str">
            <v>Pcs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</v>
          </cell>
        </row>
        <row r="150">
          <cell r="A150">
            <v>2407</v>
          </cell>
          <cell r="B150" t="str">
            <v>KO HONEY &amp; LEMON 330ML</v>
          </cell>
          <cell r="C150" t="str">
            <v>Pcs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230</v>
          </cell>
        </row>
        <row r="151">
          <cell r="A151">
            <v>1220</v>
          </cell>
          <cell r="B151" t="str">
            <v>KO LIME &amp; GINGER 330ML</v>
          </cell>
          <cell r="C151" t="str">
            <v>Pcs</v>
          </cell>
          <cell r="D151">
            <v>192</v>
          </cell>
          <cell r="E151">
            <v>0</v>
          </cell>
          <cell r="F151">
            <v>192</v>
          </cell>
          <cell r="G151">
            <v>0</v>
          </cell>
          <cell r="H151">
            <v>230</v>
          </cell>
        </row>
        <row r="152">
          <cell r="A152">
            <v>2164</v>
          </cell>
          <cell r="B152" t="str">
            <v>KO MANGO &amp; CHILLI 330ML</v>
          </cell>
          <cell r="C152" t="str">
            <v>Pcs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220</v>
          </cell>
        </row>
        <row r="153">
          <cell r="A153">
            <v>1221</v>
          </cell>
          <cell r="B153" t="str">
            <v>KO MANGO &amp; GINGER 330ML</v>
          </cell>
          <cell r="C153" t="str">
            <v>Pcs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230</v>
          </cell>
        </row>
        <row r="154">
          <cell r="A154">
            <v>2406</v>
          </cell>
          <cell r="B154" t="str">
            <v>KO PASSION FRUIT &amp; LIME CAN 330ML</v>
          </cell>
          <cell r="C154" t="str">
            <v>Pcs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230</v>
          </cell>
        </row>
        <row r="155">
          <cell r="A155">
            <v>1222</v>
          </cell>
          <cell r="B155" t="str">
            <v>KO PASSION&amp;LIME 330ML</v>
          </cell>
          <cell r="C155" t="str">
            <v>Pcs</v>
          </cell>
          <cell r="D155">
            <v>1728</v>
          </cell>
          <cell r="E155">
            <v>0</v>
          </cell>
          <cell r="F155">
            <v>672</v>
          </cell>
          <cell r="G155">
            <v>1056</v>
          </cell>
          <cell r="H155">
            <v>230</v>
          </cell>
        </row>
        <row r="156">
          <cell r="A156">
            <v>1223</v>
          </cell>
          <cell r="B156" t="str">
            <v>KO PINEAPPLE &amp; MINT 330ML</v>
          </cell>
          <cell r="C156" t="str">
            <v>Pcs</v>
          </cell>
          <cell r="D156">
            <v>2520</v>
          </cell>
          <cell r="E156">
            <v>0</v>
          </cell>
          <cell r="F156">
            <v>1176</v>
          </cell>
          <cell r="G156">
            <v>1344</v>
          </cell>
          <cell r="H156">
            <v>230</v>
          </cell>
        </row>
        <row r="157">
          <cell r="A157">
            <v>2405</v>
          </cell>
          <cell r="B157" t="str">
            <v>KO PINEAPPLE &amp; MINT CAN 330ML</v>
          </cell>
          <cell r="C157" t="str">
            <v>Pcs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230</v>
          </cell>
        </row>
        <row r="158">
          <cell r="A158">
            <v>2399</v>
          </cell>
          <cell r="B158" t="str">
            <v>MANYATTA CAN PINEAPPLE &amp; MINT 330ML</v>
          </cell>
          <cell r="C158" t="str">
            <v>Pcs</v>
          </cell>
          <cell r="D158">
            <v>864</v>
          </cell>
          <cell r="E158">
            <v>2472</v>
          </cell>
          <cell r="F158">
            <v>2304</v>
          </cell>
          <cell r="G158">
            <v>1032</v>
          </cell>
          <cell r="H158">
            <v>245</v>
          </cell>
        </row>
        <row r="159">
          <cell r="A159">
            <v>1384</v>
          </cell>
          <cell r="B159" t="str">
            <v>MANYATTA CIDER 330ML</v>
          </cell>
          <cell r="C159" t="str">
            <v>Pcs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260</v>
          </cell>
        </row>
        <row r="160">
          <cell r="A160">
            <v>1385</v>
          </cell>
          <cell r="B160" t="str">
            <v>MANYATTA LEMON &amp; GINGER CIDER 330ML</v>
          </cell>
          <cell r="C160" t="str">
            <v>Pcs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260</v>
          </cell>
        </row>
        <row r="161">
          <cell r="A161">
            <v>1383</v>
          </cell>
          <cell r="B161" t="str">
            <v>MANYATTA  MANGO &amp; GINGER 330ML</v>
          </cell>
          <cell r="C161" t="str">
            <v>Pcs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260</v>
          </cell>
        </row>
        <row r="162">
          <cell r="A162">
            <v>1386</v>
          </cell>
          <cell r="B162" t="str">
            <v>MANYATTA PINEAPPLE MINT 330ML</v>
          </cell>
          <cell r="C162" t="str">
            <v>Pcs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260</v>
          </cell>
        </row>
        <row r="163">
          <cell r="A163">
            <v>1685</v>
          </cell>
          <cell r="B163" t="str">
            <v>ROLLER PREMIUM CRISP APPLE 330ml</v>
          </cell>
          <cell r="C163" t="str">
            <v>Pcs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170</v>
          </cell>
        </row>
        <row r="164">
          <cell r="A164">
            <v>1765</v>
          </cell>
          <cell r="B164" t="str">
            <v>SAVANNA ANGRY LEMON 330ML</v>
          </cell>
          <cell r="C164" t="str">
            <v>Pcs</v>
          </cell>
          <cell r="D164">
            <v>264</v>
          </cell>
          <cell r="E164">
            <v>552</v>
          </cell>
          <cell r="F164">
            <v>552</v>
          </cell>
          <cell r="G164">
            <v>264</v>
          </cell>
          <cell r="H164">
            <v>246</v>
          </cell>
        </row>
        <row r="165">
          <cell r="A165">
            <v>1764</v>
          </cell>
          <cell r="B165" t="str">
            <v>SAVANNA DRY BOTTLE 330ML</v>
          </cell>
          <cell r="C165" t="str">
            <v>Pcs</v>
          </cell>
          <cell r="D165">
            <v>816</v>
          </cell>
          <cell r="E165">
            <v>3528</v>
          </cell>
          <cell r="F165">
            <v>3864</v>
          </cell>
          <cell r="G165">
            <v>480</v>
          </cell>
          <cell r="H165">
            <v>235</v>
          </cell>
        </row>
        <row r="166">
          <cell r="A166">
            <v>2986</v>
          </cell>
          <cell r="B166" t="str">
            <v>SAVANNA DRY  PREMIUM CAN</v>
          </cell>
          <cell r="C166" t="str">
            <v>Pcs</v>
          </cell>
          <cell r="D166">
            <v>0</v>
          </cell>
          <cell r="E166">
            <v>480</v>
          </cell>
          <cell r="F166">
            <v>432</v>
          </cell>
          <cell r="G166">
            <v>48</v>
          </cell>
          <cell r="H166">
            <v>280</v>
          </cell>
        </row>
        <row r="167">
          <cell r="A167">
            <v>1846</v>
          </cell>
          <cell r="B167" t="str">
            <v>SNAPP APPLE CAN 330ML</v>
          </cell>
          <cell r="C167" t="str">
            <v>Pcs</v>
          </cell>
          <cell r="D167">
            <v>576</v>
          </cell>
          <cell r="E167">
            <v>0</v>
          </cell>
          <cell r="F167">
            <v>312</v>
          </cell>
          <cell r="G167">
            <v>264</v>
          </cell>
          <cell r="H167">
            <v>180</v>
          </cell>
        </row>
        <row r="168">
          <cell r="A168">
            <v>2329</v>
          </cell>
          <cell r="B168" t="str">
            <v>Snapp Dry Cider 330ml</v>
          </cell>
          <cell r="C168" t="str">
            <v>Pcs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245</v>
          </cell>
        </row>
        <row r="169">
          <cell r="A169">
            <v>2026</v>
          </cell>
          <cell r="B169" t="str">
            <v>TUSKER CIDER CAN 500ML</v>
          </cell>
          <cell r="C169" t="str">
            <v>Pcs</v>
          </cell>
          <cell r="D169">
            <v>1488</v>
          </cell>
          <cell r="E169">
            <v>0</v>
          </cell>
          <cell r="F169">
            <v>504</v>
          </cell>
          <cell r="G169">
            <v>984</v>
          </cell>
          <cell r="H169">
            <v>235</v>
          </cell>
        </row>
        <row r="170">
          <cell r="A170">
            <v>2368</v>
          </cell>
          <cell r="B170" t="str">
            <v>DUNHILL SINGLE SWITCH</v>
          </cell>
          <cell r="C170" t="str">
            <v>Pcs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550</v>
          </cell>
        </row>
        <row r="171">
          <cell r="A171">
            <v>359</v>
          </cell>
          <cell r="B171" t="str">
            <v>CAMUS VS COGNAC 1LTR</v>
          </cell>
          <cell r="C171" t="str">
            <v>Pcs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5500</v>
          </cell>
        </row>
        <row r="172">
          <cell r="A172">
            <v>360</v>
          </cell>
          <cell r="B172" t="str">
            <v>CAMUS VS COGNAC 700ML</v>
          </cell>
          <cell r="C172" t="str">
            <v>Pcs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4800</v>
          </cell>
        </row>
        <row r="173">
          <cell r="A173">
            <v>361</v>
          </cell>
          <cell r="B173" t="str">
            <v>CAMUS VSOP COGNAC 1LTR</v>
          </cell>
          <cell r="C173" t="str">
            <v>Pcs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7000</v>
          </cell>
        </row>
        <row r="174">
          <cell r="A174">
            <v>362</v>
          </cell>
          <cell r="B174" t="str">
            <v>CAMUS VSOP COGNAC 700ML</v>
          </cell>
          <cell r="C174" t="str">
            <v>Pcs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5500</v>
          </cell>
        </row>
        <row r="175">
          <cell r="A175">
            <v>2268</v>
          </cell>
          <cell r="B175" t="str">
            <v>CAMUS XO 1LTR</v>
          </cell>
          <cell r="C175" t="str">
            <v>Pcs</v>
          </cell>
          <cell r="D175">
            <v>3</v>
          </cell>
          <cell r="E175">
            <v>0</v>
          </cell>
          <cell r="F175">
            <v>0</v>
          </cell>
          <cell r="G175">
            <v>3</v>
          </cell>
          <cell r="H175">
            <v>30000</v>
          </cell>
        </row>
        <row r="176">
          <cell r="A176">
            <v>363</v>
          </cell>
          <cell r="B176" t="str">
            <v>CAMUS XO COGNAC 750ML</v>
          </cell>
          <cell r="C176" t="str">
            <v>Pcs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19000</v>
          </cell>
        </row>
        <row r="177">
          <cell r="A177">
            <v>2846</v>
          </cell>
          <cell r="B177" t="str">
            <v>CHATEAU MONTIFAUD VSOP 700ML</v>
          </cell>
          <cell r="C177" t="str">
            <v>Pcs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6000</v>
          </cell>
        </row>
        <row r="178">
          <cell r="A178">
            <v>2848</v>
          </cell>
          <cell r="B178" t="str">
            <v>GLENMORANGIE 18YRS THE INFINITA 700ML</v>
          </cell>
          <cell r="C178" t="str">
            <v>Pcs</v>
          </cell>
          <cell r="D178">
            <v>12</v>
          </cell>
          <cell r="E178">
            <v>0</v>
          </cell>
          <cell r="F178">
            <v>0</v>
          </cell>
          <cell r="G178">
            <v>12</v>
          </cell>
          <cell r="H178">
            <v>14500</v>
          </cell>
        </row>
        <row r="179">
          <cell r="A179">
            <v>959</v>
          </cell>
          <cell r="B179" t="str">
            <v>HENNESSY MASTER BLENDER'S  500ml</v>
          </cell>
          <cell r="C179" t="str">
            <v>Pcs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5000</v>
          </cell>
        </row>
        <row r="180">
          <cell r="A180">
            <v>2804</v>
          </cell>
          <cell r="B180" t="str">
            <v>HENNESSY PURE WHITE 700ML</v>
          </cell>
          <cell r="C180" t="str">
            <v>Pcs</v>
          </cell>
          <cell r="D180">
            <v>177</v>
          </cell>
          <cell r="E180">
            <v>0</v>
          </cell>
          <cell r="F180">
            <v>0</v>
          </cell>
          <cell r="G180">
            <v>177</v>
          </cell>
          <cell r="H180">
            <v>12000</v>
          </cell>
        </row>
        <row r="181">
          <cell r="A181">
            <v>960</v>
          </cell>
          <cell r="B181" t="str">
            <v>HENNESSY VS COGNAC 1LTR</v>
          </cell>
          <cell r="C181" t="str">
            <v>Pcs</v>
          </cell>
          <cell r="D181">
            <v>1075</v>
          </cell>
          <cell r="E181">
            <v>0</v>
          </cell>
          <cell r="F181">
            <v>148</v>
          </cell>
          <cell r="G181">
            <v>927</v>
          </cell>
          <cell r="H181">
            <v>6800</v>
          </cell>
        </row>
        <row r="182">
          <cell r="A182">
            <v>961</v>
          </cell>
          <cell r="B182" t="str">
            <v>HENNESSY V.S COGNAC 350ML</v>
          </cell>
          <cell r="C182" t="str">
            <v>Pcs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2900</v>
          </cell>
        </row>
        <row r="183">
          <cell r="A183">
            <v>962</v>
          </cell>
          <cell r="B183" t="str">
            <v>HENNESSY V.S COGNAC 700ML</v>
          </cell>
          <cell r="C183" t="str">
            <v>Pcs</v>
          </cell>
          <cell r="D183">
            <v>324</v>
          </cell>
          <cell r="E183">
            <v>0</v>
          </cell>
          <cell r="F183">
            <v>158</v>
          </cell>
          <cell r="G183">
            <v>166</v>
          </cell>
          <cell r="H183">
            <v>4800</v>
          </cell>
        </row>
        <row r="184">
          <cell r="A184">
            <v>963</v>
          </cell>
          <cell r="B184" t="str">
            <v>HENNESSY VSOP 1LTR</v>
          </cell>
          <cell r="C184" t="str">
            <v>Pcs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12500</v>
          </cell>
        </row>
        <row r="185">
          <cell r="A185">
            <v>964</v>
          </cell>
          <cell r="B185" t="str">
            <v>HENNESSY VSOP 350ML</v>
          </cell>
          <cell r="C185" t="str">
            <v>Pcs</v>
          </cell>
          <cell r="D185">
            <v>21</v>
          </cell>
          <cell r="E185">
            <v>0</v>
          </cell>
          <cell r="F185">
            <v>9</v>
          </cell>
          <cell r="G185">
            <v>12</v>
          </cell>
          <cell r="H185">
            <v>4500</v>
          </cell>
        </row>
        <row r="186">
          <cell r="A186">
            <v>965</v>
          </cell>
          <cell r="B186" t="str">
            <v>HENNESSY VSOP COGNAC 750ML</v>
          </cell>
          <cell r="C186" t="str">
            <v>Pcs</v>
          </cell>
          <cell r="D186">
            <v>337</v>
          </cell>
          <cell r="E186">
            <v>0</v>
          </cell>
          <cell r="F186">
            <v>116</v>
          </cell>
          <cell r="G186">
            <v>221</v>
          </cell>
          <cell r="H186">
            <v>8200</v>
          </cell>
        </row>
        <row r="187">
          <cell r="A187">
            <v>2985</v>
          </cell>
          <cell r="B187" t="str">
            <v>HENNESSY XO COGNAC 1.5L</v>
          </cell>
          <cell r="C187" t="str">
            <v>Pcs</v>
          </cell>
          <cell r="D187">
            <v>30</v>
          </cell>
          <cell r="E187">
            <v>0</v>
          </cell>
          <cell r="F187">
            <v>0</v>
          </cell>
          <cell r="G187">
            <v>30</v>
          </cell>
          <cell r="H187">
            <v>42000</v>
          </cell>
        </row>
        <row r="188">
          <cell r="A188">
            <v>966</v>
          </cell>
          <cell r="B188" t="str">
            <v>HENNESSY XO COGNAC 1LTR</v>
          </cell>
          <cell r="C188" t="str">
            <v>Pcs</v>
          </cell>
          <cell r="D188">
            <v>38</v>
          </cell>
          <cell r="E188">
            <v>0</v>
          </cell>
          <cell r="F188">
            <v>12</v>
          </cell>
          <cell r="G188">
            <v>26</v>
          </cell>
          <cell r="H188">
            <v>34000</v>
          </cell>
        </row>
        <row r="189">
          <cell r="A189">
            <v>967</v>
          </cell>
          <cell r="B189" t="str">
            <v>HENNESSY XO COGNAC 700ML</v>
          </cell>
          <cell r="C189" t="str">
            <v>Pcs</v>
          </cell>
          <cell r="D189">
            <v>3</v>
          </cell>
          <cell r="E189">
            <v>2</v>
          </cell>
          <cell r="F189">
            <v>3</v>
          </cell>
          <cell r="G189">
            <v>2</v>
          </cell>
          <cell r="H189">
            <v>25500</v>
          </cell>
        </row>
        <row r="190">
          <cell r="A190">
            <v>2847</v>
          </cell>
          <cell r="B190" t="str">
            <v>JACK DANIEL'S APPLE 350ML</v>
          </cell>
          <cell r="C190" t="str">
            <v>Pcs</v>
          </cell>
          <cell r="D190">
            <v>119</v>
          </cell>
          <cell r="E190">
            <v>0</v>
          </cell>
          <cell r="F190">
            <v>0</v>
          </cell>
          <cell r="G190">
            <v>119</v>
          </cell>
          <cell r="H190">
            <v>1500</v>
          </cell>
        </row>
        <row r="191">
          <cell r="A191">
            <v>1390</v>
          </cell>
          <cell r="B191" t="str">
            <v>MARTEL BLUE SWIFT COGNAC 700ML</v>
          </cell>
          <cell r="C191" t="str">
            <v>Pcs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8500</v>
          </cell>
        </row>
        <row r="192">
          <cell r="A192">
            <v>1391</v>
          </cell>
          <cell r="B192" t="str">
            <v>MARTEL CORDON BLEU 1LTR</v>
          </cell>
          <cell r="C192" t="str">
            <v>Pcs</v>
          </cell>
          <cell r="D192">
            <v>15</v>
          </cell>
          <cell r="E192">
            <v>0</v>
          </cell>
          <cell r="F192">
            <v>0</v>
          </cell>
          <cell r="G192">
            <v>15</v>
          </cell>
          <cell r="H192">
            <v>27000</v>
          </cell>
        </row>
        <row r="193">
          <cell r="A193">
            <v>2851</v>
          </cell>
          <cell r="B193" t="str">
            <v>MARTEL NOBLIGE 1 LITRE</v>
          </cell>
          <cell r="C193" t="str">
            <v>Pcs</v>
          </cell>
          <cell r="D193">
            <v>219</v>
          </cell>
          <cell r="E193">
            <v>0</v>
          </cell>
          <cell r="F193">
            <v>0</v>
          </cell>
          <cell r="G193">
            <v>219</v>
          </cell>
          <cell r="H193">
            <v>14500</v>
          </cell>
        </row>
        <row r="194">
          <cell r="A194">
            <v>1392</v>
          </cell>
          <cell r="B194" t="str">
            <v>MARTEL V.S  COGNAC 1LTR</v>
          </cell>
          <cell r="C194" t="str">
            <v>Pcs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6500</v>
          </cell>
        </row>
        <row r="195">
          <cell r="A195">
            <v>1395</v>
          </cell>
          <cell r="B195" t="str">
            <v>MARTEL VS COGNAC 700ML</v>
          </cell>
          <cell r="C195" t="str">
            <v>Pcs</v>
          </cell>
          <cell r="D195">
            <v>3857</v>
          </cell>
          <cell r="E195">
            <v>0</v>
          </cell>
          <cell r="F195">
            <v>228</v>
          </cell>
          <cell r="G195">
            <v>3629</v>
          </cell>
          <cell r="H195">
            <v>4500</v>
          </cell>
        </row>
        <row r="196">
          <cell r="A196">
            <v>1393</v>
          </cell>
          <cell r="B196" t="str">
            <v>MARTEL VSOP COGNAC 1LTR</v>
          </cell>
          <cell r="C196" t="str">
            <v>Pcs</v>
          </cell>
          <cell r="D196">
            <v>2782</v>
          </cell>
          <cell r="E196">
            <v>0</v>
          </cell>
          <cell r="F196">
            <v>54</v>
          </cell>
          <cell r="G196">
            <v>2728</v>
          </cell>
          <cell r="H196">
            <v>9500</v>
          </cell>
        </row>
        <row r="197">
          <cell r="A197">
            <v>1396</v>
          </cell>
          <cell r="B197" t="str">
            <v>MARTEL VSOP COGNAC 700ML</v>
          </cell>
          <cell r="C197" t="str">
            <v>Pcs</v>
          </cell>
          <cell r="D197">
            <v>1240</v>
          </cell>
          <cell r="E197">
            <v>0</v>
          </cell>
          <cell r="F197">
            <v>12</v>
          </cell>
          <cell r="G197">
            <v>1228</v>
          </cell>
          <cell r="H197">
            <v>7060</v>
          </cell>
        </row>
        <row r="198">
          <cell r="A198">
            <v>2455</v>
          </cell>
          <cell r="B198" t="str">
            <v>MARTEL XO 1LTR</v>
          </cell>
          <cell r="C198" t="str">
            <v>Pcs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30000</v>
          </cell>
        </row>
        <row r="199">
          <cell r="A199">
            <v>1398</v>
          </cell>
          <cell r="B199" t="str">
            <v>MARTEL XO COGNAC 700ML</v>
          </cell>
          <cell r="C199" t="str">
            <v>Pcs</v>
          </cell>
          <cell r="D199">
            <v>432</v>
          </cell>
          <cell r="E199">
            <v>3</v>
          </cell>
          <cell r="F199">
            <v>52</v>
          </cell>
          <cell r="G199">
            <v>383</v>
          </cell>
          <cell r="H199">
            <v>26300</v>
          </cell>
        </row>
        <row r="200">
          <cell r="A200">
            <v>2810</v>
          </cell>
          <cell r="B200" t="str">
            <v>MENARD VSOP 700ML</v>
          </cell>
          <cell r="C200" t="str">
            <v>Pcs</v>
          </cell>
          <cell r="D200">
            <v>6</v>
          </cell>
          <cell r="E200">
            <v>0</v>
          </cell>
          <cell r="F200">
            <v>0</v>
          </cell>
          <cell r="G200">
            <v>6</v>
          </cell>
          <cell r="H200">
            <v>5000</v>
          </cell>
        </row>
        <row r="201">
          <cell r="A201">
            <v>2809</v>
          </cell>
          <cell r="B201" t="str">
            <v>MOULLON VSOP 700ML</v>
          </cell>
          <cell r="C201" t="str">
            <v>Pcs</v>
          </cell>
          <cell r="D201">
            <v>30</v>
          </cell>
          <cell r="E201">
            <v>0</v>
          </cell>
          <cell r="F201">
            <v>0</v>
          </cell>
          <cell r="G201">
            <v>30</v>
          </cell>
          <cell r="H201">
            <v>3500</v>
          </cell>
        </row>
        <row r="202">
          <cell r="A202">
            <v>1655</v>
          </cell>
          <cell r="B202" t="str">
            <v>REMY MARTIN 1738 ACCORD ROYAL COGNAC 700ML</v>
          </cell>
          <cell r="C202" t="str">
            <v>Pcs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7500</v>
          </cell>
        </row>
        <row r="203">
          <cell r="A203">
            <v>1652</v>
          </cell>
          <cell r="B203" t="str">
            <v>REMY MARTIN - VSOP 1LTR</v>
          </cell>
          <cell r="C203" t="str">
            <v>Pcs</v>
          </cell>
          <cell r="D203">
            <v>391</v>
          </cell>
          <cell r="E203">
            <v>0</v>
          </cell>
          <cell r="F203">
            <v>18</v>
          </cell>
          <cell r="G203">
            <v>373</v>
          </cell>
          <cell r="H203">
            <v>8000</v>
          </cell>
        </row>
        <row r="204">
          <cell r="A204">
            <v>1653</v>
          </cell>
          <cell r="B204" t="str">
            <v>REMY MARTIN - VSOP 700 ML</v>
          </cell>
          <cell r="C204" t="str">
            <v>Pcs</v>
          </cell>
          <cell r="D204">
            <v>6</v>
          </cell>
          <cell r="E204">
            <v>0</v>
          </cell>
          <cell r="F204">
            <v>6</v>
          </cell>
          <cell r="G204">
            <v>0</v>
          </cell>
          <cell r="H204">
            <v>6800</v>
          </cell>
        </row>
        <row r="205">
          <cell r="A205">
            <v>1658</v>
          </cell>
          <cell r="B205" t="str">
            <v>REMY MARTIN VSOP GIFT PACK COGNAC 700ML</v>
          </cell>
          <cell r="C205" t="str">
            <v>Pcs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7200</v>
          </cell>
        </row>
        <row r="206">
          <cell r="A206">
            <v>1659</v>
          </cell>
          <cell r="B206" t="str">
            <v>REMY MARTIN XO 1LT</v>
          </cell>
          <cell r="C206" t="str">
            <v>Pcs</v>
          </cell>
          <cell r="D206">
            <v>25</v>
          </cell>
          <cell r="E206">
            <v>0</v>
          </cell>
          <cell r="F206">
            <v>1</v>
          </cell>
          <cell r="G206">
            <v>24</v>
          </cell>
          <cell r="H206">
            <v>33000</v>
          </cell>
        </row>
        <row r="207">
          <cell r="A207">
            <v>1654</v>
          </cell>
          <cell r="B207" t="str">
            <v>REMY MARTIN - XO 75OML</v>
          </cell>
          <cell r="C207" t="str">
            <v>Pcs</v>
          </cell>
          <cell r="D207">
            <v>124</v>
          </cell>
          <cell r="E207">
            <v>1</v>
          </cell>
          <cell r="F207">
            <v>0</v>
          </cell>
          <cell r="G207">
            <v>125</v>
          </cell>
          <cell r="H207">
            <v>27000</v>
          </cell>
        </row>
        <row r="208">
          <cell r="A208">
            <v>90</v>
          </cell>
          <cell r="B208" t="str">
            <v>AMARULA 1LTR</v>
          </cell>
          <cell r="C208" t="str">
            <v>Pcs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2100</v>
          </cell>
        </row>
        <row r="209">
          <cell r="A209">
            <v>91</v>
          </cell>
          <cell r="B209" t="str">
            <v>AMARULA 375ML</v>
          </cell>
          <cell r="C209" t="str">
            <v>Pcs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950</v>
          </cell>
        </row>
        <row r="210">
          <cell r="A210">
            <v>92</v>
          </cell>
          <cell r="B210" t="str">
            <v>AMARULA 750ML</v>
          </cell>
          <cell r="C210" t="str">
            <v>Pcs</v>
          </cell>
          <cell r="D210">
            <v>0</v>
          </cell>
          <cell r="E210">
            <v>6</v>
          </cell>
          <cell r="F210">
            <v>6</v>
          </cell>
          <cell r="G210">
            <v>0</v>
          </cell>
          <cell r="H210">
            <v>2000</v>
          </cell>
        </row>
        <row r="211">
          <cell r="A211">
            <v>93</v>
          </cell>
          <cell r="B211" t="str">
            <v>AMARULA ETHIOPIAN COFFFE 750ML</v>
          </cell>
          <cell r="C211" t="str">
            <v>Pcs</v>
          </cell>
          <cell r="D211">
            <v>85</v>
          </cell>
          <cell r="E211">
            <v>0</v>
          </cell>
          <cell r="F211">
            <v>0</v>
          </cell>
          <cell r="G211">
            <v>85</v>
          </cell>
          <cell r="H211">
            <v>1700</v>
          </cell>
        </row>
        <row r="212">
          <cell r="A212">
            <v>94</v>
          </cell>
          <cell r="B212" t="str">
            <v>AMARULA RASPBERRY CHOCOLATE 1LTR</v>
          </cell>
          <cell r="C212" t="str">
            <v>Pcs</v>
          </cell>
          <cell r="D212">
            <v>32</v>
          </cell>
          <cell r="E212">
            <v>0</v>
          </cell>
          <cell r="F212">
            <v>12</v>
          </cell>
          <cell r="G212">
            <v>20</v>
          </cell>
          <cell r="H212">
            <v>1900</v>
          </cell>
        </row>
        <row r="213">
          <cell r="A213">
            <v>2843</v>
          </cell>
          <cell r="B213" t="str">
            <v>AMARULA RASPBERRY CHOCOLATE 750ML  </v>
          </cell>
          <cell r="C213" t="str">
            <v>Pcs</v>
          </cell>
          <cell r="D213">
            <v>90</v>
          </cell>
          <cell r="E213">
            <v>0</v>
          </cell>
          <cell r="F213">
            <v>0</v>
          </cell>
          <cell r="G213">
            <v>90</v>
          </cell>
          <cell r="H213">
            <v>1800</v>
          </cell>
        </row>
        <row r="214">
          <cell r="A214">
            <v>148</v>
          </cell>
          <cell r="B214" t="str">
            <v>BAILEYS CREAM 1LTR</v>
          </cell>
          <cell r="C214" t="str">
            <v>Pcs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2700</v>
          </cell>
        </row>
        <row r="215">
          <cell r="A215">
            <v>150</v>
          </cell>
          <cell r="B215" t="str">
            <v>BAILEYS CREAM 750ML</v>
          </cell>
          <cell r="C215" t="str">
            <v>Pcs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2150</v>
          </cell>
        </row>
        <row r="216">
          <cell r="A216">
            <v>151</v>
          </cell>
          <cell r="B216" t="str">
            <v>BAILEYS DELIGHT 750ML</v>
          </cell>
          <cell r="C216" t="str">
            <v>Pcs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836</v>
          </cell>
        </row>
        <row r="217">
          <cell r="A217">
            <v>153</v>
          </cell>
          <cell r="B217" t="str">
            <v>BAILEYS EXPRESSO CRÈME 1LTR</v>
          </cell>
          <cell r="C217" t="str">
            <v>Pcs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2700</v>
          </cell>
        </row>
        <row r="218">
          <cell r="A218">
            <v>2936</v>
          </cell>
          <cell r="B218" t="str">
            <v>BAILEYS MINT CHOCOLATE 1L</v>
          </cell>
          <cell r="C218" t="str">
            <v>Pcs</v>
          </cell>
          <cell r="D218">
            <v>11</v>
          </cell>
          <cell r="E218">
            <v>0</v>
          </cell>
          <cell r="F218">
            <v>11</v>
          </cell>
          <cell r="G218">
            <v>0</v>
          </cell>
          <cell r="H218">
            <v>3000</v>
          </cell>
        </row>
        <row r="219">
          <cell r="A219">
            <v>154</v>
          </cell>
          <cell r="B219" t="str">
            <v>BAILEYS RED VELVET 700ML</v>
          </cell>
          <cell r="C219" t="str">
            <v>Pcs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2300</v>
          </cell>
        </row>
        <row r="220">
          <cell r="A220">
            <v>155</v>
          </cell>
          <cell r="B220" t="str">
            <v>BAILEYS SALTED CARAMEL 700ML</v>
          </cell>
          <cell r="C220" t="str">
            <v>Pcs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2400</v>
          </cell>
        </row>
        <row r="221">
          <cell r="A221">
            <v>156</v>
          </cell>
          <cell r="B221" t="str">
            <v>BAILEYS STRAWBERRY CREAM 700ML</v>
          </cell>
          <cell r="C221" t="str">
            <v>Pcs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2400</v>
          </cell>
        </row>
        <row r="222">
          <cell r="A222">
            <v>157</v>
          </cell>
          <cell r="B222" t="str">
            <v>BAILEYS VANILLA 1LTR</v>
          </cell>
          <cell r="C222" t="str">
            <v>Pcs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2700</v>
          </cell>
        </row>
        <row r="223">
          <cell r="A223">
            <v>217</v>
          </cell>
          <cell r="B223" t="str">
            <v>BEST CREAM 750ML</v>
          </cell>
          <cell r="C223" t="str">
            <v>Pcs</v>
          </cell>
          <cell r="D223">
            <v>156</v>
          </cell>
          <cell r="E223">
            <v>120</v>
          </cell>
          <cell r="F223">
            <v>72</v>
          </cell>
          <cell r="G223">
            <v>204</v>
          </cell>
          <cell r="H223">
            <v>1030</v>
          </cell>
        </row>
        <row r="224">
          <cell r="A224">
            <v>749</v>
          </cell>
          <cell r="B224" t="str">
            <v>FOUR COUSINS MARULA CREAM 500ML </v>
          </cell>
          <cell r="C224" t="str">
            <v>Pcs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1850</v>
          </cell>
        </row>
        <row r="225">
          <cell r="A225">
            <v>939</v>
          </cell>
          <cell r="B225" t="str">
            <v>HARVEYS BRISTOL CREAM 1LTR</v>
          </cell>
          <cell r="C225" t="str">
            <v>Pcs</v>
          </cell>
          <cell r="D225">
            <v>64</v>
          </cell>
          <cell r="E225">
            <v>0</v>
          </cell>
          <cell r="F225">
            <v>0</v>
          </cell>
          <cell r="G225">
            <v>64</v>
          </cell>
          <cell r="H225">
            <v>2500</v>
          </cell>
        </row>
        <row r="226">
          <cell r="A226">
            <v>940</v>
          </cell>
          <cell r="B226" t="str">
            <v>HARVEYS BRISTOL CREAM 750ML</v>
          </cell>
          <cell r="C226" t="str">
            <v>Pcs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2200</v>
          </cell>
        </row>
        <row r="227">
          <cell r="A227">
            <v>1712</v>
          </cell>
          <cell r="B227" t="str">
            <v>ROYAL RHINO CREAM 750ml</v>
          </cell>
          <cell r="C227" t="str">
            <v>Pcs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1600</v>
          </cell>
        </row>
        <row r="228">
          <cell r="A228">
            <v>2041</v>
          </cell>
          <cell r="B228" t="str">
            <v>V &amp; A 250ML</v>
          </cell>
          <cell r="C228" t="str">
            <v>Pcs</v>
          </cell>
          <cell r="D228">
            <v>280</v>
          </cell>
          <cell r="E228">
            <v>0</v>
          </cell>
          <cell r="F228">
            <v>40</v>
          </cell>
          <cell r="G228">
            <v>240</v>
          </cell>
          <cell r="H228">
            <v>300</v>
          </cell>
        </row>
        <row r="229">
          <cell r="A229">
            <v>2042</v>
          </cell>
          <cell r="B229" t="str">
            <v>V &amp; A 750ML</v>
          </cell>
          <cell r="C229" t="str">
            <v>Pcs</v>
          </cell>
          <cell r="D229">
            <v>180</v>
          </cell>
          <cell r="E229">
            <v>0</v>
          </cell>
          <cell r="F229">
            <v>48</v>
          </cell>
          <cell r="G229">
            <v>132</v>
          </cell>
          <cell r="H229">
            <v>800</v>
          </cell>
        </row>
        <row r="230">
          <cell r="A230">
            <v>21</v>
          </cell>
          <cell r="B230" t="str">
            <v>58 CLASSIC GIN 750ML</v>
          </cell>
          <cell r="C230" t="str">
            <v>Pcs</v>
          </cell>
          <cell r="D230">
            <v>28</v>
          </cell>
          <cell r="E230">
            <v>0</v>
          </cell>
          <cell r="F230">
            <v>0</v>
          </cell>
          <cell r="G230">
            <v>28</v>
          </cell>
          <cell r="H230">
            <v>1350</v>
          </cell>
        </row>
        <row r="231">
          <cell r="A231">
            <v>22</v>
          </cell>
          <cell r="B231" t="str">
            <v>58 GIN 350ml</v>
          </cell>
          <cell r="C231" t="str">
            <v>Pcs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550</v>
          </cell>
        </row>
        <row r="232">
          <cell r="A232">
            <v>2165</v>
          </cell>
          <cell r="B232" t="str">
            <v>58 SPICED ORANGE 750ML</v>
          </cell>
          <cell r="C232" t="str">
            <v>Pcs</v>
          </cell>
          <cell r="D232">
            <v>36</v>
          </cell>
          <cell r="E232">
            <v>0</v>
          </cell>
          <cell r="F232">
            <v>0</v>
          </cell>
          <cell r="G232">
            <v>36</v>
          </cell>
          <cell r="H232">
            <v>1400</v>
          </cell>
        </row>
        <row r="233">
          <cell r="A233">
            <v>2874</v>
          </cell>
          <cell r="B233" t="str">
            <v>AVALON GIN 250ML</v>
          </cell>
          <cell r="C233" t="str">
            <v>Pcs</v>
          </cell>
          <cell r="D233">
            <v>0</v>
          </cell>
          <cell r="E233">
            <v>600</v>
          </cell>
          <cell r="F233">
            <v>60</v>
          </cell>
          <cell r="G233">
            <v>540</v>
          </cell>
          <cell r="H233">
            <v>210</v>
          </cell>
        </row>
        <row r="234">
          <cell r="A234">
            <v>2876</v>
          </cell>
          <cell r="B234" t="str">
            <v>AVALON GIN 750ML</v>
          </cell>
          <cell r="C234" t="str">
            <v>Pcs</v>
          </cell>
          <cell r="D234">
            <v>0</v>
          </cell>
          <cell r="E234">
            <v>60</v>
          </cell>
          <cell r="F234">
            <v>24</v>
          </cell>
          <cell r="G234">
            <v>36</v>
          </cell>
          <cell r="H234">
            <v>650</v>
          </cell>
        </row>
        <row r="235">
          <cell r="A235">
            <v>2261</v>
          </cell>
          <cell r="B235" t="str">
            <v>BEEFEATER BLOOD ORANGE 750ML</v>
          </cell>
          <cell r="C235" t="str">
            <v>Pcs</v>
          </cell>
          <cell r="D235">
            <v>24</v>
          </cell>
          <cell r="E235">
            <v>0</v>
          </cell>
          <cell r="F235">
            <v>0</v>
          </cell>
          <cell r="G235">
            <v>24</v>
          </cell>
          <cell r="H235">
            <v>2100</v>
          </cell>
        </row>
        <row r="236">
          <cell r="A236">
            <v>187</v>
          </cell>
          <cell r="B236" t="str">
            <v>BEEFEATER CLEAR LONDON DRY GIN 1LTR</v>
          </cell>
          <cell r="C236" t="str">
            <v>Pcs</v>
          </cell>
          <cell r="D236">
            <v>72</v>
          </cell>
          <cell r="E236">
            <v>0</v>
          </cell>
          <cell r="F236">
            <v>0</v>
          </cell>
          <cell r="G236">
            <v>72</v>
          </cell>
          <cell r="H236">
            <v>2300</v>
          </cell>
        </row>
        <row r="237">
          <cell r="A237">
            <v>188</v>
          </cell>
          <cell r="B237" t="str">
            <v>BEEFEATER CLEAR LONDON DRY GIN 750ML</v>
          </cell>
          <cell r="C237" t="str">
            <v>Pcs</v>
          </cell>
          <cell r="D237">
            <v>480</v>
          </cell>
          <cell r="E237">
            <v>0</v>
          </cell>
          <cell r="F237">
            <v>0</v>
          </cell>
          <cell r="G237">
            <v>480</v>
          </cell>
          <cell r="H237">
            <v>2100</v>
          </cell>
        </row>
        <row r="238">
          <cell r="A238">
            <v>189</v>
          </cell>
          <cell r="B238" t="str">
            <v>BEEFEATER LONDON DRY GIN 350ML</v>
          </cell>
          <cell r="C238" t="str">
            <v>Pcs</v>
          </cell>
          <cell r="D238">
            <v>35</v>
          </cell>
          <cell r="E238">
            <v>0</v>
          </cell>
          <cell r="F238">
            <v>0</v>
          </cell>
          <cell r="G238">
            <v>35</v>
          </cell>
          <cell r="H238">
            <v>1000</v>
          </cell>
        </row>
        <row r="239">
          <cell r="A239">
            <v>190</v>
          </cell>
          <cell r="B239" t="str">
            <v>BEEFEATER PINK GIN 1LTR</v>
          </cell>
          <cell r="C239" t="str">
            <v>Pcs</v>
          </cell>
          <cell r="D239">
            <v>136</v>
          </cell>
          <cell r="E239">
            <v>0</v>
          </cell>
          <cell r="F239">
            <v>0</v>
          </cell>
          <cell r="G239">
            <v>136</v>
          </cell>
          <cell r="H239">
            <v>2500</v>
          </cell>
        </row>
        <row r="240">
          <cell r="A240">
            <v>191</v>
          </cell>
          <cell r="B240" t="str">
            <v>BEEFEATER PINK LONDON DRY GIN 750ML</v>
          </cell>
          <cell r="C240" t="str">
            <v>Pcs</v>
          </cell>
          <cell r="D240">
            <v>757</v>
          </cell>
          <cell r="E240">
            <v>0</v>
          </cell>
          <cell r="F240">
            <v>0</v>
          </cell>
          <cell r="G240">
            <v>757</v>
          </cell>
          <cell r="H240">
            <v>2000</v>
          </cell>
        </row>
        <row r="241">
          <cell r="A241">
            <v>218</v>
          </cell>
          <cell r="B241" t="str">
            <v>BEST GIN 250ML</v>
          </cell>
          <cell r="C241" t="str">
            <v>Pcs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257</v>
          </cell>
        </row>
        <row r="242">
          <cell r="A242">
            <v>219</v>
          </cell>
          <cell r="B242" t="str">
            <v>BEST GIN 750ML</v>
          </cell>
          <cell r="C242" t="str">
            <v>Pcs</v>
          </cell>
          <cell r="D242">
            <v>2916</v>
          </cell>
          <cell r="E242">
            <v>8652</v>
          </cell>
          <cell r="F242">
            <v>51</v>
          </cell>
          <cell r="G242">
            <v>11517</v>
          </cell>
          <cell r="H242">
            <v>900</v>
          </cell>
        </row>
        <row r="243">
          <cell r="A243">
            <v>242</v>
          </cell>
          <cell r="B243" t="str">
            <v>BLOOM JASMINE &amp; ROSE GIN 700ML</v>
          </cell>
          <cell r="C243" t="str">
            <v>Pcs</v>
          </cell>
          <cell r="D243">
            <v>24</v>
          </cell>
          <cell r="E243">
            <v>0</v>
          </cell>
          <cell r="F243">
            <v>0</v>
          </cell>
          <cell r="G243">
            <v>24</v>
          </cell>
          <cell r="H243">
            <v>3600</v>
          </cell>
        </row>
        <row r="244">
          <cell r="A244">
            <v>243</v>
          </cell>
          <cell r="B244" t="str">
            <v>BLOOM LONDON DRY GIN 1LTR</v>
          </cell>
          <cell r="C244" t="str">
            <v>Pcs</v>
          </cell>
          <cell r="D244">
            <v>24</v>
          </cell>
          <cell r="E244">
            <v>0</v>
          </cell>
          <cell r="F244">
            <v>0</v>
          </cell>
          <cell r="G244">
            <v>24</v>
          </cell>
          <cell r="H244">
            <v>4200</v>
          </cell>
        </row>
        <row r="245">
          <cell r="A245">
            <v>260</v>
          </cell>
          <cell r="B245" t="str">
            <v>BOMBAY BRAMBLE 1LTR</v>
          </cell>
          <cell r="C245" t="str">
            <v>Pcs</v>
          </cell>
          <cell r="D245">
            <v>204</v>
          </cell>
          <cell r="E245">
            <v>0</v>
          </cell>
          <cell r="F245">
            <v>0</v>
          </cell>
          <cell r="G245">
            <v>204</v>
          </cell>
          <cell r="H245">
            <v>3000</v>
          </cell>
        </row>
        <row r="246">
          <cell r="A246">
            <v>261</v>
          </cell>
          <cell r="B246" t="str">
            <v>BOMBAY DRY GIN 1LTR</v>
          </cell>
          <cell r="C246" t="str">
            <v>Pcs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1900</v>
          </cell>
        </row>
        <row r="247">
          <cell r="A247">
            <v>262</v>
          </cell>
          <cell r="B247" t="str">
            <v>BOMBAY DRY GIN 750ML</v>
          </cell>
          <cell r="C247" t="str">
            <v>Pcs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1500</v>
          </cell>
        </row>
        <row r="248">
          <cell r="A248">
            <v>264</v>
          </cell>
          <cell r="B248" t="str">
            <v>BOMBAY SAPPHIRE DRY GIN 375ML</v>
          </cell>
          <cell r="C248" t="str">
            <v>Pcs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1000</v>
          </cell>
        </row>
        <row r="249">
          <cell r="A249">
            <v>265</v>
          </cell>
          <cell r="B249" t="str">
            <v>BOMBAY SAPPHIRE LONDON DRY GIN 1LTR</v>
          </cell>
          <cell r="C249" t="str">
            <v>Pcs</v>
          </cell>
          <cell r="D249">
            <v>886</v>
          </cell>
          <cell r="E249">
            <v>0</v>
          </cell>
          <cell r="F249">
            <v>76</v>
          </cell>
          <cell r="G249">
            <v>810</v>
          </cell>
          <cell r="H249">
            <v>2500</v>
          </cell>
        </row>
        <row r="250">
          <cell r="A250">
            <v>266</v>
          </cell>
          <cell r="B250" t="str">
            <v>BOMBAY SAPPHIRE LONDON DRY GIN 750ML</v>
          </cell>
          <cell r="C250" t="str">
            <v>Pcs</v>
          </cell>
          <cell r="D250">
            <v>223</v>
          </cell>
          <cell r="E250">
            <v>0</v>
          </cell>
          <cell r="F250">
            <v>6</v>
          </cell>
          <cell r="G250">
            <v>217</v>
          </cell>
          <cell r="H250">
            <v>2300</v>
          </cell>
        </row>
        <row r="251">
          <cell r="A251">
            <v>2811</v>
          </cell>
          <cell r="B251" t="str">
            <v>BOMBAY SAPPHIRE PREMIER CRU 700ML</v>
          </cell>
          <cell r="C251" t="str">
            <v>Pcs</v>
          </cell>
          <cell r="D251">
            <v>12</v>
          </cell>
          <cell r="E251">
            <v>0</v>
          </cell>
          <cell r="F251">
            <v>0</v>
          </cell>
          <cell r="G251">
            <v>12</v>
          </cell>
          <cell r="H251">
            <v>4000</v>
          </cell>
        </row>
        <row r="252">
          <cell r="A252">
            <v>2812</v>
          </cell>
          <cell r="B252" t="str">
            <v>BOMBAY SAPPHIRE SUNSET SPERCIAL 500ML</v>
          </cell>
          <cell r="C252" t="str">
            <v>Pcs</v>
          </cell>
          <cell r="D252">
            <v>9</v>
          </cell>
          <cell r="E252">
            <v>0</v>
          </cell>
          <cell r="F252">
            <v>0</v>
          </cell>
          <cell r="G252">
            <v>9</v>
          </cell>
          <cell r="H252">
            <v>2000</v>
          </cell>
        </row>
        <row r="253">
          <cell r="A253">
            <v>279</v>
          </cell>
          <cell r="B253" t="str">
            <v>BROKER'S GIN 1ltr</v>
          </cell>
          <cell r="C253" t="str">
            <v>Pcs</v>
          </cell>
          <cell r="D253">
            <v>6</v>
          </cell>
          <cell r="E253">
            <v>0</v>
          </cell>
          <cell r="F253">
            <v>0</v>
          </cell>
          <cell r="G253">
            <v>6</v>
          </cell>
          <cell r="H253">
            <v>2400</v>
          </cell>
        </row>
        <row r="254">
          <cell r="A254">
            <v>281</v>
          </cell>
          <cell r="B254" t="str">
            <v>BROKERS GIN 700ml</v>
          </cell>
          <cell r="C254" t="str">
            <v>Pcs</v>
          </cell>
          <cell r="D254">
            <v>6</v>
          </cell>
          <cell r="E254">
            <v>0</v>
          </cell>
          <cell r="F254">
            <v>0</v>
          </cell>
          <cell r="G254">
            <v>6</v>
          </cell>
          <cell r="H254">
            <v>2200</v>
          </cell>
        </row>
        <row r="255">
          <cell r="A255">
            <v>280</v>
          </cell>
          <cell r="B255" t="str">
            <v>BROKER'S PINK GIN 750ML</v>
          </cell>
          <cell r="C255" t="str">
            <v>Pcs</v>
          </cell>
          <cell r="D255">
            <v>18</v>
          </cell>
          <cell r="E255">
            <v>0</v>
          </cell>
          <cell r="F255">
            <v>0</v>
          </cell>
          <cell r="G255">
            <v>18</v>
          </cell>
          <cell r="H255">
            <v>2200</v>
          </cell>
        </row>
        <row r="256">
          <cell r="A256">
            <v>282</v>
          </cell>
          <cell r="B256" t="str">
            <v>BROOKLYN GIN 750ML</v>
          </cell>
          <cell r="C256" t="str">
            <v>Pcs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5200</v>
          </cell>
        </row>
        <row r="257">
          <cell r="A257">
            <v>2713</v>
          </cell>
          <cell r="B257" t="str">
            <v>CARIBIA GIN 250ML</v>
          </cell>
          <cell r="C257" t="str">
            <v>Pcs</v>
          </cell>
          <cell r="D257">
            <v>276</v>
          </cell>
          <cell r="E257">
            <v>0</v>
          </cell>
          <cell r="F257">
            <v>156</v>
          </cell>
          <cell r="G257">
            <v>120</v>
          </cell>
          <cell r="H257">
            <v>240</v>
          </cell>
        </row>
        <row r="258">
          <cell r="A258">
            <v>388</v>
          </cell>
          <cell r="B258" t="str">
            <v>CARIBIA GIN 375ML</v>
          </cell>
          <cell r="C258" t="str">
            <v>Pcs</v>
          </cell>
          <cell r="D258">
            <v>288</v>
          </cell>
          <cell r="E258">
            <v>0</v>
          </cell>
          <cell r="F258">
            <v>132</v>
          </cell>
          <cell r="G258">
            <v>156</v>
          </cell>
          <cell r="H258">
            <v>360</v>
          </cell>
        </row>
        <row r="259">
          <cell r="A259">
            <v>2714</v>
          </cell>
          <cell r="B259" t="str">
            <v>CARIBIA GIN 750ML</v>
          </cell>
          <cell r="C259" t="str">
            <v>Pcs</v>
          </cell>
          <cell r="D259">
            <v>134</v>
          </cell>
          <cell r="E259">
            <v>180</v>
          </cell>
          <cell r="F259">
            <v>108</v>
          </cell>
          <cell r="G259">
            <v>206</v>
          </cell>
          <cell r="H259">
            <v>700</v>
          </cell>
        </row>
        <row r="260">
          <cell r="A260">
            <v>2419</v>
          </cell>
          <cell r="B260" t="str">
            <v>CHROME GIN 250ML</v>
          </cell>
          <cell r="C260" t="str">
            <v>Pcs</v>
          </cell>
          <cell r="D260">
            <v>800</v>
          </cell>
          <cell r="E260">
            <v>600</v>
          </cell>
          <cell r="F260">
            <v>680</v>
          </cell>
          <cell r="G260">
            <v>720</v>
          </cell>
          <cell r="H260">
            <v>209</v>
          </cell>
        </row>
        <row r="261">
          <cell r="A261">
            <v>471</v>
          </cell>
          <cell r="B261" t="str">
            <v>CHROME GIN 750ML</v>
          </cell>
          <cell r="C261" t="str">
            <v>Pcs</v>
          </cell>
          <cell r="D261">
            <v>36</v>
          </cell>
          <cell r="E261">
            <v>180</v>
          </cell>
          <cell r="F261">
            <v>72</v>
          </cell>
          <cell r="G261">
            <v>144</v>
          </cell>
          <cell r="H261">
            <v>565</v>
          </cell>
        </row>
        <row r="262">
          <cell r="A262">
            <v>2404</v>
          </cell>
          <cell r="B262" t="str">
            <v>CRUXLAND TUFFLE GIN 750ML</v>
          </cell>
          <cell r="C262" t="str">
            <v>Pcs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3500</v>
          </cell>
        </row>
        <row r="263">
          <cell r="A263">
            <v>2840</v>
          </cell>
          <cell r="B263" t="str">
            <v>DRUMSHANBO GUN POWDER ORANGE CITRUS 700ML</v>
          </cell>
          <cell r="C263" t="str">
            <v>Pcs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4500</v>
          </cell>
        </row>
        <row r="264">
          <cell r="A264">
            <v>2841</v>
          </cell>
          <cell r="B264" t="str">
            <v>DRUMSHANBO GUN POWDER ORIENTAL BOTANICAL 700ML</v>
          </cell>
          <cell r="C264" t="str">
            <v>Pcs</v>
          </cell>
          <cell r="D264">
            <v>12</v>
          </cell>
          <cell r="E264">
            <v>0</v>
          </cell>
          <cell r="F264">
            <v>0</v>
          </cell>
          <cell r="G264">
            <v>12</v>
          </cell>
          <cell r="H264">
            <v>4500</v>
          </cell>
        </row>
        <row r="265">
          <cell r="A265">
            <v>2839</v>
          </cell>
          <cell r="B265" t="str">
            <v>DRUMSHANBO GUN POWDER SARDINIAN CITRUS 700ML</v>
          </cell>
          <cell r="C265" t="str">
            <v>Pcs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4500</v>
          </cell>
        </row>
        <row r="266">
          <cell r="A266">
            <v>2957</v>
          </cell>
          <cell r="B266" t="str">
            <v>FIRE STARTER GIN 700ML</v>
          </cell>
          <cell r="C266" t="str">
            <v>Pcs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2100</v>
          </cell>
        </row>
        <row r="267">
          <cell r="A267">
            <v>760</v>
          </cell>
          <cell r="B267" t="str">
            <v>FOUR PILLARS BLOODY GIN 700ML</v>
          </cell>
          <cell r="C267" t="str">
            <v>Pcs</v>
          </cell>
          <cell r="D267">
            <v>12</v>
          </cell>
          <cell r="E267">
            <v>0</v>
          </cell>
          <cell r="F267">
            <v>3</v>
          </cell>
          <cell r="G267">
            <v>9</v>
          </cell>
          <cell r="H267">
            <v>4500</v>
          </cell>
        </row>
        <row r="268">
          <cell r="A268">
            <v>761</v>
          </cell>
          <cell r="B268" t="str">
            <v>FOUR PILLARS NAVY STRENGTH GIN 700ML</v>
          </cell>
          <cell r="C268" t="str">
            <v>Pcs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4850</v>
          </cell>
        </row>
        <row r="269">
          <cell r="A269">
            <v>762</v>
          </cell>
          <cell r="B269" t="str">
            <v>FOUR PILLARS OLIVE LEAF GIN 700ML</v>
          </cell>
          <cell r="C269" t="str">
            <v>Pcs</v>
          </cell>
          <cell r="D269">
            <v>12</v>
          </cell>
          <cell r="E269">
            <v>0</v>
          </cell>
          <cell r="F269">
            <v>3</v>
          </cell>
          <cell r="G269">
            <v>9</v>
          </cell>
          <cell r="H269">
            <v>4500</v>
          </cell>
        </row>
        <row r="270">
          <cell r="A270">
            <v>763</v>
          </cell>
          <cell r="B270" t="str">
            <v>FOUR PILLARS RARE DRY GIN 700ML</v>
          </cell>
          <cell r="C270" t="str">
            <v>Pcs</v>
          </cell>
          <cell r="D270">
            <v>24</v>
          </cell>
          <cell r="E270">
            <v>0</v>
          </cell>
          <cell r="F270">
            <v>3</v>
          </cell>
          <cell r="G270">
            <v>21</v>
          </cell>
          <cell r="H270">
            <v>3800</v>
          </cell>
        </row>
        <row r="271">
          <cell r="A271">
            <v>764</v>
          </cell>
          <cell r="B271" t="str">
            <v>FOUR PILLARS SPICED NEGRONI GIN 700ML</v>
          </cell>
          <cell r="C271" t="str">
            <v>Pcs</v>
          </cell>
          <cell r="D271">
            <v>11</v>
          </cell>
          <cell r="E271">
            <v>0</v>
          </cell>
          <cell r="F271">
            <v>2</v>
          </cell>
          <cell r="G271">
            <v>9</v>
          </cell>
          <cell r="H271">
            <v>4500</v>
          </cell>
        </row>
        <row r="272">
          <cell r="A272">
            <v>819</v>
          </cell>
          <cell r="B272" t="str">
            <v>GIBSON ORANGE 700ml</v>
          </cell>
          <cell r="C272" t="str">
            <v>Pcs</v>
          </cell>
          <cell r="D272">
            <v>30</v>
          </cell>
          <cell r="E272">
            <v>0</v>
          </cell>
          <cell r="F272">
            <v>0</v>
          </cell>
          <cell r="G272">
            <v>30</v>
          </cell>
          <cell r="H272">
            <v>1425</v>
          </cell>
        </row>
        <row r="273">
          <cell r="A273">
            <v>821</v>
          </cell>
          <cell r="B273" t="str">
            <v>GIBSON'S GIN 700ML</v>
          </cell>
          <cell r="C273" t="str">
            <v>Pcs</v>
          </cell>
          <cell r="D273">
            <v>20</v>
          </cell>
          <cell r="E273">
            <v>0</v>
          </cell>
          <cell r="F273">
            <v>6</v>
          </cell>
          <cell r="G273">
            <v>14</v>
          </cell>
          <cell r="H273">
            <v>1340</v>
          </cell>
        </row>
        <row r="274">
          <cell r="A274">
            <v>822</v>
          </cell>
          <cell r="B274" t="str">
            <v>GIBSON'S PINK 700ML</v>
          </cell>
          <cell r="C274" t="str">
            <v>Pcs</v>
          </cell>
          <cell r="D274">
            <v>42</v>
          </cell>
          <cell r="E274">
            <v>0</v>
          </cell>
          <cell r="F274">
            <v>6</v>
          </cell>
          <cell r="G274">
            <v>36</v>
          </cell>
          <cell r="H274">
            <v>1425</v>
          </cell>
        </row>
        <row r="275">
          <cell r="A275">
            <v>2867</v>
          </cell>
          <cell r="B275" t="str">
            <v>GILBEYS BERRY BRAMBLE COCKTAIL 750ML</v>
          </cell>
          <cell r="C275" t="str">
            <v>Pcs</v>
          </cell>
          <cell r="D275">
            <v>0</v>
          </cell>
          <cell r="E275">
            <v>120</v>
          </cell>
          <cell r="F275">
            <v>84</v>
          </cell>
          <cell r="G275">
            <v>36</v>
          </cell>
          <cell r="H275">
            <v>800</v>
          </cell>
        </row>
        <row r="276">
          <cell r="A276">
            <v>2326</v>
          </cell>
          <cell r="B276" t="str">
            <v>GILBEYS GIN 250ML</v>
          </cell>
          <cell r="C276" t="str">
            <v>Pcs</v>
          </cell>
          <cell r="D276">
            <v>1005</v>
          </cell>
          <cell r="E276">
            <v>0</v>
          </cell>
          <cell r="F276">
            <v>120</v>
          </cell>
          <cell r="G276">
            <v>885</v>
          </cell>
          <cell r="H276">
            <v>416</v>
          </cell>
        </row>
        <row r="277">
          <cell r="A277">
            <v>2422</v>
          </cell>
          <cell r="B277" t="str">
            <v>GILBEYS GIN 350ML</v>
          </cell>
          <cell r="C277" t="str">
            <v>Pcs</v>
          </cell>
          <cell r="D277">
            <v>168</v>
          </cell>
          <cell r="E277">
            <v>720</v>
          </cell>
          <cell r="F277">
            <v>469</v>
          </cell>
          <cell r="G277">
            <v>419</v>
          </cell>
          <cell r="H277">
            <v>576</v>
          </cell>
        </row>
        <row r="278">
          <cell r="A278">
            <v>2423</v>
          </cell>
          <cell r="B278" t="str">
            <v>GILBEYS GIN 750ML</v>
          </cell>
          <cell r="C278" t="str">
            <v>Pcs</v>
          </cell>
          <cell r="D278">
            <v>757</v>
          </cell>
          <cell r="E278">
            <v>0</v>
          </cell>
          <cell r="F278">
            <v>372</v>
          </cell>
          <cell r="G278">
            <v>385</v>
          </cell>
          <cell r="H278">
            <v>1240</v>
          </cell>
        </row>
        <row r="279">
          <cell r="A279">
            <v>828</v>
          </cell>
          <cell r="B279" t="str">
            <v>GILBEYS MIXED BERRIES 250ML</v>
          </cell>
          <cell r="C279" t="str">
            <v>Pcs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416</v>
          </cell>
        </row>
        <row r="280">
          <cell r="A280">
            <v>2223</v>
          </cell>
          <cell r="B280" t="str">
            <v>GILBEYS PINK 250ML</v>
          </cell>
          <cell r="C280" t="str">
            <v>Pcs</v>
          </cell>
          <cell r="D280">
            <v>28</v>
          </cell>
          <cell r="E280">
            <v>0</v>
          </cell>
          <cell r="F280">
            <v>15</v>
          </cell>
          <cell r="G280">
            <v>13</v>
          </cell>
          <cell r="H280">
            <v>416</v>
          </cell>
        </row>
        <row r="281">
          <cell r="A281">
            <v>832</v>
          </cell>
          <cell r="B281" t="str">
            <v>GIN MARE 1LTR</v>
          </cell>
          <cell r="C281" t="str">
            <v>Pcs</v>
          </cell>
          <cell r="D281">
            <v>30</v>
          </cell>
          <cell r="E281">
            <v>0</v>
          </cell>
          <cell r="F281">
            <v>0</v>
          </cell>
          <cell r="G281">
            <v>30</v>
          </cell>
          <cell r="H281">
            <v>5000</v>
          </cell>
        </row>
        <row r="282">
          <cell r="A282">
            <v>833</v>
          </cell>
          <cell r="B282" t="str">
            <v>GIN MARE 700ML</v>
          </cell>
          <cell r="C282" t="str">
            <v>Pcs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4000</v>
          </cell>
        </row>
        <row r="283">
          <cell r="A283">
            <v>835</v>
          </cell>
          <cell r="B283" t="str">
            <v>GLEN'S GIN 1LTR</v>
          </cell>
          <cell r="C283" t="str">
            <v>Pcs</v>
          </cell>
          <cell r="D283">
            <v>12</v>
          </cell>
          <cell r="E283">
            <v>0</v>
          </cell>
          <cell r="F283">
            <v>0</v>
          </cell>
          <cell r="G283">
            <v>12</v>
          </cell>
          <cell r="H283">
            <v>1418</v>
          </cell>
        </row>
        <row r="284">
          <cell r="A284">
            <v>882</v>
          </cell>
          <cell r="B284" t="str">
            <v>GORDON PINK 700ML</v>
          </cell>
          <cell r="C284" t="str">
            <v>Pcs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2100</v>
          </cell>
        </row>
        <row r="285">
          <cell r="A285">
            <v>883</v>
          </cell>
          <cell r="B285" t="str">
            <v>GORDON PINK GIN 1LTR</v>
          </cell>
          <cell r="C285" t="str">
            <v>Pcs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2300</v>
          </cell>
        </row>
        <row r="286">
          <cell r="A286">
            <v>892</v>
          </cell>
          <cell r="B286" t="str">
            <v>GORDONS 375ML</v>
          </cell>
          <cell r="C286" t="str">
            <v>Pcs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1000</v>
          </cell>
        </row>
        <row r="287">
          <cell r="A287">
            <v>885</v>
          </cell>
          <cell r="B287" t="str">
            <v>GORDON'S GIN 750ML</v>
          </cell>
          <cell r="C287" t="str">
            <v>Pcs</v>
          </cell>
          <cell r="D287">
            <v>72</v>
          </cell>
          <cell r="E287">
            <v>0</v>
          </cell>
          <cell r="F287">
            <v>72</v>
          </cell>
          <cell r="G287">
            <v>0</v>
          </cell>
          <cell r="H287">
            <v>2000</v>
          </cell>
        </row>
        <row r="288">
          <cell r="A288">
            <v>2192</v>
          </cell>
          <cell r="B288" t="str">
            <v>GORDONS LEMON 1LTR</v>
          </cell>
          <cell r="C288" t="str">
            <v>Pcs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2500</v>
          </cell>
        </row>
        <row r="289">
          <cell r="A289">
            <v>887</v>
          </cell>
          <cell r="B289" t="str">
            <v>GORDON'S MEDITERANEAN ORANGE GIN 700ML</v>
          </cell>
          <cell r="C289" t="str">
            <v>Pcs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2000</v>
          </cell>
        </row>
        <row r="290">
          <cell r="A290">
            <v>888</v>
          </cell>
          <cell r="B290" t="str">
            <v>GORDON'S ORIGINAL 1LTR</v>
          </cell>
          <cell r="C290" t="str">
            <v>Pcs</v>
          </cell>
          <cell r="D290">
            <v>602</v>
          </cell>
          <cell r="E290">
            <v>180</v>
          </cell>
          <cell r="F290">
            <v>180</v>
          </cell>
          <cell r="G290">
            <v>602</v>
          </cell>
          <cell r="H290">
            <v>2100</v>
          </cell>
        </row>
        <row r="291">
          <cell r="A291">
            <v>891</v>
          </cell>
          <cell r="B291" t="str">
            <v>GORDON`S SICILIAN LEMON 700ML</v>
          </cell>
          <cell r="C291" t="str">
            <v>Pcs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1900</v>
          </cell>
        </row>
        <row r="292">
          <cell r="A292">
            <v>915</v>
          </cell>
          <cell r="B292" t="str">
            <v>GREENALL ORIGINAL 1LTR</v>
          </cell>
          <cell r="C292" t="str">
            <v>Pcs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1900</v>
          </cell>
        </row>
        <row r="293">
          <cell r="A293">
            <v>2198</v>
          </cell>
          <cell r="B293" t="str">
            <v>GREENALLS RASPBERRY 700ML</v>
          </cell>
          <cell r="C293" t="str">
            <v>Pcs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1800</v>
          </cell>
        </row>
        <row r="294">
          <cell r="A294">
            <v>920</v>
          </cell>
          <cell r="B294" t="str">
            <v>GREENALLS SLOE GIN 700ML</v>
          </cell>
          <cell r="C294" t="str">
            <v>Pcs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1500</v>
          </cell>
        </row>
        <row r="295">
          <cell r="A295">
            <v>2197</v>
          </cell>
          <cell r="B295" t="str">
            <v>GREENALLS WILDBERRIES ROSEA 1LTR</v>
          </cell>
          <cell r="C295" t="str">
            <v>Pcs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1900</v>
          </cell>
        </row>
        <row r="296">
          <cell r="A296">
            <v>921</v>
          </cell>
          <cell r="B296" t="str">
            <v>GREENALLS WILD BERRY PINK 700ML</v>
          </cell>
          <cell r="C296" t="str">
            <v>Pcs</v>
          </cell>
          <cell r="D296">
            <v>103</v>
          </cell>
          <cell r="E296">
            <v>0</v>
          </cell>
          <cell r="F296">
            <v>0</v>
          </cell>
          <cell r="G296">
            <v>103</v>
          </cell>
          <cell r="H296">
            <v>1500</v>
          </cell>
        </row>
        <row r="297">
          <cell r="A297">
            <v>916</v>
          </cell>
          <cell r="B297" t="str">
            <v>GREENALL WILDBERRY  1LTR</v>
          </cell>
          <cell r="C297" t="str">
            <v>Pcs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1900</v>
          </cell>
        </row>
        <row r="298">
          <cell r="A298">
            <v>931</v>
          </cell>
          <cell r="B298" t="str">
            <v>GUNPOWDER IRISH GIN 750ML</v>
          </cell>
          <cell r="C298" t="str">
            <v>Pcs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4000</v>
          </cell>
        </row>
        <row r="299">
          <cell r="A299">
            <v>946</v>
          </cell>
          <cell r="B299" t="str">
            <v>HAYMANS GIN 750ML</v>
          </cell>
          <cell r="C299" t="str">
            <v>Pcs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2200</v>
          </cell>
        </row>
        <row r="300">
          <cell r="A300">
            <v>2817</v>
          </cell>
          <cell r="B300" t="str">
            <v>HAYMAN'S LONDON DRY GIN 700ML</v>
          </cell>
          <cell r="C300" t="str">
            <v>Pcs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2800</v>
          </cell>
        </row>
        <row r="301">
          <cell r="A301">
            <v>2818</v>
          </cell>
          <cell r="B301" t="str">
            <v>HAYMAN'S OLD TOM 700ML</v>
          </cell>
          <cell r="C301" t="str">
            <v>Pcs</v>
          </cell>
          <cell r="D301">
            <v>18</v>
          </cell>
          <cell r="E301">
            <v>0</v>
          </cell>
          <cell r="F301">
            <v>0</v>
          </cell>
          <cell r="G301">
            <v>18</v>
          </cell>
          <cell r="H301">
            <v>3000</v>
          </cell>
        </row>
        <row r="302">
          <cell r="A302">
            <v>2819</v>
          </cell>
          <cell r="B302" t="str">
            <v>HAYMAN'S SLOE GIN 700ML</v>
          </cell>
          <cell r="C302" t="str">
            <v>Pcs</v>
          </cell>
          <cell r="D302">
            <v>12</v>
          </cell>
          <cell r="E302">
            <v>0</v>
          </cell>
          <cell r="F302">
            <v>0</v>
          </cell>
          <cell r="G302">
            <v>12</v>
          </cell>
          <cell r="H302">
            <v>3150</v>
          </cell>
        </row>
        <row r="303">
          <cell r="A303">
            <v>955</v>
          </cell>
          <cell r="B303" t="str">
            <v>HENDRICKS 350ML</v>
          </cell>
          <cell r="C303" t="str">
            <v>Pcs</v>
          </cell>
          <cell r="D303">
            <v>22</v>
          </cell>
          <cell r="E303">
            <v>0</v>
          </cell>
          <cell r="F303">
            <v>0</v>
          </cell>
          <cell r="G303">
            <v>22</v>
          </cell>
          <cell r="H303">
            <v>2100</v>
          </cell>
        </row>
        <row r="304">
          <cell r="A304">
            <v>951</v>
          </cell>
          <cell r="B304" t="str">
            <v>HENDRICK'S AMAZONIA GIN 1LTR</v>
          </cell>
          <cell r="C304" t="str">
            <v>Pcs</v>
          </cell>
          <cell r="D304">
            <v>18</v>
          </cell>
          <cell r="E304">
            <v>0</v>
          </cell>
          <cell r="F304">
            <v>0</v>
          </cell>
          <cell r="G304">
            <v>18</v>
          </cell>
          <cell r="H304">
            <v>6000</v>
          </cell>
        </row>
        <row r="305">
          <cell r="A305">
            <v>956</v>
          </cell>
          <cell r="B305" t="str">
            <v>HENDRICKS GIN 1LTR</v>
          </cell>
          <cell r="C305" t="str">
            <v>Pcs</v>
          </cell>
          <cell r="D305">
            <v>27</v>
          </cell>
          <cell r="E305">
            <v>0</v>
          </cell>
          <cell r="F305">
            <v>3</v>
          </cell>
          <cell r="G305">
            <v>24</v>
          </cell>
          <cell r="H305">
            <v>5400</v>
          </cell>
        </row>
        <row r="306">
          <cell r="A306">
            <v>957</v>
          </cell>
          <cell r="B306" t="str">
            <v>HENDRICKS GIN 750ML</v>
          </cell>
          <cell r="C306" t="str">
            <v>Pcs</v>
          </cell>
          <cell r="D306">
            <v>60</v>
          </cell>
          <cell r="E306">
            <v>0</v>
          </cell>
          <cell r="F306">
            <v>0</v>
          </cell>
          <cell r="G306">
            <v>60</v>
          </cell>
          <cell r="H306">
            <v>4850</v>
          </cell>
        </row>
        <row r="307">
          <cell r="A307">
            <v>954</v>
          </cell>
          <cell r="B307" t="str">
            <v>HENDRICKS LUNAR GIN 750ML</v>
          </cell>
          <cell r="C307" t="str">
            <v>Pcs</v>
          </cell>
          <cell r="D307">
            <v>66</v>
          </cell>
          <cell r="E307">
            <v>0</v>
          </cell>
          <cell r="F307">
            <v>0</v>
          </cell>
          <cell r="G307">
            <v>66</v>
          </cell>
          <cell r="H307">
            <v>6000</v>
          </cell>
        </row>
        <row r="308">
          <cell r="A308">
            <v>953</v>
          </cell>
          <cell r="B308" t="str">
            <v>HENDRICKS ORBIUM GIN 700ML</v>
          </cell>
          <cell r="C308" t="str">
            <v>Pcs</v>
          </cell>
          <cell r="D308">
            <v>18</v>
          </cell>
          <cell r="E308">
            <v>0</v>
          </cell>
          <cell r="F308">
            <v>0</v>
          </cell>
          <cell r="G308">
            <v>18</v>
          </cell>
          <cell r="H308">
            <v>4800</v>
          </cell>
        </row>
        <row r="309">
          <cell r="A309">
            <v>2576</v>
          </cell>
          <cell r="B309" t="str">
            <v>HENKES GIN 750ML</v>
          </cell>
          <cell r="C309" t="str">
            <v>Pcs</v>
          </cell>
          <cell r="D309">
            <v>60</v>
          </cell>
          <cell r="E309">
            <v>150</v>
          </cell>
          <cell r="F309">
            <v>78</v>
          </cell>
          <cell r="G309">
            <v>132</v>
          </cell>
          <cell r="H309">
            <v>1150</v>
          </cell>
        </row>
        <row r="310">
          <cell r="A310">
            <v>2298</v>
          </cell>
          <cell r="B310" t="str">
            <v>HOWLING OWL BLUE GIN 750ML</v>
          </cell>
          <cell r="C310" t="str">
            <v>Pcs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3000</v>
          </cell>
        </row>
        <row r="311">
          <cell r="A311">
            <v>1000</v>
          </cell>
          <cell r="B311" t="str">
            <v>HUNTING LODGE GIN 750ML</v>
          </cell>
          <cell r="C311" t="str">
            <v>Pcs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750</v>
          </cell>
        </row>
        <row r="312">
          <cell r="A312">
            <v>1008</v>
          </cell>
          <cell r="B312" t="str">
            <v>INVERROCHE CLASSIC 750ML </v>
          </cell>
          <cell r="C312" t="str">
            <v>Pcs</v>
          </cell>
          <cell r="D312">
            <v>15</v>
          </cell>
          <cell r="E312">
            <v>0</v>
          </cell>
          <cell r="F312">
            <v>0</v>
          </cell>
          <cell r="G312">
            <v>15</v>
          </cell>
          <cell r="H312">
            <v>4500</v>
          </cell>
        </row>
        <row r="313">
          <cell r="A313">
            <v>1009</v>
          </cell>
          <cell r="B313" t="str">
            <v>INVERROCHE GIN AMBER 750ML</v>
          </cell>
          <cell r="C313" t="str">
            <v>Pcs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4500</v>
          </cell>
        </row>
        <row r="314">
          <cell r="A314">
            <v>1010</v>
          </cell>
          <cell r="B314" t="str">
            <v>INVERROCHE GIN VERDANT 750ML</v>
          </cell>
          <cell r="C314" t="str">
            <v>Pcs</v>
          </cell>
          <cell r="D314">
            <v>18</v>
          </cell>
          <cell r="E314">
            <v>0</v>
          </cell>
          <cell r="F314">
            <v>0</v>
          </cell>
          <cell r="G314">
            <v>18</v>
          </cell>
          <cell r="H314">
            <v>4500</v>
          </cell>
        </row>
        <row r="315">
          <cell r="A315">
            <v>1087</v>
          </cell>
          <cell r="B315" t="str">
            <v>JJ WHITLEY NEIL LONDON DRY GIN 750ML</v>
          </cell>
          <cell r="C315" t="str">
            <v>Pcs</v>
          </cell>
          <cell r="D315">
            <v>6</v>
          </cell>
          <cell r="E315">
            <v>0</v>
          </cell>
          <cell r="F315">
            <v>0</v>
          </cell>
          <cell r="G315">
            <v>6</v>
          </cell>
          <cell r="H315">
            <v>2800</v>
          </cell>
        </row>
        <row r="316">
          <cell r="A316">
            <v>1088</v>
          </cell>
          <cell r="B316" t="str">
            <v>JJ WHITLEY NEIL PINK CHERRY GIN 750ML</v>
          </cell>
          <cell r="C316" t="str">
            <v>Pcs</v>
          </cell>
          <cell r="D316">
            <v>12</v>
          </cell>
          <cell r="E316">
            <v>0</v>
          </cell>
          <cell r="F316">
            <v>0</v>
          </cell>
          <cell r="G316">
            <v>12</v>
          </cell>
          <cell r="H316">
            <v>2800</v>
          </cell>
        </row>
        <row r="317">
          <cell r="A317">
            <v>1176</v>
          </cell>
          <cell r="B317" t="str">
            <v>KENSINGTON LONDON DRY GIN 750ML</v>
          </cell>
          <cell r="C317" t="str">
            <v>Pcs</v>
          </cell>
          <cell r="D317">
            <v>60</v>
          </cell>
          <cell r="E317">
            <v>0</v>
          </cell>
          <cell r="F317">
            <v>0</v>
          </cell>
          <cell r="G317">
            <v>60</v>
          </cell>
          <cell r="H317">
            <v>850</v>
          </cell>
        </row>
        <row r="318">
          <cell r="A318">
            <v>1200</v>
          </cell>
          <cell r="B318" t="str">
            <v>KIBAO GIN 250ML</v>
          </cell>
          <cell r="C318" t="str">
            <v>Pcs</v>
          </cell>
          <cell r="D318">
            <v>264</v>
          </cell>
          <cell r="E318">
            <v>0</v>
          </cell>
          <cell r="F318">
            <v>0</v>
          </cell>
          <cell r="G318">
            <v>264</v>
          </cell>
          <cell r="H318">
            <v>220.67</v>
          </cell>
        </row>
        <row r="319">
          <cell r="A319">
            <v>1201</v>
          </cell>
          <cell r="B319" t="str">
            <v>KIBAO GIN 350ML</v>
          </cell>
          <cell r="C319" t="str">
            <v>Pcs</v>
          </cell>
          <cell r="D319">
            <v>408</v>
          </cell>
          <cell r="E319">
            <v>0</v>
          </cell>
          <cell r="F319">
            <v>12</v>
          </cell>
          <cell r="G319">
            <v>396</v>
          </cell>
          <cell r="H319">
            <v>332</v>
          </cell>
        </row>
        <row r="320">
          <cell r="A320">
            <v>1202</v>
          </cell>
          <cell r="B320" t="str">
            <v>KIBAO GIN 750ML</v>
          </cell>
          <cell r="C320" t="str">
            <v>Pcs</v>
          </cell>
          <cell r="D320">
            <v>288</v>
          </cell>
          <cell r="E320">
            <v>0</v>
          </cell>
          <cell r="F320">
            <v>0</v>
          </cell>
          <cell r="G320">
            <v>288</v>
          </cell>
          <cell r="H320">
            <v>616.75</v>
          </cell>
        </row>
        <row r="321">
          <cell r="A321">
            <v>1205</v>
          </cell>
          <cell r="B321" t="str">
            <v>KING ROBERT GIN 1LTR</v>
          </cell>
          <cell r="C321" t="str">
            <v>Pcs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1200</v>
          </cell>
        </row>
        <row r="322">
          <cell r="A322">
            <v>2225</v>
          </cell>
          <cell r="B322" t="str">
            <v>KINGSTONE GIN 1LTR</v>
          </cell>
          <cell r="C322" t="str">
            <v>Pcs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750</v>
          </cell>
        </row>
        <row r="323">
          <cell r="A323">
            <v>1219</v>
          </cell>
          <cell r="B323" t="str">
            <v>KO CLASSIC GIN 750ML </v>
          </cell>
          <cell r="C323" t="str">
            <v>Pcs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1900</v>
          </cell>
        </row>
        <row r="324">
          <cell r="A324">
            <v>2835</v>
          </cell>
          <cell r="B324" t="str">
            <v>KO LEMON CELLO 10% GIN COCKTAIL 330ML CAN</v>
          </cell>
          <cell r="C324" t="str">
            <v>Pcs</v>
          </cell>
          <cell r="D324">
            <v>120</v>
          </cell>
          <cell r="E324">
            <v>0</v>
          </cell>
          <cell r="F324">
            <v>24</v>
          </cell>
          <cell r="G324">
            <v>96</v>
          </cell>
          <cell r="H324">
            <v>275</v>
          </cell>
        </row>
        <row r="325">
          <cell r="A325">
            <v>1226</v>
          </cell>
          <cell r="B325" t="str">
            <v>KO TAMBUZI GIN 750ML</v>
          </cell>
          <cell r="C325" t="str">
            <v>Pcs</v>
          </cell>
          <cell r="D325">
            <v>11</v>
          </cell>
          <cell r="E325">
            <v>0</v>
          </cell>
          <cell r="F325">
            <v>0</v>
          </cell>
          <cell r="G325">
            <v>11</v>
          </cell>
          <cell r="H325">
            <v>1900</v>
          </cell>
        </row>
        <row r="326">
          <cell r="A326">
            <v>1299</v>
          </cell>
          <cell r="B326" t="str">
            <v>LONDON HILL DRY GIN 1LTR</v>
          </cell>
          <cell r="C326" t="str">
            <v>Pcs</v>
          </cell>
          <cell r="D326">
            <v>66</v>
          </cell>
          <cell r="E326">
            <v>0</v>
          </cell>
          <cell r="F326">
            <v>0</v>
          </cell>
          <cell r="G326">
            <v>66</v>
          </cell>
          <cell r="H326">
            <v>3600</v>
          </cell>
        </row>
        <row r="327">
          <cell r="A327">
            <v>1300</v>
          </cell>
          <cell r="B327" t="str">
            <v>LORDSON DRY GIN 750ML</v>
          </cell>
          <cell r="C327" t="str">
            <v>Pcs</v>
          </cell>
          <cell r="D327">
            <v>84</v>
          </cell>
          <cell r="E327">
            <v>0</v>
          </cell>
          <cell r="F327">
            <v>0</v>
          </cell>
          <cell r="G327">
            <v>84</v>
          </cell>
          <cell r="H327">
            <v>2400</v>
          </cell>
        </row>
        <row r="328">
          <cell r="A328">
            <v>1349</v>
          </cell>
          <cell r="B328" t="str">
            <v>MAD CHIMP 1LTR</v>
          </cell>
          <cell r="C328" t="str">
            <v>Pcs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1500</v>
          </cell>
        </row>
        <row r="329">
          <cell r="A329">
            <v>1370</v>
          </cell>
          <cell r="B329" t="str">
            <v>MALFY GIN LEMON 1LTR</v>
          </cell>
          <cell r="C329" t="str">
            <v>Pcs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4200</v>
          </cell>
        </row>
        <row r="330">
          <cell r="A330">
            <v>1373</v>
          </cell>
          <cell r="B330" t="str">
            <v>MALFY GINS BLOOD ORANGE 750ML</v>
          </cell>
          <cell r="C330" t="str">
            <v>Pcs</v>
          </cell>
          <cell r="D330">
            <v>18</v>
          </cell>
          <cell r="E330">
            <v>0</v>
          </cell>
          <cell r="F330">
            <v>0</v>
          </cell>
          <cell r="G330">
            <v>18</v>
          </cell>
          <cell r="H330">
            <v>3900</v>
          </cell>
        </row>
        <row r="331">
          <cell r="A331">
            <v>1374</v>
          </cell>
          <cell r="B331" t="str">
            <v>MALFY GINS LEMON 750ML</v>
          </cell>
          <cell r="C331" t="str">
            <v>Pcs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3900</v>
          </cell>
        </row>
        <row r="332">
          <cell r="A332">
            <v>1375</v>
          </cell>
          <cell r="B332" t="str">
            <v>MALFY GINS ORIGINAL 750ML</v>
          </cell>
          <cell r="C332" t="str">
            <v>Pcs</v>
          </cell>
          <cell r="D332">
            <v>12</v>
          </cell>
          <cell r="E332">
            <v>0</v>
          </cell>
          <cell r="F332">
            <v>0</v>
          </cell>
          <cell r="G332">
            <v>12</v>
          </cell>
          <cell r="H332">
            <v>3900</v>
          </cell>
        </row>
        <row r="333">
          <cell r="A333">
            <v>1376</v>
          </cell>
          <cell r="B333" t="str">
            <v>MALFY GINS ROSA 750ML</v>
          </cell>
          <cell r="C333" t="str">
            <v>Pcs</v>
          </cell>
          <cell r="D333">
            <v>26</v>
          </cell>
          <cell r="E333">
            <v>0</v>
          </cell>
          <cell r="F333">
            <v>0</v>
          </cell>
          <cell r="G333">
            <v>26</v>
          </cell>
          <cell r="H333">
            <v>3900</v>
          </cell>
        </row>
        <row r="334">
          <cell r="A334">
            <v>1469</v>
          </cell>
          <cell r="B334" t="str">
            <v>MONKEY 47 DRY GIN 500ML</v>
          </cell>
          <cell r="C334" t="str">
            <v>Pcs</v>
          </cell>
          <cell r="D334">
            <v>11</v>
          </cell>
          <cell r="E334">
            <v>0</v>
          </cell>
          <cell r="F334">
            <v>0</v>
          </cell>
          <cell r="G334">
            <v>11</v>
          </cell>
          <cell r="H334">
            <v>4800</v>
          </cell>
        </row>
        <row r="335">
          <cell r="A335">
            <v>1481</v>
          </cell>
          <cell r="B335" t="str">
            <v>MR. BOSTON GIN 1ltr</v>
          </cell>
          <cell r="C335" t="str">
            <v>Pcs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1200</v>
          </cell>
        </row>
        <row r="336">
          <cell r="A336">
            <v>1482</v>
          </cell>
          <cell r="B336" t="str">
            <v>MR. BOSTON GIN 750ml</v>
          </cell>
          <cell r="C336" t="str">
            <v>Pcs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1000</v>
          </cell>
        </row>
        <row r="337">
          <cell r="A337">
            <v>2279</v>
          </cell>
          <cell r="B337" t="str">
            <v>MUSGRAVE PINK GIN 750ML</v>
          </cell>
          <cell r="C337" t="str">
            <v>Pcs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5200</v>
          </cell>
        </row>
        <row r="338">
          <cell r="A338">
            <v>2338</v>
          </cell>
          <cell r="B338" t="str">
            <v>OPIHR 1LTR</v>
          </cell>
          <cell r="C338" t="str">
            <v>Pcs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4500</v>
          </cell>
        </row>
        <row r="339">
          <cell r="A339">
            <v>1565</v>
          </cell>
          <cell r="B339" t="str">
            <v>OPIHR ORIENTAL SPICED LONDON GIN 700ML</v>
          </cell>
          <cell r="C339" t="str">
            <v>Pcs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3650</v>
          </cell>
        </row>
        <row r="340">
          <cell r="A340">
            <v>2549</v>
          </cell>
          <cell r="B340" t="str">
            <v>PERIGANS LONDON 700ML</v>
          </cell>
          <cell r="C340" t="str">
            <v>Pcs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1250</v>
          </cell>
        </row>
        <row r="341">
          <cell r="A341">
            <v>1631</v>
          </cell>
          <cell r="B341" t="str">
            <v>PLY MOUTH GIN 1LTR</v>
          </cell>
          <cell r="C341" t="str">
            <v>Pcs</v>
          </cell>
          <cell r="D341">
            <v>12</v>
          </cell>
          <cell r="E341">
            <v>0</v>
          </cell>
          <cell r="F341">
            <v>0</v>
          </cell>
          <cell r="G341">
            <v>12</v>
          </cell>
          <cell r="H341">
            <v>6500</v>
          </cell>
        </row>
        <row r="342">
          <cell r="A342">
            <v>2281</v>
          </cell>
          <cell r="B342" t="str">
            <v>RIVAGE GIN 1LTR</v>
          </cell>
          <cell r="C342" t="str">
            <v>Pcs</v>
          </cell>
          <cell r="D342">
            <v>17</v>
          </cell>
          <cell r="E342">
            <v>0</v>
          </cell>
          <cell r="F342">
            <v>0</v>
          </cell>
          <cell r="G342">
            <v>17</v>
          </cell>
          <cell r="H342">
            <v>5500</v>
          </cell>
        </row>
        <row r="343">
          <cell r="A343">
            <v>1690</v>
          </cell>
          <cell r="B343" t="str">
            <v>ROSE D' ARGENT STRAWBERRY GIN 700ML</v>
          </cell>
          <cell r="C343" t="str">
            <v>Pcs</v>
          </cell>
          <cell r="D343">
            <v>132</v>
          </cell>
          <cell r="E343">
            <v>0</v>
          </cell>
          <cell r="F343">
            <v>0</v>
          </cell>
          <cell r="G343">
            <v>132</v>
          </cell>
          <cell r="H343">
            <v>1500</v>
          </cell>
        </row>
        <row r="344">
          <cell r="A344">
            <v>2284</v>
          </cell>
          <cell r="B344" t="str">
            <v>SIPSMITH LONDON DRY GIN 1LTR</v>
          </cell>
          <cell r="C344" t="str">
            <v>Pcs</v>
          </cell>
          <cell r="D344">
            <v>6</v>
          </cell>
          <cell r="E344">
            <v>0</v>
          </cell>
          <cell r="F344">
            <v>0</v>
          </cell>
          <cell r="G344">
            <v>6</v>
          </cell>
          <cell r="H344">
            <v>5000</v>
          </cell>
        </row>
        <row r="345">
          <cell r="A345">
            <v>2570</v>
          </cell>
          <cell r="B345" t="str">
            <v>SIX  DOGS KAROO 750ML</v>
          </cell>
          <cell r="C345" t="str">
            <v>Pcs</v>
          </cell>
          <cell r="D345">
            <v>6</v>
          </cell>
          <cell r="E345">
            <v>0</v>
          </cell>
          <cell r="F345">
            <v>0</v>
          </cell>
          <cell r="G345">
            <v>6</v>
          </cell>
          <cell r="H345">
            <v>5500</v>
          </cell>
        </row>
        <row r="346">
          <cell r="A346">
            <v>1898</v>
          </cell>
          <cell r="B346" t="str">
            <v>STRETTON RUBY ORANGE 750ML</v>
          </cell>
          <cell r="C346" t="str">
            <v>Pcs</v>
          </cell>
          <cell r="D346">
            <v>168</v>
          </cell>
          <cell r="E346">
            <v>0</v>
          </cell>
          <cell r="F346">
            <v>0</v>
          </cell>
          <cell r="G346">
            <v>168</v>
          </cell>
          <cell r="H346">
            <v>1600</v>
          </cell>
        </row>
        <row r="347">
          <cell r="A347">
            <v>1899</v>
          </cell>
          <cell r="B347" t="str">
            <v>STRETTON`S ORIGINAL 750ML</v>
          </cell>
          <cell r="C347" t="str">
            <v>Pcs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1600</v>
          </cell>
        </row>
        <row r="348">
          <cell r="A348">
            <v>1900</v>
          </cell>
          <cell r="B348" t="str">
            <v>STRETTON`S TRIPPLE BERRY 750ML</v>
          </cell>
          <cell r="C348" t="str">
            <v>Pcs</v>
          </cell>
          <cell r="D348">
            <v>253</v>
          </cell>
          <cell r="E348">
            <v>0</v>
          </cell>
          <cell r="F348">
            <v>0</v>
          </cell>
          <cell r="G348">
            <v>253</v>
          </cell>
          <cell r="H348">
            <v>1600</v>
          </cell>
        </row>
        <row r="349">
          <cell r="A349">
            <v>1901</v>
          </cell>
          <cell r="B349" t="str">
            <v>STRETTON`S WILD BERRIES 750ML</v>
          </cell>
          <cell r="C349" t="str">
            <v>Pcs</v>
          </cell>
          <cell r="D349">
            <v>156</v>
          </cell>
          <cell r="E349">
            <v>119</v>
          </cell>
          <cell r="F349">
            <v>37</v>
          </cell>
          <cell r="G349">
            <v>238</v>
          </cell>
          <cell r="H349">
            <v>1600</v>
          </cell>
        </row>
        <row r="350">
          <cell r="A350">
            <v>2963</v>
          </cell>
          <cell r="B350" t="str">
            <v>TANQUERAY 0.0 700ML</v>
          </cell>
          <cell r="C350" t="str">
            <v>Pcs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2400</v>
          </cell>
        </row>
        <row r="351">
          <cell r="A351">
            <v>1933</v>
          </cell>
          <cell r="B351" t="str">
            <v>TANQUERAY - IMPORTED 1LT</v>
          </cell>
          <cell r="C351" t="str">
            <v>Pcs</v>
          </cell>
          <cell r="D351">
            <v>279</v>
          </cell>
          <cell r="E351">
            <v>0</v>
          </cell>
          <cell r="F351">
            <v>36</v>
          </cell>
          <cell r="G351">
            <v>243</v>
          </cell>
          <cell r="H351">
            <v>3000</v>
          </cell>
        </row>
        <row r="352">
          <cell r="A352">
            <v>1939</v>
          </cell>
          <cell r="B352" t="str">
            <v>TANQUERAY MALACCA 1LTR</v>
          </cell>
          <cell r="C352" t="str">
            <v>Pcs</v>
          </cell>
          <cell r="D352">
            <v>520</v>
          </cell>
          <cell r="E352">
            <v>0</v>
          </cell>
          <cell r="F352">
            <v>0</v>
          </cell>
          <cell r="G352">
            <v>520</v>
          </cell>
          <cell r="H352">
            <v>3300</v>
          </cell>
        </row>
        <row r="353">
          <cell r="A353">
            <v>2317</v>
          </cell>
          <cell r="B353" t="str">
            <v>TANQUERAY MALACCA 700ML</v>
          </cell>
          <cell r="C353" t="str">
            <v>Pcs</v>
          </cell>
          <cell r="D353">
            <v>13</v>
          </cell>
          <cell r="E353">
            <v>0</v>
          </cell>
          <cell r="F353">
            <v>0</v>
          </cell>
          <cell r="G353">
            <v>13</v>
          </cell>
          <cell r="H353">
            <v>2600</v>
          </cell>
        </row>
        <row r="354">
          <cell r="A354">
            <v>1936</v>
          </cell>
          <cell r="B354" t="str">
            <v>TANQUERAY  NO. 10 1LTR</v>
          </cell>
          <cell r="C354" t="str">
            <v>Pcs</v>
          </cell>
          <cell r="D354">
            <v>1013</v>
          </cell>
          <cell r="E354">
            <v>0</v>
          </cell>
          <cell r="F354">
            <v>15</v>
          </cell>
          <cell r="G354">
            <v>998</v>
          </cell>
          <cell r="H354">
            <v>4800</v>
          </cell>
        </row>
        <row r="355">
          <cell r="A355">
            <v>1940</v>
          </cell>
          <cell r="B355" t="str">
            <v>TANQUERAY RANGPUR GIN 1LTR</v>
          </cell>
          <cell r="C355" t="str">
            <v>Pcs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3300</v>
          </cell>
        </row>
        <row r="356">
          <cell r="A356">
            <v>1941</v>
          </cell>
          <cell r="B356" t="str">
            <v>TANQUERAY RANGPUR GIN 750ML</v>
          </cell>
          <cell r="C356" t="str">
            <v>Pcs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2600</v>
          </cell>
        </row>
        <row r="357">
          <cell r="A357">
            <v>1942</v>
          </cell>
          <cell r="B357" t="str">
            <v>TANQUERAY ROYALE GIN 700ML</v>
          </cell>
          <cell r="C357" t="str">
            <v>Pcs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2600</v>
          </cell>
        </row>
        <row r="358">
          <cell r="A358">
            <v>1937</v>
          </cell>
          <cell r="B358" t="str">
            <v>TANQUERAY - SEVILLA 700ML</v>
          </cell>
          <cell r="C358" t="str">
            <v>Pcs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2600</v>
          </cell>
        </row>
        <row r="359">
          <cell r="A359">
            <v>1934</v>
          </cell>
          <cell r="B359" t="str">
            <v>TANQUERAY SEVILLA GIN 1LTR</v>
          </cell>
          <cell r="C359" t="str">
            <v>Pcs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3300</v>
          </cell>
        </row>
        <row r="360">
          <cell r="A360">
            <v>1935</v>
          </cell>
          <cell r="B360" t="str">
            <v>TANQUERAY STERLING 1LTR</v>
          </cell>
          <cell r="C360" t="str">
            <v>Pcs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3300</v>
          </cell>
        </row>
        <row r="361">
          <cell r="A361">
            <v>1938</v>
          </cell>
          <cell r="B361" t="str">
            <v>TANQUERAY - TEN 750ML</v>
          </cell>
          <cell r="C361" t="str">
            <v>Pcs</v>
          </cell>
          <cell r="D361">
            <v>76</v>
          </cell>
          <cell r="E361">
            <v>0</v>
          </cell>
          <cell r="F361">
            <v>12</v>
          </cell>
          <cell r="G361">
            <v>64</v>
          </cell>
          <cell r="H361">
            <v>4000</v>
          </cell>
        </row>
        <row r="362">
          <cell r="A362">
            <v>1944</v>
          </cell>
          <cell r="B362" t="str">
            <v>TANQUERY - EXPORT 750ML</v>
          </cell>
          <cell r="C362" t="str">
            <v>Pcs</v>
          </cell>
          <cell r="D362">
            <v>12</v>
          </cell>
          <cell r="E362">
            <v>0</v>
          </cell>
          <cell r="F362">
            <v>0</v>
          </cell>
          <cell r="G362">
            <v>12</v>
          </cell>
          <cell r="H362">
            <v>2400</v>
          </cell>
        </row>
        <row r="363">
          <cell r="A363">
            <v>1958</v>
          </cell>
          <cell r="B363" t="str">
            <v>THE BOTANIST GIN 1LTR</v>
          </cell>
          <cell r="C363" t="str">
            <v>Pcs</v>
          </cell>
          <cell r="D363">
            <v>60</v>
          </cell>
          <cell r="E363">
            <v>0</v>
          </cell>
          <cell r="F363">
            <v>6</v>
          </cell>
          <cell r="G363">
            <v>54</v>
          </cell>
          <cell r="H363">
            <v>5000</v>
          </cell>
        </row>
        <row r="364">
          <cell r="A364">
            <v>1997</v>
          </cell>
          <cell r="B364" t="str">
            <v>TOBERMORY GIN 750ML</v>
          </cell>
          <cell r="C364" t="str">
            <v>Pcs</v>
          </cell>
          <cell r="D364">
            <v>6</v>
          </cell>
          <cell r="E364">
            <v>0</v>
          </cell>
          <cell r="F364">
            <v>0</v>
          </cell>
          <cell r="G364">
            <v>6</v>
          </cell>
          <cell r="H364">
            <v>2500</v>
          </cell>
        </row>
        <row r="365">
          <cell r="A365">
            <v>2043</v>
          </cell>
          <cell r="B365" t="str">
            <v>VALE GIN 750ML</v>
          </cell>
          <cell r="C365" t="str">
            <v>Pcs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5000</v>
          </cell>
        </row>
        <row r="366">
          <cell r="A366">
            <v>2447</v>
          </cell>
          <cell r="B366" t="str">
            <v>VALE PINK GIN 750ML</v>
          </cell>
          <cell r="C366" t="str">
            <v>Pcs</v>
          </cell>
          <cell r="D366">
            <v>12</v>
          </cell>
          <cell r="E366">
            <v>0</v>
          </cell>
          <cell r="F366">
            <v>0</v>
          </cell>
          <cell r="G366">
            <v>12</v>
          </cell>
          <cell r="H366">
            <v>5000</v>
          </cell>
        </row>
        <row r="367">
          <cell r="A367">
            <v>2492</v>
          </cell>
          <cell r="B367" t="str">
            <v>VICTORIA STAG GIN 750ML</v>
          </cell>
          <cell r="C367" t="str">
            <v>Pcs</v>
          </cell>
          <cell r="D367">
            <v>12</v>
          </cell>
          <cell r="E367">
            <v>0</v>
          </cell>
          <cell r="F367">
            <v>0</v>
          </cell>
          <cell r="G367">
            <v>12</v>
          </cell>
          <cell r="H367">
            <v>4200</v>
          </cell>
        </row>
        <row r="368">
          <cell r="A368">
            <v>2093</v>
          </cell>
          <cell r="B368" t="str">
            <v>WHITLEY NEIL ALOE &amp; CUCUMBER 1LTR</v>
          </cell>
          <cell r="C368" t="str">
            <v>Pcs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3200</v>
          </cell>
        </row>
        <row r="369">
          <cell r="A369">
            <v>2095</v>
          </cell>
          <cell r="B369" t="str">
            <v>WHITLEY NEIL BLOOD ORANGE GIN 1LTR</v>
          </cell>
          <cell r="C369" t="str">
            <v>Pcs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3200</v>
          </cell>
        </row>
        <row r="370">
          <cell r="A370">
            <v>2097</v>
          </cell>
          <cell r="B370" t="str">
            <v>WHITLEY NEILL BLACK BERRY GIN 1LTR</v>
          </cell>
          <cell r="C370" t="str">
            <v>Pcs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3200</v>
          </cell>
        </row>
        <row r="371">
          <cell r="A371">
            <v>2098</v>
          </cell>
          <cell r="B371" t="str">
            <v>WHITLEY NEILL BLACK BERRY GIN 750ML </v>
          </cell>
          <cell r="C371" t="str">
            <v>Pcs</v>
          </cell>
          <cell r="D371">
            <v>48</v>
          </cell>
          <cell r="E371">
            <v>0</v>
          </cell>
          <cell r="F371">
            <v>0</v>
          </cell>
          <cell r="G371">
            <v>48</v>
          </cell>
          <cell r="H371">
            <v>2800</v>
          </cell>
        </row>
        <row r="372">
          <cell r="A372">
            <v>2099</v>
          </cell>
          <cell r="B372" t="str">
            <v>WHITLEY NEILL BLOOD ORANGE  GIN 750ML </v>
          </cell>
          <cell r="C372" t="str">
            <v>Pcs</v>
          </cell>
          <cell r="D372">
            <v>30</v>
          </cell>
          <cell r="E372">
            <v>0</v>
          </cell>
          <cell r="F372">
            <v>0</v>
          </cell>
          <cell r="G372">
            <v>30</v>
          </cell>
          <cell r="H372">
            <v>2800</v>
          </cell>
        </row>
        <row r="373">
          <cell r="A373">
            <v>2100</v>
          </cell>
          <cell r="B373" t="str">
            <v>WHITLEY NEILL LEMON GRASS  GIN 1LTR</v>
          </cell>
          <cell r="C373" t="str">
            <v>Pcs</v>
          </cell>
          <cell r="D373">
            <v>4</v>
          </cell>
          <cell r="E373">
            <v>0</v>
          </cell>
          <cell r="F373">
            <v>4</v>
          </cell>
          <cell r="G373">
            <v>0</v>
          </cell>
          <cell r="H373">
            <v>3200</v>
          </cell>
        </row>
        <row r="374">
          <cell r="A374">
            <v>2101</v>
          </cell>
          <cell r="B374" t="str">
            <v>WHITLEY NEILL LEMON GRASS  GIN 750ML </v>
          </cell>
          <cell r="C374" t="str">
            <v>Pcs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2800</v>
          </cell>
        </row>
        <row r="375">
          <cell r="A375">
            <v>2102</v>
          </cell>
          <cell r="B375" t="str">
            <v>WHITLEY NEILL ORIGINAL  GIN 1LTR</v>
          </cell>
          <cell r="C375" t="str">
            <v>Pcs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3200</v>
          </cell>
        </row>
        <row r="376">
          <cell r="A376">
            <v>2103</v>
          </cell>
          <cell r="B376" t="str">
            <v>WHITLEY NEILL ORIGINAL  GIN 750ML </v>
          </cell>
          <cell r="C376" t="str">
            <v>Pcs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2800</v>
          </cell>
        </row>
        <row r="377">
          <cell r="A377">
            <v>2104</v>
          </cell>
          <cell r="B377" t="str">
            <v>WHITLEY NEILL PROTEA &amp; HIBISCUS GIN 750ML </v>
          </cell>
          <cell r="C377" t="str">
            <v>Pcs</v>
          </cell>
          <cell r="D377">
            <v>12</v>
          </cell>
          <cell r="E377">
            <v>0</v>
          </cell>
          <cell r="F377">
            <v>0</v>
          </cell>
          <cell r="G377">
            <v>12</v>
          </cell>
          <cell r="H377">
            <v>2800</v>
          </cell>
        </row>
        <row r="378">
          <cell r="A378">
            <v>2106</v>
          </cell>
          <cell r="B378" t="str">
            <v>WHITLEY NEILL RASPBERRY GIN 1LTR</v>
          </cell>
          <cell r="C378" t="str">
            <v>Pcs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3200</v>
          </cell>
        </row>
        <row r="379">
          <cell r="A379">
            <v>2107</v>
          </cell>
          <cell r="B379" t="str">
            <v>WHITLEY NEILL RASPBERRY GIN 750ML </v>
          </cell>
          <cell r="C379" t="str">
            <v>Pcs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2800</v>
          </cell>
        </row>
        <row r="380">
          <cell r="A380">
            <v>2108</v>
          </cell>
          <cell r="B380" t="str">
            <v>WHITLEY NEILL RHUBARB &amp; GINGER GIN 1LTR</v>
          </cell>
          <cell r="C380" t="str">
            <v>Pcs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3200</v>
          </cell>
        </row>
        <row r="381">
          <cell r="A381">
            <v>2109</v>
          </cell>
          <cell r="B381" t="str">
            <v>WHITLEY NEILL RHUBARB &amp; GINGER GIN 750ML</v>
          </cell>
          <cell r="C381" t="str">
            <v>Pcs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2800</v>
          </cell>
        </row>
        <row r="382">
          <cell r="A382">
            <v>2318</v>
          </cell>
          <cell r="B382" t="str">
            <v>WHITLEY NEIL PARMA VIOLET 1LTR</v>
          </cell>
          <cell r="C382" t="str">
            <v>Pcs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3200</v>
          </cell>
        </row>
        <row r="383">
          <cell r="A383">
            <v>2319</v>
          </cell>
          <cell r="B383" t="str">
            <v>WHITLEY NEIL PARMA VIOLET 700ML</v>
          </cell>
          <cell r="C383" t="str">
            <v>Pcs</v>
          </cell>
          <cell r="D383">
            <v>2</v>
          </cell>
          <cell r="E383">
            <v>0</v>
          </cell>
          <cell r="F383">
            <v>2</v>
          </cell>
          <cell r="G383">
            <v>0</v>
          </cell>
          <cell r="H383">
            <v>2800</v>
          </cell>
        </row>
        <row r="384">
          <cell r="A384">
            <v>2096</v>
          </cell>
          <cell r="B384" t="str">
            <v>WHITLEY NEIL PROTEA &amp; HIBISCUS 750ML</v>
          </cell>
          <cell r="C384" t="str">
            <v>Pcs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2800</v>
          </cell>
        </row>
        <row r="385">
          <cell r="A385">
            <v>2128</v>
          </cell>
          <cell r="B385" t="str">
            <v>WINDSOR GIN 1ltr</v>
          </cell>
          <cell r="C385" t="str">
            <v>Pcs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1800</v>
          </cell>
        </row>
        <row r="386">
          <cell r="A386">
            <v>2141</v>
          </cell>
          <cell r="B386" t="str">
            <v>ZAFIRO CLEAR 1LTR</v>
          </cell>
          <cell r="C386" t="str">
            <v>Pcs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1400</v>
          </cell>
        </row>
        <row r="387">
          <cell r="A387">
            <v>2343</v>
          </cell>
          <cell r="B387" t="str">
            <v>ZAFIRO ORANGE 1LTR</v>
          </cell>
          <cell r="C387" t="str">
            <v>Pcs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1400</v>
          </cell>
        </row>
        <row r="388">
          <cell r="A388">
            <v>2142</v>
          </cell>
          <cell r="B388" t="str">
            <v>ZAFIRO PINK 1LTR</v>
          </cell>
          <cell r="C388" t="str">
            <v>Pcs</v>
          </cell>
          <cell r="D388">
            <v>12</v>
          </cell>
          <cell r="E388">
            <v>0</v>
          </cell>
          <cell r="F388">
            <v>12</v>
          </cell>
          <cell r="G388">
            <v>0</v>
          </cell>
          <cell r="H388">
            <v>1400</v>
          </cell>
        </row>
        <row r="389">
          <cell r="A389">
            <v>2955</v>
          </cell>
          <cell r="B389" t="str">
            <v>AMSTERDAM CANNABIS SATIVA RUM 700ML</v>
          </cell>
          <cell r="C389" t="str">
            <v>Pcs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2100</v>
          </cell>
        </row>
        <row r="390">
          <cell r="A390">
            <v>99</v>
          </cell>
          <cell r="B390" t="str">
            <v>ANGOSTURA 200ML</v>
          </cell>
          <cell r="C390" t="str">
            <v>Pcs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2500</v>
          </cell>
        </row>
        <row r="391">
          <cell r="A391">
            <v>2353</v>
          </cell>
          <cell r="B391" t="str">
            <v>BARDINET BLUE CURACAO 750ML</v>
          </cell>
          <cell r="C391" t="str">
            <v>Pcs</v>
          </cell>
          <cell r="D391">
            <v>1</v>
          </cell>
          <cell r="E391">
            <v>0</v>
          </cell>
          <cell r="F391">
            <v>0</v>
          </cell>
          <cell r="G391">
            <v>1</v>
          </cell>
          <cell r="H391">
            <v>1300</v>
          </cell>
        </row>
        <row r="392">
          <cell r="A392">
            <v>2352</v>
          </cell>
          <cell r="B392" t="str">
            <v>BARDINET CHERRY 750ML</v>
          </cell>
          <cell r="C392" t="str">
            <v>Pcs</v>
          </cell>
          <cell r="D392">
            <v>1</v>
          </cell>
          <cell r="E392">
            <v>0</v>
          </cell>
          <cell r="F392">
            <v>0</v>
          </cell>
          <cell r="G392">
            <v>1</v>
          </cell>
          <cell r="H392">
            <v>1300</v>
          </cell>
        </row>
        <row r="393">
          <cell r="A393">
            <v>2350</v>
          </cell>
          <cell r="B393" t="str">
            <v>BARDINET CREME DE BANANA 750ML</v>
          </cell>
          <cell r="C393" t="str">
            <v>Pcs</v>
          </cell>
          <cell r="D393">
            <v>1</v>
          </cell>
          <cell r="E393">
            <v>0</v>
          </cell>
          <cell r="F393">
            <v>0</v>
          </cell>
          <cell r="G393">
            <v>1</v>
          </cell>
          <cell r="H393">
            <v>1300</v>
          </cell>
        </row>
        <row r="394">
          <cell r="A394">
            <v>2440</v>
          </cell>
          <cell r="B394" t="str">
            <v>BARDINET CREME DE CAFE 750ML</v>
          </cell>
          <cell r="C394" t="str">
            <v>Pcs</v>
          </cell>
          <cell r="D394">
            <v>1</v>
          </cell>
          <cell r="E394">
            <v>0</v>
          </cell>
          <cell r="F394">
            <v>0</v>
          </cell>
          <cell r="G394">
            <v>1</v>
          </cell>
          <cell r="H394">
            <v>2300</v>
          </cell>
        </row>
        <row r="395">
          <cell r="A395">
            <v>2351</v>
          </cell>
          <cell r="B395" t="str">
            <v>BARDINET TRIPLE SEC 750ML</v>
          </cell>
          <cell r="C395" t="str">
            <v>Pcs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1300</v>
          </cell>
        </row>
        <row r="396">
          <cell r="A396">
            <v>250</v>
          </cell>
          <cell r="B396" t="str">
            <v>BLUE CURACAO LIQUEUR 750ML</v>
          </cell>
          <cell r="C396" t="str">
            <v>Pcs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1600</v>
          </cell>
        </row>
        <row r="397">
          <cell r="A397">
            <v>256</v>
          </cell>
          <cell r="B397" t="str">
            <v>BOLS BLUE CURACAO 750ML</v>
          </cell>
          <cell r="C397" t="str">
            <v>Pcs</v>
          </cell>
          <cell r="D397">
            <v>172</v>
          </cell>
          <cell r="E397">
            <v>0</v>
          </cell>
          <cell r="F397">
            <v>0</v>
          </cell>
          <cell r="G397">
            <v>172</v>
          </cell>
          <cell r="H397">
            <v>1700</v>
          </cell>
        </row>
        <row r="398">
          <cell r="A398">
            <v>257</v>
          </cell>
          <cell r="B398" t="str">
            <v>BOLS DRY ORANGE 750ML</v>
          </cell>
          <cell r="C398" t="str">
            <v>Pcs</v>
          </cell>
          <cell r="D398">
            <v>48</v>
          </cell>
          <cell r="E398">
            <v>0</v>
          </cell>
          <cell r="F398">
            <v>0</v>
          </cell>
          <cell r="G398">
            <v>48</v>
          </cell>
          <cell r="H398">
            <v>1700</v>
          </cell>
        </row>
        <row r="399">
          <cell r="A399">
            <v>259</v>
          </cell>
          <cell r="B399" t="str">
            <v>BOLS TRIPLE SEC LIQUEUR 700ML</v>
          </cell>
          <cell r="C399" t="str">
            <v>Pcs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1700</v>
          </cell>
        </row>
        <row r="400">
          <cell r="A400">
            <v>317</v>
          </cell>
          <cell r="B400" t="str">
            <v>BUTLERS BLUE CURACAO 750ML</v>
          </cell>
          <cell r="C400" t="str">
            <v>Pcs</v>
          </cell>
          <cell r="D400">
            <v>25</v>
          </cell>
          <cell r="E400">
            <v>0</v>
          </cell>
          <cell r="F400">
            <v>0</v>
          </cell>
          <cell r="G400">
            <v>25</v>
          </cell>
          <cell r="H400">
            <v>1600</v>
          </cell>
        </row>
        <row r="401">
          <cell r="A401">
            <v>318</v>
          </cell>
          <cell r="B401" t="str">
            <v>BUTLERS CHERRY KIRSCH 700ML</v>
          </cell>
          <cell r="C401" t="str">
            <v>Pcs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1600</v>
          </cell>
        </row>
        <row r="402">
          <cell r="A402">
            <v>319</v>
          </cell>
          <cell r="B402" t="str">
            <v>BUTLERS CHERRY KIRSCH 750ML</v>
          </cell>
          <cell r="C402" t="str">
            <v>Pcs</v>
          </cell>
          <cell r="D402">
            <v>204</v>
          </cell>
          <cell r="E402">
            <v>0</v>
          </cell>
          <cell r="F402">
            <v>0</v>
          </cell>
          <cell r="G402">
            <v>204</v>
          </cell>
          <cell r="H402">
            <v>1600</v>
          </cell>
        </row>
        <row r="403">
          <cell r="A403">
            <v>315</v>
          </cell>
          <cell r="B403" t="str">
            <v>BUTLERS  CRÈME DE BANANA 750ML</v>
          </cell>
          <cell r="C403" t="str">
            <v>Pcs</v>
          </cell>
          <cell r="D403">
            <v>41</v>
          </cell>
          <cell r="E403">
            <v>0</v>
          </cell>
          <cell r="F403">
            <v>0</v>
          </cell>
          <cell r="G403">
            <v>41</v>
          </cell>
          <cell r="H403">
            <v>1600</v>
          </cell>
        </row>
        <row r="404">
          <cell r="A404">
            <v>320</v>
          </cell>
          <cell r="B404" t="str">
            <v>BUTLERS ESPRESSO 750ML</v>
          </cell>
          <cell r="C404" t="str">
            <v>Pcs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1600</v>
          </cell>
        </row>
        <row r="405">
          <cell r="A405">
            <v>321</v>
          </cell>
          <cell r="B405" t="str">
            <v>BUTLERS ESPRESSO LIQUEUR  750ML</v>
          </cell>
          <cell r="C405" t="str">
            <v>Pcs</v>
          </cell>
          <cell r="D405">
            <v>69</v>
          </cell>
          <cell r="E405">
            <v>0</v>
          </cell>
          <cell r="F405">
            <v>0</v>
          </cell>
          <cell r="G405">
            <v>69</v>
          </cell>
          <cell r="H405">
            <v>1600</v>
          </cell>
        </row>
        <row r="406">
          <cell r="A406">
            <v>322</v>
          </cell>
          <cell r="B406" t="str">
            <v>BUTLERS GINGER 750ML</v>
          </cell>
          <cell r="C406" t="str">
            <v>Pcs</v>
          </cell>
          <cell r="D406">
            <v>48</v>
          </cell>
          <cell r="E406">
            <v>0</v>
          </cell>
          <cell r="F406">
            <v>0</v>
          </cell>
          <cell r="G406">
            <v>48</v>
          </cell>
          <cell r="H406">
            <v>1600</v>
          </cell>
        </row>
        <row r="407">
          <cell r="A407">
            <v>323</v>
          </cell>
          <cell r="B407" t="str">
            <v>BUTLERS PEPPERMINT 750ML</v>
          </cell>
          <cell r="C407" t="str">
            <v>Pcs</v>
          </cell>
          <cell r="D407">
            <v>1</v>
          </cell>
          <cell r="E407">
            <v>0</v>
          </cell>
          <cell r="F407">
            <v>0</v>
          </cell>
          <cell r="G407">
            <v>1</v>
          </cell>
          <cell r="H407">
            <v>1600</v>
          </cell>
        </row>
        <row r="408">
          <cell r="A408">
            <v>325</v>
          </cell>
          <cell r="B408" t="str">
            <v>BUTLERS TRIPLE SEC LIQUEUR 750ML</v>
          </cell>
          <cell r="C408" t="str">
            <v>Pcs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1600</v>
          </cell>
        </row>
        <row r="409">
          <cell r="A409">
            <v>504</v>
          </cell>
          <cell r="B409" t="str">
            <v>COINTREAU LIQUEUR 1LTR</v>
          </cell>
          <cell r="C409" t="str">
            <v>Pcs</v>
          </cell>
          <cell r="D409">
            <v>60</v>
          </cell>
          <cell r="E409">
            <v>0</v>
          </cell>
          <cell r="F409">
            <v>12</v>
          </cell>
          <cell r="G409">
            <v>48</v>
          </cell>
          <cell r="H409">
            <v>3500</v>
          </cell>
        </row>
        <row r="410">
          <cell r="A410">
            <v>505</v>
          </cell>
          <cell r="B410" t="str">
            <v>COINTREAU LIQUEUR 700ML</v>
          </cell>
          <cell r="C410" t="str">
            <v>Pcs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2500</v>
          </cell>
        </row>
        <row r="411">
          <cell r="A411">
            <v>610</v>
          </cell>
          <cell r="B411" t="str">
            <v>DISARONNO LIQUEUR 1ltr</v>
          </cell>
          <cell r="C411" t="str">
            <v>Pcs</v>
          </cell>
          <cell r="D411">
            <v>1</v>
          </cell>
          <cell r="E411">
            <v>0</v>
          </cell>
          <cell r="F411">
            <v>0</v>
          </cell>
          <cell r="G411">
            <v>1</v>
          </cell>
          <cell r="H411">
            <v>3000</v>
          </cell>
        </row>
        <row r="412">
          <cell r="A412">
            <v>611</v>
          </cell>
          <cell r="B412" t="str">
            <v>DISARONNO VELVET 700ML</v>
          </cell>
          <cell r="C412" t="str">
            <v>Pcs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3500</v>
          </cell>
        </row>
        <row r="413">
          <cell r="A413">
            <v>684</v>
          </cell>
          <cell r="B413" t="str">
            <v>FERNET BRANCA LIQUEUR 1LTR</v>
          </cell>
          <cell r="C413" t="str">
            <v>Pcs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3350</v>
          </cell>
        </row>
        <row r="414">
          <cell r="A414">
            <v>685</v>
          </cell>
          <cell r="B414" t="str">
            <v>FERNET BRANCA LIQUEUR 700ML</v>
          </cell>
          <cell r="C414" t="str">
            <v>Pcs</v>
          </cell>
          <cell r="D414">
            <v>24</v>
          </cell>
          <cell r="E414">
            <v>0</v>
          </cell>
          <cell r="F414">
            <v>0</v>
          </cell>
          <cell r="G414">
            <v>24</v>
          </cell>
          <cell r="H414">
            <v>2900</v>
          </cell>
        </row>
        <row r="415">
          <cell r="A415">
            <v>768</v>
          </cell>
          <cell r="B415" t="str">
            <v>FRANGELICO 1LTR</v>
          </cell>
          <cell r="C415" t="str">
            <v>Pcs</v>
          </cell>
          <cell r="D415">
            <v>132</v>
          </cell>
          <cell r="E415">
            <v>0</v>
          </cell>
          <cell r="F415">
            <v>0</v>
          </cell>
          <cell r="G415">
            <v>132</v>
          </cell>
          <cell r="H415">
            <v>2500</v>
          </cell>
        </row>
        <row r="416">
          <cell r="A416">
            <v>769</v>
          </cell>
          <cell r="B416" t="str">
            <v>FRANGELICO LIQUEUR 750ML</v>
          </cell>
          <cell r="C416" t="str">
            <v>Pcs</v>
          </cell>
          <cell r="D416">
            <v>6</v>
          </cell>
          <cell r="E416">
            <v>0</v>
          </cell>
          <cell r="F416">
            <v>0</v>
          </cell>
          <cell r="G416">
            <v>6</v>
          </cell>
          <cell r="H416">
            <v>2000</v>
          </cell>
        </row>
        <row r="417">
          <cell r="A417">
            <v>901</v>
          </cell>
          <cell r="B417" t="str">
            <v>GRAND MANIER LIQUEUR 750ML</v>
          </cell>
          <cell r="C417" t="str">
            <v>Pcs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3500</v>
          </cell>
        </row>
        <row r="418">
          <cell r="A418">
            <v>902</v>
          </cell>
          <cell r="B418" t="str">
            <v>GRAND MARNIER 350ML</v>
          </cell>
          <cell r="C418" t="str">
            <v>Pcs</v>
          </cell>
          <cell r="D418">
            <v>12</v>
          </cell>
          <cell r="E418">
            <v>0</v>
          </cell>
          <cell r="F418">
            <v>0</v>
          </cell>
          <cell r="G418">
            <v>12</v>
          </cell>
          <cell r="H418">
            <v>2000</v>
          </cell>
        </row>
        <row r="419">
          <cell r="A419">
            <v>903</v>
          </cell>
          <cell r="B419" t="str">
            <v>GRAND MARNIER LIQUEUR 1LTR</v>
          </cell>
          <cell r="C419" t="str">
            <v>Pcs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3800</v>
          </cell>
        </row>
        <row r="420">
          <cell r="A420">
            <v>2959</v>
          </cell>
          <cell r="B420" t="str">
            <v>HEERING CHERRY LIQUEUR 700ML</v>
          </cell>
          <cell r="C420" t="str">
            <v>Pcs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2500</v>
          </cell>
        </row>
        <row r="421">
          <cell r="A421">
            <v>2960</v>
          </cell>
          <cell r="B421" t="str">
            <v>ICE TROPEZ 275ML</v>
          </cell>
          <cell r="C421" t="str">
            <v>Pcs</v>
          </cell>
          <cell r="D421">
            <v>12</v>
          </cell>
          <cell r="E421">
            <v>0</v>
          </cell>
          <cell r="F421">
            <v>0</v>
          </cell>
          <cell r="G421">
            <v>12</v>
          </cell>
          <cell r="H421">
            <v>400</v>
          </cell>
        </row>
        <row r="422">
          <cell r="A422">
            <v>2824</v>
          </cell>
          <cell r="B422" t="str">
            <v>JAGERMEISTER 1.75L</v>
          </cell>
          <cell r="C422" t="str">
            <v>Pcs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4500</v>
          </cell>
        </row>
        <row r="423">
          <cell r="A423">
            <v>1046</v>
          </cell>
          <cell r="B423" t="str">
            <v>JAGERMEISTER 1LTR</v>
          </cell>
          <cell r="C423" t="str">
            <v>Pcs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2700</v>
          </cell>
        </row>
        <row r="424">
          <cell r="A424">
            <v>1047</v>
          </cell>
          <cell r="B424" t="str">
            <v>JAGERMEISTER 350ML</v>
          </cell>
          <cell r="C424" t="str">
            <v>Pcs</v>
          </cell>
          <cell r="D424">
            <v>186</v>
          </cell>
          <cell r="E424">
            <v>0</v>
          </cell>
          <cell r="F424">
            <v>78</v>
          </cell>
          <cell r="G424">
            <v>108</v>
          </cell>
          <cell r="H424">
            <v>1400</v>
          </cell>
        </row>
        <row r="425">
          <cell r="A425">
            <v>2937</v>
          </cell>
          <cell r="B425" t="str">
            <v>JAGERMEISTER 3L</v>
          </cell>
          <cell r="C425" t="str">
            <v>Pcs</v>
          </cell>
          <cell r="D425">
            <v>2</v>
          </cell>
          <cell r="E425">
            <v>0</v>
          </cell>
          <cell r="F425">
            <v>0</v>
          </cell>
          <cell r="G425">
            <v>2</v>
          </cell>
          <cell r="H425">
            <v>8500</v>
          </cell>
        </row>
        <row r="426">
          <cell r="A426">
            <v>1048</v>
          </cell>
          <cell r="B426" t="str">
            <v>JAGERMEISTER 750ML</v>
          </cell>
          <cell r="C426" t="str">
            <v>Pcs</v>
          </cell>
          <cell r="D426">
            <v>386</v>
          </cell>
          <cell r="E426">
            <v>0</v>
          </cell>
          <cell r="F426">
            <v>0</v>
          </cell>
          <cell r="G426">
            <v>386</v>
          </cell>
          <cell r="H426">
            <v>2200</v>
          </cell>
        </row>
        <row r="427">
          <cell r="A427">
            <v>2398</v>
          </cell>
          <cell r="B427" t="str">
            <v>JAGERMEISTER COLD BREW 1LTR</v>
          </cell>
          <cell r="C427" t="str">
            <v>Pcs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3400</v>
          </cell>
        </row>
        <row r="428">
          <cell r="A428">
            <v>2939</v>
          </cell>
          <cell r="B428" t="str">
            <v>JAGERMEISTER ORANGE 1L</v>
          </cell>
          <cell r="C428" t="str">
            <v>Pcs</v>
          </cell>
          <cell r="D428">
            <v>0</v>
          </cell>
          <cell r="E428">
            <v>2</v>
          </cell>
          <cell r="F428">
            <v>2</v>
          </cell>
          <cell r="G428">
            <v>0</v>
          </cell>
          <cell r="H428">
            <v>3100</v>
          </cell>
        </row>
        <row r="429">
          <cell r="A429">
            <v>2938</v>
          </cell>
          <cell r="B429" t="str">
            <v>JAGERMEISTER ORANGE 700ML</v>
          </cell>
          <cell r="C429" t="str">
            <v>Pcs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2500</v>
          </cell>
        </row>
        <row r="430">
          <cell r="A430">
            <v>1050</v>
          </cell>
          <cell r="B430" t="str">
            <v>JAGERMEISTER WITH CORK  1LTR </v>
          </cell>
          <cell r="C430" t="str">
            <v>Pcs</v>
          </cell>
          <cell r="D430">
            <v>1805</v>
          </cell>
          <cell r="E430">
            <v>0</v>
          </cell>
          <cell r="F430">
            <v>398</v>
          </cell>
          <cell r="G430">
            <v>1407</v>
          </cell>
          <cell r="H430">
            <v>2700</v>
          </cell>
        </row>
        <row r="431">
          <cell r="A431">
            <v>1051</v>
          </cell>
          <cell r="B431" t="str">
            <v>JAGERMEISTER WITH CORK  750ML </v>
          </cell>
          <cell r="C431" t="str">
            <v>Pcs</v>
          </cell>
          <cell r="D431">
            <v>5</v>
          </cell>
          <cell r="E431">
            <v>30</v>
          </cell>
          <cell r="F431">
            <v>35</v>
          </cell>
          <cell r="G431">
            <v>0</v>
          </cell>
          <cell r="H431">
            <v>2200</v>
          </cell>
        </row>
        <row r="432">
          <cell r="A432">
            <v>1167</v>
          </cell>
          <cell r="B432" t="str">
            <v>KAHLUA  1LTR</v>
          </cell>
          <cell r="C432" t="str">
            <v>Pcs</v>
          </cell>
          <cell r="D432">
            <v>722</v>
          </cell>
          <cell r="E432">
            <v>0</v>
          </cell>
          <cell r="F432">
            <v>36</v>
          </cell>
          <cell r="G432">
            <v>686</v>
          </cell>
          <cell r="H432">
            <v>2300</v>
          </cell>
        </row>
        <row r="433">
          <cell r="A433">
            <v>1168</v>
          </cell>
          <cell r="B433" t="str">
            <v>KAHLUA 700ML</v>
          </cell>
          <cell r="C433" t="str">
            <v>Pcs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2100</v>
          </cell>
        </row>
        <row r="434">
          <cell r="A434">
            <v>1169</v>
          </cell>
          <cell r="B434" t="str">
            <v>KAHLUA COFFEE LIQUEUR 750ML</v>
          </cell>
          <cell r="C434" t="str">
            <v>Pcs</v>
          </cell>
          <cell r="D434">
            <v>627</v>
          </cell>
          <cell r="E434">
            <v>0</v>
          </cell>
          <cell r="F434">
            <v>0</v>
          </cell>
          <cell r="G434">
            <v>627</v>
          </cell>
          <cell r="H434">
            <v>2100</v>
          </cell>
        </row>
        <row r="435">
          <cell r="A435">
            <v>2619</v>
          </cell>
          <cell r="B435" t="str">
            <v>ORIJIN BITTERS 250ML</v>
          </cell>
          <cell r="C435" t="str">
            <v>Pcs</v>
          </cell>
          <cell r="D435">
            <v>480</v>
          </cell>
          <cell r="E435">
            <v>40</v>
          </cell>
          <cell r="F435">
            <v>80</v>
          </cell>
          <cell r="G435">
            <v>440</v>
          </cell>
          <cell r="H435">
            <v>248</v>
          </cell>
        </row>
        <row r="436">
          <cell r="A436">
            <v>2855</v>
          </cell>
          <cell r="B436" t="str">
            <v>ORIJIN BITTERS 750ml</v>
          </cell>
          <cell r="C436" t="str">
            <v>Pcs</v>
          </cell>
          <cell r="D436">
            <v>108</v>
          </cell>
          <cell r="E436">
            <v>0</v>
          </cell>
          <cell r="F436">
            <v>36</v>
          </cell>
          <cell r="G436">
            <v>72</v>
          </cell>
          <cell r="H436">
            <v>620</v>
          </cell>
        </row>
        <row r="437">
          <cell r="A437">
            <v>1616</v>
          </cell>
          <cell r="B437" t="str">
            <v>PERNOD 1LTR</v>
          </cell>
          <cell r="C437" t="str">
            <v>Pcs</v>
          </cell>
          <cell r="D437">
            <v>48</v>
          </cell>
          <cell r="E437">
            <v>0</v>
          </cell>
          <cell r="F437">
            <v>0</v>
          </cell>
          <cell r="G437">
            <v>48</v>
          </cell>
          <cell r="H437">
            <v>2500</v>
          </cell>
        </row>
        <row r="438">
          <cell r="A438">
            <v>1617</v>
          </cell>
          <cell r="B438" t="str">
            <v>PERNOD LIQUEUR 700ML</v>
          </cell>
          <cell r="C438" t="str">
            <v>Pcs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2000</v>
          </cell>
        </row>
        <row r="439">
          <cell r="A439">
            <v>1627</v>
          </cell>
          <cell r="B439" t="str">
            <v>PIMMS LIQUEUR 1LTR</v>
          </cell>
          <cell r="C439" t="str">
            <v>Pcs</v>
          </cell>
          <cell r="D439">
            <v>5</v>
          </cell>
          <cell r="E439">
            <v>0</v>
          </cell>
          <cell r="F439">
            <v>0</v>
          </cell>
          <cell r="G439">
            <v>5</v>
          </cell>
          <cell r="H439">
            <v>2300</v>
          </cell>
        </row>
        <row r="440">
          <cell r="A440">
            <v>1628</v>
          </cell>
          <cell r="B440" t="str">
            <v>PIMMS NO. 1 750ML</v>
          </cell>
          <cell r="C440" t="str">
            <v>Pcs</v>
          </cell>
          <cell r="D440">
            <v>108</v>
          </cell>
          <cell r="E440">
            <v>0</v>
          </cell>
          <cell r="F440">
            <v>0</v>
          </cell>
          <cell r="G440">
            <v>108</v>
          </cell>
          <cell r="H440">
            <v>1600</v>
          </cell>
        </row>
        <row r="441">
          <cell r="A441">
            <v>2964</v>
          </cell>
          <cell r="B441" t="str">
            <v>SALMARI PREMIUM LIQOUR 3L</v>
          </cell>
          <cell r="C441" t="str">
            <v>Pcs</v>
          </cell>
          <cell r="D441">
            <v>2</v>
          </cell>
          <cell r="E441">
            <v>0</v>
          </cell>
          <cell r="F441">
            <v>0</v>
          </cell>
          <cell r="G441">
            <v>2</v>
          </cell>
          <cell r="H441">
            <v>11500</v>
          </cell>
        </row>
        <row r="442">
          <cell r="A442">
            <v>1781</v>
          </cell>
          <cell r="B442" t="str">
            <v>SHERIDAN'S LIQUEUR 1LTR</v>
          </cell>
          <cell r="C442" t="str">
            <v>Pcs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4200</v>
          </cell>
        </row>
        <row r="443">
          <cell r="A443">
            <v>1782</v>
          </cell>
          <cell r="B443" t="str">
            <v>SHERIDANS LIQUEUR 750ML</v>
          </cell>
          <cell r="C443" t="str">
            <v>Pcs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3500</v>
          </cell>
        </row>
        <row r="444">
          <cell r="A444">
            <v>1897</v>
          </cell>
          <cell r="B444" t="str">
            <v>STRAWBERRY LIPS LIQUEUR 750ML</v>
          </cell>
          <cell r="C444" t="str">
            <v>Pcs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2000</v>
          </cell>
        </row>
        <row r="445">
          <cell r="A445">
            <v>1931</v>
          </cell>
          <cell r="B445" t="str">
            <v>TANG SOUR  - APPLE 750ML</v>
          </cell>
          <cell r="C445" t="str">
            <v>Pcs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1500</v>
          </cell>
        </row>
        <row r="446">
          <cell r="A446">
            <v>1932</v>
          </cell>
          <cell r="B446" t="str">
            <v>TANG SOUR CHERRY 750ML</v>
          </cell>
          <cell r="C446" t="str">
            <v>Pcs</v>
          </cell>
          <cell r="D446">
            <v>24</v>
          </cell>
          <cell r="E446">
            <v>0</v>
          </cell>
          <cell r="F446">
            <v>0</v>
          </cell>
          <cell r="G446">
            <v>24</v>
          </cell>
          <cell r="H446">
            <v>2300</v>
          </cell>
        </row>
        <row r="447">
          <cell r="A447">
            <v>1990</v>
          </cell>
          <cell r="B447" t="str">
            <v>TIA MARIA COFFEE LIQUOR 1LT</v>
          </cell>
          <cell r="C447" t="str">
            <v>Pcs</v>
          </cell>
          <cell r="D447">
            <v>12</v>
          </cell>
          <cell r="E447">
            <v>0</v>
          </cell>
          <cell r="F447">
            <v>2</v>
          </cell>
          <cell r="G447">
            <v>10</v>
          </cell>
          <cell r="H447">
            <v>3000</v>
          </cell>
        </row>
        <row r="448">
          <cell r="A448">
            <v>1991</v>
          </cell>
          <cell r="B448" t="str">
            <v>TIA MARIA DARK LIQOUR 1LT</v>
          </cell>
          <cell r="C448" t="str">
            <v>Pcs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3000</v>
          </cell>
        </row>
        <row r="449">
          <cell r="A449">
            <v>2854</v>
          </cell>
          <cell r="B449" t="str">
            <v>TORRERO 700ML</v>
          </cell>
          <cell r="C449" t="str">
            <v>Pcs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710</v>
          </cell>
        </row>
        <row r="450">
          <cell r="A450">
            <v>2953</v>
          </cell>
          <cell r="B450" t="str">
            <v>UNDERBERG NATURAL HERBAL BITTER 20ML</v>
          </cell>
          <cell r="C450" t="str">
            <v>Pcs</v>
          </cell>
          <cell r="D450">
            <v>2020</v>
          </cell>
          <cell r="E450">
            <v>0</v>
          </cell>
          <cell r="F450">
            <v>0</v>
          </cell>
          <cell r="G450">
            <v>2020</v>
          </cell>
          <cell r="H450">
            <v>180</v>
          </cell>
        </row>
        <row r="451">
          <cell r="A451">
            <v>2049</v>
          </cell>
          <cell r="B451" t="str">
            <v>VELVET CREAM LIQUEUR 750ml</v>
          </cell>
          <cell r="C451" t="str">
            <v>Pcs</v>
          </cell>
          <cell r="D451">
            <v>1</v>
          </cell>
          <cell r="E451">
            <v>0</v>
          </cell>
          <cell r="F451">
            <v>0</v>
          </cell>
          <cell r="G451">
            <v>1</v>
          </cell>
          <cell r="H451">
            <v>800</v>
          </cell>
        </row>
        <row r="452">
          <cell r="A452">
            <v>2145</v>
          </cell>
          <cell r="B452" t="str">
            <v>ZAPPA - BLACK 750ML</v>
          </cell>
          <cell r="C452" t="str">
            <v>Pcs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1450</v>
          </cell>
        </row>
        <row r="453">
          <cell r="A453">
            <v>2146</v>
          </cell>
          <cell r="B453" t="str">
            <v>ZAPPA - BLUE 750ML</v>
          </cell>
          <cell r="C453" t="str">
            <v>Pcs</v>
          </cell>
          <cell r="D453">
            <v>50</v>
          </cell>
          <cell r="E453">
            <v>0</v>
          </cell>
          <cell r="F453">
            <v>12</v>
          </cell>
          <cell r="G453">
            <v>38</v>
          </cell>
          <cell r="H453">
            <v>1450</v>
          </cell>
        </row>
        <row r="454">
          <cell r="A454">
            <v>2147</v>
          </cell>
          <cell r="B454" t="str">
            <v>ZAPPA - CLEAR 750ML</v>
          </cell>
          <cell r="C454" t="str">
            <v>Pcs</v>
          </cell>
          <cell r="D454">
            <v>226</v>
          </cell>
          <cell r="E454">
            <v>0</v>
          </cell>
          <cell r="F454">
            <v>0</v>
          </cell>
          <cell r="G454">
            <v>226</v>
          </cell>
          <cell r="H454">
            <v>1450</v>
          </cell>
        </row>
        <row r="455">
          <cell r="A455">
            <v>2148</v>
          </cell>
          <cell r="B455" t="str">
            <v>ZAPPA - GREEN 750ML</v>
          </cell>
          <cell r="C455" t="str">
            <v>Pcs</v>
          </cell>
          <cell r="D455">
            <v>78</v>
          </cell>
          <cell r="E455">
            <v>0</v>
          </cell>
          <cell r="F455">
            <v>0</v>
          </cell>
          <cell r="G455">
            <v>78</v>
          </cell>
          <cell r="H455">
            <v>1450</v>
          </cell>
        </row>
        <row r="456">
          <cell r="A456">
            <v>2149</v>
          </cell>
          <cell r="B456" t="str">
            <v>ZAPPA - RED 750ML</v>
          </cell>
          <cell r="C456" t="str">
            <v>Pcs</v>
          </cell>
          <cell r="D456">
            <v>1</v>
          </cell>
          <cell r="E456">
            <v>0</v>
          </cell>
          <cell r="F456">
            <v>1</v>
          </cell>
          <cell r="G456">
            <v>0</v>
          </cell>
          <cell r="H456">
            <v>1450</v>
          </cell>
        </row>
        <row r="457">
          <cell r="A457">
            <v>494</v>
          </cell>
          <cell r="B457" t="str">
            <v>CLASE AZUL MEZCAL DURANGO 750ml</v>
          </cell>
          <cell r="C457" t="str">
            <v>Pcs</v>
          </cell>
          <cell r="D457">
            <v>1</v>
          </cell>
          <cell r="E457">
            <v>0</v>
          </cell>
          <cell r="F457">
            <v>0</v>
          </cell>
          <cell r="G457">
            <v>1</v>
          </cell>
          <cell r="H457">
            <v>60000</v>
          </cell>
        </row>
        <row r="458">
          <cell r="A458">
            <v>709</v>
          </cell>
          <cell r="B458" t="str">
            <v>FITCH &amp; LEEDES GINGER ALE CAN 200ML</v>
          </cell>
          <cell r="C458" t="str">
            <v>Pcs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120</v>
          </cell>
        </row>
        <row r="459">
          <cell r="A459">
            <v>711</v>
          </cell>
          <cell r="B459" t="str">
            <v>FITCH &amp; LEEDES INDIAN TONIC CAN 200ML</v>
          </cell>
          <cell r="C459" t="str">
            <v>Pcs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120</v>
          </cell>
        </row>
        <row r="460">
          <cell r="A460">
            <v>712</v>
          </cell>
          <cell r="B460" t="str">
            <v>FITCH &amp; LEEDES INDIAN TONIC SUGAR FREE CAN 200ML</v>
          </cell>
          <cell r="C460" t="str">
            <v>Pcs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120</v>
          </cell>
        </row>
        <row r="461">
          <cell r="A461">
            <v>713</v>
          </cell>
          <cell r="B461" t="str">
            <v>FITCH &amp; LEEDES LEMONADE CAN 200ML</v>
          </cell>
          <cell r="C461" t="str">
            <v>Pcs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120</v>
          </cell>
        </row>
        <row r="462">
          <cell r="A462">
            <v>718</v>
          </cell>
          <cell r="B462" t="str">
            <v>FITCH &amp; LEEDES PINK TONIC CAN 200ML</v>
          </cell>
          <cell r="C462" t="str">
            <v>Pcs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120</v>
          </cell>
        </row>
        <row r="463">
          <cell r="A463">
            <v>719</v>
          </cell>
          <cell r="B463" t="str">
            <v>FITCH &amp; LEEDES PINK TONIC SUGAR FREE CAN 200ML</v>
          </cell>
          <cell r="C463" t="str">
            <v>Pcs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120</v>
          </cell>
        </row>
        <row r="464">
          <cell r="A464">
            <v>2831</v>
          </cell>
          <cell r="B464" t="str">
            <v>KO MUKHOMBERO 10% GIN COCTAIL 330ML CAN</v>
          </cell>
          <cell r="C464" t="str">
            <v>Pcs</v>
          </cell>
          <cell r="D464">
            <v>144</v>
          </cell>
          <cell r="E464">
            <v>0</v>
          </cell>
          <cell r="F464">
            <v>24</v>
          </cell>
          <cell r="G464">
            <v>120</v>
          </cell>
          <cell r="H464">
            <v>275</v>
          </cell>
        </row>
        <row r="465">
          <cell r="A465">
            <v>995</v>
          </cell>
          <cell r="B465" t="str">
            <v> BOTTLES DEPOSIT</v>
          </cell>
          <cell r="C465" t="str">
            <v>Pcs</v>
          </cell>
          <cell r="D465">
            <v>1681</v>
          </cell>
          <cell r="E465">
            <v>0</v>
          </cell>
          <cell r="F465">
            <v>0</v>
          </cell>
          <cell r="G465">
            <v>1681</v>
          </cell>
          <cell r="H465">
            <v>18</v>
          </cell>
        </row>
        <row r="466">
          <cell r="A466">
            <v>996</v>
          </cell>
          <cell r="B466" t="str">
            <v> CRATES DEPOSIT</v>
          </cell>
          <cell r="C466" t="str">
            <v>Pcs</v>
          </cell>
          <cell r="D466">
            <v>96</v>
          </cell>
          <cell r="E466">
            <v>0</v>
          </cell>
          <cell r="F466">
            <v>0</v>
          </cell>
          <cell r="G466">
            <v>96</v>
          </cell>
          <cell r="H466">
            <v>150</v>
          </cell>
        </row>
        <row r="467">
          <cell r="A467">
            <v>2910</v>
          </cell>
          <cell r="B467" t="str">
            <v>SPORTMAN KING SIZE</v>
          </cell>
          <cell r="C467" t="str">
            <v>Pcs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400</v>
          </cell>
        </row>
        <row r="468">
          <cell r="A468">
            <v>2908</v>
          </cell>
          <cell r="B468" t="str">
            <v>VELO 5 DOT</v>
          </cell>
          <cell r="C468" t="str">
            <v>Pcs</v>
          </cell>
          <cell r="D468">
            <v>0</v>
          </cell>
          <cell r="E468">
            <v>70</v>
          </cell>
          <cell r="F468">
            <v>70</v>
          </cell>
          <cell r="G468">
            <v>0</v>
          </cell>
          <cell r="H468">
            <v>500</v>
          </cell>
        </row>
        <row r="469">
          <cell r="A469">
            <v>2820</v>
          </cell>
          <cell r="B469" t="str">
            <v>APPLETON ESTATE 12 YEARS LITRE</v>
          </cell>
          <cell r="C469" t="str">
            <v>Pcs</v>
          </cell>
          <cell r="D469">
            <v>126</v>
          </cell>
          <cell r="E469">
            <v>0</v>
          </cell>
          <cell r="F469">
            <v>0</v>
          </cell>
          <cell r="G469">
            <v>126</v>
          </cell>
          <cell r="H469">
            <v>4500</v>
          </cell>
        </row>
        <row r="470">
          <cell r="A470">
            <v>136</v>
          </cell>
          <cell r="B470" t="str">
            <v>BACARDI BLACK 1LTR</v>
          </cell>
          <cell r="C470" t="str">
            <v>Pcs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2200</v>
          </cell>
        </row>
        <row r="471">
          <cell r="A471">
            <v>137</v>
          </cell>
          <cell r="B471" t="str">
            <v>BACARDI BLACK 750ML</v>
          </cell>
          <cell r="C471" t="str">
            <v>Pcs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2000</v>
          </cell>
        </row>
        <row r="472">
          <cell r="A472">
            <v>138</v>
          </cell>
          <cell r="B472" t="str">
            <v>BACARDI CARTA BLANCA 700 ML</v>
          </cell>
          <cell r="C472" t="str">
            <v>Pcs</v>
          </cell>
          <cell r="D472">
            <v>159</v>
          </cell>
          <cell r="E472">
            <v>0</v>
          </cell>
          <cell r="F472">
            <v>159</v>
          </cell>
          <cell r="G472">
            <v>0</v>
          </cell>
          <cell r="H472">
            <v>1700</v>
          </cell>
        </row>
        <row r="473">
          <cell r="A473">
            <v>139</v>
          </cell>
          <cell r="B473" t="str">
            <v>BACARDI CARTA BLANCA WHITE 1LTR</v>
          </cell>
          <cell r="C473" t="str">
            <v>Pcs</v>
          </cell>
          <cell r="D473">
            <v>1594</v>
          </cell>
          <cell r="E473">
            <v>12</v>
          </cell>
          <cell r="F473">
            <v>16</v>
          </cell>
          <cell r="G473">
            <v>1590</v>
          </cell>
          <cell r="H473">
            <v>2100</v>
          </cell>
        </row>
        <row r="474">
          <cell r="A474">
            <v>140</v>
          </cell>
          <cell r="B474" t="str">
            <v>BACARDI CARTA NEGRA 1ltr</v>
          </cell>
          <cell r="C474" t="str">
            <v>Pcs</v>
          </cell>
          <cell r="D474">
            <v>108</v>
          </cell>
          <cell r="E474">
            <v>0</v>
          </cell>
          <cell r="F474">
            <v>0</v>
          </cell>
          <cell r="G474">
            <v>108</v>
          </cell>
          <cell r="H474">
            <v>2500</v>
          </cell>
        </row>
        <row r="475">
          <cell r="A475">
            <v>141</v>
          </cell>
          <cell r="B475" t="str">
            <v>BACARDI CARTA NEGRA 750ML</v>
          </cell>
          <cell r="C475" t="str">
            <v>Pcs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2000</v>
          </cell>
        </row>
        <row r="476">
          <cell r="A476">
            <v>142</v>
          </cell>
          <cell r="B476" t="str">
            <v>BACARDI CARTA ORO GOLD 1LTR</v>
          </cell>
          <cell r="C476" t="str">
            <v>Pcs</v>
          </cell>
          <cell r="D476">
            <v>73</v>
          </cell>
          <cell r="E476">
            <v>0</v>
          </cell>
          <cell r="F476">
            <v>12</v>
          </cell>
          <cell r="G476">
            <v>61</v>
          </cell>
          <cell r="H476">
            <v>2200</v>
          </cell>
        </row>
        <row r="477">
          <cell r="A477">
            <v>143</v>
          </cell>
          <cell r="B477" t="str">
            <v>BACARDI CARTA ORO GOLD 750ML</v>
          </cell>
          <cell r="C477" t="str">
            <v>Pcs</v>
          </cell>
          <cell r="D477">
            <v>60</v>
          </cell>
          <cell r="E477">
            <v>0</v>
          </cell>
          <cell r="F477">
            <v>18</v>
          </cell>
          <cell r="G477">
            <v>42</v>
          </cell>
          <cell r="H477">
            <v>2000</v>
          </cell>
        </row>
        <row r="478">
          <cell r="A478">
            <v>2975</v>
          </cell>
          <cell r="B478" t="str">
            <v>BACARDI LIMON 750ML</v>
          </cell>
          <cell r="C478" t="str">
            <v>Pcs</v>
          </cell>
          <cell r="D478">
            <v>42</v>
          </cell>
          <cell r="E478">
            <v>0</v>
          </cell>
          <cell r="F478">
            <v>18</v>
          </cell>
          <cell r="G478">
            <v>24</v>
          </cell>
          <cell r="H478">
            <v>1800</v>
          </cell>
        </row>
        <row r="479">
          <cell r="A479">
            <v>144</v>
          </cell>
          <cell r="B479" t="str">
            <v>BACARDI RAZZ 1LTR</v>
          </cell>
          <cell r="C479" t="str">
            <v>Pcs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2200</v>
          </cell>
        </row>
        <row r="480">
          <cell r="A480">
            <v>145</v>
          </cell>
          <cell r="B480" t="str">
            <v>BACARDI RUM SPICED 700ML</v>
          </cell>
          <cell r="C480" t="str">
            <v>Pcs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2000</v>
          </cell>
        </row>
        <row r="481">
          <cell r="A481">
            <v>146</v>
          </cell>
          <cell r="B481" t="str">
            <v>BACARDI SUPERIOR  350ML</v>
          </cell>
          <cell r="C481" t="str">
            <v>Pcs</v>
          </cell>
          <cell r="D481">
            <v>8</v>
          </cell>
          <cell r="E481">
            <v>0</v>
          </cell>
          <cell r="F481">
            <v>0</v>
          </cell>
          <cell r="G481">
            <v>8</v>
          </cell>
          <cell r="H481">
            <v>700</v>
          </cell>
        </row>
        <row r="482">
          <cell r="A482">
            <v>2240</v>
          </cell>
          <cell r="B482" t="str">
            <v>BARCADI OAKHEART 700ML</v>
          </cell>
          <cell r="C482" t="str">
            <v>Pcs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2000</v>
          </cell>
        </row>
        <row r="483">
          <cell r="A483">
            <v>172</v>
          </cell>
          <cell r="B483" t="str">
            <v>BARCARDI OAKHEART RUM 1LTR</v>
          </cell>
          <cell r="C483" t="str">
            <v>Pcs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2000</v>
          </cell>
        </row>
        <row r="484">
          <cell r="A484">
            <v>306</v>
          </cell>
          <cell r="B484" t="str">
            <v>BUMBU RUM 700ML</v>
          </cell>
          <cell r="C484" t="str">
            <v>Pcs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4700</v>
          </cell>
        </row>
        <row r="485">
          <cell r="A485">
            <v>2380</v>
          </cell>
          <cell r="B485" t="str">
            <v>BUMBU XO 700ML</v>
          </cell>
          <cell r="C485" t="str">
            <v>Pcs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5700</v>
          </cell>
        </row>
        <row r="486">
          <cell r="A486">
            <v>377</v>
          </cell>
          <cell r="B486" t="str">
            <v>CAPTAIN MORGAN BLACK SPICED 1LTR</v>
          </cell>
          <cell r="C486" t="str">
            <v>Pcs</v>
          </cell>
          <cell r="D486">
            <v>174</v>
          </cell>
          <cell r="E486">
            <v>0</v>
          </cell>
          <cell r="F486">
            <v>0</v>
          </cell>
          <cell r="G486">
            <v>174</v>
          </cell>
          <cell r="H486">
            <v>1900</v>
          </cell>
        </row>
        <row r="487">
          <cell r="A487">
            <v>376</v>
          </cell>
          <cell r="B487" t="str">
            <v>CAPTAIN MORGAN DARK 1LTR</v>
          </cell>
          <cell r="C487" t="str">
            <v>Pcs</v>
          </cell>
          <cell r="D487">
            <v>453</v>
          </cell>
          <cell r="E487">
            <v>0</v>
          </cell>
          <cell r="F487">
            <v>0</v>
          </cell>
          <cell r="G487">
            <v>453</v>
          </cell>
          <cell r="H487">
            <v>1900</v>
          </cell>
        </row>
        <row r="488">
          <cell r="A488">
            <v>373</v>
          </cell>
          <cell r="B488" t="str">
            <v>CAPTAIN MORGAN DARK 750ML</v>
          </cell>
          <cell r="C488" t="str">
            <v>Pcs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1700</v>
          </cell>
        </row>
        <row r="489">
          <cell r="A489">
            <v>2418</v>
          </cell>
          <cell r="B489" t="str">
            <v>CAPTAIN MORGAN GOLD 250ML</v>
          </cell>
          <cell r="C489" t="str">
            <v>Pcs</v>
          </cell>
          <cell r="D489">
            <v>1320</v>
          </cell>
          <cell r="E489">
            <v>1600</v>
          </cell>
          <cell r="F489">
            <v>1290</v>
          </cell>
          <cell r="G489">
            <v>1630</v>
          </cell>
          <cell r="H489">
            <v>336</v>
          </cell>
        </row>
        <row r="490">
          <cell r="A490">
            <v>2417</v>
          </cell>
          <cell r="B490" t="str">
            <v>CAPTAIN MORGAN GOLD 750ML</v>
          </cell>
          <cell r="C490" t="str">
            <v>Pcs</v>
          </cell>
          <cell r="D490">
            <v>96</v>
          </cell>
          <cell r="E490">
            <v>1080</v>
          </cell>
          <cell r="F490">
            <v>1056</v>
          </cell>
          <cell r="G490">
            <v>120</v>
          </cell>
          <cell r="H490">
            <v>960</v>
          </cell>
        </row>
        <row r="491">
          <cell r="A491">
            <v>2652</v>
          </cell>
          <cell r="B491" t="str">
            <v>CAPTAIN MORGAN MUCK PIT 250ML</v>
          </cell>
          <cell r="C491" t="str">
            <v>Pcs</v>
          </cell>
          <cell r="D491">
            <v>160</v>
          </cell>
          <cell r="E491">
            <v>0</v>
          </cell>
          <cell r="F491">
            <v>40</v>
          </cell>
          <cell r="G491">
            <v>120</v>
          </cell>
          <cell r="H491">
            <v>400</v>
          </cell>
        </row>
        <row r="492">
          <cell r="A492">
            <v>2651</v>
          </cell>
          <cell r="B492" t="str">
            <v>CAPTAIN MORGAN MUCK PIT 750ML</v>
          </cell>
          <cell r="C492" t="str">
            <v>Pcs</v>
          </cell>
          <cell r="D492">
            <v>48</v>
          </cell>
          <cell r="E492">
            <v>120</v>
          </cell>
          <cell r="F492">
            <v>24</v>
          </cell>
          <cell r="G492">
            <v>144</v>
          </cell>
          <cell r="H492">
            <v>1100</v>
          </cell>
        </row>
        <row r="493">
          <cell r="A493">
            <v>375</v>
          </cell>
          <cell r="B493" t="str">
            <v>CAPTAIN MORGAN SPICED 1LTR</v>
          </cell>
          <cell r="C493" t="str">
            <v>Pcs</v>
          </cell>
          <cell r="D493">
            <v>1138</v>
          </cell>
          <cell r="E493">
            <v>0</v>
          </cell>
          <cell r="F493">
            <v>34</v>
          </cell>
          <cell r="G493">
            <v>1104</v>
          </cell>
          <cell r="H493">
            <v>1900</v>
          </cell>
        </row>
        <row r="494">
          <cell r="A494">
            <v>374</v>
          </cell>
          <cell r="B494" t="str">
            <v>CAPTAIN MORGAN SPICED GOLD 750ML</v>
          </cell>
          <cell r="C494" t="str">
            <v>Pcs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1700</v>
          </cell>
        </row>
        <row r="495">
          <cell r="A495">
            <v>2961</v>
          </cell>
          <cell r="B495" t="str">
            <v>CAPTAIN MORGAN TIKI MANGO &amp; PINEAPPLE 700ML</v>
          </cell>
          <cell r="C495" t="str">
            <v>Pcs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1800</v>
          </cell>
        </row>
        <row r="496">
          <cell r="A496">
            <v>380</v>
          </cell>
          <cell r="B496" t="str">
            <v>CAPTAIN MORGAN WHITE RUM 1LTR</v>
          </cell>
          <cell r="C496" t="str">
            <v>Pcs</v>
          </cell>
          <cell r="D496">
            <v>12</v>
          </cell>
          <cell r="E496">
            <v>0</v>
          </cell>
          <cell r="F496">
            <v>0</v>
          </cell>
          <cell r="G496">
            <v>12</v>
          </cell>
          <cell r="H496">
            <v>1900</v>
          </cell>
        </row>
        <row r="497">
          <cell r="A497">
            <v>2813</v>
          </cell>
          <cell r="B497" t="str">
            <v>DON PAPA SINGLE ISLAND RUM 700ML</v>
          </cell>
          <cell r="C497" t="str">
            <v>Pcs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5000</v>
          </cell>
        </row>
        <row r="498">
          <cell r="A498">
            <v>2475</v>
          </cell>
          <cell r="B498" t="str">
            <v>HAVANA CLUB RHUM ANEJO 3YRS LITRE</v>
          </cell>
          <cell r="C498" t="str">
            <v>Pcs</v>
          </cell>
          <cell r="D498">
            <v>6</v>
          </cell>
          <cell r="E498">
            <v>0</v>
          </cell>
          <cell r="F498">
            <v>0</v>
          </cell>
          <cell r="G498">
            <v>6</v>
          </cell>
          <cell r="H498">
            <v>1930</v>
          </cell>
        </row>
        <row r="499">
          <cell r="A499">
            <v>2476</v>
          </cell>
          <cell r="B499" t="str">
            <v>HAVANA CLUB RHUM ESPECIA LITRE</v>
          </cell>
          <cell r="C499" t="str">
            <v>Pcs</v>
          </cell>
          <cell r="D499">
            <v>6</v>
          </cell>
          <cell r="E499">
            <v>0</v>
          </cell>
          <cell r="F499">
            <v>0</v>
          </cell>
          <cell r="G499">
            <v>6</v>
          </cell>
          <cell r="H499">
            <v>2000</v>
          </cell>
        </row>
        <row r="500">
          <cell r="A500">
            <v>1204</v>
          </cell>
          <cell r="B500" t="str">
            <v>KING ROBERT DARK RUM 1LTR</v>
          </cell>
          <cell r="C500" t="str">
            <v>Pcs</v>
          </cell>
          <cell r="D500">
            <v>83</v>
          </cell>
          <cell r="E500">
            <v>0</v>
          </cell>
          <cell r="F500">
            <v>0</v>
          </cell>
          <cell r="G500">
            <v>83</v>
          </cell>
          <cell r="H500">
            <v>1400</v>
          </cell>
        </row>
        <row r="501">
          <cell r="A501">
            <v>1208</v>
          </cell>
          <cell r="B501" t="str">
            <v>KING ROBERT RUM 750ML</v>
          </cell>
          <cell r="C501" t="str">
            <v>Pcs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1000</v>
          </cell>
        </row>
        <row r="502">
          <cell r="A502">
            <v>1377</v>
          </cell>
          <cell r="B502" t="str">
            <v>MALIBU RUM 1LTR</v>
          </cell>
          <cell r="C502" t="str">
            <v>Pcs</v>
          </cell>
          <cell r="D502">
            <v>120</v>
          </cell>
          <cell r="E502">
            <v>4</v>
          </cell>
          <cell r="F502">
            <v>94</v>
          </cell>
          <cell r="G502">
            <v>30</v>
          </cell>
          <cell r="H502">
            <v>2300</v>
          </cell>
        </row>
        <row r="503">
          <cell r="A503">
            <v>1380</v>
          </cell>
          <cell r="B503" t="str">
            <v>MALIBU RUM COCONUT 21% 750ML</v>
          </cell>
          <cell r="C503" t="str">
            <v>Pcs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1650</v>
          </cell>
        </row>
        <row r="504">
          <cell r="A504">
            <v>1493</v>
          </cell>
          <cell r="B504" t="str">
            <v>MYERS RUM 1LT</v>
          </cell>
          <cell r="C504" t="str">
            <v>Pcs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2500</v>
          </cell>
        </row>
        <row r="505">
          <cell r="A505">
            <v>1492</v>
          </cell>
          <cell r="B505" t="str">
            <v>MYER'S RUM 375ML</v>
          </cell>
          <cell r="C505" t="str">
            <v>Pcs</v>
          </cell>
          <cell r="D505">
            <v>72</v>
          </cell>
          <cell r="E505">
            <v>0</v>
          </cell>
          <cell r="F505">
            <v>0</v>
          </cell>
          <cell r="G505">
            <v>72</v>
          </cell>
          <cell r="H505">
            <v>650</v>
          </cell>
        </row>
        <row r="506">
          <cell r="A506">
            <v>1494</v>
          </cell>
          <cell r="B506" t="str">
            <v>MYERS RUM 750ML</v>
          </cell>
          <cell r="C506" t="str">
            <v>Pcs</v>
          </cell>
          <cell r="D506">
            <v>0</v>
          </cell>
          <cell r="E506">
            <v>21</v>
          </cell>
          <cell r="F506">
            <v>12</v>
          </cell>
          <cell r="G506">
            <v>9</v>
          </cell>
          <cell r="H506">
            <v>1850</v>
          </cell>
        </row>
        <row r="507">
          <cell r="A507">
            <v>2322</v>
          </cell>
          <cell r="B507" t="str">
            <v>NEGRITA BARDINET 1LTR</v>
          </cell>
          <cell r="C507" t="str">
            <v>Pcs</v>
          </cell>
          <cell r="D507">
            <v>1</v>
          </cell>
          <cell r="E507">
            <v>0</v>
          </cell>
          <cell r="F507">
            <v>0</v>
          </cell>
          <cell r="G507">
            <v>1</v>
          </cell>
          <cell r="H507">
            <v>1500</v>
          </cell>
        </row>
        <row r="508">
          <cell r="A508">
            <v>2323</v>
          </cell>
          <cell r="B508" t="str">
            <v>NEGRITA BARDINET ORIGINAL CARIBEAN RUM 1LTR</v>
          </cell>
          <cell r="C508" t="str">
            <v>Pcs</v>
          </cell>
          <cell r="D508">
            <v>5</v>
          </cell>
          <cell r="E508">
            <v>0</v>
          </cell>
          <cell r="F508">
            <v>0</v>
          </cell>
          <cell r="G508">
            <v>5</v>
          </cell>
          <cell r="H508">
            <v>1500</v>
          </cell>
        </row>
        <row r="509">
          <cell r="A509">
            <v>2324</v>
          </cell>
          <cell r="B509" t="str">
            <v>NEGRITA BARDINET WHITE 700ML</v>
          </cell>
          <cell r="C509" t="str">
            <v>Pcs</v>
          </cell>
          <cell r="D509">
            <v>12</v>
          </cell>
          <cell r="E509">
            <v>0</v>
          </cell>
          <cell r="F509">
            <v>0</v>
          </cell>
          <cell r="G509">
            <v>12</v>
          </cell>
          <cell r="H509">
            <v>1300</v>
          </cell>
        </row>
        <row r="510">
          <cell r="A510">
            <v>2311</v>
          </cell>
          <cell r="B510" t="str">
            <v>OLD MONK 1LTR</v>
          </cell>
          <cell r="C510" t="str">
            <v>Pcs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1050</v>
          </cell>
        </row>
        <row r="511">
          <cell r="A511">
            <v>1551</v>
          </cell>
          <cell r="B511" t="str">
            <v>OLD MONK 750ML</v>
          </cell>
          <cell r="C511" t="str">
            <v>Pcs</v>
          </cell>
          <cell r="D511">
            <v>104</v>
          </cell>
          <cell r="E511">
            <v>0</v>
          </cell>
          <cell r="F511">
            <v>36</v>
          </cell>
          <cell r="G511">
            <v>68</v>
          </cell>
          <cell r="H511">
            <v>950</v>
          </cell>
        </row>
        <row r="512">
          <cell r="A512">
            <v>1648</v>
          </cell>
          <cell r="B512" t="str">
            <v>RED HEART 750ML</v>
          </cell>
          <cell r="C512" t="str">
            <v>Pcs</v>
          </cell>
          <cell r="D512">
            <v>18</v>
          </cell>
          <cell r="E512">
            <v>0</v>
          </cell>
          <cell r="F512">
            <v>6</v>
          </cell>
          <cell r="G512">
            <v>12</v>
          </cell>
          <cell r="H512">
            <v>1500</v>
          </cell>
        </row>
        <row r="513">
          <cell r="A513">
            <v>1987</v>
          </cell>
          <cell r="B513" t="str">
            <v>THREE MONKEYS RED 750ML</v>
          </cell>
          <cell r="C513" t="str">
            <v>Pcs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1200</v>
          </cell>
        </row>
        <row r="514">
          <cell r="A514">
            <v>2321</v>
          </cell>
          <cell r="B514" t="str">
            <v>WILD TIGER SPICED RESERVE 750ML</v>
          </cell>
          <cell r="C514" t="str">
            <v>Pcs</v>
          </cell>
          <cell r="D514">
            <v>1</v>
          </cell>
          <cell r="E514">
            <v>0</v>
          </cell>
          <cell r="F514">
            <v>0</v>
          </cell>
          <cell r="G514">
            <v>1</v>
          </cell>
          <cell r="H514">
            <v>850</v>
          </cell>
        </row>
        <row r="515">
          <cell r="A515">
            <v>3004</v>
          </cell>
          <cell r="B515" t="str">
            <v>CHARGED ELECTRIC PINEAPPLE ENERGY DRINK 330ML</v>
          </cell>
          <cell r="C515" t="str">
            <v>Pcs</v>
          </cell>
          <cell r="D515">
            <v>0</v>
          </cell>
          <cell r="E515">
            <v>120</v>
          </cell>
          <cell r="F515">
            <v>108</v>
          </cell>
          <cell r="G515">
            <v>12</v>
          </cell>
          <cell r="H515">
            <v>50</v>
          </cell>
        </row>
        <row r="516">
          <cell r="A516">
            <v>3005</v>
          </cell>
          <cell r="B516" t="str">
            <v>CHARGED LEMON BURST ENERGY DRINK 330ML</v>
          </cell>
          <cell r="C516" t="str">
            <v>Pcs</v>
          </cell>
          <cell r="D516">
            <v>0</v>
          </cell>
          <cell r="E516">
            <v>96</v>
          </cell>
          <cell r="F516">
            <v>60</v>
          </cell>
          <cell r="G516">
            <v>36</v>
          </cell>
          <cell r="H516">
            <v>50</v>
          </cell>
        </row>
        <row r="517">
          <cell r="A517">
            <v>506</v>
          </cell>
          <cell r="B517" t="str">
            <v>COKE 1.25LTR</v>
          </cell>
          <cell r="C517" t="str">
            <v>Pcs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150</v>
          </cell>
        </row>
        <row r="518">
          <cell r="A518">
            <v>2836</v>
          </cell>
          <cell r="B518" t="str">
            <v>COKE 1LITRE</v>
          </cell>
          <cell r="C518" t="str">
            <v>Pcs</v>
          </cell>
          <cell r="D518">
            <v>0</v>
          </cell>
          <cell r="E518">
            <v>732</v>
          </cell>
          <cell r="F518">
            <v>648</v>
          </cell>
          <cell r="G518">
            <v>84</v>
          </cell>
          <cell r="H518">
            <v>100</v>
          </cell>
        </row>
        <row r="519">
          <cell r="A519">
            <v>507</v>
          </cell>
          <cell r="B519" t="str">
            <v>COKE 2LTR</v>
          </cell>
          <cell r="C519" t="str">
            <v>Pcs</v>
          </cell>
          <cell r="D519">
            <v>6</v>
          </cell>
          <cell r="E519">
            <v>348</v>
          </cell>
          <cell r="F519">
            <v>312</v>
          </cell>
          <cell r="G519">
            <v>42</v>
          </cell>
          <cell r="H519">
            <v>180</v>
          </cell>
        </row>
        <row r="520">
          <cell r="A520">
            <v>508</v>
          </cell>
          <cell r="B520" t="str">
            <v>COKE 350ML</v>
          </cell>
          <cell r="C520" t="str">
            <v>Pcs</v>
          </cell>
          <cell r="D520">
            <v>216</v>
          </cell>
          <cell r="E520">
            <v>240</v>
          </cell>
          <cell r="F520">
            <v>288</v>
          </cell>
          <cell r="G520">
            <v>168</v>
          </cell>
          <cell r="H520">
            <v>50</v>
          </cell>
        </row>
        <row r="521">
          <cell r="A521">
            <v>509</v>
          </cell>
          <cell r="B521" t="str">
            <v>COKE 500ML</v>
          </cell>
          <cell r="C521" t="str">
            <v>Pcs</v>
          </cell>
          <cell r="D521">
            <v>816</v>
          </cell>
          <cell r="E521">
            <v>480</v>
          </cell>
          <cell r="F521">
            <v>864</v>
          </cell>
          <cell r="G521">
            <v>432</v>
          </cell>
          <cell r="H521">
            <v>80</v>
          </cell>
        </row>
        <row r="522">
          <cell r="A522">
            <v>2493</v>
          </cell>
          <cell r="B522" t="str">
            <v>DAWA DRINK 500ML</v>
          </cell>
          <cell r="C522" t="str">
            <v>Pcs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150</v>
          </cell>
        </row>
        <row r="523">
          <cell r="A523">
            <v>2946</v>
          </cell>
          <cell r="B523" t="str">
            <v>DAWA GINGER DRINK 1L</v>
          </cell>
          <cell r="C523" t="str">
            <v>Pcs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380</v>
          </cell>
        </row>
        <row r="524">
          <cell r="A524">
            <v>586</v>
          </cell>
          <cell r="B524" t="str">
            <v>DELMONTE APPLE 1LTR</v>
          </cell>
          <cell r="C524" t="str">
            <v>Pcs</v>
          </cell>
          <cell r="D524">
            <v>0</v>
          </cell>
          <cell r="E524">
            <v>12</v>
          </cell>
          <cell r="F524">
            <v>12</v>
          </cell>
          <cell r="G524">
            <v>0</v>
          </cell>
          <cell r="H524">
            <v>245</v>
          </cell>
        </row>
        <row r="525">
          <cell r="A525">
            <v>587</v>
          </cell>
          <cell r="B525" t="str">
            <v>DELMONTE MANGO 1LTR</v>
          </cell>
          <cell r="C525" t="str">
            <v>Pcs</v>
          </cell>
          <cell r="D525">
            <v>0</v>
          </cell>
          <cell r="E525">
            <v>12</v>
          </cell>
          <cell r="F525">
            <v>12</v>
          </cell>
          <cell r="G525">
            <v>0</v>
          </cell>
          <cell r="H525">
            <v>245</v>
          </cell>
        </row>
        <row r="526">
          <cell r="A526">
            <v>588</v>
          </cell>
          <cell r="B526" t="str">
            <v>DELMONTE MIXED BERRY 1LTR</v>
          </cell>
          <cell r="C526" t="str">
            <v>Pcs</v>
          </cell>
          <cell r="D526">
            <v>0</v>
          </cell>
          <cell r="E526">
            <v>12</v>
          </cell>
          <cell r="F526">
            <v>12</v>
          </cell>
          <cell r="G526">
            <v>0</v>
          </cell>
          <cell r="H526">
            <v>245</v>
          </cell>
        </row>
        <row r="527">
          <cell r="A527">
            <v>590</v>
          </cell>
          <cell r="B527" t="str">
            <v>DELMONTE PASSION 1LTR</v>
          </cell>
          <cell r="C527" t="str">
            <v>Pcs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245</v>
          </cell>
        </row>
        <row r="528">
          <cell r="A528">
            <v>592</v>
          </cell>
          <cell r="B528" t="str">
            <v>DELMONTE PINEAPPLE 1LTR</v>
          </cell>
          <cell r="C528" t="str">
            <v>Pcs</v>
          </cell>
          <cell r="D528">
            <v>36</v>
          </cell>
          <cell r="E528">
            <v>0</v>
          </cell>
          <cell r="F528">
            <v>35</v>
          </cell>
          <cell r="G528">
            <v>1</v>
          </cell>
          <cell r="H528">
            <v>245</v>
          </cell>
        </row>
        <row r="529">
          <cell r="A529">
            <v>593</v>
          </cell>
          <cell r="B529" t="str">
            <v>DELMONTE PINEAPPLE MANGO 1LTR</v>
          </cell>
          <cell r="C529" t="str">
            <v>Pcs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245</v>
          </cell>
        </row>
        <row r="530">
          <cell r="A530">
            <v>594</v>
          </cell>
          <cell r="B530" t="str">
            <v>DELMONTE TROPICAL 1LTR</v>
          </cell>
          <cell r="C530" t="str">
            <v>Pcs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245</v>
          </cell>
        </row>
        <row r="531">
          <cell r="A531">
            <v>2634</v>
          </cell>
          <cell r="B531" t="str">
            <v>FANTA  BLACKCURRANT 1.25L</v>
          </cell>
          <cell r="C531" t="str">
            <v>Pcs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150</v>
          </cell>
        </row>
        <row r="532">
          <cell r="A532">
            <v>3006</v>
          </cell>
          <cell r="B532" t="str">
            <v>FANTA BLACKCURRANT 1L</v>
          </cell>
          <cell r="C532" t="str">
            <v>Pcs</v>
          </cell>
          <cell r="D532">
            <v>0</v>
          </cell>
          <cell r="E532">
            <v>72</v>
          </cell>
          <cell r="F532">
            <v>72</v>
          </cell>
          <cell r="G532">
            <v>0</v>
          </cell>
          <cell r="H532">
            <v>130</v>
          </cell>
        </row>
        <row r="533">
          <cell r="A533">
            <v>2635</v>
          </cell>
          <cell r="B533" t="str">
            <v>FANTA BLACKCURRANT 2L</v>
          </cell>
          <cell r="C533" t="str">
            <v>Pcs</v>
          </cell>
          <cell r="D533">
            <v>0</v>
          </cell>
          <cell r="E533">
            <v>48</v>
          </cell>
          <cell r="F533">
            <v>48</v>
          </cell>
          <cell r="G533">
            <v>0</v>
          </cell>
          <cell r="H533">
            <v>200</v>
          </cell>
        </row>
        <row r="534">
          <cell r="A534">
            <v>2865</v>
          </cell>
          <cell r="B534" t="str">
            <v>FANTA BLACKCURRANT 350ML</v>
          </cell>
          <cell r="C534" t="str">
            <v>Pcs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50</v>
          </cell>
        </row>
        <row r="535">
          <cell r="A535">
            <v>2636</v>
          </cell>
          <cell r="B535" t="str">
            <v>FANTA BLACKCURRANT 500ML</v>
          </cell>
          <cell r="C535" t="str">
            <v>Pcs</v>
          </cell>
          <cell r="D535">
            <v>0</v>
          </cell>
          <cell r="E535">
            <v>144</v>
          </cell>
          <cell r="F535">
            <v>144</v>
          </cell>
          <cell r="G535">
            <v>0</v>
          </cell>
          <cell r="H535">
            <v>80</v>
          </cell>
        </row>
        <row r="536">
          <cell r="A536">
            <v>679</v>
          </cell>
          <cell r="B536" t="str">
            <v>FANTA ORANGE 1.25L</v>
          </cell>
          <cell r="C536" t="str">
            <v>Pcs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150</v>
          </cell>
        </row>
        <row r="537">
          <cell r="A537">
            <v>3007</v>
          </cell>
          <cell r="B537" t="str">
            <v>FANTA ORANGE 1L</v>
          </cell>
          <cell r="C537" t="str">
            <v>Pcs</v>
          </cell>
          <cell r="D537">
            <v>0</v>
          </cell>
          <cell r="E537">
            <v>36</v>
          </cell>
          <cell r="F537">
            <v>36</v>
          </cell>
          <cell r="G537">
            <v>0</v>
          </cell>
          <cell r="H537">
            <v>130</v>
          </cell>
        </row>
        <row r="538">
          <cell r="A538">
            <v>680</v>
          </cell>
          <cell r="B538" t="str">
            <v>FANTA ORANGE 2L</v>
          </cell>
          <cell r="C538" t="str">
            <v>Pcs</v>
          </cell>
          <cell r="D538">
            <v>18</v>
          </cell>
          <cell r="E538">
            <v>0</v>
          </cell>
          <cell r="F538">
            <v>18</v>
          </cell>
          <cell r="G538">
            <v>0</v>
          </cell>
          <cell r="H538">
            <v>180</v>
          </cell>
        </row>
        <row r="539">
          <cell r="A539">
            <v>2861</v>
          </cell>
          <cell r="B539" t="str">
            <v>FANTA ORANGE 350ML</v>
          </cell>
          <cell r="C539" t="str">
            <v>Pcs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50</v>
          </cell>
        </row>
        <row r="540">
          <cell r="A540">
            <v>681</v>
          </cell>
          <cell r="B540" t="str">
            <v>FANTA ORANGE 500ML</v>
          </cell>
          <cell r="C540" t="str">
            <v>Pcs</v>
          </cell>
          <cell r="D540">
            <v>0</v>
          </cell>
          <cell r="E540">
            <v>264</v>
          </cell>
          <cell r="F540">
            <v>168</v>
          </cell>
          <cell r="G540">
            <v>96</v>
          </cell>
          <cell r="H540">
            <v>80</v>
          </cell>
        </row>
        <row r="541">
          <cell r="A541">
            <v>2637</v>
          </cell>
          <cell r="B541" t="str">
            <v>FANTA PASSION 2L</v>
          </cell>
          <cell r="C541" t="str">
            <v>Pcs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200</v>
          </cell>
        </row>
        <row r="542">
          <cell r="A542">
            <v>2638</v>
          </cell>
          <cell r="B542" t="str">
            <v>FANTA PASSION 500ML</v>
          </cell>
          <cell r="C542" t="str">
            <v>Pcs</v>
          </cell>
          <cell r="D542">
            <v>0</v>
          </cell>
          <cell r="E542">
            <v>72</v>
          </cell>
          <cell r="F542">
            <v>72</v>
          </cell>
          <cell r="G542">
            <v>0</v>
          </cell>
          <cell r="H542">
            <v>80</v>
          </cell>
        </row>
        <row r="543">
          <cell r="A543">
            <v>1232</v>
          </cell>
          <cell r="B543" t="str">
            <v>KREST 500ML</v>
          </cell>
          <cell r="C543" t="str">
            <v>Pcs</v>
          </cell>
          <cell r="D543">
            <v>0</v>
          </cell>
          <cell r="E543">
            <v>360</v>
          </cell>
          <cell r="F543">
            <v>192</v>
          </cell>
          <cell r="G543">
            <v>168</v>
          </cell>
          <cell r="H543">
            <v>80</v>
          </cell>
        </row>
        <row r="544">
          <cell r="A544">
            <v>1287</v>
          </cell>
          <cell r="B544" t="str">
            <v>LEMONADE 300ML</v>
          </cell>
          <cell r="C544" t="str">
            <v>Pcs</v>
          </cell>
          <cell r="D544">
            <v>0</v>
          </cell>
          <cell r="E544">
            <v>228</v>
          </cell>
          <cell r="F544">
            <v>228</v>
          </cell>
          <cell r="G544">
            <v>0</v>
          </cell>
          <cell r="H544">
            <v>40</v>
          </cell>
        </row>
        <row r="545">
          <cell r="A545">
            <v>1288</v>
          </cell>
          <cell r="B545" t="str">
            <v>LIME JUICE 700ML</v>
          </cell>
          <cell r="C545" t="str">
            <v>Pcs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150</v>
          </cell>
        </row>
        <row r="546">
          <cell r="A546">
            <v>2639</v>
          </cell>
          <cell r="B546" t="str">
            <v>MINUTE MAID APPLE 400ML</v>
          </cell>
          <cell r="C546" t="str">
            <v>Pcs</v>
          </cell>
          <cell r="D546">
            <v>0</v>
          </cell>
          <cell r="E546">
            <v>360</v>
          </cell>
          <cell r="F546">
            <v>336</v>
          </cell>
          <cell r="G546">
            <v>24</v>
          </cell>
          <cell r="H546">
            <v>80</v>
          </cell>
        </row>
        <row r="547">
          <cell r="A547">
            <v>2827</v>
          </cell>
          <cell r="B547" t="str">
            <v>MINUTE MAID APPPLE 1 LTR</v>
          </cell>
          <cell r="C547" t="str">
            <v>Pcs</v>
          </cell>
          <cell r="D547">
            <v>36</v>
          </cell>
          <cell r="E547">
            <v>240</v>
          </cell>
          <cell r="F547">
            <v>228</v>
          </cell>
          <cell r="G547">
            <v>48</v>
          </cell>
          <cell r="H547">
            <v>139.99</v>
          </cell>
        </row>
        <row r="548">
          <cell r="A548">
            <v>2826</v>
          </cell>
          <cell r="B548" t="str">
            <v>MINUTE MAID MANGO 1 LTR</v>
          </cell>
          <cell r="C548" t="str">
            <v>Pcs</v>
          </cell>
          <cell r="D548">
            <v>84</v>
          </cell>
          <cell r="E548">
            <v>0</v>
          </cell>
          <cell r="F548">
            <v>36</v>
          </cell>
          <cell r="G548">
            <v>48</v>
          </cell>
          <cell r="H548">
            <v>139.99</v>
          </cell>
        </row>
        <row r="549">
          <cell r="A549">
            <v>2829</v>
          </cell>
          <cell r="B549" t="str">
            <v>MINUTE MAID MANGO 400ML</v>
          </cell>
          <cell r="C549" t="str">
            <v>Pcs</v>
          </cell>
          <cell r="D549">
            <v>60</v>
          </cell>
          <cell r="E549">
            <v>120</v>
          </cell>
          <cell r="F549">
            <v>108</v>
          </cell>
          <cell r="G549">
            <v>72</v>
          </cell>
          <cell r="H549">
            <v>80</v>
          </cell>
        </row>
        <row r="550">
          <cell r="A550">
            <v>2641</v>
          </cell>
          <cell r="B550" t="str">
            <v>MINUTE MAID TROPICAL 400ML</v>
          </cell>
          <cell r="C550" t="str">
            <v>Pcs</v>
          </cell>
          <cell r="D550">
            <v>84</v>
          </cell>
          <cell r="E550">
            <v>60</v>
          </cell>
          <cell r="F550">
            <v>72</v>
          </cell>
          <cell r="G550">
            <v>72</v>
          </cell>
          <cell r="H550">
            <v>80</v>
          </cell>
        </row>
        <row r="551">
          <cell r="A551">
            <v>2828</v>
          </cell>
          <cell r="B551" t="str">
            <v>MINUTE MAID TROPICAL MIXED FRUIT 1 LTR</v>
          </cell>
          <cell r="C551" t="str">
            <v>Pcs</v>
          </cell>
          <cell r="D551">
            <v>0</v>
          </cell>
          <cell r="E551">
            <v>120</v>
          </cell>
          <cell r="F551">
            <v>48</v>
          </cell>
          <cell r="G551">
            <v>72</v>
          </cell>
          <cell r="H551">
            <v>139.99</v>
          </cell>
        </row>
        <row r="552">
          <cell r="A552">
            <v>1474</v>
          </cell>
          <cell r="B552" t="str">
            <v>MONSTER ENERGY 500ML</v>
          </cell>
          <cell r="C552" t="str">
            <v>Pcs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190</v>
          </cell>
        </row>
        <row r="553">
          <cell r="A553">
            <v>2868</v>
          </cell>
          <cell r="B553" t="str">
            <v>NOVIDA 350ML</v>
          </cell>
          <cell r="C553" t="str">
            <v>Pcs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60</v>
          </cell>
        </row>
        <row r="554">
          <cell r="A554">
            <v>1607</v>
          </cell>
          <cell r="B554" t="str">
            <v>PEP LIME JUICE 1.5LT</v>
          </cell>
          <cell r="C554" t="str">
            <v>Pcs</v>
          </cell>
          <cell r="D554">
            <v>78</v>
          </cell>
          <cell r="E554">
            <v>198</v>
          </cell>
          <cell r="F554">
            <v>70</v>
          </cell>
          <cell r="G554">
            <v>206</v>
          </cell>
          <cell r="H554">
            <v>250</v>
          </cell>
        </row>
        <row r="555">
          <cell r="A555">
            <v>1608</v>
          </cell>
          <cell r="B555" t="str">
            <v>PEP LIME JUICE 700ML</v>
          </cell>
          <cell r="C555" t="str">
            <v>Pcs</v>
          </cell>
          <cell r="D555">
            <v>1</v>
          </cell>
          <cell r="E555">
            <v>396</v>
          </cell>
          <cell r="F555">
            <v>60</v>
          </cell>
          <cell r="G555">
            <v>337</v>
          </cell>
          <cell r="H555">
            <v>150</v>
          </cell>
        </row>
        <row r="556">
          <cell r="A556">
            <v>1618</v>
          </cell>
          <cell r="B556" t="str">
            <v>PET SODA 500ML</v>
          </cell>
          <cell r="C556" t="str">
            <v>Pcs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80</v>
          </cell>
        </row>
        <row r="557">
          <cell r="A557">
            <v>2615</v>
          </cell>
          <cell r="B557" t="str">
            <v>POWER PLAY</v>
          </cell>
          <cell r="C557" t="str">
            <v>Pcs</v>
          </cell>
          <cell r="D557">
            <v>120</v>
          </cell>
          <cell r="E557">
            <v>0</v>
          </cell>
          <cell r="F557">
            <v>96</v>
          </cell>
          <cell r="G557">
            <v>24</v>
          </cell>
          <cell r="H557">
            <v>70</v>
          </cell>
        </row>
        <row r="558">
          <cell r="A558">
            <v>2616</v>
          </cell>
          <cell r="B558" t="str">
            <v>PREDATOR ENERGY</v>
          </cell>
          <cell r="C558" t="str">
            <v>Pcs</v>
          </cell>
          <cell r="D558">
            <v>0</v>
          </cell>
          <cell r="E558">
            <v>780</v>
          </cell>
          <cell r="F558">
            <v>600</v>
          </cell>
          <cell r="G558">
            <v>180</v>
          </cell>
          <cell r="H558">
            <v>70</v>
          </cell>
        </row>
        <row r="559">
          <cell r="A559">
            <v>2242</v>
          </cell>
          <cell r="B559" t="str">
            <v>RED BLAZE 150ML</v>
          </cell>
          <cell r="C559" t="str">
            <v>Pcs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600</v>
          </cell>
        </row>
        <row r="560">
          <cell r="A560">
            <v>1646</v>
          </cell>
          <cell r="B560" t="str">
            <v>RED BULL 0.0 250ML</v>
          </cell>
          <cell r="C560" t="str">
            <v>Pcs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182</v>
          </cell>
        </row>
        <row r="561">
          <cell r="A561">
            <v>1647</v>
          </cell>
          <cell r="B561" t="str">
            <v>RED BULL ENERGY DRINK 250ML</v>
          </cell>
          <cell r="C561" t="str">
            <v>Pcs</v>
          </cell>
          <cell r="D561">
            <v>0</v>
          </cell>
          <cell r="E561">
            <v>120</v>
          </cell>
          <cell r="F561">
            <v>120</v>
          </cell>
          <cell r="G561">
            <v>0</v>
          </cell>
          <cell r="H561">
            <v>182</v>
          </cell>
        </row>
        <row r="562">
          <cell r="A562">
            <v>2456</v>
          </cell>
          <cell r="B562" t="str">
            <v>SCHWEEPES BITTER LEMON 500ML</v>
          </cell>
          <cell r="C562" t="str">
            <v>Pcs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80</v>
          </cell>
        </row>
        <row r="563">
          <cell r="A563">
            <v>1865</v>
          </cell>
          <cell r="B563" t="str">
            <v>SPRITE 1.25L</v>
          </cell>
          <cell r="C563" t="str">
            <v>Pcs</v>
          </cell>
          <cell r="D563">
            <v>48</v>
          </cell>
          <cell r="E563">
            <v>180</v>
          </cell>
          <cell r="F563">
            <v>180</v>
          </cell>
          <cell r="G563">
            <v>48</v>
          </cell>
          <cell r="H563">
            <v>130</v>
          </cell>
        </row>
        <row r="564">
          <cell r="A564">
            <v>2838</v>
          </cell>
          <cell r="B564" t="str">
            <v>SPRITE 1 LITRE</v>
          </cell>
          <cell r="C564" t="str">
            <v>Pcs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100</v>
          </cell>
        </row>
        <row r="565">
          <cell r="A565">
            <v>2248</v>
          </cell>
          <cell r="B565" t="str">
            <v>SPRITE 2L</v>
          </cell>
          <cell r="C565" t="str">
            <v>Pcs</v>
          </cell>
          <cell r="D565">
            <v>30</v>
          </cell>
          <cell r="E565">
            <v>60</v>
          </cell>
          <cell r="F565">
            <v>78</v>
          </cell>
          <cell r="G565">
            <v>12</v>
          </cell>
          <cell r="H565">
            <v>180</v>
          </cell>
        </row>
        <row r="566">
          <cell r="A566">
            <v>2862</v>
          </cell>
          <cell r="B566" t="str">
            <v>Sprite 350ml</v>
          </cell>
          <cell r="C566" t="str">
            <v>Pcs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50</v>
          </cell>
        </row>
        <row r="567">
          <cell r="A567">
            <v>1866</v>
          </cell>
          <cell r="B567" t="str">
            <v>SPRITE 500ML</v>
          </cell>
          <cell r="C567" t="str">
            <v>Pcs</v>
          </cell>
          <cell r="D567">
            <v>168</v>
          </cell>
          <cell r="E567">
            <v>216</v>
          </cell>
          <cell r="F567">
            <v>360</v>
          </cell>
          <cell r="G567">
            <v>24</v>
          </cell>
          <cell r="H567">
            <v>80</v>
          </cell>
        </row>
        <row r="568">
          <cell r="A568">
            <v>2863</v>
          </cell>
          <cell r="B568" t="str">
            <v>Stoney 350ml</v>
          </cell>
          <cell r="C568" t="str">
            <v>Pcs</v>
          </cell>
          <cell r="D568">
            <v>0</v>
          </cell>
          <cell r="E568">
            <v>120</v>
          </cell>
          <cell r="F568">
            <v>48</v>
          </cell>
          <cell r="G568">
            <v>72</v>
          </cell>
          <cell r="H568">
            <v>50</v>
          </cell>
        </row>
        <row r="569">
          <cell r="A569">
            <v>1892</v>
          </cell>
          <cell r="B569" t="str">
            <v>STONEY 500ML</v>
          </cell>
          <cell r="C569" t="str">
            <v>Pcs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80</v>
          </cell>
        </row>
        <row r="570">
          <cell r="A570">
            <v>2873</v>
          </cell>
          <cell r="B570" t="str">
            <v>DALLAS BRANDY 250ML</v>
          </cell>
          <cell r="C570" t="str">
            <v>Pcs</v>
          </cell>
          <cell r="D570">
            <v>0</v>
          </cell>
          <cell r="E570">
            <v>3040</v>
          </cell>
          <cell r="F570">
            <v>140</v>
          </cell>
          <cell r="G570">
            <v>2900</v>
          </cell>
          <cell r="H570">
            <v>125</v>
          </cell>
        </row>
        <row r="571">
          <cell r="A571">
            <v>2864</v>
          </cell>
          <cell r="B571" t="str">
            <v>KANE EXTRA 250ML</v>
          </cell>
          <cell r="C571" t="str">
            <v>Pcs</v>
          </cell>
          <cell r="D571">
            <v>600</v>
          </cell>
          <cell r="E571">
            <v>0</v>
          </cell>
          <cell r="F571">
            <v>520</v>
          </cell>
          <cell r="G571">
            <v>80</v>
          </cell>
          <cell r="H571">
            <v>195</v>
          </cell>
        </row>
        <row r="572">
          <cell r="A572">
            <v>2452</v>
          </cell>
          <cell r="B572" t="str">
            <v>KANE EXTRA 750ML</v>
          </cell>
          <cell r="C572" t="str">
            <v>Pcs</v>
          </cell>
          <cell r="D572">
            <v>72</v>
          </cell>
          <cell r="E572">
            <v>120</v>
          </cell>
          <cell r="F572">
            <v>120</v>
          </cell>
          <cell r="G572">
            <v>72</v>
          </cell>
          <cell r="H572">
            <v>560</v>
          </cell>
        </row>
        <row r="573">
          <cell r="A573">
            <v>2403</v>
          </cell>
          <cell r="B573" t="str">
            <v>KENYA CANE LEMON &amp; GINGER 750ML</v>
          </cell>
          <cell r="C573" t="str">
            <v>Pcs</v>
          </cell>
          <cell r="D573">
            <v>1080</v>
          </cell>
          <cell r="E573">
            <v>1212</v>
          </cell>
          <cell r="F573">
            <v>1452</v>
          </cell>
          <cell r="G573">
            <v>840</v>
          </cell>
          <cell r="H573">
            <v>674</v>
          </cell>
        </row>
        <row r="574">
          <cell r="A574">
            <v>1203</v>
          </cell>
          <cell r="B574" t="str">
            <v>KING OF ARAK 500ml</v>
          </cell>
          <cell r="C574" t="str">
            <v>Pcs</v>
          </cell>
          <cell r="D574">
            <v>12</v>
          </cell>
          <cell r="E574">
            <v>0</v>
          </cell>
          <cell r="F574">
            <v>12</v>
          </cell>
          <cell r="G574">
            <v>0</v>
          </cell>
          <cell r="H574">
            <v>2500</v>
          </cell>
        </row>
        <row r="575">
          <cell r="A575">
            <v>1229</v>
          </cell>
          <cell r="B575" t="str">
            <v>KONYAGI 250 ML</v>
          </cell>
          <cell r="C575" t="str">
            <v>Pcs</v>
          </cell>
          <cell r="D575">
            <v>805</v>
          </cell>
          <cell r="E575">
            <v>0</v>
          </cell>
          <cell r="F575">
            <v>740</v>
          </cell>
          <cell r="G575">
            <v>65</v>
          </cell>
          <cell r="H575">
            <v>280</v>
          </cell>
        </row>
        <row r="576">
          <cell r="A576">
            <v>1230</v>
          </cell>
          <cell r="B576" t="str">
            <v>KONYAGI 500 ML</v>
          </cell>
          <cell r="C576" t="str">
            <v>Pcs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550</v>
          </cell>
        </row>
        <row r="577">
          <cell r="A577">
            <v>1228</v>
          </cell>
          <cell r="B577" t="str">
            <v>KONYAGI 750 ML</v>
          </cell>
          <cell r="C577" t="str">
            <v>Pcs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750</v>
          </cell>
        </row>
        <row r="578">
          <cell r="A578">
            <v>2320</v>
          </cell>
          <cell r="B578" t="str">
            <v>WILD TIGER SPICED 750ML</v>
          </cell>
          <cell r="C578" t="str">
            <v>Pcs</v>
          </cell>
          <cell r="D578">
            <v>13</v>
          </cell>
          <cell r="E578">
            <v>0</v>
          </cell>
          <cell r="F578">
            <v>0</v>
          </cell>
          <cell r="G578">
            <v>13</v>
          </cell>
          <cell r="H578">
            <v>850</v>
          </cell>
        </row>
        <row r="579">
          <cell r="A579">
            <v>922</v>
          </cell>
          <cell r="B579" t="str">
            <v>GRENADINE SYRUP 750ML</v>
          </cell>
          <cell r="C579" t="str">
            <v>Pcs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380</v>
          </cell>
        </row>
        <row r="580">
          <cell r="A580">
            <v>2481</v>
          </cell>
          <cell r="B580" t="str">
            <v>1800 REPOSADO RF LITRE</v>
          </cell>
          <cell r="C580" t="str">
            <v>Pcs</v>
          </cell>
          <cell r="D580">
            <v>78</v>
          </cell>
          <cell r="E580">
            <v>0</v>
          </cell>
          <cell r="F580">
            <v>0</v>
          </cell>
          <cell r="G580">
            <v>78</v>
          </cell>
          <cell r="H580">
            <v>5500</v>
          </cell>
        </row>
        <row r="581">
          <cell r="A581">
            <v>7</v>
          </cell>
          <cell r="B581" t="str">
            <v>1800 TEQUILA ANEJO 700ml</v>
          </cell>
          <cell r="C581" t="str">
            <v>Pcs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3500</v>
          </cell>
        </row>
        <row r="582">
          <cell r="A582">
            <v>8</v>
          </cell>
          <cell r="B582" t="str">
            <v>1800 TEQUILA BLANCO 700ml</v>
          </cell>
          <cell r="C582" t="str">
            <v>Pcs</v>
          </cell>
          <cell r="D582">
            <v>728</v>
          </cell>
          <cell r="E582">
            <v>0</v>
          </cell>
          <cell r="F582">
            <v>30</v>
          </cell>
          <cell r="G582">
            <v>698</v>
          </cell>
          <cell r="H582">
            <v>3500</v>
          </cell>
        </row>
        <row r="583">
          <cell r="A583">
            <v>9</v>
          </cell>
          <cell r="B583" t="str">
            <v>1800 TEQUILA REPOSADO 700ML</v>
          </cell>
          <cell r="C583" t="str">
            <v>Pcs</v>
          </cell>
          <cell r="D583">
            <v>843</v>
          </cell>
          <cell r="E583">
            <v>0</v>
          </cell>
          <cell r="F583">
            <v>4</v>
          </cell>
          <cell r="G583">
            <v>839</v>
          </cell>
          <cell r="H583">
            <v>3500</v>
          </cell>
        </row>
        <row r="584">
          <cell r="A584">
            <v>29</v>
          </cell>
          <cell r="B584" t="str">
            <v>818 TEQUILA REPOSADO 750ML</v>
          </cell>
          <cell r="C584" t="str">
            <v>Pcs</v>
          </cell>
          <cell r="D584">
            <v>6</v>
          </cell>
          <cell r="E584">
            <v>0</v>
          </cell>
          <cell r="F584">
            <v>6</v>
          </cell>
          <cell r="G584">
            <v>0</v>
          </cell>
          <cell r="H584">
            <v>8000</v>
          </cell>
        </row>
        <row r="585">
          <cell r="A585">
            <v>2974</v>
          </cell>
          <cell r="B585" t="str">
            <v>ALTA AZUL TEQUILA BLANCO 1LTR</v>
          </cell>
          <cell r="C585" t="str">
            <v>Pcs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4500</v>
          </cell>
        </row>
        <row r="586">
          <cell r="A586">
            <v>2973</v>
          </cell>
          <cell r="B586" t="str">
            <v>ALTA AZUL TEQUILA REPOSADO 1LTR</v>
          </cell>
          <cell r="C586" t="str">
            <v>Pcs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4500</v>
          </cell>
        </row>
        <row r="587">
          <cell r="A587">
            <v>355</v>
          </cell>
          <cell r="B587" t="str">
            <v>CAMINO CLEAR 750ML</v>
          </cell>
          <cell r="C587" t="str">
            <v>Pcs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2250</v>
          </cell>
        </row>
        <row r="588">
          <cell r="A588">
            <v>356</v>
          </cell>
          <cell r="B588" t="str">
            <v>CAMINO GOLD 750ML</v>
          </cell>
          <cell r="C588" t="str">
            <v>Pcs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1950</v>
          </cell>
        </row>
        <row r="589">
          <cell r="A589">
            <v>2468</v>
          </cell>
          <cell r="B589" t="str">
            <v>CASA MIGOS ANEJO 700ML</v>
          </cell>
          <cell r="C589" t="str">
            <v>Pcs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7600</v>
          </cell>
        </row>
        <row r="590">
          <cell r="A590">
            <v>2469</v>
          </cell>
          <cell r="B590" t="str">
            <v>CASA MIGOS BLANCO 700ML</v>
          </cell>
          <cell r="C590" t="str">
            <v>Pcs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9500</v>
          </cell>
        </row>
        <row r="591">
          <cell r="A591">
            <v>493</v>
          </cell>
          <cell r="B591" t="str">
            <v>CLASE AZUL ANEJO 700ML </v>
          </cell>
          <cell r="C591" t="str">
            <v>Pcs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100000</v>
          </cell>
        </row>
        <row r="592">
          <cell r="A592">
            <v>495</v>
          </cell>
          <cell r="B592" t="str">
            <v>CLASE AZUL PLATA 700ML</v>
          </cell>
          <cell r="C592" t="str">
            <v>Pcs</v>
          </cell>
          <cell r="D592">
            <v>18</v>
          </cell>
          <cell r="E592">
            <v>0</v>
          </cell>
          <cell r="F592">
            <v>0</v>
          </cell>
          <cell r="G592">
            <v>18</v>
          </cell>
          <cell r="H592">
            <v>24525</v>
          </cell>
        </row>
        <row r="593">
          <cell r="A593">
            <v>496</v>
          </cell>
          <cell r="B593" t="str">
            <v>CLASE AZUL TEQUILA REPOSADO 750ML</v>
          </cell>
          <cell r="C593" t="str">
            <v>Pcs</v>
          </cell>
          <cell r="D593">
            <v>281</v>
          </cell>
          <cell r="E593">
            <v>0</v>
          </cell>
          <cell r="F593">
            <v>0</v>
          </cell>
          <cell r="G593">
            <v>281</v>
          </cell>
          <cell r="H593">
            <v>31000</v>
          </cell>
        </row>
        <row r="594">
          <cell r="A594">
            <v>621</v>
          </cell>
          <cell r="B594" t="str">
            <v>DON JULIO 1942 750ml</v>
          </cell>
          <cell r="C594" t="str">
            <v>Pcs</v>
          </cell>
          <cell r="D594">
            <v>102</v>
          </cell>
          <cell r="E594">
            <v>0</v>
          </cell>
          <cell r="F594">
            <v>4</v>
          </cell>
          <cell r="G594">
            <v>98</v>
          </cell>
          <cell r="H594">
            <v>27500</v>
          </cell>
        </row>
        <row r="595">
          <cell r="A595">
            <v>2952</v>
          </cell>
          <cell r="B595" t="str">
            <v>DON JULIO 70 CRISTALINO 700ML</v>
          </cell>
          <cell r="C595" t="str">
            <v>Pcs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7600</v>
          </cell>
        </row>
        <row r="596">
          <cell r="A596">
            <v>622</v>
          </cell>
          <cell r="B596" t="str">
            <v>DON JULIO ANEJO 750ML</v>
          </cell>
          <cell r="C596" t="str">
            <v>Pcs</v>
          </cell>
          <cell r="D596">
            <v>117</v>
          </cell>
          <cell r="E596">
            <v>0</v>
          </cell>
          <cell r="F596">
            <v>6</v>
          </cell>
          <cell r="G596">
            <v>111</v>
          </cell>
          <cell r="H596">
            <v>8400</v>
          </cell>
        </row>
        <row r="597">
          <cell r="A597">
            <v>623</v>
          </cell>
          <cell r="B597" t="str">
            <v>DON JULIO BLANCO 750ML</v>
          </cell>
          <cell r="C597" t="str">
            <v>Pcs</v>
          </cell>
          <cell r="D597">
            <v>200</v>
          </cell>
          <cell r="E597">
            <v>0</v>
          </cell>
          <cell r="F597">
            <v>18</v>
          </cell>
          <cell r="G597">
            <v>182</v>
          </cell>
          <cell r="H597">
            <v>6850</v>
          </cell>
        </row>
        <row r="598">
          <cell r="A598">
            <v>624</v>
          </cell>
          <cell r="B598" t="str">
            <v>DON JULIO REPOSADO 750ML</v>
          </cell>
          <cell r="C598" t="str">
            <v>Pcs</v>
          </cell>
          <cell r="D598">
            <v>324</v>
          </cell>
          <cell r="E598">
            <v>0</v>
          </cell>
          <cell r="F598">
            <v>48</v>
          </cell>
          <cell r="G598">
            <v>276</v>
          </cell>
          <cell r="H598">
            <v>7600</v>
          </cell>
        </row>
        <row r="599">
          <cell r="A599">
            <v>941</v>
          </cell>
          <cell r="B599" t="str">
            <v>HAVANA ANEJO ESPECIAL TEQUILA 700ML</v>
          </cell>
          <cell r="C599" t="str">
            <v>Pcs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1650</v>
          </cell>
        </row>
        <row r="600">
          <cell r="A600">
            <v>942</v>
          </cell>
          <cell r="B600" t="str">
            <v>HAVANA CLUB ANEJO 3YRS TEQUILA 700ML</v>
          </cell>
          <cell r="C600" t="str">
            <v>Pcs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1450</v>
          </cell>
        </row>
        <row r="601">
          <cell r="A601">
            <v>1130</v>
          </cell>
          <cell r="B601" t="str">
            <v>JOSE CUERVO CLEAR 1LTR</v>
          </cell>
          <cell r="C601" t="str">
            <v>Pcs</v>
          </cell>
          <cell r="D601">
            <v>60</v>
          </cell>
          <cell r="E601">
            <v>0</v>
          </cell>
          <cell r="F601">
            <v>60</v>
          </cell>
          <cell r="G601">
            <v>0</v>
          </cell>
          <cell r="H601">
            <v>2500</v>
          </cell>
        </row>
        <row r="602">
          <cell r="A602">
            <v>1131</v>
          </cell>
          <cell r="B602" t="str">
            <v>JOSE CUERVO GOLD 1LTR</v>
          </cell>
          <cell r="C602" t="str">
            <v>Pcs</v>
          </cell>
          <cell r="D602">
            <v>2</v>
          </cell>
          <cell r="E602">
            <v>11</v>
          </cell>
          <cell r="F602">
            <v>13</v>
          </cell>
          <cell r="G602">
            <v>0</v>
          </cell>
          <cell r="H602">
            <v>2800</v>
          </cell>
        </row>
        <row r="603">
          <cell r="A603">
            <v>1132</v>
          </cell>
          <cell r="B603" t="str">
            <v>JOSE CUERVO GOLD 750 ML</v>
          </cell>
          <cell r="C603" t="str">
            <v>Pcs</v>
          </cell>
          <cell r="D603">
            <v>216</v>
          </cell>
          <cell r="E603">
            <v>13757</v>
          </cell>
          <cell r="F603">
            <v>2144</v>
          </cell>
          <cell r="G603">
            <v>11829</v>
          </cell>
          <cell r="H603">
            <v>2100</v>
          </cell>
        </row>
        <row r="604">
          <cell r="A604">
            <v>1128</v>
          </cell>
          <cell r="B604" t="str">
            <v>JOSE CUERVO RESERVA 700ML</v>
          </cell>
          <cell r="C604" t="str">
            <v>Pcs</v>
          </cell>
          <cell r="D604">
            <v>49</v>
          </cell>
          <cell r="E604">
            <v>0</v>
          </cell>
          <cell r="F604">
            <v>0</v>
          </cell>
          <cell r="G604">
            <v>49</v>
          </cell>
          <cell r="H604">
            <v>18000</v>
          </cell>
        </row>
        <row r="605">
          <cell r="A605">
            <v>1129</v>
          </cell>
          <cell r="B605" t="str">
            <v>JOSE CUERVO SILVER 750ML</v>
          </cell>
          <cell r="C605" t="str">
            <v>Pcs</v>
          </cell>
          <cell r="D605">
            <v>215</v>
          </cell>
          <cell r="E605">
            <v>6360</v>
          </cell>
          <cell r="F605">
            <v>235</v>
          </cell>
          <cell r="G605">
            <v>6340</v>
          </cell>
          <cell r="H605">
            <v>2100</v>
          </cell>
        </row>
        <row r="606">
          <cell r="A606">
            <v>1557</v>
          </cell>
          <cell r="B606" t="str">
            <v>OLMECA ALTOS REPOSADO 38% 750ML</v>
          </cell>
          <cell r="C606" t="str">
            <v>Pcs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3500</v>
          </cell>
        </row>
        <row r="607">
          <cell r="A607">
            <v>1558</v>
          </cell>
          <cell r="B607" t="str">
            <v>OLMECA ANEJO 750ML </v>
          </cell>
          <cell r="C607" t="str">
            <v>Pcs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2500</v>
          </cell>
        </row>
        <row r="608">
          <cell r="A608">
            <v>1559</v>
          </cell>
          <cell r="B608" t="str">
            <v>OLMECA BLANCO 1LT</v>
          </cell>
          <cell r="C608" t="str">
            <v>Pcs</v>
          </cell>
          <cell r="D608">
            <v>12</v>
          </cell>
          <cell r="E608">
            <v>0</v>
          </cell>
          <cell r="F608">
            <v>12</v>
          </cell>
          <cell r="G608">
            <v>0</v>
          </cell>
          <cell r="H608">
            <v>3300</v>
          </cell>
        </row>
        <row r="609">
          <cell r="A609">
            <v>1560</v>
          </cell>
          <cell r="B609" t="str">
            <v>OLMECA BLANCO 750ML</v>
          </cell>
          <cell r="C609" t="str">
            <v>Pcs</v>
          </cell>
          <cell r="D609">
            <v>143</v>
          </cell>
          <cell r="E609">
            <v>0</v>
          </cell>
          <cell r="F609">
            <v>41</v>
          </cell>
          <cell r="G609">
            <v>102</v>
          </cell>
          <cell r="H609">
            <v>2480</v>
          </cell>
        </row>
        <row r="610">
          <cell r="A610">
            <v>1561</v>
          </cell>
          <cell r="B610" t="str">
            <v>OLMECA DARK CHOCOLATE 750ML</v>
          </cell>
          <cell r="C610" t="str">
            <v>Pcs</v>
          </cell>
          <cell r="D610">
            <v>328</v>
          </cell>
          <cell r="E610">
            <v>6</v>
          </cell>
          <cell r="F610">
            <v>58</v>
          </cell>
          <cell r="G610">
            <v>276</v>
          </cell>
          <cell r="H610">
            <v>2500</v>
          </cell>
        </row>
        <row r="611">
          <cell r="A611">
            <v>2241</v>
          </cell>
          <cell r="B611" t="str">
            <v>OLMECA EXTRA AGED 1LTR</v>
          </cell>
          <cell r="C611" t="str">
            <v>Pcs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3800</v>
          </cell>
        </row>
        <row r="612">
          <cell r="A612">
            <v>1562</v>
          </cell>
          <cell r="B612" t="str">
            <v>OLMECA GOLD 38% 750ML</v>
          </cell>
          <cell r="C612" t="str">
            <v>Pcs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2500</v>
          </cell>
        </row>
        <row r="613">
          <cell r="A613">
            <v>1563</v>
          </cell>
          <cell r="B613" t="str">
            <v>OLMECA TEQUILA GOLD 1LT</v>
          </cell>
          <cell r="C613" t="str">
            <v>Pcs</v>
          </cell>
          <cell r="D613">
            <v>12</v>
          </cell>
          <cell r="E613">
            <v>6</v>
          </cell>
          <cell r="F613">
            <v>18</v>
          </cell>
          <cell r="G613">
            <v>0</v>
          </cell>
          <cell r="H613">
            <v>3300</v>
          </cell>
        </row>
        <row r="614">
          <cell r="A614">
            <v>1589</v>
          </cell>
          <cell r="B614" t="str">
            <v>PATRON - ANEJO TEQUILLA 1LT</v>
          </cell>
          <cell r="C614" t="str">
            <v>Pcs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9500</v>
          </cell>
        </row>
        <row r="615">
          <cell r="A615">
            <v>1590</v>
          </cell>
          <cell r="B615" t="str">
            <v>PATRON - ANEJO TEQUILLA 750ML</v>
          </cell>
          <cell r="C615" t="str">
            <v>Pcs</v>
          </cell>
          <cell r="D615">
            <v>77</v>
          </cell>
          <cell r="E615">
            <v>0</v>
          </cell>
          <cell r="F615">
            <v>0</v>
          </cell>
          <cell r="G615">
            <v>77</v>
          </cell>
          <cell r="H615">
            <v>6200</v>
          </cell>
        </row>
        <row r="616">
          <cell r="A616">
            <v>2987</v>
          </cell>
          <cell r="B616" t="str">
            <v>PATRON REPOSADO 1L</v>
          </cell>
          <cell r="C616" t="str">
            <v>Pcs</v>
          </cell>
          <cell r="D616">
            <v>0</v>
          </cell>
          <cell r="E616">
            <v>60</v>
          </cell>
          <cell r="F616">
            <v>0</v>
          </cell>
          <cell r="G616">
            <v>60</v>
          </cell>
          <cell r="H616">
            <v>9500</v>
          </cell>
        </row>
        <row r="617">
          <cell r="A617">
            <v>1591</v>
          </cell>
          <cell r="B617" t="str">
            <v>PATRON - REPOSADO 750ML</v>
          </cell>
          <cell r="C617" t="str">
            <v>Pcs</v>
          </cell>
          <cell r="D617">
            <v>90</v>
          </cell>
          <cell r="E617">
            <v>0</v>
          </cell>
          <cell r="F617">
            <v>72</v>
          </cell>
          <cell r="G617">
            <v>18</v>
          </cell>
          <cell r="H617">
            <v>7500</v>
          </cell>
        </row>
        <row r="618">
          <cell r="A618">
            <v>1596</v>
          </cell>
          <cell r="B618" t="str">
            <v>PATRON SILVER 1LTR</v>
          </cell>
          <cell r="C618" t="str">
            <v>Pcs</v>
          </cell>
          <cell r="D618">
            <v>66</v>
          </cell>
          <cell r="E618">
            <v>0</v>
          </cell>
          <cell r="F618">
            <v>0</v>
          </cell>
          <cell r="G618">
            <v>66</v>
          </cell>
          <cell r="H618">
            <v>9500</v>
          </cell>
        </row>
        <row r="619">
          <cell r="A619">
            <v>1592</v>
          </cell>
          <cell r="B619" t="str">
            <v>PATRON - SILVER 750ML</v>
          </cell>
          <cell r="C619" t="str">
            <v>Pcs</v>
          </cell>
          <cell r="D619">
            <v>102</v>
          </cell>
          <cell r="E619">
            <v>0</v>
          </cell>
          <cell r="F619">
            <v>12</v>
          </cell>
          <cell r="G619">
            <v>90</v>
          </cell>
          <cell r="H619">
            <v>7500</v>
          </cell>
        </row>
        <row r="620">
          <cell r="A620">
            <v>1597</v>
          </cell>
          <cell r="B620" t="str">
            <v>PATRON TEQUILA SILVER 375ML</v>
          </cell>
          <cell r="C620" t="str">
            <v>Pcs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3513</v>
          </cell>
        </row>
        <row r="621">
          <cell r="A621">
            <v>1609</v>
          </cell>
          <cell r="B621" t="str">
            <v>PEPE LOPEZ TEQUILA 1LTR</v>
          </cell>
          <cell r="C621" t="str">
            <v>Pcs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1900</v>
          </cell>
        </row>
        <row r="622">
          <cell r="A622">
            <v>1633</v>
          </cell>
          <cell r="B622" t="str">
            <v>PONCHOS TEQUILA REPOSADO 750ML</v>
          </cell>
          <cell r="C622" t="str">
            <v>Pcs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4500</v>
          </cell>
        </row>
        <row r="623">
          <cell r="A623">
            <v>1788</v>
          </cell>
          <cell r="B623" t="str">
            <v>SIERRA REPOSADO 1LTR</v>
          </cell>
          <cell r="C623" t="str">
            <v>Pcs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2500</v>
          </cell>
        </row>
        <row r="624">
          <cell r="A624">
            <v>1789</v>
          </cell>
          <cell r="B624" t="str">
            <v>SIERRA REPOSADO 700ML</v>
          </cell>
          <cell r="C624" t="str">
            <v>Pcs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2100</v>
          </cell>
        </row>
        <row r="625">
          <cell r="A625">
            <v>1790</v>
          </cell>
          <cell r="B625" t="str">
            <v>SIERRA TEQUILA SILVER 1ltr</v>
          </cell>
          <cell r="C625" t="str">
            <v>Pcs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2600</v>
          </cell>
        </row>
        <row r="626">
          <cell r="A626">
            <v>1791</v>
          </cell>
          <cell r="B626" t="str">
            <v>SIERRA TEQUILA SILVER 700ml</v>
          </cell>
          <cell r="C626" t="str">
            <v>Pcs</v>
          </cell>
          <cell r="D626">
            <v>40</v>
          </cell>
          <cell r="E626">
            <v>0</v>
          </cell>
          <cell r="F626">
            <v>12</v>
          </cell>
          <cell r="G626">
            <v>28</v>
          </cell>
          <cell r="H626">
            <v>2200</v>
          </cell>
        </row>
        <row r="627">
          <cell r="A627">
            <v>3003</v>
          </cell>
          <cell r="B627" t="str">
            <v>SIERRA TROPICAL CHILI, PASSIONFRUIT &amp; MANGO 700ML</v>
          </cell>
          <cell r="C627" t="str">
            <v>Pcs</v>
          </cell>
          <cell r="D627">
            <v>0</v>
          </cell>
          <cell r="E627">
            <v>642</v>
          </cell>
          <cell r="F627">
            <v>84</v>
          </cell>
          <cell r="G627">
            <v>558</v>
          </cell>
          <cell r="H627">
            <v>1800</v>
          </cell>
        </row>
        <row r="628">
          <cell r="A628">
            <v>1950</v>
          </cell>
          <cell r="B628" t="str">
            <v>TEQUILA AGAVITA BLANCO 700ML</v>
          </cell>
          <cell r="C628" t="str">
            <v>Pcs</v>
          </cell>
          <cell r="D628">
            <v>18</v>
          </cell>
          <cell r="E628">
            <v>0</v>
          </cell>
          <cell r="F628">
            <v>0</v>
          </cell>
          <cell r="G628">
            <v>18</v>
          </cell>
          <cell r="H628">
            <v>2250</v>
          </cell>
        </row>
        <row r="629">
          <cell r="A629">
            <v>1951</v>
          </cell>
          <cell r="B629" t="str">
            <v>TEQUILA AGAVITA GOLD 700ML</v>
          </cell>
          <cell r="C629" t="str">
            <v>Pcs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2250</v>
          </cell>
        </row>
        <row r="630">
          <cell r="A630">
            <v>1952</v>
          </cell>
          <cell r="B630" t="str">
            <v>TEQUILA ROSE 750ML</v>
          </cell>
          <cell r="C630" t="str">
            <v>Pcs</v>
          </cell>
          <cell r="D630">
            <v>0</v>
          </cell>
          <cell r="E630">
            <v>6</v>
          </cell>
          <cell r="F630">
            <v>6</v>
          </cell>
          <cell r="G630">
            <v>0</v>
          </cell>
          <cell r="H630">
            <v>2600</v>
          </cell>
        </row>
        <row r="631">
          <cell r="A631">
            <v>1954</v>
          </cell>
          <cell r="B631" t="str">
            <v>TEREMANA TEQUILA 750ml</v>
          </cell>
          <cell r="C631" t="str">
            <v>Pcs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6200</v>
          </cell>
        </row>
        <row r="632">
          <cell r="A632">
            <v>2485</v>
          </cell>
          <cell r="B632" t="str">
            <v>VOLCAN REPOSADO 700ML</v>
          </cell>
          <cell r="C632" t="str">
            <v>Pcs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9891</v>
          </cell>
        </row>
        <row r="633">
          <cell r="A633">
            <v>2944</v>
          </cell>
          <cell r="B633" t="str">
            <v>EROS BATTERY</v>
          </cell>
          <cell r="C633" t="str">
            <v>Pcs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900</v>
          </cell>
        </row>
        <row r="634">
          <cell r="A634">
            <v>2931</v>
          </cell>
          <cell r="B634" t="str">
            <v>EROS KIT COOL MINT</v>
          </cell>
          <cell r="C634" t="str">
            <v>Pcs</v>
          </cell>
          <cell r="D634">
            <v>11</v>
          </cell>
          <cell r="E634">
            <v>15</v>
          </cell>
          <cell r="F634">
            <v>12</v>
          </cell>
          <cell r="G634">
            <v>14</v>
          </cell>
          <cell r="H634">
            <v>2100</v>
          </cell>
        </row>
        <row r="635">
          <cell r="A635">
            <v>2929</v>
          </cell>
          <cell r="B635" t="str">
            <v>EROS KIT GRAPE ICE</v>
          </cell>
          <cell r="C635" t="str">
            <v>Pcs</v>
          </cell>
          <cell r="D635">
            <v>7</v>
          </cell>
          <cell r="E635">
            <v>15</v>
          </cell>
          <cell r="F635">
            <v>7</v>
          </cell>
          <cell r="G635">
            <v>15</v>
          </cell>
          <cell r="H635">
            <v>2100</v>
          </cell>
        </row>
        <row r="636">
          <cell r="A636">
            <v>2930</v>
          </cell>
          <cell r="B636" t="str">
            <v>EROS KIT PEACH MANGO ICE</v>
          </cell>
          <cell r="C636" t="str">
            <v>Pcs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2100</v>
          </cell>
        </row>
        <row r="637">
          <cell r="A637">
            <v>2932</v>
          </cell>
          <cell r="B637" t="str">
            <v>EROS KIT TROPICAL ICE</v>
          </cell>
          <cell r="C637" t="str">
            <v>Pcs</v>
          </cell>
          <cell r="D637">
            <v>8</v>
          </cell>
          <cell r="E637">
            <v>15</v>
          </cell>
          <cell r="F637">
            <v>11</v>
          </cell>
          <cell r="G637">
            <v>12</v>
          </cell>
          <cell r="H637">
            <v>2100</v>
          </cell>
        </row>
        <row r="638">
          <cell r="A638">
            <v>2928</v>
          </cell>
          <cell r="B638" t="str">
            <v>EROS KIT WATERMELON ICE</v>
          </cell>
          <cell r="C638" t="str">
            <v>Pcs</v>
          </cell>
          <cell r="D638">
            <v>8</v>
          </cell>
          <cell r="E638">
            <v>15</v>
          </cell>
          <cell r="F638">
            <v>8</v>
          </cell>
          <cell r="G638">
            <v>15</v>
          </cell>
          <cell r="H638">
            <v>2100</v>
          </cell>
        </row>
        <row r="639">
          <cell r="A639">
            <v>2943</v>
          </cell>
          <cell r="B639" t="str">
            <v>EROS POD 20000 PUFFS</v>
          </cell>
          <cell r="C639" t="str">
            <v>Pcs</v>
          </cell>
          <cell r="D639">
            <v>44</v>
          </cell>
          <cell r="E639">
            <v>63</v>
          </cell>
          <cell r="F639">
            <v>30</v>
          </cell>
          <cell r="G639">
            <v>77</v>
          </cell>
          <cell r="H639">
            <v>1500</v>
          </cell>
        </row>
        <row r="640">
          <cell r="A640">
            <v>2941</v>
          </cell>
          <cell r="B640" t="str">
            <v>VAPENGIN 13000 PODS PUFFS</v>
          </cell>
          <cell r="C640" t="str">
            <v>Pcs</v>
          </cell>
          <cell r="D640">
            <v>52</v>
          </cell>
          <cell r="E640">
            <v>214</v>
          </cell>
          <cell r="F640">
            <v>100</v>
          </cell>
          <cell r="G640">
            <v>166</v>
          </cell>
          <cell r="H640">
            <v>1500</v>
          </cell>
        </row>
        <row r="641">
          <cell r="A641">
            <v>2942</v>
          </cell>
          <cell r="B641" t="str">
            <v>VAPENGIN 6500 PODS PUFFS</v>
          </cell>
          <cell r="C641" t="str">
            <v>Pcs</v>
          </cell>
          <cell r="D641">
            <v>0</v>
          </cell>
          <cell r="E641">
            <v>165</v>
          </cell>
          <cell r="F641">
            <v>153</v>
          </cell>
          <cell r="G641">
            <v>12</v>
          </cell>
          <cell r="H641">
            <v>1300</v>
          </cell>
        </row>
        <row r="642">
          <cell r="A642">
            <v>2892</v>
          </cell>
          <cell r="B642" t="str">
            <v>VAPENGIN BATTERY , 96800</v>
          </cell>
          <cell r="C642" t="str">
            <v>Pcs</v>
          </cell>
          <cell r="D642">
            <v>22</v>
          </cell>
          <cell r="E642">
            <v>70</v>
          </cell>
          <cell r="F642">
            <v>72</v>
          </cell>
          <cell r="G642">
            <v>20</v>
          </cell>
          <cell r="H642">
            <v>800</v>
          </cell>
        </row>
        <row r="643">
          <cell r="A643">
            <v>2915</v>
          </cell>
          <cell r="B643" t="str">
            <v>WOOSH 9000 PUFFS BLUE RAZZ </v>
          </cell>
          <cell r="C643" t="str">
            <v>Pcs</v>
          </cell>
          <cell r="D643">
            <v>16</v>
          </cell>
          <cell r="E643">
            <v>0</v>
          </cell>
          <cell r="F643">
            <v>0</v>
          </cell>
          <cell r="G643">
            <v>16</v>
          </cell>
          <cell r="H643">
            <v>1200</v>
          </cell>
        </row>
        <row r="644">
          <cell r="A644">
            <v>2916</v>
          </cell>
          <cell r="B644" t="str">
            <v>WOOSH 9000 PUFFS COLA LIME</v>
          </cell>
          <cell r="C644" t="str">
            <v>Pcs</v>
          </cell>
          <cell r="D644">
            <v>8</v>
          </cell>
          <cell r="E644">
            <v>0</v>
          </cell>
          <cell r="F644">
            <v>0</v>
          </cell>
          <cell r="G644">
            <v>8</v>
          </cell>
          <cell r="H644">
            <v>1200</v>
          </cell>
        </row>
        <row r="645">
          <cell r="A645">
            <v>2918</v>
          </cell>
          <cell r="B645" t="str">
            <v>WOOSH 9000 PUFFS SUN KISSED GRAPE</v>
          </cell>
          <cell r="C645" t="str">
            <v>Pcs</v>
          </cell>
          <cell r="D645">
            <v>6</v>
          </cell>
          <cell r="E645">
            <v>0</v>
          </cell>
          <cell r="F645">
            <v>5</v>
          </cell>
          <cell r="G645">
            <v>1</v>
          </cell>
          <cell r="H645">
            <v>1200</v>
          </cell>
        </row>
        <row r="646">
          <cell r="A646">
            <v>2917</v>
          </cell>
          <cell r="B646" t="str">
            <v>WOOSH 9000 PUFFS WATERMELON ICE </v>
          </cell>
          <cell r="C646" t="str">
            <v>Pcs</v>
          </cell>
          <cell r="D646">
            <v>7</v>
          </cell>
          <cell r="E646">
            <v>0</v>
          </cell>
          <cell r="F646">
            <v>5</v>
          </cell>
          <cell r="G646">
            <v>2</v>
          </cell>
          <cell r="H646">
            <v>1200</v>
          </cell>
        </row>
        <row r="647">
          <cell r="A647">
            <v>2920</v>
          </cell>
          <cell r="B647" t="str">
            <v>WOOSH PEN 1800 PUFFS BLUEBERRY ICE</v>
          </cell>
          <cell r="C647" t="str">
            <v>Pcs</v>
          </cell>
          <cell r="D647">
            <v>2</v>
          </cell>
          <cell r="E647">
            <v>0</v>
          </cell>
          <cell r="F647">
            <v>2</v>
          </cell>
          <cell r="G647">
            <v>0</v>
          </cell>
          <cell r="H647">
            <v>850</v>
          </cell>
        </row>
        <row r="648">
          <cell r="A648">
            <v>2919</v>
          </cell>
          <cell r="B648" t="str">
            <v>WOOSH PEN 1800 PUFFS COLA LIME </v>
          </cell>
          <cell r="C648" t="str">
            <v>Pcs</v>
          </cell>
          <cell r="D648">
            <v>2</v>
          </cell>
          <cell r="E648">
            <v>0</v>
          </cell>
          <cell r="F648">
            <v>0</v>
          </cell>
          <cell r="G648">
            <v>2</v>
          </cell>
          <cell r="H648">
            <v>850</v>
          </cell>
        </row>
        <row r="649">
          <cell r="A649">
            <v>478</v>
          </cell>
          <cell r="B649" t="str">
            <v>CINZANO VINO SPUMANTE 750ML</v>
          </cell>
          <cell r="C649" t="str">
            <v>Pcs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1600</v>
          </cell>
        </row>
        <row r="650">
          <cell r="A650">
            <v>2533</v>
          </cell>
          <cell r="B650" t="str">
            <v>IRIS VERMOUTH BLANCO LITRE</v>
          </cell>
          <cell r="C650" t="str">
            <v>Pcs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1950</v>
          </cell>
        </row>
        <row r="651">
          <cell r="A651">
            <v>2534</v>
          </cell>
          <cell r="B651" t="str">
            <v>IRIS VERMOUTH ROJO LITRE</v>
          </cell>
          <cell r="C651" t="str">
            <v>Pcs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1950</v>
          </cell>
        </row>
        <row r="652">
          <cell r="A652">
            <v>37</v>
          </cell>
          <cell r="B652" t="str">
            <v>ABSOLUT BLUE VODKA 1LTR</v>
          </cell>
          <cell r="C652" t="str">
            <v>Pcs</v>
          </cell>
          <cell r="D652">
            <v>555</v>
          </cell>
          <cell r="E652">
            <v>0</v>
          </cell>
          <cell r="F652">
            <v>84</v>
          </cell>
          <cell r="G652">
            <v>471</v>
          </cell>
          <cell r="H652">
            <v>2000</v>
          </cell>
        </row>
        <row r="653">
          <cell r="A653">
            <v>38</v>
          </cell>
          <cell r="B653" t="str">
            <v>ABSOLUT BLUE VODKA 375ML</v>
          </cell>
          <cell r="C653" t="str">
            <v>Pcs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1000</v>
          </cell>
        </row>
        <row r="654">
          <cell r="A654">
            <v>39</v>
          </cell>
          <cell r="B654" t="str">
            <v>ABSOLUT BLUE VODKA 4.5LTR</v>
          </cell>
          <cell r="C654" t="str">
            <v>Pcs</v>
          </cell>
          <cell r="D654">
            <v>6</v>
          </cell>
          <cell r="E654">
            <v>0</v>
          </cell>
          <cell r="F654">
            <v>0</v>
          </cell>
          <cell r="G654">
            <v>6</v>
          </cell>
          <cell r="H654">
            <v>7500</v>
          </cell>
        </row>
        <row r="655">
          <cell r="A655">
            <v>40</v>
          </cell>
          <cell r="B655" t="str">
            <v>ABSOLUT BLUE VODKA 750ML</v>
          </cell>
          <cell r="C655" t="str">
            <v>Pcs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1800</v>
          </cell>
        </row>
        <row r="656">
          <cell r="A656">
            <v>41</v>
          </cell>
          <cell r="B656" t="str">
            <v>ABSOLUT CITRON VODKA 1LTR</v>
          </cell>
          <cell r="C656" t="str">
            <v>Pcs</v>
          </cell>
          <cell r="D656">
            <v>16</v>
          </cell>
          <cell r="E656">
            <v>0</v>
          </cell>
          <cell r="F656">
            <v>0</v>
          </cell>
          <cell r="G656">
            <v>16</v>
          </cell>
          <cell r="H656">
            <v>2000</v>
          </cell>
        </row>
        <row r="657">
          <cell r="A657">
            <v>42</v>
          </cell>
          <cell r="B657" t="str">
            <v>ABSOLUT CITRON VODKA 750ML</v>
          </cell>
          <cell r="C657" t="str">
            <v>Pcs</v>
          </cell>
          <cell r="D657">
            <v>12</v>
          </cell>
          <cell r="E657">
            <v>0</v>
          </cell>
          <cell r="F657">
            <v>3</v>
          </cell>
          <cell r="G657">
            <v>9</v>
          </cell>
          <cell r="H657">
            <v>1500</v>
          </cell>
        </row>
        <row r="658">
          <cell r="A658">
            <v>56</v>
          </cell>
          <cell r="B658" t="str">
            <v>ABSOLUTE MANGO 1LTR</v>
          </cell>
          <cell r="C658" t="str">
            <v>Pcs</v>
          </cell>
          <cell r="D658">
            <v>227</v>
          </cell>
          <cell r="E658">
            <v>0</v>
          </cell>
          <cell r="F658">
            <v>0</v>
          </cell>
          <cell r="G658">
            <v>227</v>
          </cell>
          <cell r="H658">
            <v>2200</v>
          </cell>
        </row>
        <row r="659">
          <cell r="A659">
            <v>57</v>
          </cell>
          <cell r="B659" t="str">
            <v>ABSOLUTE RASPBERRY 1LTR</v>
          </cell>
          <cell r="C659" t="str">
            <v>Pcs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2200</v>
          </cell>
        </row>
        <row r="660">
          <cell r="A660">
            <v>58</v>
          </cell>
          <cell r="B660" t="str">
            <v>ABSOLUTE VANILLA 1LTR</v>
          </cell>
          <cell r="C660" t="str">
            <v>Pcs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2200</v>
          </cell>
        </row>
        <row r="661">
          <cell r="A661">
            <v>46</v>
          </cell>
          <cell r="B661" t="str">
            <v>ABSOLUT KURRANT VODKA 750ML</v>
          </cell>
          <cell r="C661" t="str">
            <v>Pcs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1800</v>
          </cell>
        </row>
        <row r="662">
          <cell r="A662">
            <v>2457</v>
          </cell>
          <cell r="B662" t="str">
            <v>ABSOLUT LIME LITRE</v>
          </cell>
          <cell r="C662" t="str">
            <v>Pcs</v>
          </cell>
          <cell r="D662">
            <v>354</v>
          </cell>
          <cell r="E662">
            <v>0</v>
          </cell>
          <cell r="F662">
            <v>0</v>
          </cell>
          <cell r="G662">
            <v>354</v>
          </cell>
          <cell r="H662">
            <v>2000</v>
          </cell>
        </row>
        <row r="663">
          <cell r="A663">
            <v>47</v>
          </cell>
          <cell r="B663" t="str">
            <v>ABSOLUT MANDARIN VODKA 750ML</v>
          </cell>
          <cell r="C663" t="str">
            <v>Pcs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1800</v>
          </cell>
        </row>
        <row r="664">
          <cell r="A664">
            <v>36</v>
          </cell>
          <cell r="B664" t="str">
            <v>ABSOLUT PEACH 1LTR</v>
          </cell>
          <cell r="C664" t="str">
            <v>Pcs</v>
          </cell>
          <cell r="D664">
            <v>203</v>
          </cell>
          <cell r="E664">
            <v>0</v>
          </cell>
          <cell r="F664">
            <v>0</v>
          </cell>
          <cell r="G664">
            <v>203</v>
          </cell>
          <cell r="H664">
            <v>2200</v>
          </cell>
        </row>
        <row r="665">
          <cell r="A665">
            <v>49</v>
          </cell>
          <cell r="B665" t="str">
            <v>ABSOLUT PEARS VODKA 1LTR</v>
          </cell>
          <cell r="C665" t="str">
            <v>Pcs</v>
          </cell>
          <cell r="D665">
            <v>48</v>
          </cell>
          <cell r="E665">
            <v>0</v>
          </cell>
          <cell r="F665">
            <v>0</v>
          </cell>
          <cell r="G665">
            <v>48</v>
          </cell>
          <cell r="H665">
            <v>2200</v>
          </cell>
        </row>
        <row r="666">
          <cell r="A666">
            <v>51</v>
          </cell>
          <cell r="B666" t="str">
            <v>ABSOLUT PEPPAR VODKA 1LTR</v>
          </cell>
          <cell r="C666" t="str">
            <v>Pcs</v>
          </cell>
          <cell r="D666">
            <v>12</v>
          </cell>
          <cell r="E666">
            <v>0</v>
          </cell>
          <cell r="F666">
            <v>0</v>
          </cell>
          <cell r="G666">
            <v>12</v>
          </cell>
          <cell r="H666">
            <v>2200</v>
          </cell>
        </row>
        <row r="667">
          <cell r="A667">
            <v>53</v>
          </cell>
          <cell r="B667" t="str">
            <v>ABSOLUT RUBY RED GRAPEFRUIT 1LTR</v>
          </cell>
          <cell r="C667" t="str">
            <v>Pcs</v>
          </cell>
          <cell r="D667">
            <v>334</v>
          </cell>
          <cell r="E667">
            <v>0</v>
          </cell>
          <cell r="F667">
            <v>0</v>
          </cell>
          <cell r="G667">
            <v>334</v>
          </cell>
          <cell r="H667">
            <v>2200</v>
          </cell>
        </row>
        <row r="668">
          <cell r="A668">
            <v>2971</v>
          </cell>
          <cell r="B668" t="str">
            <v>AMSTERDAM CANNABIS SATIVA VODKA 700ML</v>
          </cell>
          <cell r="C668" t="str">
            <v>Pcs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2100</v>
          </cell>
        </row>
        <row r="669">
          <cell r="A669">
            <v>2878</v>
          </cell>
          <cell r="B669" t="str">
            <v>AVALON VODKA 250ML</v>
          </cell>
          <cell r="C669" t="str">
            <v>Pcs</v>
          </cell>
          <cell r="D669">
            <v>0</v>
          </cell>
          <cell r="E669">
            <v>600</v>
          </cell>
          <cell r="F669">
            <v>40</v>
          </cell>
          <cell r="G669">
            <v>560</v>
          </cell>
          <cell r="H669">
            <v>210</v>
          </cell>
        </row>
        <row r="670">
          <cell r="A670">
            <v>2879</v>
          </cell>
          <cell r="B670" t="str">
            <v>AVALON VODKA 750ML</v>
          </cell>
          <cell r="C670" t="str">
            <v>Pcs</v>
          </cell>
          <cell r="D670">
            <v>0</v>
          </cell>
          <cell r="E670">
            <v>60</v>
          </cell>
          <cell r="F670">
            <v>24</v>
          </cell>
          <cell r="G670">
            <v>36</v>
          </cell>
          <cell r="H670">
            <v>650</v>
          </cell>
        </row>
        <row r="671">
          <cell r="A671">
            <v>205</v>
          </cell>
          <cell r="B671" t="str">
            <v>BELUGA NOBLE 1ltr</v>
          </cell>
          <cell r="C671" t="str">
            <v>Pcs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5000</v>
          </cell>
        </row>
        <row r="672">
          <cell r="A672">
            <v>208</v>
          </cell>
          <cell r="B672" t="str">
            <v>BELVEDERE SMOGORY FOREST 1LTR</v>
          </cell>
          <cell r="C672" t="str">
            <v>Pcs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7500</v>
          </cell>
        </row>
        <row r="673">
          <cell r="A673">
            <v>209</v>
          </cell>
          <cell r="B673" t="str">
            <v>BELVEDERE VODKA 1LTR</v>
          </cell>
          <cell r="C673" t="str">
            <v>Pcs</v>
          </cell>
          <cell r="D673">
            <v>144</v>
          </cell>
          <cell r="E673">
            <v>0</v>
          </cell>
          <cell r="F673">
            <v>3</v>
          </cell>
          <cell r="G673">
            <v>141</v>
          </cell>
          <cell r="H673">
            <v>4800</v>
          </cell>
        </row>
        <row r="674">
          <cell r="A674">
            <v>210</v>
          </cell>
          <cell r="B674" t="str">
            <v>BELVEDERE VODKA 750ML</v>
          </cell>
          <cell r="C674" t="str">
            <v>Pcs</v>
          </cell>
          <cell r="D674">
            <v>10</v>
          </cell>
          <cell r="E674">
            <v>0</v>
          </cell>
          <cell r="F674">
            <v>10</v>
          </cell>
          <cell r="G674">
            <v>0</v>
          </cell>
          <cell r="H674">
            <v>4400</v>
          </cell>
        </row>
        <row r="675">
          <cell r="A675">
            <v>220</v>
          </cell>
          <cell r="B675" t="str">
            <v>BEST VODKA 250ML</v>
          </cell>
          <cell r="C675" t="str">
            <v>Pcs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237</v>
          </cell>
        </row>
        <row r="676">
          <cell r="A676">
            <v>221</v>
          </cell>
          <cell r="B676" t="str">
            <v>BEST VODKA 750ML</v>
          </cell>
          <cell r="C676" t="str">
            <v>Pcs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675</v>
          </cell>
        </row>
        <row r="677">
          <cell r="A677">
            <v>2265</v>
          </cell>
          <cell r="B677" t="str">
            <v>BLUE MOON 750ML</v>
          </cell>
          <cell r="C677" t="str">
            <v>Pcs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650</v>
          </cell>
        </row>
        <row r="678">
          <cell r="A678">
            <v>387</v>
          </cell>
          <cell r="B678" t="str">
            <v>CARIBIA CANE 750ML</v>
          </cell>
          <cell r="C678" t="str">
            <v>Pcs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696</v>
          </cell>
        </row>
        <row r="679">
          <cell r="A679">
            <v>472</v>
          </cell>
          <cell r="B679" t="str">
            <v>CHROME LEMON 250ML</v>
          </cell>
          <cell r="C679" t="str">
            <v>Pcs</v>
          </cell>
          <cell r="D679">
            <v>520</v>
          </cell>
          <cell r="E679">
            <v>0</v>
          </cell>
          <cell r="F679">
            <v>80</v>
          </cell>
          <cell r="G679">
            <v>440</v>
          </cell>
          <cell r="H679">
            <v>210</v>
          </cell>
        </row>
        <row r="680">
          <cell r="A680">
            <v>2420</v>
          </cell>
          <cell r="B680" t="str">
            <v>CHROME VODKA 750ML</v>
          </cell>
          <cell r="C680" t="str">
            <v>Pcs</v>
          </cell>
          <cell r="D680">
            <v>345</v>
          </cell>
          <cell r="E680">
            <v>0</v>
          </cell>
          <cell r="F680">
            <v>36</v>
          </cell>
          <cell r="G680">
            <v>309</v>
          </cell>
          <cell r="H680">
            <v>565</v>
          </cell>
        </row>
        <row r="681">
          <cell r="A681">
            <v>2421</v>
          </cell>
          <cell r="B681" t="str">
            <v>CHROME VODKA CLEAR 250ML</v>
          </cell>
          <cell r="C681" t="str">
            <v>Pcs</v>
          </cell>
          <cell r="D681">
            <v>640</v>
          </cell>
          <cell r="E681">
            <v>800</v>
          </cell>
          <cell r="F681">
            <v>440</v>
          </cell>
          <cell r="G681">
            <v>1000</v>
          </cell>
          <cell r="H681">
            <v>210</v>
          </cell>
        </row>
        <row r="682">
          <cell r="A682">
            <v>479</v>
          </cell>
          <cell r="B682" t="str">
            <v>CIROC APPLE 750ML</v>
          </cell>
          <cell r="C682" t="str">
            <v>Pcs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4400</v>
          </cell>
        </row>
        <row r="683">
          <cell r="A683">
            <v>2470</v>
          </cell>
          <cell r="B683" t="str">
            <v>CIROC COCONUT 700ML</v>
          </cell>
          <cell r="C683" t="str">
            <v>Pcs</v>
          </cell>
          <cell r="D683">
            <v>6</v>
          </cell>
          <cell r="E683">
            <v>0</v>
          </cell>
          <cell r="F683">
            <v>0</v>
          </cell>
          <cell r="G683">
            <v>6</v>
          </cell>
          <cell r="H683">
            <v>3600</v>
          </cell>
        </row>
        <row r="684">
          <cell r="A684">
            <v>2471</v>
          </cell>
          <cell r="B684" t="str">
            <v>CIROC LIMONATA 700ML</v>
          </cell>
          <cell r="C684" t="str">
            <v>Pcs</v>
          </cell>
          <cell r="D684">
            <v>6</v>
          </cell>
          <cell r="E684">
            <v>0</v>
          </cell>
          <cell r="F684">
            <v>0</v>
          </cell>
          <cell r="G684">
            <v>6</v>
          </cell>
          <cell r="H684">
            <v>4300</v>
          </cell>
        </row>
        <row r="685">
          <cell r="A685">
            <v>481</v>
          </cell>
          <cell r="B685" t="str">
            <v>CIROC MANGO 750ML</v>
          </cell>
          <cell r="C685" t="str">
            <v>Pcs</v>
          </cell>
          <cell r="D685">
            <v>24</v>
          </cell>
          <cell r="E685">
            <v>0</v>
          </cell>
          <cell r="F685">
            <v>0</v>
          </cell>
          <cell r="G685">
            <v>24</v>
          </cell>
          <cell r="H685">
            <v>4400</v>
          </cell>
        </row>
        <row r="686">
          <cell r="A686">
            <v>2472</v>
          </cell>
          <cell r="B686" t="str">
            <v>CIROC PEACH 700ML</v>
          </cell>
          <cell r="C686" t="str">
            <v>Pcs</v>
          </cell>
          <cell r="D686">
            <v>12</v>
          </cell>
          <cell r="E686">
            <v>0</v>
          </cell>
          <cell r="F686">
            <v>0</v>
          </cell>
          <cell r="G686">
            <v>12</v>
          </cell>
          <cell r="H686">
            <v>3950</v>
          </cell>
        </row>
        <row r="687">
          <cell r="A687">
            <v>482</v>
          </cell>
          <cell r="B687" t="str">
            <v>CIROC PEACH VODKA 1LTR</v>
          </cell>
          <cell r="C687" t="str">
            <v>Pcs</v>
          </cell>
          <cell r="D687">
            <v>92</v>
          </cell>
          <cell r="E687">
            <v>0</v>
          </cell>
          <cell r="F687">
            <v>0</v>
          </cell>
          <cell r="G687">
            <v>92</v>
          </cell>
          <cell r="H687">
            <v>4800</v>
          </cell>
        </row>
        <row r="688">
          <cell r="A688">
            <v>485</v>
          </cell>
          <cell r="B688" t="str">
            <v>CIROC PINEAPPLE VODKA 1LTR</v>
          </cell>
          <cell r="C688" t="str">
            <v>Pcs</v>
          </cell>
          <cell r="D688">
            <v>102</v>
          </cell>
          <cell r="E688">
            <v>0</v>
          </cell>
          <cell r="F688">
            <v>0</v>
          </cell>
          <cell r="G688">
            <v>102</v>
          </cell>
          <cell r="H688">
            <v>4800</v>
          </cell>
        </row>
        <row r="689">
          <cell r="A689">
            <v>483</v>
          </cell>
          <cell r="B689" t="str">
            <v>CIROC PINEAPPLE VODKA 750ML</v>
          </cell>
          <cell r="C689" t="str">
            <v>Pcs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4400</v>
          </cell>
        </row>
        <row r="690">
          <cell r="A690">
            <v>2458</v>
          </cell>
          <cell r="B690" t="str">
            <v>CIROC RED BERRY LITRE</v>
          </cell>
          <cell r="C690" t="str">
            <v>Pcs</v>
          </cell>
          <cell r="D690">
            <v>196</v>
          </cell>
          <cell r="E690">
            <v>0</v>
          </cell>
          <cell r="F690">
            <v>0</v>
          </cell>
          <cell r="G690">
            <v>196</v>
          </cell>
          <cell r="H690">
            <v>4800</v>
          </cell>
        </row>
        <row r="691">
          <cell r="A691">
            <v>2381</v>
          </cell>
          <cell r="B691" t="str">
            <v>CIROC SNAP FOREST 1LTR</v>
          </cell>
          <cell r="C691" t="str">
            <v>Pcs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4700</v>
          </cell>
        </row>
        <row r="692">
          <cell r="A692">
            <v>489</v>
          </cell>
          <cell r="B692" t="str">
            <v>CIROC VODKA 1LTR</v>
          </cell>
          <cell r="C692" t="str">
            <v>Pcs</v>
          </cell>
          <cell r="D692">
            <v>231</v>
          </cell>
          <cell r="E692">
            <v>0</v>
          </cell>
          <cell r="F692">
            <v>0</v>
          </cell>
          <cell r="G692">
            <v>231</v>
          </cell>
          <cell r="H692">
            <v>4800</v>
          </cell>
        </row>
        <row r="693">
          <cell r="A693">
            <v>548</v>
          </cell>
          <cell r="B693" t="str">
            <v>CRUZ VODKA 750ML</v>
          </cell>
          <cell r="C693" t="str">
            <v>Pcs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1200</v>
          </cell>
        </row>
        <row r="694">
          <cell r="A694">
            <v>2293</v>
          </cell>
          <cell r="B694" t="str">
            <v>ELIT VODKA 1LTR</v>
          </cell>
          <cell r="C694" t="str">
            <v>Pcs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3500</v>
          </cell>
        </row>
        <row r="695">
          <cell r="A695">
            <v>664</v>
          </cell>
          <cell r="B695" t="str">
            <v>ERISTOFF 1LTR</v>
          </cell>
          <cell r="C695" t="str">
            <v>Pcs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1500</v>
          </cell>
        </row>
        <row r="696">
          <cell r="A696">
            <v>665</v>
          </cell>
          <cell r="B696" t="str">
            <v>ERISTOFF 750ML </v>
          </cell>
          <cell r="C696" t="str">
            <v>Pcs</v>
          </cell>
          <cell r="D696">
            <v>48</v>
          </cell>
          <cell r="E696">
            <v>0</v>
          </cell>
          <cell r="F696">
            <v>0</v>
          </cell>
          <cell r="G696">
            <v>48</v>
          </cell>
          <cell r="H696">
            <v>800</v>
          </cell>
        </row>
        <row r="697">
          <cell r="A697">
            <v>2962</v>
          </cell>
          <cell r="B697" t="str">
            <v>FIRE STARTER VODKA 700ML</v>
          </cell>
          <cell r="C697" t="str">
            <v>Pcs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2100</v>
          </cell>
        </row>
        <row r="698">
          <cell r="A698">
            <v>722</v>
          </cell>
          <cell r="B698" t="str">
            <v>FLIRT BLACK SILVER VODKA 1LTR</v>
          </cell>
          <cell r="C698" t="str">
            <v>Pcs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1200</v>
          </cell>
        </row>
        <row r="699">
          <cell r="A699">
            <v>2579</v>
          </cell>
          <cell r="B699" t="str">
            <v>FLIRT STRAWBERRY 700ML</v>
          </cell>
          <cell r="C699" t="str">
            <v>Pcs</v>
          </cell>
          <cell r="D699">
            <v>34</v>
          </cell>
          <cell r="E699">
            <v>0</v>
          </cell>
          <cell r="F699">
            <v>0</v>
          </cell>
          <cell r="G699">
            <v>34</v>
          </cell>
          <cell r="H699">
            <v>900</v>
          </cell>
        </row>
        <row r="700">
          <cell r="A700">
            <v>726</v>
          </cell>
          <cell r="B700" t="str">
            <v>FLIRT STRAWBERRY VODKA 1LTR</v>
          </cell>
          <cell r="C700" t="str">
            <v>Pcs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1200</v>
          </cell>
        </row>
        <row r="701">
          <cell r="A701">
            <v>727</v>
          </cell>
          <cell r="B701" t="str">
            <v>FLIRT VODKA CHOCOLATE 1LTR</v>
          </cell>
          <cell r="C701" t="str">
            <v>Pcs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1200</v>
          </cell>
        </row>
        <row r="702">
          <cell r="A702">
            <v>2581</v>
          </cell>
          <cell r="B702" t="str">
            <v>FLIRT VODKA CHOCOLATE 700ML</v>
          </cell>
          <cell r="C702" t="str">
            <v>Pcs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900</v>
          </cell>
        </row>
        <row r="703">
          <cell r="A703">
            <v>729</v>
          </cell>
          <cell r="B703" t="str">
            <v>FLIRT VODKA GREEN APPLE 1LTR</v>
          </cell>
          <cell r="C703" t="str">
            <v>Pcs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1200</v>
          </cell>
        </row>
        <row r="704">
          <cell r="A704">
            <v>731</v>
          </cell>
          <cell r="B704" t="str">
            <v>FLIRT VODKA LEMON  1LTR</v>
          </cell>
          <cell r="C704" t="str">
            <v>Pcs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1200</v>
          </cell>
        </row>
        <row r="705">
          <cell r="A705">
            <v>732</v>
          </cell>
          <cell r="B705" t="str">
            <v>FLIRT VODKA ORANGE  1LTR</v>
          </cell>
          <cell r="C705" t="str">
            <v>Pcs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1200</v>
          </cell>
        </row>
        <row r="706">
          <cell r="A706">
            <v>733</v>
          </cell>
          <cell r="B706" t="str">
            <v>FLIRT VODKA ORANGE 750ML</v>
          </cell>
          <cell r="C706" t="str">
            <v>Pcs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850</v>
          </cell>
        </row>
        <row r="707">
          <cell r="A707">
            <v>735</v>
          </cell>
          <cell r="B707" t="str">
            <v>FLIRT VODKA RED 1LTR</v>
          </cell>
          <cell r="C707" t="str">
            <v>Pcs</v>
          </cell>
          <cell r="D707">
            <v>66</v>
          </cell>
          <cell r="E707">
            <v>0</v>
          </cell>
          <cell r="F707">
            <v>0</v>
          </cell>
          <cell r="G707">
            <v>66</v>
          </cell>
          <cell r="H707">
            <v>1200</v>
          </cell>
        </row>
        <row r="708">
          <cell r="A708">
            <v>738</v>
          </cell>
          <cell r="B708" t="str">
            <v>FLIRT VODKA STRAWBERRY 350ML</v>
          </cell>
          <cell r="C708" t="str">
            <v>Pcs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350</v>
          </cell>
        </row>
        <row r="709">
          <cell r="A709">
            <v>820</v>
          </cell>
          <cell r="B709" t="str">
            <v>GIBSON'S GIN 1LTR</v>
          </cell>
          <cell r="C709" t="str">
            <v>Pcs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1500</v>
          </cell>
        </row>
        <row r="710">
          <cell r="A710">
            <v>2295</v>
          </cell>
          <cell r="B710" t="str">
            <v>GREY GOOSE 375ML</v>
          </cell>
          <cell r="C710" t="str">
            <v>Pcs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1500</v>
          </cell>
        </row>
        <row r="711">
          <cell r="A711">
            <v>923</v>
          </cell>
          <cell r="B711" t="str">
            <v>GREY GOOSE ORANGE VODKA 750ML</v>
          </cell>
          <cell r="C711" t="str">
            <v>Pcs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3800</v>
          </cell>
        </row>
        <row r="712">
          <cell r="A712">
            <v>925</v>
          </cell>
          <cell r="B712" t="str">
            <v>GREY GOOSE VODKA 1LTR</v>
          </cell>
          <cell r="C712" t="str">
            <v>Pcs</v>
          </cell>
          <cell r="D712">
            <v>262</v>
          </cell>
          <cell r="E712">
            <v>0</v>
          </cell>
          <cell r="F712">
            <v>24</v>
          </cell>
          <cell r="G712">
            <v>238</v>
          </cell>
          <cell r="H712">
            <v>4800</v>
          </cell>
        </row>
        <row r="713">
          <cell r="A713">
            <v>924</v>
          </cell>
          <cell r="B713" t="str">
            <v>GREY GOOSE VODKA  750ML</v>
          </cell>
          <cell r="C713" t="str">
            <v>Pcs</v>
          </cell>
          <cell r="D713">
            <v>34</v>
          </cell>
          <cell r="E713">
            <v>0</v>
          </cell>
          <cell r="F713">
            <v>3</v>
          </cell>
          <cell r="G713">
            <v>31</v>
          </cell>
          <cell r="H713">
            <v>3800</v>
          </cell>
        </row>
        <row r="714">
          <cell r="A714">
            <v>2199</v>
          </cell>
          <cell r="B714" t="str">
            <v>HUNTING LODGE GREEN APPLE 1LTR</v>
          </cell>
          <cell r="C714" t="str">
            <v>Pcs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1400</v>
          </cell>
        </row>
        <row r="715">
          <cell r="A715">
            <v>1001</v>
          </cell>
          <cell r="B715" t="str">
            <v>HUNTING LODGE VODKA 1LTR</v>
          </cell>
          <cell r="C715" t="str">
            <v>Pcs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1400</v>
          </cell>
        </row>
        <row r="716">
          <cell r="A716">
            <v>1002</v>
          </cell>
          <cell r="B716" t="str">
            <v>HUNTING LODGE VODKA 700ML</v>
          </cell>
          <cell r="C716" t="str">
            <v>Pcs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750</v>
          </cell>
        </row>
        <row r="717">
          <cell r="A717">
            <v>2331</v>
          </cell>
          <cell r="B717" t="str">
            <v>KENYA CANE LEMON &amp; GINGER 250ML</v>
          </cell>
          <cell r="C717" t="str">
            <v>Pcs</v>
          </cell>
          <cell r="D717">
            <v>600</v>
          </cell>
          <cell r="E717">
            <v>4400</v>
          </cell>
          <cell r="F717">
            <v>3080</v>
          </cell>
          <cell r="G717">
            <v>1920</v>
          </cell>
          <cell r="H717">
            <v>260</v>
          </cell>
        </row>
        <row r="718">
          <cell r="A718">
            <v>2427</v>
          </cell>
          <cell r="B718" t="str">
            <v>KENYA CANE PINEAPPLE 250ML</v>
          </cell>
          <cell r="C718" t="str">
            <v>Pcs</v>
          </cell>
          <cell r="D718">
            <v>1120</v>
          </cell>
          <cell r="E718">
            <v>3200</v>
          </cell>
          <cell r="F718">
            <v>2240</v>
          </cell>
          <cell r="G718">
            <v>2080</v>
          </cell>
          <cell r="H718">
            <v>256</v>
          </cell>
        </row>
        <row r="719">
          <cell r="A719">
            <v>2428</v>
          </cell>
          <cell r="B719" t="str">
            <v>KENYA CANE PINEAPPLE 750ML</v>
          </cell>
          <cell r="C719" t="str">
            <v>Pcs</v>
          </cell>
          <cell r="D719">
            <v>385</v>
          </cell>
          <cell r="E719">
            <v>636</v>
          </cell>
          <cell r="F719">
            <v>924</v>
          </cell>
          <cell r="G719">
            <v>97</v>
          </cell>
          <cell r="H719">
            <v>674</v>
          </cell>
        </row>
        <row r="720">
          <cell r="A720">
            <v>2429</v>
          </cell>
          <cell r="B720" t="str">
            <v>KENYA CANE SMOOTH 250 ML</v>
          </cell>
          <cell r="C720" t="str">
            <v>Pcs</v>
          </cell>
          <cell r="D720">
            <v>800</v>
          </cell>
          <cell r="E720">
            <v>1200</v>
          </cell>
          <cell r="F720">
            <v>720</v>
          </cell>
          <cell r="G720">
            <v>1280</v>
          </cell>
          <cell r="H720">
            <v>256</v>
          </cell>
        </row>
        <row r="721">
          <cell r="A721">
            <v>1184</v>
          </cell>
          <cell r="B721" t="str">
            <v>KENYA CANE SMOOTH 350 ML</v>
          </cell>
          <cell r="C721" t="str">
            <v>Pcs</v>
          </cell>
          <cell r="D721">
            <v>768</v>
          </cell>
          <cell r="E721">
            <v>480</v>
          </cell>
          <cell r="F721">
            <v>744</v>
          </cell>
          <cell r="G721">
            <v>504</v>
          </cell>
          <cell r="H721">
            <v>354</v>
          </cell>
        </row>
        <row r="722">
          <cell r="A722">
            <v>1185</v>
          </cell>
          <cell r="B722" t="str">
            <v>KENYA CANE SMOOTH 750 ML</v>
          </cell>
          <cell r="C722" t="str">
            <v>Pcs</v>
          </cell>
          <cell r="D722">
            <v>240</v>
          </cell>
          <cell r="E722">
            <v>612</v>
          </cell>
          <cell r="F722">
            <v>588</v>
          </cell>
          <cell r="G722">
            <v>264</v>
          </cell>
          <cell r="H722">
            <v>674</v>
          </cell>
        </row>
        <row r="723">
          <cell r="A723">
            <v>2297</v>
          </cell>
          <cell r="B723" t="str">
            <v>KENYA GOLD 250ML</v>
          </cell>
          <cell r="C723" t="str">
            <v>Pcs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200</v>
          </cell>
        </row>
        <row r="724">
          <cell r="A724">
            <v>1188</v>
          </cell>
          <cell r="B724" t="str">
            <v>KETELONE VODKA 1LTR</v>
          </cell>
          <cell r="C724" t="str">
            <v>Pcs</v>
          </cell>
          <cell r="D724">
            <v>246</v>
          </cell>
          <cell r="E724">
            <v>0</v>
          </cell>
          <cell r="F724">
            <v>0</v>
          </cell>
          <cell r="G724">
            <v>246</v>
          </cell>
          <cell r="H724">
            <v>3000</v>
          </cell>
        </row>
        <row r="725">
          <cell r="A725">
            <v>1189</v>
          </cell>
          <cell r="B725" t="str">
            <v>KETEL ONE VODKA 750ML</v>
          </cell>
          <cell r="C725" t="str">
            <v>Pcs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2500</v>
          </cell>
        </row>
        <row r="726">
          <cell r="A726">
            <v>1190</v>
          </cell>
          <cell r="B726" t="str">
            <v>KHOR BLACK &amp; GOLD VODKA 1LTR</v>
          </cell>
          <cell r="C726" t="str">
            <v>Pcs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2300</v>
          </cell>
        </row>
        <row r="727">
          <cell r="A727">
            <v>1192</v>
          </cell>
          <cell r="B727" t="str">
            <v>KHOR PLATINUM 750ML</v>
          </cell>
          <cell r="C727" t="str">
            <v>Pcs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2100</v>
          </cell>
        </row>
        <row r="728">
          <cell r="A728">
            <v>1193</v>
          </cell>
          <cell r="B728" t="str">
            <v>KHOR PLATINUM VODKA 1LTR</v>
          </cell>
          <cell r="C728" t="str">
            <v>Pcs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1500</v>
          </cell>
        </row>
        <row r="729">
          <cell r="A729">
            <v>2224</v>
          </cell>
          <cell r="B729" t="str">
            <v>KHOR STRACTURED VODKA 1LTR</v>
          </cell>
          <cell r="C729" t="str">
            <v>Pcs</v>
          </cell>
          <cell r="D729">
            <v>1</v>
          </cell>
          <cell r="E729">
            <v>0</v>
          </cell>
          <cell r="F729">
            <v>0</v>
          </cell>
          <cell r="G729">
            <v>1</v>
          </cell>
          <cell r="H729">
            <v>2300</v>
          </cell>
        </row>
        <row r="730">
          <cell r="A730">
            <v>1194</v>
          </cell>
          <cell r="B730" t="str">
            <v>KHOR WHITE &amp; GOLD 750ML</v>
          </cell>
          <cell r="C730" t="str">
            <v>Pcs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2300</v>
          </cell>
        </row>
        <row r="731">
          <cell r="A731">
            <v>1195</v>
          </cell>
          <cell r="B731" t="str">
            <v>KHOR WHITE &amp; GOLD VODKA 1LTR</v>
          </cell>
          <cell r="C731" t="str">
            <v>Pcs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2300</v>
          </cell>
        </row>
        <row r="732">
          <cell r="A732">
            <v>1197</v>
          </cell>
          <cell r="B732" t="str">
            <v>KIBAO 250 ML</v>
          </cell>
          <cell r="C732" t="str">
            <v>Pcs</v>
          </cell>
          <cell r="D732">
            <v>720</v>
          </cell>
          <cell r="E732">
            <v>0</v>
          </cell>
          <cell r="F732">
            <v>240</v>
          </cell>
          <cell r="G732">
            <v>480</v>
          </cell>
          <cell r="H732">
            <v>225</v>
          </cell>
        </row>
        <row r="733">
          <cell r="A733">
            <v>1198</v>
          </cell>
          <cell r="B733" t="str">
            <v>KIBAO 350 ML</v>
          </cell>
          <cell r="C733" t="str">
            <v>Pcs</v>
          </cell>
          <cell r="D733">
            <v>168</v>
          </cell>
          <cell r="E733">
            <v>252</v>
          </cell>
          <cell r="F733">
            <v>96</v>
          </cell>
          <cell r="G733">
            <v>324</v>
          </cell>
          <cell r="H733">
            <v>337</v>
          </cell>
        </row>
        <row r="734">
          <cell r="A734">
            <v>1199</v>
          </cell>
          <cell r="B734" t="str">
            <v>KIBAO 750 ML</v>
          </cell>
          <cell r="C734" t="str">
            <v>Pcs</v>
          </cell>
          <cell r="D734">
            <v>189</v>
          </cell>
          <cell r="E734">
            <v>0</v>
          </cell>
          <cell r="F734">
            <v>144</v>
          </cell>
          <cell r="G734">
            <v>45</v>
          </cell>
          <cell r="H734">
            <v>626</v>
          </cell>
        </row>
        <row r="735">
          <cell r="A735">
            <v>1209</v>
          </cell>
          <cell r="B735" t="str">
            <v>KING ROBERT VODKA 1LTR</v>
          </cell>
          <cell r="C735" t="str">
            <v>Pcs</v>
          </cell>
          <cell r="D735">
            <v>58</v>
          </cell>
          <cell r="E735">
            <v>0</v>
          </cell>
          <cell r="F735">
            <v>0</v>
          </cell>
          <cell r="G735">
            <v>58</v>
          </cell>
          <cell r="H735">
            <v>1400</v>
          </cell>
        </row>
        <row r="736">
          <cell r="A736">
            <v>2968</v>
          </cell>
          <cell r="B736" t="str">
            <v>LEGENDARY ABSOLUTE PREMIUM VODKA AK-47 700ML</v>
          </cell>
          <cell r="C736" t="str">
            <v>Pcs</v>
          </cell>
          <cell r="D736">
            <v>4</v>
          </cell>
          <cell r="E736">
            <v>0</v>
          </cell>
          <cell r="F736">
            <v>0</v>
          </cell>
          <cell r="G736">
            <v>4</v>
          </cell>
          <cell r="H736">
            <v>7500</v>
          </cell>
        </row>
        <row r="737">
          <cell r="A737">
            <v>2341</v>
          </cell>
          <cell r="B737" t="str">
            <v>LELESHWA VODKA 750ML</v>
          </cell>
          <cell r="C737" t="str">
            <v>Pcs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1350</v>
          </cell>
        </row>
        <row r="738">
          <cell r="A738">
            <v>2970</v>
          </cell>
          <cell r="B738" t="str">
            <v>M-16 RIFLE ABSOLUTE STANDARD PREMIUM VODKA 700ML</v>
          </cell>
          <cell r="C738" t="str">
            <v>Pcs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7500</v>
          </cell>
        </row>
        <row r="739">
          <cell r="A739">
            <v>2409</v>
          </cell>
          <cell r="B739" t="str">
            <v>MR BOSTON VODKA 1LTR</v>
          </cell>
          <cell r="C739" t="str">
            <v>Pcs</v>
          </cell>
          <cell r="D739">
            <v>24</v>
          </cell>
          <cell r="E739">
            <v>0</v>
          </cell>
          <cell r="F739">
            <v>0</v>
          </cell>
          <cell r="G739">
            <v>24</v>
          </cell>
          <cell r="H739">
            <v>700</v>
          </cell>
        </row>
        <row r="740">
          <cell r="A740">
            <v>1523</v>
          </cell>
          <cell r="B740" t="str">
            <v>NEMIROFF CRANBERRY 1LTR</v>
          </cell>
          <cell r="C740" t="str">
            <v>Pcs</v>
          </cell>
          <cell r="D740">
            <v>48</v>
          </cell>
          <cell r="E740">
            <v>0</v>
          </cell>
          <cell r="F740">
            <v>0</v>
          </cell>
          <cell r="G740">
            <v>48</v>
          </cell>
          <cell r="H740">
            <v>900</v>
          </cell>
        </row>
        <row r="741">
          <cell r="A741">
            <v>2310</v>
          </cell>
          <cell r="B741" t="str">
            <v>NEON APPLE VODKA 750ML</v>
          </cell>
          <cell r="C741" t="str">
            <v>Pcs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600</v>
          </cell>
        </row>
        <row r="742">
          <cell r="A742">
            <v>2309</v>
          </cell>
          <cell r="B742" t="str">
            <v>NEON ORANGE VODKA 750ML</v>
          </cell>
          <cell r="C742" t="str">
            <v>Pcs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600</v>
          </cell>
        </row>
        <row r="743">
          <cell r="A743">
            <v>2307</v>
          </cell>
          <cell r="B743" t="str">
            <v>NEON PINEAPPLE VODKA 750ML</v>
          </cell>
          <cell r="C743" t="str">
            <v>Pcs</v>
          </cell>
          <cell r="D743">
            <v>181</v>
          </cell>
          <cell r="E743">
            <v>0</v>
          </cell>
          <cell r="F743">
            <v>1</v>
          </cell>
          <cell r="G743">
            <v>180</v>
          </cell>
          <cell r="H743">
            <v>600</v>
          </cell>
        </row>
        <row r="744">
          <cell r="A744">
            <v>2308</v>
          </cell>
          <cell r="B744" t="str">
            <v>NEON VANILLA VODKA 750ML</v>
          </cell>
          <cell r="C744" t="str">
            <v>Pcs</v>
          </cell>
          <cell r="D744">
            <v>105</v>
          </cell>
          <cell r="E744">
            <v>0</v>
          </cell>
          <cell r="F744">
            <v>0</v>
          </cell>
          <cell r="G744">
            <v>105</v>
          </cell>
          <cell r="H744">
            <v>600</v>
          </cell>
        </row>
        <row r="745">
          <cell r="A745">
            <v>1525</v>
          </cell>
          <cell r="B745" t="str">
            <v>NEW AMSTERDAM CITRON 750ML</v>
          </cell>
          <cell r="C745" t="str">
            <v>Pcs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850</v>
          </cell>
        </row>
        <row r="746">
          <cell r="A746">
            <v>1526</v>
          </cell>
          <cell r="B746" t="str">
            <v>NEW AMSTERDAM COCONUT 750ML</v>
          </cell>
          <cell r="C746" t="str">
            <v>Pcs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850</v>
          </cell>
        </row>
        <row r="747">
          <cell r="A747">
            <v>1527</v>
          </cell>
          <cell r="B747" t="str">
            <v>NEW AMSTERDAM MANGO 750ML</v>
          </cell>
          <cell r="C747" t="str">
            <v>Pcs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850</v>
          </cell>
        </row>
        <row r="748">
          <cell r="A748">
            <v>1528</v>
          </cell>
          <cell r="B748" t="str">
            <v>NEW AMSTERDAM PEACH 750ml</v>
          </cell>
          <cell r="C748" t="str">
            <v>Pcs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850</v>
          </cell>
        </row>
        <row r="749">
          <cell r="A749">
            <v>1529</v>
          </cell>
          <cell r="B749" t="str">
            <v>NEW AMSTERDAM PINEAPPLE 750ML</v>
          </cell>
          <cell r="C749" t="str">
            <v>Pcs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850</v>
          </cell>
        </row>
        <row r="750">
          <cell r="A750">
            <v>1530</v>
          </cell>
          <cell r="B750" t="str">
            <v>NEW AMSTERDAM VODKA 1ltr</v>
          </cell>
          <cell r="C750" t="str">
            <v>Pcs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1200</v>
          </cell>
        </row>
        <row r="751">
          <cell r="A751">
            <v>1571</v>
          </cell>
          <cell r="B751" t="str">
            <v>ORIGIN 250ML</v>
          </cell>
          <cell r="C751" t="str">
            <v>Pcs</v>
          </cell>
          <cell r="D751">
            <v>40</v>
          </cell>
          <cell r="E751">
            <v>0</v>
          </cell>
          <cell r="F751">
            <v>40</v>
          </cell>
          <cell r="G751">
            <v>0</v>
          </cell>
          <cell r="H751">
            <v>177</v>
          </cell>
        </row>
        <row r="752">
          <cell r="A752">
            <v>1572</v>
          </cell>
          <cell r="B752" t="str">
            <v>ORIGIN BITTERS 750ML</v>
          </cell>
          <cell r="C752" t="str">
            <v>Pcs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484</v>
          </cell>
        </row>
        <row r="753">
          <cell r="A753">
            <v>2567</v>
          </cell>
          <cell r="B753" t="str">
            <v>PETROVSKAIA CHOCOLATE VODKA LITRE</v>
          </cell>
          <cell r="C753" t="str">
            <v>Pcs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1100</v>
          </cell>
        </row>
        <row r="754">
          <cell r="A754">
            <v>2568</v>
          </cell>
          <cell r="B754" t="str">
            <v>PETROVSKAIA CRANBERRY VODKA LITRE</v>
          </cell>
          <cell r="C754" t="str">
            <v>Pcs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1100</v>
          </cell>
        </row>
        <row r="755">
          <cell r="A755">
            <v>2569</v>
          </cell>
          <cell r="B755" t="str">
            <v>PETROVSKAIA PLATIMUM VODKA LITRE</v>
          </cell>
          <cell r="C755" t="str">
            <v>Pcs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1100</v>
          </cell>
        </row>
        <row r="756">
          <cell r="A756">
            <v>2852</v>
          </cell>
          <cell r="B756" t="str">
            <v>PLATINUM VODKA LITRE</v>
          </cell>
          <cell r="C756" t="str">
            <v>Pcs</v>
          </cell>
          <cell r="D756">
            <v>584</v>
          </cell>
          <cell r="E756">
            <v>0</v>
          </cell>
          <cell r="F756">
            <v>0</v>
          </cell>
          <cell r="G756">
            <v>584</v>
          </cell>
          <cell r="H756">
            <v>1400</v>
          </cell>
        </row>
        <row r="757">
          <cell r="A757">
            <v>2393</v>
          </cell>
          <cell r="B757" t="str">
            <v>RUSSIAN BEAR ENERGY FUDION EXPORT 750ML</v>
          </cell>
          <cell r="C757" t="str">
            <v>Pcs</v>
          </cell>
          <cell r="D757">
            <v>6</v>
          </cell>
          <cell r="E757">
            <v>0</v>
          </cell>
          <cell r="F757">
            <v>0</v>
          </cell>
          <cell r="G757">
            <v>6</v>
          </cell>
          <cell r="H757">
            <v>1100</v>
          </cell>
        </row>
        <row r="758">
          <cell r="A758">
            <v>2395</v>
          </cell>
          <cell r="B758" t="str">
            <v>RUSSIAN BEAR PASSION FRUIT 750ML</v>
          </cell>
          <cell r="C758" t="str">
            <v>Pcs</v>
          </cell>
          <cell r="D758">
            <v>6</v>
          </cell>
          <cell r="E758">
            <v>0</v>
          </cell>
          <cell r="F758">
            <v>0</v>
          </cell>
          <cell r="G758">
            <v>6</v>
          </cell>
          <cell r="H758">
            <v>1100</v>
          </cell>
        </row>
        <row r="759">
          <cell r="A759">
            <v>2394</v>
          </cell>
          <cell r="B759" t="str">
            <v>RUSSIAN BEAR VODKA 750ML</v>
          </cell>
          <cell r="C759" t="str">
            <v>Pcs</v>
          </cell>
          <cell r="D759">
            <v>42</v>
          </cell>
          <cell r="E759">
            <v>0</v>
          </cell>
          <cell r="F759">
            <v>0</v>
          </cell>
          <cell r="G759">
            <v>42</v>
          </cell>
          <cell r="H759">
            <v>1100</v>
          </cell>
        </row>
        <row r="760">
          <cell r="A760">
            <v>2396</v>
          </cell>
          <cell r="B760" t="str">
            <v>RUSSIAN BEAR WILD BERRY EXPORT 750ML</v>
          </cell>
          <cell r="C760" t="str">
            <v>Pcs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1100</v>
          </cell>
        </row>
        <row r="761">
          <cell r="A761">
            <v>1814</v>
          </cell>
          <cell r="B761" t="str">
            <v>SKYY INFUSION CITRUS VODKA 700ML</v>
          </cell>
          <cell r="C761" t="str">
            <v>Pcs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1200</v>
          </cell>
        </row>
        <row r="762">
          <cell r="A762">
            <v>1817</v>
          </cell>
          <cell r="B762" t="str">
            <v>SKYY VODKA 1LTR</v>
          </cell>
          <cell r="C762" t="str">
            <v>Pcs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1800</v>
          </cell>
        </row>
        <row r="763">
          <cell r="A763">
            <v>825</v>
          </cell>
          <cell r="B763" t="str">
            <v>SMIRNOFF</v>
          </cell>
          <cell r="C763" t="str">
            <v>Pcs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416</v>
          </cell>
        </row>
        <row r="764">
          <cell r="A764">
            <v>1823</v>
          </cell>
          <cell r="B764" t="str">
            <v>SMIRNOFF - BLUE 750ML</v>
          </cell>
          <cell r="C764" t="str">
            <v>Pcs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1500</v>
          </cell>
        </row>
        <row r="765">
          <cell r="A765">
            <v>2866</v>
          </cell>
          <cell r="B765" t="str">
            <v>SMIRNOFF COSMO COCKTAIL 750ML</v>
          </cell>
          <cell r="C765" t="str">
            <v>Pcs</v>
          </cell>
          <cell r="D765">
            <v>36</v>
          </cell>
          <cell r="E765">
            <v>0</v>
          </cell>
          <cell r="F765">
            <v>0</v>
          </cell>
          <cell r="G765">
            <v>36</v>
          </cell>
          <cell r="H765">
            <v>800</v>
          </cell>
        </row>
        <row r="766">
          <cell r="A766">
            <v>1828</v>
          </cell>
          <cell r="B766" t="str">
            <v>SMIRNOFF - LIME 1LT</v>
          </cell>
          <cell r="C766" t="str">
            <v>Pcs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1667</v>
          </cell>
        </row>
        <row r="767">
          <cell r="A767">
            <v>1831</v>
          </cell>
          <cell r="B767" t="str">
            <v>SMIRNOFF - RED 1LT</v>
          </cell>
          <cell r="C767" t="str">
            <v>Pcs</v>
          </cell>
          <cell r="D767">
            <v>324</v>
          </cell>
          <cell r="E767">
            <v>2</v>
          </cell>
          <cell r="F767">
            <v>108</v>
          </cell>
          <cell r="G767">
            <v>218</v>
          </cell>
          <cell r="H767">
            <v>1600</v>
          </cell>
        </row>
        <row r="768">
          <cell r="A768">
            <v>1832</v>
          </cell>
          <cell r="B768" t="str">
            <v>SMIRNOFF RED VODKA 250ML</v>
          </cell>
          <cell r="C768" t="str">
            <v>Pcs</v>
          </cell>
          <cell r="D768">
            <v>660</v>
          </cell>
          <cell r="E768">
            <v>0</v>
          </cell>
          <cell r="F768">
            <v>80</v>
          </cell>
          <cell r="G768">
            <v>580</v>
          </cell>
          <cell r="H768">
            <v>416</v>
          </cell>
        </row>
        <row r="769">
          <cell r="A769">
            <v>1833</v>
          </cell>
          <cell r="B769" t="str">
            <v>SMIRNOFF RED VODKA 350ML</v>
          </cell>
          <cell r="C769" t="str">
            <v>Pcs</v>
          </cell>
          <cell r="D769">
            <v>384</v>
          </cell>
          <cell r="E769">
            <v>0</v>
          </cell>
          <cell r="F769">
            <v>240</v>
          </cell>
          <cell r="G769">
            <v>144</v>
          </cell>
          <cell r="H769">
            <v>576</v>
          </cell>
        </row>
        <row r="770">
          <cell r="A770">
            <v>1834</v>
          </cell>
          <cell r="B770" t="str">
            <v>SMIRNOFF RED VODKA 750ML</v>
          </cell>
          <cell r="C770" t="str">
            <v>Pcs</v>
          </cell>
          <cell r="D770">
            <v>204</v>
          </cell>
          <cell r="E770">
            <v>0</v>
          </cell>
          <cell r="F770">
            <v>108</v>
          </cell>
          <cell r="G770">
            <v>96</v>
          </cell>
          <cell r="H770">
            <v>1240</v>
          </cell>
        </row>
        <row r="771">
          <cell r="A771">
            <v>1847</v>
          </cell>
          <cell r="B771" t="str">
            <v>SOBIESKI VODKA 1LTR</v>
          </cell>
          <cell r="C771" t="str">
            <v>Pcs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1600</v>
          </cell>
        </row>
        <row r="772">
          <cell r="A772">
            <v>2299</v>
          </cell>
          <cell r="B772" t="str">
            <v>STOLICHNAYA 1LTR</v>
          </cell>
          <cell r="C772" t="str">
            <v>Pcs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1300</v>
          </cell>
        </row>
        <row r="773">
          <cell r="A773">
            <v>2285</v>
          </cell>
          <cell r="B773" t="str">
            <v>STOLICHNAYA 375ML</v>
          </cell>
          <cell r="C773" t="str">
            <v>Pcs</v>
          </cell>
          <cell r="D773">
            <v>77</v>
          </cell>
          <cell r="E773">
            <v>0</v>
          </cell>
          <cell r="F773">
            <v>0</v>
          </cell>
          <cell r="G773">
            <v>77</v>
          </cell>
          <cell r="H773">
            <v>500</v>
          </cell>
        </row>
        <row r="774">
          <cell r="A774">
            <v>1887</v>
          </cell>
          <cell r="B774" t="str">
            <v>STOLICHNAYA CITRUS 750ML</v>
          </cell>
          <cell r="C774" t="str">
            <v>Pcs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1000</v>
          </cell>
        </row>
        <row r="775">
          <cell r="A775">
            <v>2360</v>
          </cell>
          <cell r="B775" t="str">
            <v>STOLICHNAYA HOT 750ML</v>
          </cell>
          <cell r="C775" t="str">
            <v>Pcs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950</v>
          </cell>
        </row>
        <row r="776">
          <cell r="A776">
            <v>1888</v>
          </cell>
          <cell r="B776" t="str">
            <v>STOLICHNAYA JALAPENO 750ML</v>
          </cell>
          <cell r="C776" t="str">
            <v>Pcs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1000</v>
          </cell>
        </row>
        <row r="777">
          <cell r="A777">
            <v>1889</v>
          </cell>
          <cell r="B777" t="str">
            <v>STOLICHNAYA ORANGE 750ML</v>
          </cell>
          <cell r="C777" t="str">
            <v>Pcs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1000</v>
          </cell>
        </row>
        <row r="778">
          <cell r="A778">
            <v>1890</v>
          </cell>
          <cell r="B778" t="str">
            <v>STOLICHNAYA RASBERRY 750ML</v>
          </cell>
          <cell r="C778" t="str">
            <v>Pcs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1000</v>
          </cell>
        </row>
        <row r="779">
          <cell r="A779">
            <v>1891</v>
          </cell>
          <cell r="B779" t="str">
            <v>STOLICHNAYA VANILLA 750ML</v>
          </cell>
          <cell r="C779" t="str">
            <v>Pcs</v>
          </cell>
          <cell r="D779">
            <v>6</v>
          </cell>
          <cell r="E779">
            <v>0</v>
          </cell>
          <cell r="F779">
            <v>0</v>
          </cell>
          <cell r="G779">
            <v>6</v>
          </cell>
          <cell r="H779">
            <v>1000</v>
          </cell>
        </row>
        <row r="780">
          <cell r="A780">
            <v>1943</v>
          </cell>
          <cell r="B780" t="str">
            <v>TANQUERAY STERLING VODKA 750ml</v>
          </cell>
          <cell r="C780" t="str">
            <v>Pcs</v>
          </cell>
          <cell r="D780">
            <v>32</v>
          </cell>
          <cell r="E780">
            <v>0</v>
          </cell>
          <cell r="F780">
            <v>0</v>
          </cell>
          <cell r="G780">
            <v>32</v>
          </cell>
          <cell r="H780">
            <v>2400</v>
          </cell>
        </row>
        <row r="781">
          <cell r="A781">
            <v>1996</v>
          </cell>
          <cell r="B781" t="str">
            <v>TITO'S VODKA 1LTR</v>
          </cell>
          <cell r="C781" t="str">
            <v>Pcs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3500</v>
          </cell>
        </row>
        <row r="782">
          <cell r="A782">
            <v>2010</v>
          </cell>
          <cell r="B782" t="str">
            <v>TRIPLE ACE VODKA 250 ML</v>
          </cell>
          <cell r="C782" t="str">
            <v>Pcs</v>
          </cell>
          <cell r="D782">
            <v>120</v>
          </cell>
          <cell r="E782">
            <v>400</v>
          </cell>
          <cell r="F782">
            <v>160</v>
          </cell>
          <cell r="G782">
            <v>360</v>
          </cell>
          <cell r="H782">
            <v>197</v>
          </cell>
        </row>
        <row r="783">
          <cell r="A783">
            <v>2011</v>
          </cell>
          <cell r="B783" t="str">
            <v>TRIPLE ACE VODKA 750 ML</v>
          </cell>
          <cell r="C783" t="str">
            <v>Pcs</v>
          </cell>
          <cell r="D783">
            <v>168</v>
          </cell>
          <cell r="E783">
            <v>0</v>
          </cell>
          <cell r="F783">
            <v>12</v>
          </cell>
          <cell r="G783">
            <v>156</v>
          </cell>
          <cell r="H783">
            <v>545</v>
          </cell>
        </row>
        <row r="784">
          <cell r="A784">
            <v>2327</v>
          </cell>
          <cell r="B784" t="str">
            <v>WHITE MISCHIEF 750ML</v>
          </cell>
          <cell r="C784" t="str">
            <v>Pcs</v>
          </cell>
          <cell r="D784">
            <v>96</v>
          </cell>
          <cell r="E784">
            <v>0</v>
          </cell>
          <cell r="F784">
            <v>0</v>
          </cell>
          <cell r="G784">
            <v>96</v>
          </cell>
          <cell r="H784">
            <v>1300</v>
          </cell>
        </row>
        <row r="785">
          <cell r="A785">
            <v>2856</v>
          </cell>
          <cell r="B785" t="str">
            <v>DALALI SPARKLING WATER 1L</v>
          </cell>
          <cell r="C785" t="str">
            <v>Pcs</v>
          </cell>
          <cell r="D785">
            <v>504</v>
          </cell>
          <cell r="E785">
            <v>0</v>
          </cell>
          <cell r="F785">
            <v>108</v>
          </cell>
          <cell r="G785">
            <v>396</v>
          </cell>
          <cell r="H785">
            <v>100</v>
          </cell>
        </row>
        <row r="786">
          <cell r="A786">
            <v>2921</v>
          </cell>
          <cell r="B786" t="str">
            <v>DALALI WATER MINERAL 500ml</v>
          </cell>
          <cell r="C786" t="str">
            <v>Pcs</v>
          </cell>
          <cell r="D786">
            <v>1056</v>
          </cell>
          <cell r="E786">
            <v>0</v>
          </cell>
          <cell r="F786">
            <v>696</v>
          </cell>
          <cell r="G786">
            <v>360</v>
          </cell>
          <cell r="H786">
            <v>50</v>
          </cell>
        </row>
        <row r="787">
          <cell r="A787">
            <v>567</v>
          </cell>
          <cell r="B787" t="str">
            <v>DALALI WATER STILL MINERAL 1LTR</v>
          </cell>
          <cell r="C787" t="str">
            <v>Pcs</v>
          </cell>
          <cell r="D787">
            <v>1368</v>
          </cell>
          <cell r="E787">
            <v>475</v>
          </cell>
          <cell r="F787">
            <v>996</v>
          </cell>
          <cell r="G787">
            <v>847</v>
          </cell>
          <cell r="H787">
            <v>100</v>
          </cell>
        </row>
        <row r="788">
          <cell r="A788">
            <v>579</v>
          </cell>
          <cell r="B788" t="str">
            <v>DASANI DRINKING WATER 1LTR</v>
          </cell>
          <cell r="C788" t="str">
            <v>Pcs</v>
          </cell>
          <cell r="D788">
            <v>12</v>
          </cell>
          <cell r="E788">
            <v>480</v>
          </cell>
          <cell r="F788">
            <v>348</v>
          </cell>
          <cell r="G788">
            <v>144</v>
          </cell>
          <cell r="H788">
            <v>100</v>
          </cell>
        </row>
        <row r="789">
          <cell r="A789">
            <v>580</v>
          </cell>
          <cell r="B789" t="str">
            <v>DASANI DRINKING WATER 500ML</v>
          </cell>
          <cell r="C789" t="str">
            <v>Pcs</v>
          </cell>
          <cell r="D789">
            <v>0</v>
          </cell>
          <cell r="E789">
            <v>240</v>
          </cell>
          <cell r="F789">
            <v>240</v>
          </cell>
          <cell r="G789">
            <v>0</v>
          </cell>
          <cell r="H789">
            <v>50</v>
          </cell>
        </row>
        <row r="790">
          <cell r="A790">
            <v>1186</v>
          </cell>
          <cell r="B790" t="str">
            <v>KERINGET MINERAL WATER 1LTR</v>
          </cell>
          <cell r="C790" t="str">
            <v>Pcs</v>
          </cell>
          <cell r="D790">
            <v>0</v>
          </cell>
          <cell r="E790">
            <v>1440</v>
          </cell>
          <cell r="F790">
            <v>1080</v>
          </cell>
          <cell r="G790">
            <v>360</v>
          </cell>
          <cell r="H790">
            <v>120</v>
          </cell>
        </row>
        <row r="791">
          <cell r="A791">
            <v>1187</v>
          </cell>
          <cell r="B791" t="str">
            <v>KERINGET MINERAL WATER 500ML</v>
          </cell>
          <cell r="C791" t="str">
            <v>Pcs</v>
          </cell>
          <cell r="D791">
            <v>144</v>
          </cell>
          <cell r="E791">
            <v>240</v>
          </cell>
          <cell r="F791">
            <v>192</v>
          </cell>
          <cell r="G791">
            <v>192</v>
          </cell>
          <cell r="H791">
            <v>70</v>
          </cell>
        </row>
        <row r="792">
          <cell r="A792">
            <v>2161</v>
          </cell>
          <cell r="B792" t="str">
            <v>KERINGET SPARKLING WATER 1L</v>
          </cell>
          <cell r="C792" t="str">
            <v>Pcs</v>
          </cell>
          <cell r="D792">
            <v>96</v>
          </cell>
          <cell r="E792">
            <v>0</v>
          </cell>
          <cell r="F792">
            <v>96</v>
          </cell>
          <cell r="G792">
            <v>0</v>
          </cell>
          <cell r="H792">
            <v>120</v>
          </cell>
        </row>
        <row r="793">
          <cell r="A793">
            <v>2237</v>
          </cell>
          <cell r="B793" t="str">
            <v>MAYERS DRINKING WATER 1LTR</v>
          </cell>
          <cell r="C793" t="str">
            <v>Pcs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100</v>
          </cell>
        </row>
        <row r="794">
          <cell r="A794">
            <v>2348</v>
          </cell>
          <cell r="B794" t="str">
            <v>MAYERS SPARKLING 1LTR</v>
          </cell>
          <cell r="C794" t="str">
            <v>Pcs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120</v>
          </cell>
        </row>
        <row r="795">
          <cell r="A795">
            <v>1850</v>
          </cell>
          <cell r="B795" t="str">
            <v>SODA WATER 500ML</v>
          </cell>
          <cell r="C795" t="str">
            <v>Pcs</v>
          </cell>
          <cell r="D795">
            <v>0</v>
          </cell>
          <cell r="E795">
            <v>240</v>
          </cell>
          <cell r="F795">
            <v>120</v>
          </cell>
          <cell r="G795">
            <v>120</v>
          </cell>
          <cell r="H795">
            <v>80</v>
          </cell>
        </row>
        <row r="796">
          <cell r="A796">
            <v>1727</v>
          </cell>
          <cell r="B796" t="str">
            <v>S. PELLEGRINO 750ML</v>
          </cell>
          <cell r="C796" t="str">
            <v>Pcs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500</v>
          </cell>
        </row>
        <row r="797">
          <cell r="A797">
            <v>2008</v>
          </cell>
          <cell r="B797" t="str">
            <v>TONIC WATER 500ML</v>
          </cell>
          <cell r="C797" t="str">
            <v>Pcs</v>
          </cell>
          <cell r="D797">
            <v>0</v>
          </cell>
          <cell r="E797">
            <v>726</v>
          </cell>
          <cell r="F797">
            <v>606</v>
          </cell>
          <cell r="G797">
            <v>120</v>
          </cell>
          <cell r="H797">
            <v>80</v>
          </cell>
        </row>
        <row r="798">
          <cell r="A798">
            <v>2859</v>
          </cell>
          <cell r="B798" t="str">
            <v>100 Strokes Whisky 375ML</v>
          </cell>
          <cell r="C798" t="str">
            <v>Pcs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550</v>
          </cell>
        </row>
        <row r="799">
          <cell r="A799">
            <v>2858</v>
          </cell>
          <cell r="B799" t="str">
            <v>100 Strokes Whisky 750ML</v>
          </cell>
          <cell r="C799" t="str">
            <v>Pcs</v>
          </cell>
          <cell r="D799">
            <v>29</v>
          </cell>
          <cell r="E799">
            <v>0</v>
          </cell>
          <cell r="F799">
            <v>29</v>
          </cell>
          <cell r="G799">
            <v>0</v>
          </cell>
          <cell r="H799">
            <v>1100</v>
          </cell>
        </row>
        <row r="800">
          <cell r="A800">
            <v>2530</v>
          </cell>
          <cell r="B800" t="str">
            <v>44 BLENDED SCOTCH 700ML</v>
          </cell>
          <cell r="C800" t="str">
            <v>Pcs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1650</v>
          </cell>
        </row>
        <row r="801">
          <cell r="A801">
            <v>2795</v>
          </cell>
          <cell r="B801" t="str">
            <v>6TH SENSE LONDON DRY GIN 1 LITRE</v>
          </cell>
          <cell r="C801" t="str">
            <v>Pcs</v>
          </cell>
          <cell r="D801">
            <v>830</v>
          </cell>
          <cell r="E801">
            <v>0</v>
          </cell>
          <cell r="F801">
            <v>0</v>
          </cell>
          <cell r="G801">
            <v>830</v>
          </cell>
          <cell r="H801">
            <v>1450</v>
          </cell>
        </row>
        <row r="802">
          <cell r="A802">
            <v>30</v>
          </cell>
          <cell r="B802" t="str">
            <v>8PM BLENDED WHISKY 1LTR</v>
          </cell>
          <cell r="C802" t="str">
            <v>Pcs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1100</v>
          </cell>
        </row>
        <row r="803">
          <cell r="A803">
            <v>31</v>
          </cell>
          <cell r="B803" t="str">
            <v>8PM BLENDED WHISKY 750ML</v>
          </cell>
          <cell r="C803" t="str">
            <v>Pcs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850</v>
          </cell>
        </row>
        <row r="804">
          <cell r="A804">
            <v>27</v>
          </cell>
          <cell r="B804" t="str">
            <v>8PM BLENDED WHISKY FIRE 750ML</v>
          </cell>
          <cell r="C804" t="str">
            <v>Pcs</v>
          </cell>
          <cell r="D804">
            <v>6</v>
          </cell>
          <cell r="E804">
            <v>0</v>
          </cell>
          <cell r="F804">
            <v>6</v>
          </cell>
          <cell r="G804">
            <v>0</v>
          </cell>
          <cell r="H804">
            <v>1100</v>
          </cell>
        </row>
        <row r="805">
          <cell r="A805">
            <v>28</v>
          </cell>
          <cell r="B805" t="str">
            <v>8PM WHISKY HONEY 750ML</v>
          </cell>
          <cell r="C805" t="str">
            <v>Pcs</v>
          </cell>
          <cell r="D805">
            <v>6</v>
          </cell>
          <cell r="E805">
            <v>0</v>
          </cell>
          <cell r="F805">
            <v>0</v>
          </cell>
          <cell r="G805">
            <v>6</v>
          </cell>
          <cell r="H805">
            <v>1100</v>
          </cell>
        </row>
        <row r="806">
          <cell r="A806">
            <v>32</v>
          </cell>
          <cell r="B806" t="str">
            <v>ABERFELDY 12YRS WHISKY 750ML</v>
          </cell>
          <cell r="C806" t="str">
            <v>Pcs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9500</v>
          </cell>
        </row>
        <row r="807">
          <cell r="A807">
            <v>2459</v>
          </cell>
          <cell r="B807" t="str">
            <v>ABERLOUR 12YRS DOUBLE CASK LITRE</v>
          </cell>
          <cell r="C807" t="str">
            <v>Pcs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9500</v>
          </cell>
        </row>
        <row r="808">
          <cell r="A808">
            <v>33</v>
          </cell>
          <cell r="B808" t="str">
            <v>ABERLOUR 16 YRS  DOUBLE CASK WHISKY 700ML</v>
          </cell>
          <cell r="C808" t="str">
            <v>Pcs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14000</v>
          </cell>
        </row>
        <row r="809">
          <cell r="A809">
            <v>2171</v>
          </cell>
          <cell r="B809" t="str">
            <v>ABERLOUR SPEYSIDE SINGLE MALT 12YRS 1LTR</v>
          </cell>
          <cell r="C809" t="str">
            <v>Pcs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9500</v>
          </cell>
        </row>
        <row r="810">
          <cell r="A810">
            <v>2172</v>
          </cell>
          <cell r="B810" t="str">
            <v>ABERLOUR SPEYSIDE SINGLE MALT 12YRS 700ML</v>
          </cell>
          <cell r="C810" t="str">
            <v>Pcs</v>
          </cell>
          <cell r="D810">
            <v>24</v>
          </cell>
          <cell r="E810">
            <v>0</v>
          </cell>
          <cell r="F810">
            <v>0</v>
          </cell>
          <cell r="G810">
            <v>24</v>
          </cell>
          <cell r="H810">
            <v>6800</v>
          </cell>
        </row>
        <row r="811">
          <cell r="A811">
            <v>78</v>
          </cell>
          <cell r="B811" t="str">
            <v>ALL SEASONS 375ML</v>
          </cell>
          <cell r="C811" t="str">
            <v>Pcs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550</v>
          </cell>
        </row>
        <row r="812">
          <cell r="A812">
            <v>75</v>
          </cell>
          <cell r="B812" t="str">
            <v>ALL SEASONS WHISKY 1LTR</v>
          </cell>
          <cell r="C812" t="str">
            <v>Pcs</v>
          </cell>
          <cell r="D812">
            <v>84</v>
          </cell>
          <cell r="E812">
            <v>0</v>
          </cell>
          <cell r="F812">
            <v>84</v>
          </cell>
          <cell r="G812">
            <v>0</v>
          </cell>
          <cell r="H812">
            <v>1100</v>
          </cell>
        </row>
        <row r="813">
          <cell r="A813">
            <v>76</v>
          </cell>
          <cell r="B813" t="str">
            <v>ALL SEASONS WHISKY 250ML</v>
          </cell>
          <cell r="C813" t="str">
            <v>Pcs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400</v>
          </cell>
        </row>
        <row r="814">
          <cell r="A814">
            <v>79</v>
          </cell>
          <cell r="B814" t="str">
            <v>ALL SEASONS WHISKY 750ML</v>
          </cell>
          <cell r="C814" t="str">
            <v>Pcs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1050</v>
          </cell>
        </row>
        <row r="815">
          <cell r="A815">
            <v>2871</v>
          </cell>
          <cell r="B815" t="str">
            <v>AMRUT SINGLE MALT WHISKY 700ML</v>
          </cell>
          <cell r="C815" t="str">
            <v>Pcs</v>
          </cell>
          <cell r="D815">
            <v>12</v>
          </cell>
          <cell r="E815">
            <v>0</v>
          </cell>
          <cell r="F815">
            <v>0</v>
          </cell>
          <cell r="G815">
            <v>12</v>
          </cell>
          <cell r="H815">
            <v>8500</v>
          </cell>
        </row>
        <row r="816">
          <cell r="A816">
            <v>2796</v>
          </cell>
          <cell r="B816" t="str">
            <v>ARMAND DE BRIGNAC BRUT GOLD 750ML</v>
          </cell>
          <cell r="C816" t="str">
            <v>Pcs</v>
          </cell>
          <cell r="D816">
            <v>54</v>
          </cell>
          <cell r="E816">
            <v>0</v>
          </cell>
          <cell r="F816">
            <v>0</v>
          </cell>
          <cell r="G816">
            <v>54</v>
          </cell>
          <cell r="H816">
            <v>55000</v>
          </cell>
        </row>
        <row r="817">
          <cell r="A817">
            <v>2258</v>
          </cell>
          <cell r="B817" t="str">
            <v>AUCHENTOSHAN 12YRS 700ML</v>
          </cell>
          <cell r="C817" t="str">
            <v>Pcs</v>
          </cell>
          <cell r="D817">
            <v>12</v>
          </cell>
          <cell r="E817">
            <v>0</v>
          </cell>
          <cell r="F817">
            <v>0</v>
          </cell>
          <cell r="G817">
            <v>12</v>
          </cell>
          <cell r="H817">
            <v>7500</v>
          </cell>
        </row>
        <row r="818">
          <cell r="A818">
            <v>2259</v>
          </cell>
          <cell r="B818" t="str">
            <v>AUCHENTOSHAN AMERICAN  OAK 700ML</v>
          </cell>
          <cell r="C818" t="str">
            <v>Pcs</v>
          </cell>
          <cell r="D818">
            <v>6</v>
          </cell>
          <cell r="E818">
            <v>0</v>
          </cell>
          <cell r="F818">
            <v>0</v>
          </cell>
          <cell r="G818">
            <v>6</v>
          </cell>
          <cell r="H818">
            <v>6900</v>
          </cell>
        </row>
        <row r="819">
          <cell r="A819">
            <v>131</v>
          </cell>
          <cell r="B819" t="str">
            <v>AUCHENTOSHAN WHISKY 750ML</v>
          </cell>
          <cell r="C819" t="str">
            <v>Pcs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7500</v>
          </cell>
        </row>
        <row r="820">
          <cell r="A820">
            <v>2875</v>
          </cell>
          <cell r="B820" t="str">
            <v>AVALON PREMIUM WHISKY 250ML</v>
          </cell>
          <cell r="C820" t="str">
            <v>Pcs</v>
          </cell>
          <cell r="D820">
            <v>0</v>
          </cell>
          <cell r="E820">
            <v>720</v>
          </cell>
          <cell r="F820">
            <v>48</v>
          </cell>
          <cell r="G820">
            <v>672</v>
          </cell>
          <cell r="H820">
            <v>210</v>
          </cell>
        </row>
        <row r="821">
          <cell r="A821">
            <v>2877</v>
          </cell>
          <cell r="B821" t="str">
            <v>AVALON PREMIUM WHISKY 750ML</v>
          </cell>
          <cell r="C821" t="str">
            <v>Pcs</v>
          </cell>
          <cell r="D821">
            <v>0</v>
          </cell>
          <cell r="E821">
            <v>60</v>
          </cell>
          <cell r="F821">
            <v>24</v>
          </cell>
          <cell r="G821">
            <v>36</v>
          </cell>
          <cell r="H821">
            <v>800</v>
          </cell>
        </row>
        <row r="822">
          <cell r="A822">
            <v>2575</v>
          </cell>
          <cell r="B822" t="str">
            <v>BALLANTINE BRASIL 750ML</v>
          </cell>
          <cell r="C822" t="str">
            <v>Pcs</v>
          </cell>
          <cell r="D822">
            <v>12</v>
          </cell>
          <cell r="E822">
            <v>0</v>
          </cell>
          <cell r="F822">
            <v>0</v>
          </cell>
          <cell r="G822">
            <v>12</v>
          </cell>
          <cell r="H822">
            <v>2000</v>
          </cell>
        </row>
        <row r="823">
          <cell r="A823">
            <v>169</v>
          </cell>
          <cell r="B823" t="str">
            <v>BALLANTINES 375ML</v>
          </cell>
          <cell r="C823" t="str">
            <v>Pcs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1000</v>
          </cell>
        </row>
        <row r="824">
          <cell r="A824">
            <v>162</v>
          </cell>
          <cell r="B824" t="str">
            <v>BALLANTINE'S FINEST 21YRS WHISKY 700ML</v>
          </cell>
          <cell r="C824" t="str">
            <v>Pcs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8500</v>
          </cell>
        </row>
        <row r="825">
          <cell r="A825">
            <v>166</v>
          </cell>
          <cell r="B825" t="str">
            <v>BALLANTINES FINEST WHISKY 12YRS 750ml</v>
          </cell>
          <cell r="C825" t="str">
            <v>Pcs</v>
          </cell>
          <cell r="D825">
            <v>175</v>
          </cell>
          <cell r="E825">
            <v>0</v>
          </cell>
          <cell r="F825">
            <v>0</v>
          </cell>
          <cell r="G825">
            <v>175</v>
          </cell>
          <cell r="H825">
            <v>4000</v>
          </cell>
        </row>
        <row r="826">
          <cell r="A826">
            <v>167</v>
          </cell>
          <cell r="B826" t="str">
            <v>BALLANTINES FINEST WHISKY 1LTR</v>
          </cell>
          <cell r="C826" t="str">
            <v>Pcs</v>
          </cell>
          <cell r="D826">
            <v>60</v>
          </cell>
          <cell r="E826">
            <v>0</v>
          </cell>
          <cell r="F826">
            <v>60</v>
          </cell>
          <cell r="G826">
            <v>0</v>
          </cell>
          <cell r="H826">
            <v>2300</v>
          </cell>
        </row>
        <row r="827">
          <cell r="A827">
            <v>168</v>
          </cell>
          <cell r="B827" t="str">
            <v>BALLANTINES FINEST WHISKY 750ml</v>
          </cell>
          <cell r="C827" t="str">
            <v>Pcs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1800</v>
          </cell>
        </row>
        <row r="828">
          <cell r="A828">
            <v>203</v>
          </cell>
          <cell r="B828" t="str">
            <v>BELLS 750ML</v>
          </cell>
          <cell r="C828" t="str">
            <v>Pcs</v>
          </cell>
          <cell r="D828">
            <v>36</v>
          </cell>
          <cell r="E828">
            <v>0</v>
          </cell>
          <cell r="F828">
            <v>0</v>
          </cell>
          <cell r="G828">
            <v>36</v>
          </cell>
          <cell r="H828">
            <v>1300</v>
          </cell>
        </row>
        <row r="829">
          <cell r="A829">
            <v>222</v>
          </cell>
          <cell r="B829" t="str">
            <v>BEST WHISKY 250ML</v>
          </cell>
          <cell r="C829" t="str">
            <v>Pcs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305</v>
          </cell>
        </row>
        <row r="830">
          <cell r="A830">
            <v>223</v>
          </cell>
          <cell r="B830" t="str">
            <v>BEST WHISKY 750ML</v>
          </cell>
          <cell r="C830" t="str">
            <v>Pcs</v>
          </cell>
          <cell r="D830">
            <v>684</v>
          </cell>
          <cell r="E830">
            <v>0</v>
          </cell>
          <cell r="F830">
            <v>60</v>
          </cell>
          <cell r="G830">
            <v>624</v>
          </cell>
          <cell r="H830">
            <v>950</v>
          </cell>
        </row>
        <row r="831">
          <cell r="A831">
            <v>2794</v>
          </cell>
          <cell r="B831" t="str">
            <v>BLACK RAM APPLE 1 LITRE</v>
          </cell>
          <cell r="C831" t="str">
            <v>Pcs</v>
          </cell>
          <cell r="D831">
            <v>2183</v>
          </cell>
          <cell r="E831">
            <v>0</v>
          </cell>
          <cell r="F831">
            <v>8</v>
          </cell>
          <cell r="G831">
            <v>2175</v>
          </cell>
          <cell r="H831">
            <v>1400</v>
          </cell>
        </row>
        <row r="832">
          <cell r="A832">
            <v>2791</v>
          </cell>
          <cell r="B832" t="str">
            <v>BLACK RAM BOURBON FINISH 1 LITRE</v>
          </cell>
          <cell r="C832" t="str">
            <v>Pcs</v>
          </cell>
          <cell r="D832">
            <v>125</v>
          </cell>
          <cell r="E832">
            <v>0</v>
          </cell>
          <cell r="F832">
            <v>125</v>
          </cell>
          <cell r="G832">
            <v>0</v>
          </cell>
          <cell r="H832">
            <v>1400</v>
          </cell>
        </row>
        <row r="833">
          <cell r="A833">
            <v>2792</v>
          </cell>
          <cell r="B833" t="str">
            <v>BLACK RAM BOURBON FINISH 700 ML</v>
          </cell>
          <cell r="C833" t="str">
            <v>Pcs</v>
          </cell>
          <cell r="D833">
            <v>706</v>
          </cell>
          <cell r="E833">
            <v>3</v>
          </cell>
          <cell r="F833">
            <v>36</v>
          </cell>
          <cell r="G833">
            <v>673</v>
          </cell>
          <cell r="H833">
            <v>1100</v>
          </cell>
        </row>
        <row r="834">
          <cell r="A834">
            <v>2793</v>
          </cell>
          <cell r="B834" t="str">
            <v>BLACK RAM HONEY 1 LITRE</v>
          </cell>
          <cell r="C834" t="str">
            <v>Pcs</v>
          </cell>
          <cell r="D834">
            <v>1008</v>
          </cell>
          <cell r="E834">
            <v>0</v>
          </cell>
          <cell r="F834">
            <v>6</v>
          </cell>
          <cell r="G834">
            <v>1002</v>
          </cell>
          <cell r="H834">
            <v>1400</v>
          </cell>
        </row>
        <row r="835">
          <cell r="A835">
            <v>236</v>
          </cell>
          <cell r="B835" t="str">
            <v>BLACK RAM WHISKY 1LTR</v>
          </cell>
          <cell r="C835" t="str">
            <v>Pcs</v>
          </cell>
          <cell r="D835">
            <v>4648</v>
          </cell>
          <cell r="E835">
            <v>0</v>
          </cell>
          <cell r="F835">
            <v>42</v>
          </cell>
          <cell r="G835">
            <v>4606</v>
          </cell>
          <cell r="H835">
            <v>1400</v>
          </cell>
        </row>
        <row r="836">
          <cell r="A836">
            <v>237</v>
          </cell>
          <cell r="B836" t="str">
            <v>BLACK RAM WHISKY 700ML</v>
          </cell>
          <cell r="C836" t="str">
            <v>Pcs</v>
          </cell>
          <cell r="D836">
            <v>865</v>
          </cell>
          <cell r="E836">
            <v>0</v>
          </cell>
          <cell r="F836">
            <v>12</v>
          </cell>
          <cell r="G836">
            <v>853</v>
          </cell>
          <cell r="H836">
            <v>1100</v>
          </cell>
        </row>
        <row r="837">
          <cell r="A837">
            <v>238</v>
          </cell>
          <cell r="B837" t="str">
            <v>BLACK RAM WHISKY HONEY 700ML</v>
          </cell>
          <cell r="C837" t="str">
            <v>Pcs</v>
          </cell>
          <cell r="D837">
            <v>90</v>
          </cell>
          <cell r="E837">
            <v>0</v>
          </cell>
          <cell r="F837">
            <v>6</v>
          </cell>
          <cell r="G837">
            <v>84</v>
          </cell>
          <cell r="H837">
            <v>1100</v>
          </cell>
        </row>
        <row r="838">
          <cell r="A838">
            <v>229</v>
          </cell>
          <cell r="B838" t="str">
            <v>BLACK &amp; WHITE WHISKY 1LTR</v>
          </cell>
          <cell r="C838" t="str">
            <v>Pcs</v>
          </cell>
          <cell r="D838">
            <v>408</v>
          </cell>
          <cell r="E838">
            <v>0</v>
          </cell>
          <cell r="F838">
            <v>228</v>
          </cell>
          <cell r="G838">
            <v>180</v>
          </cell>
          <cell r="H838">
            <v>1450</v>
          </cell>
        </row>
        <row r="839">
          <cell r="A839">
            <v>231</v>
          </cell>
          <cell r="B839" t="str">
            <v>BLACK &amp; WHITE WHISKY 375ML</v>
          </cell>
          <cell r="C839" t="str">
            <v>Pcs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576</v>
          </cell>
        </row>
        <row r="840">
          <cell r="A840">
            <v>232</v>
          </cell>
          <cell r="B840" t="str">
            <v>BLACK &amp; WHITE WHISKY 750ML</v>
          </cell>
          <cell r="C840" t="str">
            <v>Pcs</v>
          </cell>
          <cell r="D840">
            <v>12</v>
          </cell>
          <cell r="E840">
            <v>0</v>
          </cell>
          <cell r="F840">
            <v>12</v>
          </cell>
          <cell r="G840">
            <v>0</v>
          </cell>
          <cell r="H840">
            <v>1130</v>
          </cell>
        </row>
        <row r="841">
          <cell r="A841">
            <v>2515</v>
          </cell>
          <cell r="B841" t="str">
            <v>BLUE WARRIOR WHISY LITRE</v>
          </cell>
          <cell r="C841" t="str">
            <v>Pcs</v>
          </cell>
          <cell r="D841">
            <v>1862</v>
          </cell>
          <cell r="E841">
            <v>0</v>
          </cell>
          <cell r="F841">
            <v>12</v>
          </cell>
          <cell r="G841">
            <v>1850</v>
          </cell>
          <cell r="H841">
            <v>1300</v>
          </cell>
        </row>
        <row r="842">
          <cell r="A842">
            <v>267</v>
          </cell>
          <cell r="B842" t="str">
            <v>BOND 7 250 ML</v>
          </cell>
          <cell r="C842" t="str">
            <v>Pcs</v>
          </cell>
          <cell r="D842">
            <v>320</v>
          </cell>
          <cell r="E842">
            <v>600</v>
          </cell>
          <cell r="F842">
            <v>80</v>
          </cell>
          <cell r="G842">
            <v>840</v>
          </cell>
          <cell r="H842">
            <v>416</v>
          </cell>
        </row>
        <row r="843">
          <cell r="A843">
            <v>268</v>
          </cell>
          <cell r="B843" t="str">
            <v>BOND 7 350 ML</v>
          </cell>
          <cell r="C843" t="str">
            <v>Pcs</v>
          </cell>
          <cell r="D843">
            <v>72</v>
          </cell>
          <cell r="E843">
            <v>360</v>
          </cell>
          <cell r="F843">
            <v>72</v>
          </cell>
          <cell r="G843">
            <v>360</v>
          </cell>
          <cell r="H843">
            <v>576</v>
          </cell>
        </row>
        <row r="844">
          <cell r="A844">
            <v>269</v>
          </cell>
          <cell r="B844" t="str">
            <v>BOND 7 750 ML</v>
          </cell>
          <cell r="C844" t="str">
            <v>Pcs</v>
          </cell>
          <cell r="D844">
            <v>132</v>
          </cell>
          <cell r="E844">
            <v>180</v>
          </cell>
          <cell r="F844">
            <v>24</v>
          </cell>
          <cell r="G844">
            <v>288</v>
          </cell>
          <cell r="H844">
            <v>1240</v>
          </cell>
        </row>
        <row r="845">
          <cell r="A845">
            <v>273</v>
          </cell>
          <cell r="B845" t="str">
            <v>BOWMORE 10YRS 1LTR</v>
          </cell>
          <cell r="C845" t="str">
            <v>Pcs</v>
          </cell>
          <cell r="D845">
            <v>38</v>
          </cell>
          <cell r="E845">
            <v>0</v>
          </cell>
          <cell r="F845">
            <v>0</v>
          </cell>
          <cell r="G845">
            <v>38</v>
          </cell>
          <cell r="H845">
            <v>7850</v>
          </cell>
        </row>
        <row r="846">
          <cell r="A846">
            <v>274</v>
          </cell>
          <cell r="B846" t="str">
            <v>BOWMORE 12YRS WHISKY 700ML </v>
          </cell>
          <cell r="C846" t="str">
            <v>Pcs</v>
          </cell>
          <cell r="D846">
            <v>9</v>
          </cell>
          <cell r="E846">
            <v>0</v>
          </cell>
          <cell r="F846">
            <v>0</v>
          </cell>
          <cell r="G846">
            <v>9</v>
          </cell>
          <cell r="H846">
            <v>5000</v>
          </cell>
        </row>
        <row r="847">
          <cell r="A847">
            <v>275</v>
          </cell>
          <cell r="B847" t="str">
            <v>BOWMORE 18YRS WHISKY 700ML</v>
          </cell>
          <cell r="C847" t="str">
            <v>Pcs</v>
          </cell>
          <cell r="D847">
            <v>15</v>
          </cell>
          <cell r="E847">
            <v>0</v>
          </cell>
          <cell r="F847">
            <v>0</v>
          </cell>
          <cell r="G847">
            <v>15</v>
          </cell>
          <cell r="H847">
            <v>10000</v>
          </cell>
        </row>
        <row r="848">
          <cell r="A848">
            <v>300</v>
          </cell>
          <cell r="B848" t="str">
            <v>BUFFALO TRACE BOURBON WHISKY 750ML</v>
          </cell>
          <cell r="C848" t="str">
            <v>Pcs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2900</v>
          </cell>
        </row>
        <row r="849">
          <cell r="A849">
            <v>301</v>
          </cell>
          <cell r="B849" t="str">
            <v>BUFFALO TRACE WHISKY 1LTR</v>
          </cell>
          <cell r="C849" t="str">
            <v>Pcs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3300</v>
          </cell>
        </row>
        <row r="850">
          <cell r="A850">
            <v>304</v>
          </cell>
          <cell r="B850" t="str">
            <v>BULLEIT BOURBON FRONTIER WHISKY 1LTR</v>
          </cell>
          <cell r="C850" t="str">
            <v>Pcs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4000</v>
          </cell>
        </row>
        <row r="851">
          <cell r="A851">
            <v>305</v>
          </cell>
          <cell r="B851" t="str">
            <v>BULLEIT BOURBON FRONTIER WHSKY 700ML</v>
          </cell>
          <cell r="C851" t="str">
            <v>Pcs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3400</v>
          </cell>
        </row>
        <row r="852">
          <cell r="A852">
            <v>309</v>
          </cell>
          <cell r="B852" t="str">
            <v>BUSHMILL BLACK BUSH 750ML</v>
          </cell>
          <cell r="C852" t="str">
            <v>Pcs</v>
          </cell>
          <cell r="D852">
            <v>18</v>
          </cell>
          <cell r="E852">
            <v>0</v>
          </cell>
          <cell r="F852">
            <v>0</v>
          </cell>
          <cell r="G852">
            <v>18</v>
          </cell>
          <cell r="H852">
            <v>3200</v>
          </cell>
        </row>
        <row r="853">
          <cell r="A853">
            <v>313</v>
          </cell>
          <cell r="B853" t="str">
            <v>BUSHMILLS 1LTR</v>
          </cell>
          <cell r="C853" t="str">
            <v>Pcs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3000</v>
          </cell>
        </row>
        <row r="854">
          <cell r="A854">
            <v>2977</v>
          </cell>
          <cell r="B854" t="str">
            <v>BUSHMILL SHERRY CASK 1LTR</v>
          </cell>
          <cell r="C854" t="str">
            <v>Pcs</v>
          </cell>
          <cell r="D854">
            <v>24</v>
          </cell>
          <cell r="E854">
            <v>0</v>
          </cell>
          <cell r="F854">
            <v>0</v>
          </cell>
          <cell r="G854">
            <v>24</v>
          </cell>
          <cell r="H854">
            <v>8300</v>
          </cell>
        </row>
        <row r="855">
          <cell r="A855">
            <v>310</v>
          </cell>
          <cell r="B855" t="str">
            <v>BUSHMILLS ORIGINAL 750ML</v>
          </cell>
          <cell r="C855" t="str">
            <v>Pcs</v>
          </cell>
          <cell r="D855">
            <v>666</v>
          </cell>
          <cell r="E855">
            <v>0</v>
          </cell>
          <cell r="F855">
            <v>0</v>
          </cell>
          <cell r="G855">
            <v>666</v>
          </cell>
          <cell r="H855">
            <v>2500</v>
          </cell>
        </row>
        <row r="856">
          <cell r="A856">
            <v>314</v>
          </cell>
          <cell r="B856" t="str">
            <v>BUSHMILLS RED BUSH 700ML</v>
          </cell>
          <cell r="C856" t="str">
            <v>Pcs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2700</v>
          </cell>
        </row>
        <row r="857">
          <cell r="A857">
            <v>2266</v>
          </cell>
          <cell r="B857" t="str">
            <v>BUSHMILLS STEAMSHIP 1LTR</v>
          </cell>
          <cell r="C857" t="str">
            <v>Pcs</v>
          </cell>
          <cell r="D857">
            <v>12</v>
          </cell>
          <cell r="E857">
            <v>0</v>
          </cell>
          <cell r="F857">
            <v>0</v>
          </cell>
          <cell r="G857">
            <v>12</v>
          </cell>
          <cell r="H857">
            <v>8700</v>
          </cell>
        </row>
        <row r="858">
          <cell r="A858">
            <v>3000</v>
          </cell>
          <cell r="B858" t="str">
            <v>CANADIAN BLACK VELVET 1L</v>
          </cell>
          <cell r="C858" t="str">
            <v>Pcs</v>
          </cell>
          <cell r="D858">
            <v>30</v>
          </cell>
          <cell r="E858">
            <v>0</v>
          </cell>
          <cell r="F858">
            <v>18</v>
          </cell>
          <cell r="G858">
            <v>12</v>
          </cell>
          <cell r="H858">
            <v>1750</v>
          </cell>
        </row>
        <row r="859">
          <cell r="A859">
            <v>364</v>
          </cell>
          <cell r="B859" t="str">
            <v>CANADIAN CLUB 750ML</v>
          </cell>
          <cell r="C859" t="str">
            <v>Pcs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1600</v>
          </cell>
        </row>
        <row r="860">
          <cell r="A860">
            <v>365</v>
          </cell>
          <cell r="B860" t="str">
            <v>CANADIAN CLUB WHISKY 1LTR</v>
          </cell>
          <cell r="C860" t="str">
            <v>Pcs</v>
          </cell>
          <cell r="D860">
            <v>684</v>
          </cell>
          <cell r="E860">
            <v>0</v>
          </cell>
          <cell r="F860">
            <v>3</v>
          </cell>
          <cell r="G860">
            <v>681</v>
          </cell>
          <cell r="H860">
            <v>2100</v>
          </cell>
        </row>
        <row r="861">
          <cell r="A861">
            <v>383</v>
          </cell>
          <cell r="B861" t="str">
            <v>CARDHU 12YRS 750ML</v>
          </cell>
          <cell r="C861" t="str">
            <v>Pcs</v>
          </cell>
          <cell r="D861">
            <v>24</v>
          </cell>
          <cell r="E861">
            <v>0</v>
          </cell>
          <cell r="F861">
            <v>0</v>
          </cell>
          <cell r="G861">
            <v>24</v>
          </cell>
          <cell r="H861">
            <v>5400</v>
          </cell>
        </row>
        <row r="862">
          <cell r="A862">
            <v>385</v>
          </cell>
          <cell r="B862" t="str">
            <v>CARDHU 15YRS WHISKY 700ML</v>
          </cell>
          <cell r="C862" t="str">
            <v>Pcs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9500</v>
          </cell>
        </row>
        <row r="863">
          <cell r="A863">
            <v>2821</v>
          </cell>
          <cell r="B863" t="str">
            <v>CARDHU AMBER ROCK 700ML</v>
          </cell>
          <cell r="C863" t="str">
            <v>Pcs</v>
          </cell>
          <cell r="D863">
            <v>36</v>
          </cell>
          <cell r="E863">
            <v>0</v>
          </cell>
          <cell r="F863">
            <v>0</v>
          </cell>
          <cell r="G863">
            <v>36</v>
          </cell>
          <cell r="H863">
            <v>4950</v>
          </cell>
        </row>
        <row r="864">
          <cell r="A864">
            <v>416</v>
          </cell>
          <cell r="B864" t="str">
            <v>CATTOS BLENDED WHISKY 1ltr</v>
          </cell>
          <cell r="C864" t="str">
            <v>Pcs</v>
          </cell>
          <cell r="D864">
            <v>25</v>
          </cell>
          <cell r="E864">
            <v>0</v>
          </cell>
          <cell r="F864">
            <v>24</v>
          </cell>
          <cell r="G864">
            <v>1</v>
          </cell>
          <cell r="H864">
            <v>1600</v>
          </cell>
        </row>
        <row r="865">
          <cell r="A865">
            <v>454</v>
          </cell>
          <cell r="B865" t="str">
            <v>CHIVAS REGAL 12YRS CRADLE WHISKY 4.5LTR</v>
          </cell>
          <cell r="C865" t="str">
            <v>Pcs</v>
          </cell>
          <cell r="D865">
            <v>23</v>
          </cell>
          <cell r="E865">
            <v>0</v>
          </cell>
          <cell r="F865">
            <v>0</v>
          </cell>
          <cell r="G865">
            <v>23</v>
          </cell>
          <cell r="H865">
            <v>21500</v>
          </cell>
        </row>
        <row r="866">
          <cell r="A866">
            <v>455</v>
          </cell>
          <cell r="B866" t="str">
            <v>CHIVAS REGAL 12YRS WHISKY 1LTR</v>
          </cell>
          <cell r="C866" t="str">
            <v>Pcs</v>
          </cell>
          <cell r="D866">
            <v>1491</v>
          </cell>
          <cell r="E866">
            <v>0</v>
          </cell>
          <cell r="F866">
            <v>48</v>
          </cell>
          <cell r="G866">
            <v>1443</v>
          </cell>
          <cell r="H866">
            <v>3700</v>
          </cell>
        </row>
        <row r="867">
          <cell r="A867">
            <v>458</v>
          </cell>
          <cell r="B867" t="str">
            <v>CHIVAS REGAL 12YRS WHISKY 750ML</v>
          </cell>
          <cell r="C867" t="str">
            <v>Pcs</v>
          </cell>
          <cell r="D867">
            <v>6</v>
          </cell>
          <cell r="E867">
            <v>0</v>
          </cell>
          <cell r="F867">
            <v>0</v>
          </cell>
          <cell r="G867">
            <v>6</v>
          </cell>
          <cell r="H867">
            <v>3270</v>
          </cell>
        </row>
        <row r="868">
          <cell r="A868">
            <v>460</v>
          </cell>
          <cell r="B868" t="str">
            <v>CHIVAS REGAL 12YRS WHISKY GIFT PACK 4.5LTR</v>
          </cell>
          <cell r="C868" t="str">
            <v>Pcs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21500</v>
          </cell>
        </row>
        <row r="869">
          <cell r="A869">
            <v>461</v>
          </cell>
          <cell r="B869" t="str">
            <v>CHIVAS REGAL 13YRS WHISKY 1LTR</v>
          </cell>
          <cell r="C869" t="str">
            <v>Pcs</v>
          </cell>
          <cell r="D869">
            <v>26</v>
          </cell>
          <cell r="E869">
            <v>0</v>
          </cell>
          <cell r="F869">
            <v>0</v>
          </cell>
          <cell r="G869">
            <v>26</v>
          </cell>
          <cell r="H869">
            <v>5200</v>
          </cell>
        </row>
        <row r="870">
          <cell r="A870">
            <v>463</v>
          </cell>
          <cell r="B870" t="str">
            <v>CHIVAS REGAL 18YRS WHISKY 750ML</v>
          </cell>
          <cell r="C870" t="str">
            <v>Pcs</v>
          </cell>
          <cell r="D870">
            <v>50</v>
          </cell>
          <cell r="E870">
            <v>0</v>
          </cell>
          <cell r="F870">
            <v>0</v>
          </cell>
          <cell r="G870">
            <v>50</v>
          </cell>
          <cell r="H870">
            <v>7500</v>
          </cell>
        </row>
        <row r="871">
          <cell r="A871">
            <v>464</v>
          </cell>
          <cell r="B871" t="str">
            <v>CHIVAS REGAL 18YS WHISKY 1LTR</v>
          </cell>
          <cell r="C871" t="str">
            <v>Pcs</v>
          </cell>
          <cell r="D871">
            <v>86</v>
          </cell>
          <cell r="E871">
            <v>0</v>
          </cell>
          <cell r="F871">
            <v>0</v>
          </cell>
          <cell r="G871">
            <v>86</v>
          </cell>
          <cell r="H871">
            <v>9000</v>
          </cell>
        </row>
        <row r="872">
          <cell r="A872">
            <v>467</v>
          </cell>
          <cell r="B872" t="str">
            <v>CHIVAS REGAL 25YRS WHISKY 700ML</v>
          </cell>
          <cell r="C872" t="str">
            <v>Pcs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33500</v>
          </cell>
        </row>
        <row r="873">
          <cell r="A873">
            <v>468</v>
          </cell>
          <cell r="B873" t="str">
            <v>CHIVAS REGAL XV 15YRS WHISKY 750ML</v>
          </cell>
          <cell r="C873" t="str">
            <v>Pcs</v>
          </cell>
          <cell r="D873">
            <v>9</v>
          </cell>
          <cell r="E873">
            <v>0</v>
          </cell>
          <cell r="F873">
            <v>0</v>
          </cell>
          <cell r="G873">
            <v>9</v>
          </cell>
          <cell r="H873">
            <v>5500</v>
          </cell>
        </row>
        <row r="874">
          <cell r="A874">
            <v>491</v>
          </cell>
          <cell r="B874" t="str">
            <v>CLAN MACGREGOR WHISKY 750ML</v>
          </cell>
          <cell r="C874" t="str">
            <v>Pcs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1000</v>
          </cell>
        </row>
        <row r="875">
          <cell r="A875">
            <v>492</v>
          </cell>
          <cell r="B875" t="str">
            <v>CLAN MCGREGOR 1ltr</v>
          </cell>
          <cell r="C875" t="str">
            <v>Pcs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1400</v>
          </cell>
        </row>
        <row r="876">
          <cell r="A876">
            <v>497</v>
          </cell>
          <cell r="B876" t="str">
            <v>CLAYMORE BLENDED SCOTCH WHISKY 1LTR</v>
          </cell>
          <cell r="C876" t="str">
            <v>Pcs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1500</v>
          </cell>
        </row>
        <row r="877">
          <cell r="A877">
            <v>2215</v>
          </cell>
          <cell r="B877" t="str">
            <v>CLEN BACK CANADIAN 750ML</v>
          </cell>
          <cell r="C877" t="str">
            <v>Pcs</v>
          </cell>
          <cell r="D877">
            <v>1</v>
          </cell>
          <cell r="E877">
            <v>0</v>
          </cell>
          <cell r="F877">
            <v>0</v>
          </cell>
          <cell r="G877">
            <v>1</v>
          </cell>
          <cell r="H877">
            <v>1600</v>
          </cell>
        </row>
        <row r="878">
          <cell r="A878">
            <v>541</v>
          </cell>
          <cell r="B878" t="str">
            <v>CRAGGANMORE 12YRS WHISKY 1LTR</v>
          </cell>
          <cell r="C878" t="str">
            <v>Pcs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5800</v>
          </cell>
        </row>
        <row r="879">
          <cell r="A879">
            <v>542</v>
          </cell>
          <cell r="B879" t="str">
            <v>CRAGGANMORE 12YRS WHISKY 750ML</v>
          </cell>
          <cell r="C879" t="str">
            <v>Pcs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5280</v>
          </cell>
        </row>
        <row r="880">
          <cell r="A880">
            <v>544</v>
          </cell>
          <cell r="B880" t="str">
            <v>CRAZY COCK 375ML</v>
          </cell>
          <cell r="C880" t="str">
            <v>Pcs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350</v>
          </cell>
        </row>
        <row r="881">
          <cell r="A881">
            <v>2801</v>
          </cell>
          <cell r="B881" t="str">
            <v>CROWN ROYAL FINE DE LUXE LITRE</v>
          </cell>
          <cell r="C881" t="str">
            <v>Pcs</v>
          </cell>
          <cell r="D881">
            <v>264</v>
          </cell>
          <cell r="E881">
            <v>0</v>
          </cell>
          <cell r="F881">
            <v>0</v>
          </cell>
          <cell r="G881">
            <v>264</v>
          </cell>
          <cell r="H881">
            <v>4500</v>
          </cell>
        </row>
        <row r="882">
          <cell r="A882">
            <v>559</v>
          </cell>
          <cell r="B882" t="str">
            <v>CUTTY SARK 750ML</v>
          </cell>
          <cell r="C882" t="str">
            <v>Pcs</v>
          </cell>
          <cell r="D882">
            <v>149</v>
          </cell>
          <cell r="E882">
            <v>0</v>
          </cell>
          <cell r="F882">
            <v>0</v>
          </cell>
          <cell r="G882">
            <v>149</v>
          </cell>
          <cell r="H882">
            <v>1500</v>
          </cell>
        </row>
        <row r="883">
          <cell r="A883">
            <v>560</v>
          </cell>
          <cell r="B883" t="str">
            <v>CUTTY SARK WHISKY 1LTR</v>
          </cell>
          <cell r="C883" t="str">
            <v>Pcs</v>
          </cell>
          <cell r="D883">
            <v>15</v>
          </cell>
          <cell r="E883">
            <v>0</v>
          </cell>
          <cell r="F883">
            <v>0</v>
          </cell>
          <cell r="G883">
            <v>15</v>
          </cell>
          <cell r="H883">
            <v>1750</v>
          </cell>
        </row>
        <row r="884">
          <cell r="A884">
            <v>2473</v>
          </cell>
          <cell r="B884" t="str">
            <v>DALMORE 12YRS SHERRY CASK SELECT 700ML</v>
          </cell>
          <cell r="C884" t="str">
            <v>Pcs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7800</v>
          </cell>
        </row>
        <row r="885">
          <cell r="A885">
            <v>570</v>
          </cell>
          <cell r="B885" t="str">
            <v>DALMORE 18YRS SINGLE MALT 700ML</v>
          </cell>
          <cell r="C885" t="str">
            <v>Pcs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16000</v>
          </cell>
        </row>
        <row r="886">
          <cell r="A886">
            <v>571</v>
          </cell>
          <cell r="B886" t="str">
            <v>DALWHINNE 15YRS WHISKY 750ML </v>
          </cell>
          <cell r="C886" t="str">
            <v>Pcs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6700</v>
          </cell>
        </row>
        <row r="887">
          <cell r="A887">
            <v>2269</v>
          </cell>
          <cell r="B887" t="str">
            <v>DEWARS 12YRS 1LTR</v>
          </cell>
          <cell r="C887" t="str">
            <v>Pcs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4500</v>
          </cell>
        </row>
        <row r="888">
          <cell r="A888">
            <v>602</v>
          </cell>
          <cell r="B888" t="str">
            <v>DEWAR'S 12YRS WHISKY 750ML</v>
          </cell>
          <cell r="C888" t="str">
            <v>Pcs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3500</v>
          </cell>
        </row>
        <row r="889">
          <cell r="A889">
            <v>2187</v>
          </cell>
          <cell r="B889" t="str">
            <v>DEWARS 15YRS 1LTR</v>
          </cell>
          <cell r="C889" t="str">
            <v>Pcs</v>
          </cell>
          <cell r="D889">
            <v>163</v>
          </cell>
          <cell r="E889">
            <v>0</v>
          </cell>
          <cell r="F889">
            <v>0</v>
          </cell>
          <cell r="G889">
            <v>163</v>
          </cell>
          <cell r="H889">
            <v>8500</v>
          </cell>
        </row>
        <row r="890">
          <cell r="A890">
            <v>2802</v>
          </cell>
          <cell r="B890" t="str">
            <v>DEWARS 18YEARS LITRE</v>
          </cell>
          <cell r="C890" t="str">
            <v>Pcs</v>
          </cell>
          <cell r="D890">
            <v>24</v>
          </cell>
          <cell r="E890">
            <v>0</v>
          </cell>
          <cell r="F890">
            <v>0</v>
          </cell>
          <cell r="G890">
            <v>24</v>
          </cell>
          <cell r="H890">
            <v>9000</v>
          </cell>
        </row>
        <row r="891">
          <cell r="A891">
            <v>605</v>
          </cell>
          <cell r="B891" t="str">
            <v>DEWARS 1LTR</v>
          </cell>
          <cell r="C891" t="str">
            <v>Pcs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1900</v>
          </cell>
        </row>
        <row r="892">
          <cell r="A892">
            <v>606</v>
          </cell>
          <cell r="B892" t="str">
            <v>DEWARS 750ML</v>
          </cell>
          <cell r="C892" t="str">
            <v>Pcs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1500</v>
          </cell>
        </row>
        <row r="893">
          <cell r="A893">
            <v>2188</v>
          </cell>
          <cell r="B893" t="str">
            <v>DEWARS WHITE LABEL 1LTR</v>
          </cell>
          <cell r="C893" t="str">
            <v>Pcs</v>
          </cell>
          <cell r="D893">
            <v>360</v>
          </cell>
          <cell r="E893">
            <v>0</v>
          </cell>
          <cell r="F893">
            <v>12</v>
          </cell>
          <cell r="G893">
            <v>348</v>
          </cell>
          <cell r="H893">
            <v>1900</v>
          </cell>
        </row>
        <row r="894">
          <cell r="A894">
            <v>607</v>
          </cell>
          <cell r="B894" t="str">
            <v>DEWARS WHITE LABEL WHISKY 750ML</v>
          </cell>
          <cell r="C894" t="str">
            <v>Pcs</v>
          </cell>
          <cell r="D894">
            <v>12</v>
          </cell>
          <cell r="E894">
            <v>0</v>
          </cell>
          <cell r="F894">
            <v>0</v>
          </cell>
          <cell r="G894">
            <v>12</v>
          </cell>
          <cell r="H894">
            <v>1900</v>
          </cell>
        </row>
        <row r="895">
          <cell r="A895">
            <v>608</v>
          </cell>
          <cell r="B895" t="str">
            <v>DIMPLE 15YRS WHISKY 1LTR</v>
          </cell>
          <cell r="C895" t="str">
            <v>Pcs</v>
          </cell>
          <cell r="D895">
            <v>34</v>
          </cell>
          <cell r="E895">
            <v>0</v>
          </cell>
          <cell r="F895">
            <v>6</v>
          </cell>
          <cell r="G895">
            <v>28</v>
          </cell>
          <cell r="H895">
            <v>6000</v>
          </cell>
        </row>
        <row r="896">
          <cell r="A896">
            <v>609</v>
          </cell>
          <cell r="B896" t="str">
            <v>DIMPLE 15YRS WHISKY 750ML</v>
          </cell>
          <cell r="C896" t="str">
            <v>Pcs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3750</v>
          </cell>
        </row>
        <row r="897">
          <cell r="A897">
            <v>636</v>
          </cell>
          <cell r="B897" t="str">
            <v>DRAMBUIE 1LTR</v>
          </cell>
          <cell r="C897" t="str">
            <v>Pcs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3000</v>
          </cell>
        </row>
        <row r="898">
          <cell r="A898">
            <v>3001</v>
          </cell>
          <cell r="B898" t="str">
            <v>EARLY TIMES WHISKY 700ML</v>
          </cell>
          <cell r="C898" t="str">
            <v>Pcs</v>
          </cell>
          <cell r="D898">
            <v>25</v>
          </cell>
          <cell r="E898">
            <v>0</v>
          </cell>
          <cell r="F898">
            <v>24</v>
          </cell>
          <cell r="G898">
            <v>1</v>
          </cell>
          <cell r="H898">
            <v>1650</v>
          </cell>
        </row>
        <row r="899">
          <cell r="A899">
            <v>2453</v>
          </cell>
          <cell r="B899" t="str">
            <v>FIRE BALL 1LTR</v>
          </cell>
          <cell r="C899" t="str">
            <v>Pcs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2500</v>
          </cell>
        </row>
        <row r="900">
          <cell r="A900">
            <v>698</v>
          </cell>
          <cell r="B900" t="str">
            <v>FIRE WATER 1LTR</v>
          </cell>
          <cell r="C900" t="str">
            <v>Pcs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2500</v>
          </cell>
        </row>
        <row r="901">
          <cell r="A901">
            <v>699</v>
          </cell>
          <cell r="B901" t="str">
            <v>FIRE WATER 750ML</v>
          </cell>
          <cell r="C901" t="str">
            <v>Pcs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1800</v>
          </cell>
        </row>
        <row r="902">
          <cell r="A902">
            <v>2200</v>
          </cell>
          <cell r="B902" t="str">
            <v>GENTLEMAN JACK 1LTR</v>
          </cell>
          <cell r="C902" t="str">
            <v>Pcs</v>
          </cell>
          <cell r="D902">
            <v>158</v>
          </cell>
          <cell r="E902">
            <v>0</v>
          </cell>
          <cell r="F902">
            <v>0</v>
          </cell>
          <cell r="G902">
            <v>158</v>
          </cell>
          <cell r="H902">
            <v>6500</v>
          </cell>
        </row>
        <row r="903">
          <cell r="A903">
            <v>817</v>
          </cell>
          <cell r="B903" t="str">
            <v>GENTLEMAN JACK 750ML</v>
          </cell>
          <cell r="C903" t="str">
            <v>Pcs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4600</v>
          </cell>
        </row>
        <row r="904">
          <cell r="A904">
            <v>836</v>
          </cell>
          <cell r="B904" t="str">
            <v>GLENFIDDICH 12YRS 750ML GIFT PACK</v>
          </cell>
          <cell r="C904" t="str">
            <v>Pcs</v>
          </cell>
          <cell r="D904">
            <v>7</v>
          </cell>
          <cell r="E904">
            <v>0</v>
          </cell>
          <cell r="F904">
            <v>0</v>
          </cell>
          <cell r="G904">
            <v>7</v>
          </cell>
          <cell r="H904">
            <v>7000</v>
          </cell>
        </row>
        <row r="905">
          <cell r="A905">
            <v>838</v>
          </cell>
          <cell r="B905" t="str">
            <v>GLENFIDDICH 15YRS VAT 03 700ML</v>
          </cell>
          <cell r="C905" t="str">
            <v>Pcs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8500</v>
          </cell>
        </row>
        <row r="906">
          <cell r="A906">
            <v>839</v>
          </cell>
          <cell r="B906" t="str">
            <v>GLENFIDDICH 18YEARS 700ML</v>
          </cell>
          <cell r="C906" t="str">
            <v>Pcs</v>
          </cell>
          <cell r="D906">
            <v>527</v>
          </cell>
          <cell r="E906">
            <v>0</v>
          </cell>
          <cell r="F906">
            <v>27</v>
          </cell>
          <cell r="G906">
            <v>500</v>
          </cell>
          <cell r="H906">
            <v>11500</v>
          </cell>
        </row>
        <row r="907">
          <cell r="A907">
            <v>840</v>
          </cell>
          <cell r="B907" t="str">
            <v>GLENFIDDICH 18YRS 1LTR</v>
          </cell>
          <cell r="C907" t="str">
            <v>Pcs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17000</v>
          </cell>
        </row>
        <row r="908">
          <cell r="A908">
            <v>841</v>
          </cell>
          <cell r="B908" t="str">
            <v>GLENFIDDICH 18YRS 750ML GIFT PACK</v>
          </cell>
          <cell r="C908" t="str">
            <v>Pcs</v>
          </cell>
          <cell r="D908">
            <v>30</v>
          </cell>
          <cell r="E908">
            <v>0</v>
          </cell>
          <cell r="F908">
            <v>0</v>
          </cell>
          <cell r="G908">
            <v>30</v>
          </cell>
          <cell r="H908">
            <v>13500</v>
          </cell>
        </row>
        <row r="909">
          <cell r="A909">
            <v>843</v>
          </cell>
          <cell r="B909" t="str">
            <v>GLENFIDDICH 21YRS WHISKY 700ML</v>
          </cell>
          <cell r="C909" t="str">
            <v>Pcs</v>
          </cell>
          <cell r="D909">
            <v>9</v>
          </cell>
          <cell r="E909">
            <v>0</v>
          </cell>
          <cell r="F909">
            <v>3</v>
          </cell>
          <cell r="G909">
            <v>6</v>
          </cell>
          <cell r="H909">
            <v>30000</v>
          </cell>
        </row>
        <row r="910">
          <cell r="A910">
            <v>844</v>
          </cell>
          <cell r="B910" t="str">
            <v>GLENFIDDICH 25YRS WHISKY 750ML </v>
          </cell>
          <cell r="C910" t="str">
            <v>Pcs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45000</v>
          </cell>
        </row>
        <row r="911">
          <cell r="A911">
            <v>846</v>
          </cell>
          <cell r="B911" t="str">
            <v>GLENFIDDICH FIRE &amp; CANE WHISKY 700ML</v>
          </cell>
          <cell r="C911" t="str">
            <v>Pcs</v>
          </cell>
          <cell r="D911">
            <v>6</v>
          </cell>
          <cell r="E911">
            <v>0</v>
          </cell>
          <cell r="F911">
            <v>0</v>
          </cell>
          <cell r="G911">
            <v>6</v>
          </cell>
          <cell r="H911">
            <v>6500</v>
          </cell>
        </row>
        <row r="912">
          <cell r="A912">
            <v>847</v>
          </cell>
          <cell r="B912" t="str">
            <v>GLENFIDDICH GRAND CORONNE 26YRS 700ML</v>
          </cell>
          <cell r="C912" t="str">
            <v>Pcs</v>
          </cell>
          <cell r="D912">
            <v>1</v>
          </cell>
          <cell r="E912">
            <v>0</v>
          </cell>
          <cell r="F912">
            <v>0</v>
          </cell>
          <cell r="G912">
            <v>1</v>
          </cell>
          <cell r="H912">
            <v>75000</v>
          </cell>
        </row>
        <row r="913">
          <cell r="A913">
            <v>849</v>
          </cell>
          <cell r="B913" t="str">
            <v>GLENFIDDICH IPA EXPERIMENT SERIES WHISKY 700ML</v>
          </cell>
          <cell r="C913" t="str">
            <v>Pcs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7500</v>
          </cell>
        </row>
        <row r="914">
          <cell r="A914">
            <v>2474</v>
          </cell>
          <cell r="B914" t="str">
            <v>GLENFIDDICH RESERVE 18YRS 700ML</v>
          </cell>
          <cell r="C914" t="str">
            <v>Pcs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12500</v>
          </cell>
        </row>
        <row r="915">
          <cell r="A915">
            <v>853</v>
          </cell>
          <cell r="B915" t="str">
            <v>GLENFIDDICH RESERVE CASK 1LTR</v>
          </cell>
          <cell r="C915" t="str">
            <v>Pcs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7500</v>
          </cell>
        </row>
        <row r="916">
          <cell r="A916">
            <v>854</v>
          </cell>
          <cell r="B916" t="str">
            <v>GLENFIDDICH SELECT CASK WHISKY 1LTR</v>
          </cell>
          <cell r="C916" t="str">
            <v>Pcs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6000</v>
          </cell>
        </row>
        <row r="917">
          <cell r="A917">
            <v>837</v>
          </cell>
          <cell r="B917" t="str">
            <v>GLENFIDDICH SOLERA 15YRS 700ML</v>
          </cell>
          <cell r="C917" t="str">
            <v>Pcs</v>
          </cell>
          <cell r="D917">
            <v>1</v>
          </cell>
          <cell r="E917">
            <v>6</v>
          </cell>
          <cell r="F917">
            <v>7</v>
          </cell>
          <cell r="G917">
            <v>0</v>
          </cell>
          <cell r="H917">
            <v>8000</v>
          </cell>
        </row>
        <row r="918">
          <cell r="A918">
            <v>2275</v>
          </cell>
          <cell r="B918" t="str">
            <v>GLENFIDICH 12YRS 50ML</v>
          </cell>
          <cell r="C918" t="str">
            <v>Pcs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500</v>
          </cell>
        </row>
        <row r="919">
          <cell r="A919">
            <v>857</v>
          </cell>
          <cell r="B919" t="str">
            <v>GLENFIDICH 12YRS WHISKY 1LTR</v>
          </cell>
          <cell r="C919" t="str">
            <v>Pcs</v>
          </cell>
          <cell r="D919">
            <v>234</v>
          </cell>
          <cell r="E919">
            <v>0</v>
          </cell>
          <cell r="F919">
            <v>12</v>
          </cell>
          <cell r="G919">
            <v>222</v>
          </cell>
          <cell r="H919">
            <v>7500</v>
          </cell>
        </row>
        <row r="920">
          <cell r="A920">
            <v>859</v>
          </cell>
          <cell r="B920" t="str">
            <v>GLENFIDICH 12YRS WHISKY 350ML</v>
          </cell>
          <cell r="C920" t="str">
            <v>Pcs</v>
          </cell>
          <cell r="D920">
            <v>2</v>
          </cell>
          <cell r="E920">
            <v>0</v>
          </cell>
          <cell r="F920">
            <v>0</v>
          </cell>
          <cell r="G920">
            <v>2</v>
          </cell>
          <cell r="H920">
            <v>2200</v>
          </cell>
        </row>
        <row r="921">
          <cell r="A921">
            <v>860</v>
          </cell>
          <cell r="B921" t="str">
            <v>GLENFIDICH 12YRS WHISKY 700ML</v>
          </cell>
          <cell r="C921" t="str">
            <v>Pcs</v>
          </cell>
          <cell r="D921">
            <v>1</v>
          </cell>
          <cell r="E921">
            <v>3</v>
          </cell>
          <cell r="F921">
            <v>3</v>
          </cell>
          <cell r="G921">
            <v>1</v>
          </cell>
          <cell r="H921">
            <v>6200</v>
          </cell>
        </row>
        <row r="922">
          <cell r="A922">
            <v>861</v>
          </cell>
          <cell r="B922" t="str">
            <v>GLENFIDICH 15YRS WHISKY 1LTR</v>
          </cell>
          <cell r="C922" t="str">
            <v>Pcs</v>
          </cell>
          <cell r="D922">
            <v>204</v>
          </cell>
          <cell r="E922">
            <v>0</v>
          </cell>
          <cell r="F922">
            <v>0</v>
          </cell>
          <cell r="G922">
            <v>204</v>
          </cell>
          <cell r="H922">
            <v>10000</v>
          </cell>
        </row>
        <row r="923">
          <cell r="A923">
            <v>862</v>
          </cell>
          <cell r="B923" t="str">
            <v>GLENGRANT 12YRS  MALT SCOTCH WHISKY 700ML</v>
          </cell>
          <cell r="C923" t="str">
            <v>Pcs</v>
          </cell>
          <cell r="D923">
            <v>12</v>
          </cell>
          <cell r="E923">
            <v>0</v>
          </cell>
          <cell r="F923">
            <v>0</v>
          </cell>
          <cell r="G923">
            <v>12</v>
          </cell>
          <cell r="H923">
            <v>5200</v>
          </cell>
        </row>
        <row r="924">
          <cell r="A924">
            <v>2190</v>
          </cell>
          <cell r="B924" t="str">
            <v>GLENMORANGIE 10YRS 1LTR</v>
          </cell>
          <cell r="C924" t="str">
            <v>Pcs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7000</v>
          </cell>
        </row>
        <row r="925">
          <cell r="A925">
            <v>873</v>
          </cell>
          <cell r="B925" t="str">
            <v>GLENMORANGIE 10YRS ORIGINAL WHISKY 750ML</v>
          </cell>
          <cell r="C925" t="str">
            <v>Pcs</v>
          </cell>
          <cell r="D925">
            <v>10</v>
          </cell>
          <cell r="E925">
            <v>0</v>
          </cell>
          <cell r="F925">
            <v>10</v>
          </cell>
          <cell r="G925">
            <v>0</v>
          </cell>
          <cell r="H925">
            <v>5000</v>
          </cell>
        </row>
        <row r="926">
          <cell r="A926">
            <v>868</v>
          </cell>
          <cell r="B926" t="str">
            <v>GLENMORANGIE 12YRS 1LTR</v>
          </cell>
          <cell r="C926" t="str">
            <v>Pcs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9000</v>
          </cell>
        </row>
        <row r="927">
          <cell r="A927">
            <v>2191</v>
          </cell>
          <cell r="B927" t="str">
            <v>GLENMORANGIE 12YRS 700ML</v>
          </cell>
          <cell r="C927" t="str">
            <v>Pcs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6500</v>
          </cell>
        </row>
        <row r="928">
          <cell r="A928">
            <v>869</v>
          </cell>
          <cell r="B928" t="str">
            <v>GLENMORANGIE 18YRS WHISKY EXTREME  700ML</v>
          </cell>
          <cell r="C928" t="str">
            <v>Pcs</v>
          </cell>
          <cell r="D928">
            <v>12</v>
          </cell>
          <cell r="E928">
            <v>0</v>
          </cell>
          <cell r="F928">
            <v>0</v>
          </cell>
          <cell r="G928">
            <v>12</v>
          </cell>
          <cell r="H928">
            <v>14300</v>
          </cell>
        </row>
        <row r="929">
          <cell r="A929">
            <v>870</v>
          </cell>
          <cell r="B929" t="str">
            <v>GLENMORANGIE 19YRS WHISKY 700ML</v>
          </cell>
          <cell r="C929" t="str">
            <v>Pcs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16000</v>
          </cell>
        </row>
        <row r="930">
          <cell r="A930">
            <v>2354</v>
          </cell>
          <cell r="B930" t="str">
            <v>GLENMORANGIE LASANTA 12YRS 750ML</v>
          </cell>
          <cell r="C930" t="str">
            <v>Pcs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6500</v>
          </cell>
        </row>
        <row r="931">
          <cell r="A931">
            <v>871</v>
          </cell>
          <cell r="B931" t="str">
            <v>GLENMORANGIE NECTAR D'OR 700ML</v>
          </cell>
          <cell r="C931" t="str">
            <v>Pcs</v>
          </cell>
          <cell r="D931">
            <v>2</v>
          </cell>
          <cell r="E931">
            <v>0</v>
          </cell>
          <cell r="F931">
            <v>0</v>
          </cell>
          <cell r="G931">
            <v>2</v>
          </cell>
          <cell r="H931">
            <v>6000</v>
          </cell>
        </row>
        <row r="932">
          <cell r="A932">
            <v>872</v>
          </cell>
          <cell r="B932" t="str">
            <v>GLENMORANGIE ORIGINAL 10YRS 1LTR</v>
          </cell>
          <cell r="C932" t="str">
            <v>Pcs</v>
          </cell>
          <cell r="D932">
            <v>72</v>
          </cell>
          <cell r="E932">
            <v>0</v>
          </cell>
          <cell r="F932">
            <v>12</v>
          </cell>
          <cell r="G932">
            <v>60</v>
          </cell>
          <cell r="H932">
            <v>7000</v>
          </cell>
        </row>
        <row r="933">
          <cell r="A933">
            <v>875</v>
          </cell>
          <cell r="B933" t="str">
            <v>GLENMORANGIE QUINTA RUBAN 700ML</v>
          </cell>
          <cell r="C933" t="str">
            <v>Pcs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5800</v>
          </cell>
        </row>
        <row r="934">
          <cell r="A934">
            <v>876</v>
          </cell>
          <cell r="B934" t="str">
            <v>GLENMORANGIE X 700ML</v>
          </cell>
          <cell r="C934" t="str">
            <v>Pcs</v>
          </cell>
          <cell r="D934">
            <v>138</v>
          </cell>
          <cell r="E934">
            <v>0</v>
          </cell>
          <cell r="F934">
            <v>0</v>
          </cell>
          <cell r="G934">
            <v>138</v>
          </cell>
          <cell r="H934">
            <v>5500</v>
          </cell>
        </row>
        <row r="935">
          <cell r="A935">
            <v>2967</v>
          </cell>
          <cell r="B935" t="str">
            <v>GLEN SCANLAN 4.5L</v>
          </cell>
          <cell r="C935" t="str">
            <v>Pcs</v>
          </cell>
          <cell r="D935">
            <v>6</v>
          </cell>
          <cell r="E935">
            <v>0</v>
          </cell>
          <cell r="F935">
            <v>2</v>
          </cell>
          <cell r="G935">
            <v>4</v>
          </cell>
          <cell r="H935">
            <v>7500</v>
          </cell>
        </row>
        <row r="936">
          <cell r="A936">
            <v>2803</v>
          </cell>
          <cell r="B936" t="str">
            <v>GLEN SCANLAN LITRE</v>
          </cell>
          <cell r="C936" t="str">
            <v>Pcs</v>
          </cell>
          <cell r="D936">
            <v>180</v>
          </cell>
          <cell r="E936">
            <v>0</v>
          </cell>
          <cell r="F936">
            <v>0</v>
          </cell>
          <cell r="G936">
            <v>180</v>
          </cell>
          <cell r="H936">
            <v>1750</v>
          </cell>
        </row>
        <row r="937">
          <cell r="A937">
            <v>2274</v>
          </cell>
          <cell r="B937" t="str">
            <v>GLEN SILVER'S 8YRS 700ML</v>
          </cell>
          <cell r="C937" t="str">
            <v>Pcs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3000</v>
          </cell>
        </row>
        <row r="938">
          <cell r="A938">
            <v>910</v>
          </cell>
          <cell r="B938" t="str">
            <v>GRANTS 12YRS WHISKY 750ML </v>
          </cell>
          <cell r="C938" t="str">
            <v>Pcs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3200</v>
          </cell>
        </row>
        <row r="939">
          <cell r="A939">
            <v>906</v>
          </cell>
          <cell r="B939" t="str">
            <v>GRANT'S 375ML</v>
          </cell>
          <cell r="C939" t="str">
            <v>Pcs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800</v>
          </cell>
        </row>
        <row r="940">
          <cell r="A940">
            <v>911</v>
          </cell>
          <cell r="B940" t="str">
            <v>GRANTS SELECT WHISKY 750ML</v>
          </cell>
          <cell r="C940" t="str">
            <v>Pcs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2000</v>
          </cell>
        </row>
        <row r="941">
          <cell r="A941">
            <v>2949</v>
          </cell>
          <cell r="B941" t="str">
            <v>GRANTS SUMMER ORANGE 700ML</v>
          </cell>
          <cell r="C941" t="str">
            <v>Pcs</v>
          </cell>
          <cell r="D941">
            <v>15</v>
          </cell>
          <cell r="E941">
            <v>0</v>
          </cell>
          <cell r="F941">
            <v>12</v>
          </cell>
          <cell r="G941">
            <v>3</v>
          </cell>
          <cell r="H941">
            <v>1800</v>
          </cell>
        </row>
        <row r="942">
          <cell r="A942">
            <v>912</v>
          </cell>
          <cell r="B942" t="str">
            <v>GRANTS TRIPPLE WOOD (WITH GLASS) 1LTR</v>
          </cell>
          <cell r="C942" t="str">
            <v>Pcs</v>
          </cell>
          <cell r="D942">
            <v>24</v>
          </cell>
          <cell r="E942">
            <v>120</v>
          </cell>
          <cell r="F942">
            <v>144</v>
          </cell>
          <cell r="G942">
            <v>0</v>
          </cell>
          <cell r="H942">
            <v>2000</v>
          </cell>
        </row>
        <row r="943">
          <cell r="A943">
            <v>913</v>
          </cell>
          <cell r="B943" t="str">
            <v>GRANTS WITH GLASS 750ML</v>
          </cell>
          <cell r="C943" t="str">
            <v>Pcs</v>
          </cell>
          <cell r="D943">
            <v>0</v>
          </cell>
          <cell r="E943">
            <v>120</v>
          </cell>
          <cell r="F943">
            <v>120</v>
          </cell>
          <cell r="G943">
            <v>0</v>
          </cell>
          <cell r="H943">
            <v>1800</v>
          </cell>
        </row>
        <row r="944">
          <cell r="A944">
            <v>2454</v>
          </cell>
          <cell r="B944" t="str">
            <v>GRANTS WITHOUT GLASS 1LTR</v>
          </cell>
          <cell r="C944" t="str">
            <v>Pcs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2000</v>
          </cell>
        </row>
        <row r="945">
          <cell r="A945">
            <v>908</v>
          </cell>
          <cell r="B945" t="str">
            <v>GRANT'S WITHOUT GLASS 750ML </v>
          </cell>
          <cell r="C945" t="str">
            <v>Pcs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1700</v>
          </cell>
        </row>
        <row r="946">
          <cell r="A946">
            <v>933</v>
          </cell>
          <cell r="B946" t="str">
            <v>HAMPTON DRAM WHISKY 750ML</v>
          </cell>
          <cell r="C946" t="str">
            <v>Pcs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1350</v>
          </cell>
        </row>
        <row r="947">
          <cell r="A947">
            <v>938</v>
          </cell>
          <cell r="B947" t="str">
            <v>HARRINGTON SCOTCH WHISKY 750ML</v>
          </cell>
          <cell r="C947" t="str">
            <v>Pcs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2500</v>
          </cell>
        </row>
        <row r="948">
          <cell r="A948">
            <v>937</v>
          </cell>
          <cell r="B948" t="str">
            <v>HARRINGTON  WHISKY 750ML</v>
          </cell>
          <cell r="C948" t="str">
            <v>Pcs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1900</v>
          </cell>
        </row>
        <row r="949">
          <cell r="A949">
            <v>984</v>
          </cell>
          <cell r="B949" t="str">
            <v>HIBIKI SUNTORY WHISKY JAPANESE 700ML</v>
          </cell>
          <cell r="C949" t="str">
            <v>Pcs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25000</v>
          </cell>
        </row>
        <row r="950">
          <cell r="A950">
            <v>2344</v>
          </cell>
          <cell r="B950" t="str">
            <v>HIGH COMMISSIONER  1LTR</v>
          </cell>
          <cell r="C950" t="str">
            <v>Pcs</v>
          </cell>
          <cell r="D950">
            <v>1</v>
          </cell>
          <cell r="E950">
            <v>0</v>
          </cell>
          <cell r="F950">
            <v>1</v>
          </cell>
          <cell r="G950">
            <v>0</v>
          </cell>
          <cell r="H950">
            <v>1400</v>
          </cell>
        </row>
        <row r="951">
          <cell r="A951">
            <v>988</v>
          </cell>
          <cell r="B951" t="str">
            <v>HIGHLAND PARK SINGLE MALT 700ML</v>
          </cell>
          <cell r="C951" t="str">
            <v>Pcs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14000</v>
          </cell>
        </row>
        <row r="952">
          <cell r="A952">
            <v>989</v>
          </cell>
          <cell r="B952" t="str">
            <v>HIGHLAND QUEEN WHISKY 1LTR</v>
          </cell>
          <cell r="C952" t="str">
            <v>Pcs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1500</v>
          </cell>
        </row>
        <row r="953">
          <cell r="A953">
            <v>992</v>
          </cell>
          <cell r="B953" t="str">
            <v>HUNTERS 250 ML</v>
          </cell>
          <cell r="C953" t="str">
            <v>Pcs</v>
          </cell>
          <cell r="D953">
            <v>144</v>
          </cell>
          <cell r="E953">
            <v>1080</v>
          </cell>
          <cell r="F953">
            <v>792</v>
          </cell>
          <cell r="G953">
            <v>432</v>
          </cell>
          <cell r="H953">
            <v>296</v>
          </cell>
        </row>
        <row r="954">
          <cell r="A954">
            <v>993</v>
          </cell>
          <cell r="B954" t="str">
            <v>HUNTERS 350 ML</v>
          </cell>
          <cell r="C954" t="str">
            <v>Pcs</v>
          </cell>
          <cell r="D954">
            <v>0</v>
          </cell>
          <cell r="E954">
            <v>600</v>
          </cell>
          <cell r="F954">
            <v>468</v>
          </cell>
          <cell r="G954">
            <v>132</v>
          </cell>
          <cell r="H954">
            <v>425</v>
          </cell>
        </row>
        <row r="955">
          <cell r="A955">
            <v>994</v>
          </cell>
          <cell r="B955" t="str">
            <v>HUNTERS 750 ML</v>
          </cell>
          <cell r="C955" t="str">
            <v>Pcs</v>
          </cell>
          <cell r="D955">
            <v>48</v>
          </cell>
          <cell r="E955">
            <v>540</v>
          </cell>
          <cell r="F955">
            <v>408</v>
          </cell>
          <cell r="G955">
            <v>180</v>
          </cell>
          <cell r="H955">
            <v>900</v>
          </cell>
        </row>
        <row r="956">
          <cell r="A956">
            <v>1003</v>
          </cell>
          <cell r="B956" t="str">
            <v>HUNTING LODGE WHISKY 1LTR</v>
          </cell>
          <cell r="C956" t="str">
            <v>Pcs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1400</v>
          </cell>
        </row>
        <row r="957">
          <cell r="A957">
            <v>1004</v>
          </cell>
          <cell r="B957" t="str">
            <v>HUNTING LODGE WHISKY 750ML</v>
          </cell>
          <cell r="C957" t="str">
            <v>Pcs</v>
          </cell>
          <cell r="D957">
            <v>18</v>
          </cell>
          <cell r="E957">
            <v>0</v>
          </cell>
          <cell r="F957">
            <v>12</v>
          </cell>
          <cell r="G957">
            <v>6</v>
          </cell>
          <cell r="H957">
            <v>1200</v>
          </cell>
        </row>
        <row r="958">
          <cell r="A958">
            <v>1007</v>
          </cell>
          <cell r="B958" t="str">
            <v>IMPERIAL BLUE WHISKY 750ML</v>
          </cell>
          <cell r="C958" t="str">
            <v>Pcs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900</v>
          </cell>
        </row>
        <row r="959">
          <cell r="A959">
            <v>2577</v>
          </cell>
          <cell r="B959" t="str">
            <v>INDEPENDENCE BLENDED IRISH 700ML</v>
          </cell>
          <cell r="C959" t="str">
            <v>Pcs</v>
          </cell>
          <cell r="D959">
            <v>369</v>
          </cell>
          <cell r="E959">
            <v>0</v>
          </cell>
          <cell r="F959">
            <v>12</v>
          </cell>
          <cell r="G959">
            <v>357</v>
          </cell>
          <cell r="H959">
            <v>2600</v>
          </cell>
        </row>
        <row r="960">
          <cell r="A960">
            <v>2294</v>
          </cell>
          <cell r="B960" t="str">
            <v>IRISH  MIST 1LTR</v>
          </cell>
          <cell r="C960" t="str">
            <v>Pcs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3500</v>
          </cell>
        </row>
        <row r="961">
          <cell r="A961">
            <v>1014</v>
          </cell>
          <cell r="B961" t="str">
            <v>IWAI JAPANESE WHISKY 750ml</v>
          </cell>
          <cell r="C961" t="str">
            <v>Pcs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8500</v>
          </cell>
        </row>
        <row r="962">
          <cell r="A962">
            <v>1019</v>
          </cell>
          <cell r="B962" t="str">
            <v>JACK DANIEL FIRE WHISKY 750ML</v>
          </cell>
          <cell r="C962" t="str">
            <v>Pcs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2850</v>
          </cell>
        </row>
        <row r="963">
          <cell r="A963">
            <v>1020</v>
          </cell>
          <cell r="B963" t="str">
            <v>JACK DANIEL HONEY WHISKY 1LTR</v>
          </cell>
          <cell r="C963" t="str">
            <v>Pcs</v>
          </cell>
          <cell r="D963">
            <v>0</v>
          </cell>
          <cell r="E963">
            <v>60</v>
          </cell>
          <cell r="F963">
            <v>54</v>
          </cell>
          <cell r="G963">
            <v>6</v>
          </cell>
          <cell r="H963">
            <v>3500</v>
          </cell>
        </row>
        <row r="964">
          <cell r="A964">
            <v>2951</v>
          </cell>
          <cell r="B964" t="str">
            <v>JACK DANIELS 1.75L</v>
          </cell>
          <cell r="C964" t="str">
            <v>Pcs</v>
          </cell>
          <cell r="D964">
            <v>225</v>
          </cell>
          <cell r="E964">
            <v>0</v>
          </cell>
          <cell r="F964">
            <v>41</v>
          </cell>
          <cell r="G964">
            <v>184</v>
          </cell>
          <cell r="H964">
            <v>5000</v>
          </cell>
        </row>
        <row r="965">
          <cell r="A965">
            <v>1021</v>
          </cell>
          <cell r="B965" t="str">
            <v>JACK DANIEL'S 1LTR</v>
          </cell>
          <cell r="C965" t="str">
            <v>Pcs</v>
          </cell>
          <cell r="D965">
            <v>654</v>
          </cell>
          <cell r="E965">
            <v>0</v>
          </cell>
          <cell r="F965">
            <v>508</v>
          </cell>
          <cell r="G965">
            <v>146</v>
          </cell>
          <cell r="H965">
            <v>3100</v>
          </cell>
        </row>
        <row r="966">
          <cell r="A966">
            <v>1024</v>
          </cell>
          <cell r="B966" t="str">
            <v>JACK DANIELS 375 ML</v>
          </cell>
          <cell r="C966" t="str">
            <v>Pcs</v>
          </cell>
          <cell r="D966">
            <v>0</v>
          </cell>
          <cell r="E966">
            <v>6</v>
          </cell>
          <cell r="F966">
            <v>6</v>
          </cell>
          <cell r="G966">
            <v>0</v>
          </cell>
          <cell r="H966">
            <v>1700</v>
          </cell>
        </row>
        <row r="967">
          <cell r="A967">
            <v>1023</v>
          </cell>
          <cell r="B967" t="str">
            <v>JACK DANIELS  700ML</v>
          </cell>
          <cell r="C967" t="str">
            <v>Pcs</v>
          </cell>
          <cell r="D967">
            <v>1041</v>
          </cell>
          <cell r="E967">
            <v>0</v>
          </cell>
          <cell r="F967">
            <v>262</v>
          </cell>
          <cell r="G967">
            <v>779</v>
          </cell>
          <cell r="H967">
            <v>2600</v>
          </cell>
        </row>
        <row r="968">
          <cell r="A968">
            <v>1025</v>
          </cell>
          <cell r="B968" t="str">
            <v>JACK DANIELS APPLE 1LTR</v>
          </cell>
          <cell r="C968" t="str">
            <v>Pcs</v>
          </cell>
          <cell r="D968">
            <v>141</v>
          </cell>
          <cell r="E968">
            <v>0</v>
          </cell>
          <cell r="F968">
            <v>12</v>
          </cell>
          <cell r="G968">
            <v>129</v>
          </cell>
          <cell r="H968">
            <v>3400</v>
          </cell>
        </row>
        <row r="969">
          <cell r="A969">
            <v>1026</v>
          </cell>
          <cell r="B969" t="str">
            <v>JACK DANIELS APPLE 700ML</v>
          </cell>
          <cell r="C969" t="str">
            <v>Pcs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2700</v>
          </cell>
        </row>
        <row r="970">
          <cell r="A970">
            <v>2940</v>
          </cell>
          <cell r="B970" t="str">
            <v>JACK DANIELS BLACK BERRY 700ML</v>
          </cell>
          <cell r="C970" t="str">
            <v>Pcs</v>
          </cell>
          <cell r="D970">
            <v>208</v>
          </cell>
          <cell r="E970">
            <v>0</v>
          </cell>
          <cell r="F970">
            <v>0</v>
          </cell>
          <cell r="G970">
            <v>208</v>
          </cell>
          <cell r="H970">
            <v>3000</v>
          </cell>
        </row>
        <row r="971">
          <cell r="A971">
            <v>1028</v>
          </cell>
          <cell r="B971" t="str">
            <v>JACK DANIELS FINE OLD NO 7 LEGACY EDITION 3 WHISKY 700ML</v>
          </cell>
          <cell r="C971" t="str">
            <v>Pcs</v>
          </cell>
          <cell r="D971">
            <v>31</v>
          </cell>
          <cell r="E971">
            <v>0</v>
          </cell>
          <cell r="F971">
            <v>0</v>
          </cell>
          <cell r="G971">
            <v>31</v>
          </cell>
          <cell r="H971">
            <v>3200</v>
          </cell>
        </row>
        <row r="972">
          <cell r="A972">
            <v>1029</v>
          </cell>
          <cell r="B972" t="str">
            <v>JACK DANIELS FIRE 1LTR</v>
          </cell>
          <cell r="C972" t="str">
            <v>Pcs</v>
          </cell>
          <cell r="D972">
            <v>410</v>
          </cell>
          <cell r="E972">
            <v>0</v>
          </cell>
          <cell r="F972">
            <v>42</v>
          </cell>
          <cell r="G972">
            <v>368</v>
          </cell>
          <cell r="H972">
            <v>3500</v>
          </cell>
        </row>
        <row r="973">
          <cell r="A973">
            <v>1031</v>
          </cell>
          <cell r="B973" t="str">
            <v>JACK DANIELS HONEY WHISKY 700ML</v>
          </cell>
          <cell r="C973" t="str">
            <v>Pcs</v>
          </cell>
          <cell r="D973">
            <v>2</v>
          </cell>
          <cell r="E973">
            <v>0</v>
          </cell>
          <cell r="F973">
            <v>2</v>
          </cell>
          <cell r="G973">
            <v>0</v>
          </cell>
          <cell r="H973">
            <v>3300</v>
          </cell>
        </row>
        <row r="974">
          <cell r="A974">
            <v>1032</v>
          </cell>
          <cell r="B974" t="str">
            <v>JACK DANIELS LEGACY EDITION 1 1LTR</v>
          </cell>
          <cell r="C974" t="str">
            <v>Pcs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4500</v>
          </cell>
        </row>
        <row r="975">
          <cell r="A975">
            <v>1022</v>
          </cell>
          <cell r="B975" t="str">
            <v>JACK DANIEL'S MASTER DISTILLER SERIES WHISKY 1LTR</v>
          </cell>
          <cell r="C975" t="str">
            <v>Pcs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3500</v>
          </cell>
        </row>
        <row r="976">
          <cell r="A976">
            <v>2330</v>
          </cell>
          <cell r="B976" t="str">
            <v>JACK DANIELS RYE 1LTR</v>
          </cell>
          <cell r="C976" t="str">
            <v>Pcs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4000</v>
          </cell>
        </row>
        <row r="977">
          <cell r="A977">
            <v>1034</v>
          </cell>
          <cell r="B977" t="str">
            <v>JACK DANIELS SINATRA  1LTR</v>
          </cell>
          <cell r="C977" t="str">
            <v>Pcs</v>
          </cell>
          <cell r="D977">
            <v>7</v>
          </cell>
          <cell r="E977">
            <v>0</v>
          </cell>
          <cell r="F977">
            <v>0</v>
          </cell>
          <cell r="G977">
            <v>7</v>
          </cell>
          <cell r="H977">
            <v>16000</v>
          </cell>
        </row>
        <row r="978">
          <cell r="A978">
            <v>1035</v>
          </cell>
          <cell r="B978" t="str">
            <v>JACK DANIELS SINGLE BARREL 750ML</v>
          </cell>
          <cell r="C978" t="str">
            <v>Pcs</v>
          </cell>
          <cell r="D978">
            <v>114</v>
          </cell>
          <cell r="E978">
            <v>0</v>
          </cell>
          <cell r="F978">
            <v>6</v>
          </cell>
          <cell r="G978">
            <v>108</v>
          </cell>
          <cell r="H978">
            <v>5500</v>
          </cell>
        </row>
        <row r="979">
          <cell r="A979">
            <v>1036</v>
          </cell>
          <cell r="B979" t="str">
            <v>JACK DANIELS SOUR MASH NO 7 700ML WHISKY</v>
          </cell>
          <cell r="C979" t="str">
            <v>Pcs</v>
          </cell>
          <cell r="D979">
            <v>48</v>
          </cell>
          <cell r="E979">
            <v>0</v>
          </cell>
          <cell r="F979">
            <v>0</v>
          </cell>
          <cell r="G979">
            <v>48</v>
          </cell>
          <cell r="H979">
            <v>3200</v>
          </cell>
        </row>
        <row r="980">
          <cell r="A980">
            <v>1037</v>
          </cell>
          <cell r="B980" t="str">
            <v>JACK DANIELS SOUR MASH NO 7 LEGACY EDITION 2 WHISKY 750ML</v>
          </cell>
          <cell r="C980" t="str">
            <v>Pcs</v>
          </cell>
          <cell r="D980">
            <v>3</v>
          </cell>
          <cell r="E980">
            <v>0</v>
          </cell>
          <cell r="F980">
            <v>0</v>
          </cell>
          <cell r="G980">
            <v>3</v>
          </cell>
          <cell r="H980">
            <v>3200</v>
          </cell>
        </row>
        <row r="981">
          <cell r="A981">
            <v>1039</v>
          </cell>
          <cell r="B981" t="str">
            <v>JACK DANIELS WHISKY 3LTR</v>
          </cell>
          <cell r="C981" t="str">
            <v>Pcs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13700</v>
          </cell>
        </row>
        <row r="982">
          <cell r="A982">
            <v>2849</v>
          </cell>
          <cell r="B982" t="str">
            <v>JAMESON 18YRS 700ML</v>
          </cell>
          <cell r="C982" t="str">
            <v>Pcs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17000</v>
          </cell>
        </row>
        <row r="983">
          <cell r="A983">
            <v>2935</v>
          </cell>
          <cell r="B983" t="str">
            <v>JAMESON BLACK BARREL 1L</v>
          </cell>
          <cell r="C983" t="str">
            <v>Pcs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4400</v>
          </cell>
        </row>
        <row r="984">
          <cell r="A984">
            <v>1057</v>
          </cell>
          <cell r="B984" t="str">
            <v>JAMESON BLACK BARREL 750ML</v>
          </cell>
          <cell r="C984" t="str">
            <v>Pcs</v>
          </cell>
          <cell r="D984">
            <v>234</v>
          </cell>
          <cell r="E984">
            <v>540</v>
          </cell>
          <cell r="F984">
            <v>72</v>
          </cell>
          <cell r="G984">
            <v>702</v>
          </cell>
          <cell r="H984">
            <v>4000</v>
          </cell>
        </row>
        <row r="985">
          <cell r="A985">
            <v>2797</v>
          </cell>
          <cell r="B985" t="str">
            <v>JAMESON COLD BREW 700ML</v>
          </cell>
          <cell r="C985" t="str">
            <v>Pcs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3500</v>
          </cell>
        </row>
        <row r="986">
          <cell r="A986">
            <v>1064</v>
          </cell>
          <cell r="B986" t="str">
            <v>JAMESON IPA 750ML</v>
          </cell>
          <cell r="C986" t="str">
            <v>Pcs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4500</v>
          </cell>
        </row>
        <row r="987">
          <cell r="A987">
            <v>1065</v>
          </cell>
          <cell r="B987" t="str">
            <v>JAMESON IRISH WHISKY 1LTR</v>
          </cell>
          <cell r="C987" t="str">
            <v>Pcs</v>
          </cell>
          <cell r="D987">
            <v>108</v>
          </cell>
          <cell r="E987">
            <v>0</v>
          </cell>
          <cell r="F987">
            <v>108</v>
          </cell>
          <cell r="G987">
            <v>0</v>
          </cell>
          <cell r="H987">
            <v>2900</v>
          </cell>
        </row>
        <row r="988">
          <cell r="A988">
            <v>1066</v>
          </cell>
          <cell r="B988" t="str">
            <v>JAMESON IRISH WHISKY 350ML</v>
          </cell>
          <cell r="C988" t="str">
            <v>Pcs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1200</v>
          </cell>
        </row>
        <row r="989">
          <cell r="A989">
            <v>1067</v>
          </cell>
          <cell r="B989" t="str">
            <v>JAMESON IRISH WHISKY 750ML</v>
          </cell>
          <cell r="C989" t="str">
            <v>Pcs</v>
          </cell>
          <cell r="D989">
            <v>923</v>
          </cell>
          <cell r="E989">
            <v>0</v>
          </cell>
          <cell r="F989">
            <v>216</v>
          </cell>
          <cell r="G989">
            <v>707</v>
          </cell>
          <cell r="H989">
            <v>2400</v>
          </cell>
        </row>
        <row r="990">
          <cell r="A990">
            <v>2798</v>
          </cell>
          <cell r="B990" t="str">
            <v>JAMESON ORANGE 700ML</v>
          </cell>
          <cell r="C990" t="str">
            <v>Pcs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3000</v>
          </cell>
        </row>
        <row r="991">
          <cell r="A991">
            <v>2574</v>
          </cell>
          <cell r="B991" t="str">
            <v>JAMESON SINGLE  POT STILL 750ML</v>
          </cell>
          <cell r="C991" t="str">
            <v>Pcs</v>
          </cell>
          <cell r="D991">
            <v>36</v>
          </cell>
          <cell r="E991">
            <v>0</v>
          </cell>
          <cell r="F991">
            <v>0</v>
          </cell>
          <cell r="G991">
            <v>36</v>
          </cell>
          <cell r="H991">
            <v>6500</v>
          </cell>
        </row>
        <row r="992">
          <cell r="A992">
            <v>1068</v>
          </cell>
          <cell r="B992" t="str">
            <v>JAMESON STOUT 750ML</v>
          </cell>
          <cell r="C992" t="str">
            <v>Pcs</v>
          </cell>
          <cell r="D992">
            <v>168</v>
          </cell>
          <cell r="E992">
            <v>0</v>
          </cell>
          <cell r="F992">
            <v>0</v>
          </cell>
          <cell r="G992">
            <v>168</v>
          </cell>
          <cell r="H992">
            <v>3500</v>
          </cell>
        </row>
        <row r="993">
          <cell r="A993">
            <v>2965</v>
          </cell>
          <cell r="B993" t="str">
            <v>JAMESON TRIPLE TRIPLE MARSALA LITRE</v>
          </cell>
          <cell r="C993" t="str">
            <v>Pcs</v>
          </cell>
          <cell r="D993">
            <v>3</v>
          </cell>
          <cell r="E993">
            <v>0</v>
          </cell>
          <cell r="F993">
            <v>3</v>
          </cell>
          <cell r="G993">
            <v>0</v>
          </cell>
          <cell r="H993">
            <v>5000</v>
          </cell>
        </row>
        <row r="994">
          <cell r="A994">
            <v>1069</v>
          </cell>
          <cell r="B994" t="str">
            <v>JAMESON WHISKY  4.5LTR</v>
          </cell>
          <cell r="C994" t="str">
            <v>Pcs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14200</v>
          </cell>
        </row>
        <row r="995">
          <cell r="A995">
            <v>1015</v>
          </cell>
          <cell r="B995" t="str">
            <v>J&amp;B RARE WHISKY 1LTR</v>
          </cell>
          <cell r="C995" t="str">
            <v>Pcs</v>
          </cell>
          <cell r="D995">
            <v>232</v>
          </cell>
          <cell r="E995">
            <v>0</v>
          </cell>
          <cell r="F995">
            <v>28</v>
          </cell>
          <cell r="G995">
            <v>204</v>
          </cell>
          <cell r="H995">
            <v>2000</v>
          </cell>
        </row>
        <row r="996">
          <cell r="A996">
            <v>1016</v>
          </cell>
          <cell r="B996" t="str">
            <v>J&amp;B RARE WHISKY 200ML</v>
          </cell>
          <cell r="C996" t="str">
            <v>Pcs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400</v>
          </cell>
        </row>
        <row r="997">
          <cell r="A997">
            <v>1018</v>
          </cell>
          <cell r="B997" t="str">
            <v>J&amp;B RARE WHISKY 750ML</v>
          </cell>
          <cell r="C997" t="str">
            <v>Pcs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1800</v>
          </cell>
        </row>
        <row r="998">
          <cell r="A998">
            <v>2201</v>
          </cell>
          <cell r="B998" t="str">
            <v>JIM BEAM APPLE 750ML</v>
          </cell>
          <cell r="C998" t="str">
            <v>Pcs</v>
          </cell>
          <cell r="D998">
            <v>81</v>
          </cell>
          <cell r="E998">
            <v>0</v>
          </cell>
          <cell r="F998">
            <v>0</v>
          </cell>
          <cell r="G998">
            <v>81</v>
          </cell>
          <cell r="H998">
            <v>2500</v>
          </cell>
        </row>
        <row r="999">
          <cell r="A999">
            <v>2788</v>
          </cell>
          <cell r="B999" t="str">
            <v>JIM BEAM BLACK CHERRY 700ML</v>
          </cell>
          <cell r="C999" t="str">
            <v>Pcs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2500</v>
          </cell>
        </row>
        <row r="1000">
          <cell r="A1000">
            <v>1079</v>
          </cell>
          <cell r="B1000" t="str">
            <v>JIM BEAM BOURBON WHISKY 1LTR</v>
          </cell>
          <cell r="C1000" t="str">
            <v>Pcs</v>
          </cell>
          <cell r="D1000">
            <v>60</v>
          </cell>
          <cell r="E1000">
            <v>0</v>
          </cell>
          <cell r="F1000">
            <v>60</v>
          </cell>
          <cell r="G1000">
            <v>0</v>
          </cell>
          <cell r="H1000">
            <v>2100</v>
          </cell>
        </row>
        <row r="1001">
          <cell r="A1001">
            <v>1080</v>
          </cell>
          <cell r="B1001" t="str">
            <v>JIM BEAM BOURBON WHISKY 750ML</v>
          </cell>
          <cell r="C1001" t="str">
            <v>Pcs</v>
          </cell>
          <cell r="D1001">
            <v>162</v>
          </cell>
          <cell r="E1001">
            <v>0</v>
          </cell>
          <cell r="F1001">
            <v>162</v>
          </cell>
          <cell r="G1001">
            <v>0</v>
          </cell>
          <cell r="H1001">
            <v>1800</v>
          </cell>
        </row>
        <row r="1002">
          <cell r="A1002">
            <v>1081</v>
          </cell>
          <cell r="B1002" t="str">
            <v>JIM BEAM DEVILS CUT WHISKY 700ml</v>
          </cell>
          <cell r="C1002" t="str">
            <v>Pcs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3500</v>
          </cell>
        </row>
        <row r="1003">
          <cell r="A1003">
            <v>1082</v>
          </cell>
          <cell r="B1003" t="str">
            <v>JIM BEAM DOUBLE OAK 700ml</v>
          </cell>
          <cell r="C1003" t="str">
            <v>Pcs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3500</v>
          </cell>
        </row>
        <row r="1004">
          <cell r="A1004">
            <v>2425</v>
          </cell>
          <cell r="B1004" t="str">
            <v>JOHN BARR BLACK WHISKY 1LTR</v>
          </cell>
          <cell r="C1004" t="str">
            <v>Pcs</v>
          </cell>
          <cell r="D1004">
            <v>0</v>
          </cell>
          <cell r="E1004">
            <v>12</v>
          </cell>
          <cell r="F1004">
            <v>12</v>
          </cell>
          <cell r="G1004">
            <v>0</v>
          </cell>
          <cell r="H1004">
            <v>1750</v>
          </cell>
        </row>
        <row r="1005">
          <cell r="A1005">
            <v>1091</v>
          </cell>
          <cell r="B1005" t="str">
            <v>JOHN BARR FINEST WHISKY RED 750ML</v>
          </cell>
          <cell r="C1005" t="str">
            <v>Pcs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1400</v>
          </cell>
        </row>
        <row r="1006">
          <cell r="A1006">
            <v>1092</v>
          </cell>
          <cell r="B1006" t="str">
            <v>JOHN BARR RED WHISKY 1LTR</v>
          </cell>
          <cell r="C1006" t="str">
            <v>Pcs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1500</v>
          </cell>
        </row>
        <row r="1007">
          <cell r="A1007">
            <v>1093</v>
          </cell>
          <cell r="B1007" t="str">
            <v>JOHN BARR RESERVE WHISKY BLACK 750ML</v>
          </cell>
          <cell r="C1007" t="str">
            <v>Pcs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1550</v>
          </cell>
        </row>
        <row r="1008">
          <cell r="A1008">
            <v>1096</v>
          </cell>
          <cell r="B1008" t="str">
            <v>JOHNNIE WALKER 18YRS WHISKY 1LTR</v>
          </cell>
          <cell r="C1008" t="str">
            <v>Pcs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13500</v>
          </cell>
        </row>
        <row r="1009">
          <cell r="A1009">
            <v>1097</v>
          </cell>
          <cell r="B1009" t="str">
            <v>JOHNNIE WALKER 18YRS WHISKY 750ML</v>
          </cell>
          <cell r="C1009" t="str">
            <v>Pcs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9000</v>
          </cell>
        </row>
        <row r="1010">
          <cell r="A1010">
            <v>1098</v>
          </cell>
          <cell r="B1010" t="str">
            <v>JOHNNIE WALKER A SONG OF FIRE 1LTR</v>
          </cell>
          <cell r="C1010" t="str">
            <v>Pcs</v>
          </cell>
          <cell r="D1010">
            <v>19</v>
          </cell>
          <cell r="E1010">
            <v>0</v>
          </cell>
          <cell r="F1010">
            <v>0</v>
          </cell>
          <cell r="G1010">
            <v>19</v>
          </cell>
          <cell r="H1010">
            <v>4500</v>
          </cell>
        </row>
        <row r="1011">
          <cell r="A1011">
            <v>1099</v>
          </cell>
          <cell r="B1011" t="str">
            <v>JOHNNIE WALKER A SONG OF ICE 1LTR</v>
          </cell>
          <cell r="C1011" t="str">
            <v>Pcs</v>
          </cell>
          <cell r="D1011">
            <v>13</v>
          </cell>
          <cell r="E1011">
            <v>0</v>
          </cell>
          <cell r="F1011">
            <v>0</v>
          </cell>
          <cell r="G1011">
            <v>13</v>
          </cell>
          <cell r="H1011">
            <v>4500</v>
          </cell>
        </row>
        <row r="1012">
          <cell r="A1012">
            <v>1101</v>
          </cell>
          <cell r="B1012" t="str">
            <v>JOHNNIE WALKER BLACK LABEL 1LTR</v>
          </cell>
          <cell r="C1012" t="str">
            <v>Pcs</v>
          </cell>
          <cell r="D1012">
            <v>481</v>
          </cell>
          <cell r="E1012">
            <v>0</v>
          </cell>
          <cell r="F1012">
            <v>468</v>
          </cell>
          <cell r="G1012">
            <v>13</v>
          </cell>
          <cell r="H1012">
            <v>3700</v>
          </cell>
        </row>
        <row r="1013">
          <cell r="A1013">
            <v>1105</v>
          </cell>
          <cell r="B1013" t="str">
            <v>JOHNNIE WALKER BLACK LABEL WHISKY 250ML</v>
          </cell>
          <cell r="C1013" t="str">
            <v>Pcs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1200</v>
          </cell>
        </row>
        <row r="1014">
          <cell r="A1014">
            <v>2426</v>
          </cell>
          <cell r="B1014" t="str">
            <v>JOHNNIE WALKER BLACK LABEL WHISKY 375ML</v>
          </cell>
          <cell r="C1014" t="str">
            <v>Pcs</v>
          </cell>
          <cell r="D1014">
            <v>216</v>
          </cell>
          <cell r="E1014">
            <v>240</v>
          </cell>
          <cell r="F1014">
            <v>240</v>
          </cell>
          <cell r="G1014">
            <v>216</v>
          </cell>
          <cell r="H1014">
            <v>1800</v>
          </cell>
        </row>
        <row r="1015">
          <cell r="A1015">
            <v>1107</v>
          </cell>
          <cell r="B1015" t="str">
            <v>JOHNNIE WALKER BLACK LABEL WHISKY 750ML</v>
          </cell>
          <cell r="C1015" t="str">
            <v>Pcs</v>
          </cell>
          <cell r="D1015">
            <v>24</v>
          </cell>
          <cell r="E1015">
            <v>240</v>
          </cell>
          <cell r="F1015">
            <v>228</v>
          </cell>
          <cell r="G1015">
            <v>36</v>
          </cell>
          <cell r="H1015">
            <v>3300</v>
          </cell>
        </row>
        <row r="1016">
          <cell r="A1016">
            <v>2966</v>
          </cell>
          <cell r="B1016" t="str">
            <v>JOHNNIE WALKER BLACK RUBY LITRE</v>
          </cell>
          <cell r="C1016" t="str">
            <v>Pcs</v>
          </cell>
          <cell r="D1016">
            <v>36</v>
          </cell>
          <cell r="E1016">
            <v>0</v>
          </cell>
          <cell r="F1016">
            <v>0</v>
          </cell>
          <cell r="G1016">
            <v>36</v>
          </cell>
          <cell r="H1016">
            <v>5300</v>
          </cell>
        </row>
        <row r="1017">
          <cell r="A1017">
            <v>1108</v>
          </cell>
          <cell r="B1017" t="str">
            <v>JOHNNIE WALKER BLONDE  750ml</v>
          </cell>
          <cell r="C1017" t="str">
            <v>Pcs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3000</v>
          </cell>
        </row>
        <row r="1018">
          <cell r="A1018">
            <v>1109</v>
          </cell>
          <cell r="B1018" t="str">
            <v>JOHNNIE WALKER BLUE LABEL 1LTR</v>
          </cell>
          <cell r="C1018" t="str">
            <v>Pcs</v>
          </cell>
          <cell r="D1018">
            <v>114</v>
          </cell>
          <cell r="E1018">
            <v>0</v>
          </cell>
          <cell r="F1018">
            <v>0</v>
          </cell>
          <cell r="G1018">
            <v>114</v>
          </cell>
          <cell r="H1018">
            <v>26000</v>
          </cell>
        </row>
        <row r="1019">
          <cell r="A1019">
            <v>2202</v>
          </cell>
          <cell r="B1019" t="str">
            <v>JOHNNIE WALKER BLUE LABEL 750ML</v>
          </cell>
          <cell r="C1019" t="str">
            <v>Pcs</v>
          </cell>
          <cell r="D1019">
            <v>42</v>
          </cell>
          <cell r="E1019">
            <v>0</v>
          </cell>
          <cell r="F1019">
            <v>4</v>
          </cell>
          <cell r="G1019">
            <v>38</v>
          </cell>
          <cell r="H1019">
            <v>23500</v>
          </cell>
        </row>
        <row r="1020">
          <cell r="A1020">
            <v>2488</v>
          </cell>
          <cell r="B1020" t="str">
            <v>JOHNNIE WALKER BLUE LABEL GHOST &amp; RARE 750ML</v>
          </cell>
          <cell r="C1020" t="str">
            <v>Pcs</v>
          </cell>
          <cell r="D1020">
            <v>12</v>
          </cell>
          <cell r="E1020">
            <v>0</v>
          </cell>
          <cell r="F1020">
            <v>0</v>
          </cell>
          <cell r="G1020">
            <v>12</v>
          </cell>
          <cell r="H1020">
            <v>48000</v>
          </cell>
        </row>
        <row r="1021">
          <cell r="A1021">
            <v>1110</v>
          </cell>
          <cell r="B1021" t="str">
            <v>JOHNNIE WALKER DOUBLE BLACK 1 LTR</v>
          </cell>
          <cell r="C1021" t="str">
            <v>Pcs</v>
          </cell>
          <cell r="D1021">
            <v>1989</v>
          </cell>
          <cell r="E1021">
            <v>0</v>
          </cell>
          <cell r="F1021">
            <v>72</v>
          </cell>
          <cell r="G1021">
            <v>1917</v>
          </cell>
          <cell r="H1021">
            <v>5200</v>
          </cell>
        </row>
        <row r="1022">
          <cell r="A1022">
            <v>1111</v>
          </cell>
          <cell r="B1022" t="str">
            <v>JOHNNIE WALKER DOUBLE BLACK 750ML</v>
          </cell>
          <cell r="C1022" t="str">
            <v>Pcs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4400</v>
          </cell>
        </row>
        <row r="1023">
          <cell r="A1023">
            <v>1113</v>
          </cell>
          <cell r="B1023" t="str">
            <v>JOHNNIE WALKER GOLD RESERVE  1LTR</v>
          </cell>
          <cell r="C1023" t="str">
            <v>Pcs</v>
          </cell>
          <cell r="D1023">
            <v>152</v>
          </cell>
          <cell r="E1023">
            <v>0</v>
          </cell>
          <cell r="F1023">
            <v>12</v>
          </cell>
          <cell r="G1023">
            <v>140</v>
          </cell>
          <cell r="H1023">
            <v>7000</v>
          </cell>
        </row>
        <row r="1024">
          <cell r="A1024">
            <v>1114</v>
          </cell>
          <cell r="B1024" t="str">
            <v>JOHNNIE WALKER GOLD RESERVE WHISKY 750ML</v>
          </cell>
          <cell r="C1024" t="str">
            <v>Pcs</v>
          </cell>
          <cell r="D1024">
            <v>341</v>
          </cell>
          <cell r="E1024">
            <v>0</v>
          </cell>
          <cell r="F1024">
            <v>19</v>
          </cell>
          <cell r="G1024">
            <v>322</v>
          </cell>
          <cell r="H1024">
            <v>6200</v>
          </cell>
        </row>
        <row r="1025">
          <cell r="A1025">
            <v>2355</v>
          </cell>
          <cell r="B1025" t="str">
            <v>JOHNNIE WALKER GREEN LABEL AGED 15YRS 750ML</v>
          </cell>
          <cell r="C1025" t="str">
            <v>Pcs</v>
          </cell>
          <cell r="D1025">
            <v>8</v>
          </cell>
          <cell r="E1025">
            <v>0</v>
          </cell>
          <cell r="F1025">
            <v>6</v>
          </cell>
          <cell r="G1025">
            <v>2</v>
          </cell>
          <cell r="H1025">
            <v>6700</v>
          </cell>
        </row>
        <row r="1026">
          <cell r="A1026">
            <v>1116</v>
          </cell>
          <cell r="B1026" t="str">
            <v>JOHNNIE WALKER ISLAND GREEN WHISKY 1LTR</v>
          </cell>
          <cell r="C1026" t="str">
            <v>Pcs</v>
          </cell>
          <cell r="D1026">
            <v>24</v>
          </cell>
          <cell r="E1026">
            <v>0</v>
          </cell>
          <cell r="F1026">
            <v>6</v>
          </cell>
          <cell r="G1026">
            <v>18</v>
          </cell>
          <cell r="H1026">
            <v>8000</v>
          </cell>
        </row>
        <row r="1027">
          <cell r="A1027">
            <v>2203</v>
          </cell>
          <cell r="B1027" t="str">
            <v>JOHNNIE WALKER KING GEORGE V 750ML</v>
          </cell>
          <cell r="C1027" t="str">
            <v>Pcs</v>
          </cell>
          <cell r="D1027">
            <v>6</v>
          </cell>
          <cell r="E1027">
            <v>0</v>
          </cell>
          <cell r="F1027">
            <v>6</v>
          </cell>
          <cell r="G1027">
            <v>0</v>
          </cell>
          <cell r="H1027">
            <v>60000</v>
          </cell>
        </row>
        <row r="1028">
          <cell r="A1028">
            <v>1094</v>
          </cell>
          <cell r="B1028" t="str">
            <v>JOHNNIE WALKER  PLATINUM WHISKY 1LTR</v>
          </cell>
          <cell r="C1028" t="str">
            <v>Pcs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10000</v>
          </cell>
        </row>
        <row r="1029">
          <cell r="A1029">
            <v>1117</v>
          </cell>
          <cell r="B1029" t="str">
            <v>JOHNNIE WALKER RED LABEL  1LTR</v>
          </cell>
          <cell r="C1029" t="str">
            <v>Pcs</v>
          </cell>
          <cell r="D1029">
            <v>1</v>
          </cell>
          <cell r="E1029">
            <v>0</v>
          </cell>
          <cell r="F1029">
            <v>0</v>
          </cell>
          <cell r="G1029">
            <v>1</v>
          </cell>
          <cell r="H1029">
            <v>2100</v>
          </cell>
        </row>
        <row r="1030">
          <cell r="A1030">
            <v>2296</v>
          </cell>
          <cell r="B1030" t="str">
            <v>JOHNNIE WALKER RED LABEL 500ML</v>
          </cell>
          <cell r="C1030" t="str">
            <v>Pcs</v>
          </cell>
          <cell r="D1030">
            <v>51</v>
          </cell>
          <cell r="E1030">
            <v>0</v>
          </cell>
          <cell r="F1030">
            <v>0</v>
          </cell>
          <cell r="G1030">
            <v>51</v>
          </cell>
          <cell r="H1030">
            <v>1200</v>
          </cell>
        </row>
        <row r="1031">
          <cell r="A1031">
            <v>1118</v>
          </cell>
          <cell r="B1031" t="str">
            <v>JOHNNIE WALKER RED LABEL 750ML</v>
          </cell>
          <cell r="C1031" t="str">
            <v>Pcs</v>
          </cell>
          <cell r="D1031">
            <v>108</v>
          </cell>
          <cell r="E1031">
            <v>0</v>
          </cell>
          <cell r="F1031">
            <v>108</v>
          </cell>
          <cell r="G1031">
            <v>0</v>
          </cell>
          <cell r="H1031">
            <v>1800</v>
          </cell>
        </row>
        <row r="1032">
          <cell r="A1032">
            <v>1119</v>
          </cell>
          <cell r="B1032" t="str">
            <v>JOHNNIE WALKER RED LABEL WHISKY 250ML</v>
          </cell>
          <cell r="C1032" t="str">
            <v>Pcs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600</v>
          </cell>
        </row>
        <row r="1033">
          <cell r="A1033">
            <v>1121</v>
          </cell>
          <cell r="B1033" t="str">
            <v>JOHNNIE WALKER RED LABEL WHISKY 375ML</v>
          </cell>
          <cell r="C1033" t="str">
            <v>Pcs</v>
          </cell>
          <cell r="D1033">
            <v>24</v>
          </cell>
          <cell r="E1033">
            <v>240</v>
          </cell>
          <cell r="F1033">
            <v>120</v>
          </cell>
          <cell r="G1033">
            <v>144</v>
          </cell>
          <cell r="H1033">
            <v>900</v>
          </cell>
        </row>
        <row r="1034">
          <cell r="A1034">
            <v>1125</v>
          </cell>
          <cell r="B1034" t="str">
            <v>JOHNNIE WALKER SWING 750ML</v>
          </cell>
          <cell r="C1034" t="str">
            <v>Pcs</v>
          </cell>
          <cell r="D1034">
            <v>42</v>
          </cell>
          <cell r="E1034">
            <v>0</v>
          </cell>
          <cell r="F1034">
            <v>0</v>
          </cell>
          <cell r="G1034">
            <v>42</v>
          </cell>
          <cell r="H1034">
            <v>8200</v>
          </cell>
        </row>
        <row r="1035">
          <cell r="A1035">
            <v>1122</v>
          </cell>
          <cell r="B1035" t="str">
            <v>JOHNNIE WALKER WHITE WALKER 1LTR</v>
          </cell>
          <cell r="C1035" t="str">
            <v>Pcs</v>
          </cell>
          <cell r="D1035">
            <v>17</v>
          </cell>
          <cell r="E1035">
            <v>0</v>
          </cell>
          <cell r="F1035">
            <v>0</v>
          </cell>
          <cell r="G1035">
            <v>17</v>
          </cell>
          <cell r="H1035">
            <v>4500</v>
          </cell>
        </row>
        <row r="1036">
          <cell r="A1036">
            <v>2976</v>
          </cell>
          <cell r="B1036" t="str">
            <v>JOHNNIE WALKER XR 19YRS 750ML</v>
          </cell>
          <cell r="C1036" t="str">
            <v>Pcs</v>
          </cell>
          <cell r="D1036">
            <v>14</v>
          </cell>
          <cell r="E1036">
            <v>0</v>
          </cell>
          <cell r="F1036">
            <v>0</v>
          </cell>
          <cell r="G1036">
            <v>14</v>
          </cell>
          <cell r="H1036">
            <v>11000</v>
          </cell>
        </row>
        <row r="1037">
          <cell r="A1037">
            <v>1124</v>
          </cell>
          <cell r="B1037" t="str">
            <v>JOHNNIE WALKER XR 21YRS WHISKY 700ML</v>
          </cell>
          <cell r="C1037" t="str">
            <v>Pcs</v>
          </cell>
          <cell r="D1037">
            <v>5</v>
          </cell>
          <cell r="E1037">
            <v>0</v>
          </cell>
          <cell r="F1037">
            <v>0</v>
          </cell>
          <cell r="G1037">
            <v>5</v>
          </cell>
          <cell r="H1037">
            <v>15000</v>
          </cell>
        </row>
        <row r="1038">
          <cell r="A1038">
            <v>1159</v>
          </cell>
          <cell r="B1038" t="str">
            <v>JURA 12YRS OLD SINGLE MALT WHISKY 700ML</v>
          </cell>
          <cell r="C1038" t="str">
            <v>Pcs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6200</v>
          </cell>
        </row>
        <row r="1039">
          <cell r="A1039">
            <v>1161</v>
          </cell>
          <cell r="B1039" t="str">
            <v>JURA FRENCH OAK 700ML</v>
          </cell>
          <cell r="C1039" t="str">
            <v>Pcs</v>
          </cell>
          <cell r="D1039">
            <v>6</v>
          </cell>
          <cell r="E1039">
            <v>0</v>
          </cell>
          <cell r="F1039">
            <v>0</v>
          </cell>
          <cell r="G1039">
            <v>6</v>
          </cell>
          <cell r="H1039">
            <v>5000</v>
          </cell>
        </row>
        <row r="1040">
          <cell r="A1040">
            <v>1207</v>
          </cell>
          <cell r="B1040" t="str">
            <v>KING ROBERT II 750ML</v>
          </cell>
          <cell r="C1040" t="str">
            <v>Pcs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1000</v>
          </cell>
        </row>
        <row r="1041">
          <cell r="A1041">
            <v>1210</v>
          </cell>
          <cell r="B1041" t="str">
            <v>KING ROBERT WHISKY 1LTR</v>
          </cell>
          <cell r="C1041" t="str">
            <v>Pcs</v>
          </cell>
          <cell r="D1041">
            <v>24</v>
          </cell>
          <cell r="E1041">
            <v>0</v>
          </cell>
          <cell r="F1041">
            <v>0</v>
          </cell>
          <cell r="G1041">
            <v>24</v>
          </cell>
          <cell r="H1041">
            <v>1400</v>
          </cell>
        </row>
        <row r="1042">
          <cell r="A1042">
            <v>1211</v>
          </cell>
          <cell r="B1042" t="str">
            <v>KING ROBERT WHISKY 750ML</v>
          </cell>
          <cell r="C1042" t="str">
            <v>Pcs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1000</v>
          </cell>
        </row>
        <row r="1043">
          <cell r="A1043">
            <v>2230</v>
          </cell>
          <cell r="B1043" t="str">
            <v>LAGAVULIN ISLAY 12YRS 750ML</v>
          </cell>
          <cell r="C1043" t="str">
            <v>Pcs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9000</v>
          </cell>
        </row>
        <row r="1044">
          <cell r="A1044">
            <v>1251</v>
          </cell>
          <cell r="B1044" t="str">
            <v>LAGAVULIN ISLAY SINGLE MALT 16YRS 750ML</v>
          </cell>
          <cell r="C1044" t="str">
            <v>Pcs</v>
          </cell>
          <cell r="D1044">
            <v>24</v>
          </cell>
          <cell r="E1044">
            <v>0</v>
          </cell>
          <cell r="F1044">
            <v>0</v>
          </cell>
          <cell r="G1044">
            <v>24</v>
          </cell>
          <cell r="H1044">
            <v>17000</v>
          </cell>
        </row>
        <row r="1045">
          <cell r="A1045">
            <v>2306</v>
          </cell>
          <cell r="B1045" t="str">
            <v>LAMBAY WHISKY 1LTR</v>
          </cell>
          <cell r="C1045" t="str">
            <v>Pcs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4500</v>
          </cell>
        </row>
        <row r="1046">
          <cell r="A1046">
            <v>2799</v>
          </cell>
          <cell r="B1046" t="str">
            <v>LAPHROAIG 10YEARS 700ML</v>
          </cell>
          <cell r="C1046" t="str">
            <v>Pcs</v>
          </cell>
          <cell r="D1046">
            <v>30</v>
          </cell>
          <cell r="E1046">
            <v>0</v>
          </cell>
          <cell r="F1046">
            <v>0</v>
          </cell>
          <cell r="G1046">
            <v>30</v>
          </cell>
          <cell r="H1046">
            <v>5500</v>
          </cell>
        </row>
        <row r="1047">
          <cell r="A1047">
            <v>2231</v>
          </cell>
          <cell r="B1047" t="str">
            <v>LAPHROAIG 700ML</v>
          </cell>
          <cell r="C1047" t="str">
            <v>Pcs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8500</v>
          </cell>
        </row>
        <row r="1048">
          <cell r="A1048">
            <v>2232</v>
          </cell>
          <cell r="B1048" t="str">
            <v>LAPHROAIG AN CUAN MOR 700ML</v>
          </cell>
          <cell r="C1048" t="str">
            <v>Pcs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8500</v>
          </cell>
        </row>
        <row r="1049">
          <cell r="A1049">
            <v>2370</v>
          </cell>
          <cell r="B1049" t="str">
            <v>LAPHROAIG FOUR OAK 1LTR</v>
          </cell>
          <cell r="C1049" t="str">
            <v>Pcs</v>
          </cell>
          <cell r="D1049">
            <v>24</v>
          </cell>
          <cell r="E1049">
            <v>0</v>
          </cell>
          <cell r="F1049">
            <v>0</v>
          </cell>
          <cell r="G1049">
            <v>24</v>
          </cell>
          <cell r="H1049">
            <v>8500</v>
          </cell>
        </row>
        <row r="1050">
          <cell r="A1050">
            <v>1259</v>
          </cell>
          <cell r="B1050" t="str">
            <v>LAPHROAIG FOUR OAK 750ML</v>
          </cell>
          <cell r="C1050" t="str">
            <v>Pcs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5500</v>
          </cell>
        </row>
        <row r="1051">
          <cell r="A1051">
            <v>1260</v>
          </cell>
          <cell r="B1051" t="str">
            <v>LAPHROAIG PX CASK 1LTR</v>
          </cell>
          <cell r="C1051" t="str">
            <v>Pcs</v>
          </cell>
          <cell r="D1051">
            <v>42</v>
          </cell>
          <cell r="E1051">
            <v>0</v>
          </cell>
          <cell r="F1051">
            <v>0</v>
          </cell>
          <cell r="G1051">
            <v>42</v>
          </cell>
          <cell r="H1051">
            <v>9000</v>
          </cell>
        </row>
        <row r="1052">
          <cell r="A1052">
            <v>1261</v>
          </cell>
          <cell r="B1052" t="str">
            <v>LAPHROAIG QUARTER CASK 750ML</v>
          </cell>
          <cell r="C1052" t="str">
            <v>Pcs</v>
          </cell>
          <cell r="D1052">
            <v>6</v>
          </cell>
          <cell r="E1052">
            <v>0</v>
          </cell>
          <cell r="F1052">
            <v>0</v>
          </cell>
          <cell r="G1052">
            <v>6</v>
          </cell>
          <cell r="H1052">
            <v>6500</v>
          </cell>
        </row>
        <row r="1053">
          <cell r="A1053">
            <v>1265</v>
          </cell>
          <cell r="B1053" t="str">
            <v>LAUDERS SCOTH WHISKY 1LTR</v>
          </cell>
          <cell r="C1053" t="str">
            <v>Pcs</v>
          </cell>
          <cell r="D1053">
            <v>12</v>
          </cell>
          <cell r="E1053">
            <v>0</v>
          </cell>
          <cell r="F1053">
            <v>0</v>
          </cell>
          <cell r="G1053">
            <v>12</v>
          </cell>
          <cell r="H1053">
            <v>1800</v>
          </cell>
        </row>
        <row r="1054">
          <cell r="A1054">
            <v>1367</v>
          </cell>
          <cell r="B1054" t="str">
            <v>MAJOR GUNN'S 1LTR</v>
          </cell>
          <cell r="C1054" t="str">
            <v>Pcs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1500</v>
          </cell>
        </row>
        <row r="1055">
          <cell r="A1055">
            <v>2870</v>
          </cell>
          <cell r="B1055" t="str">
            <v>MAKER'S MARK 101 1L</v>
          </cell>
          <cell r="C1055" t="str">
            <v>Pcs</v>
          </cell>
          <cell r="D1055">
            <v>54</v>
          </cell>
          <cell r="E1055">
            <v>0</v>
          </cell>
          <cell r="F1055">
            <v>0</v>
          </cell>
          <cell r="G1055">
            <v>54</v>
          </cell>
          <cell r="H1055">
            <v>5500</v>
          </cell>
        </row>
        <row r="1056">
          <cell r="A1056">
            <v>1368</v>
          </cell>
          <cell r="B1056" t="str">
            <v>MAKER'S MARK 750ML</v>
          </cell>
          <cell r="C1056" t="str">
            <v>Pcs</v>
          </cell>
          <cell r="D1056">
            <v>21</v>
          </cell>
          <cell r="E1056">
            <v>0</v>
          </cell>
          <cell r="F1056">
            <v>0</v>
          </cell>
          <cell r="G1056">
            <v>21</v>
          </cell>
          <cell r="H1056">
            <v>4000</v>
          </cell>
        </row>
        <row r="1057">
          <cell r="A1057">
            <v>1369</v>
          </cell>
          <cell r="B1057" t="str">
            <v>MAKERS MARK BOURBON 1LTR</v>
          </cell>
          <cell r="C1057" t="str">
            <v>Pcs</v>
          </cell>
          <cell r="D1057">
            <v>30</v>
          </cell>
          <cell r="E1057">
            <v>0</v>
          </cell>
          <cell r="F1057">
            <v>0</v>
          </cell>
          <cell r="G1057">
            <v>30</v>
          </cell>
          <cell r="H1057">
            <v>4500</v>
          </cell>
        </row>
        <row r="1058">
          <cell r="A1058">
            <v>2800</v>
          </cell>
          <cell r="B1058" t="str">
            <v>MARTEL CORDON BLEU 700ML</v>
          </cell>
          <cell r="C1058" t="str">
            <v>Pcs</v>
          </cell>
          <cell r="D1058">
            <v>26</v>
          </cell>
          <cell r="E1058">
            <v>0</v>
          </cell>
          <cell r="F1058">
            <v>0</v>
          </cell>
          <cell r="G1058">
            <v>26</v>
          </cell>
          <cell r="H1058">
            <v>24000</v>
          </cell>
        </row>
        <row r="1059">
          <cell r="A1059">
            <v>1470</v>
          </cell>
          <cell r="B1059" t="str">
            <v>MONKEY SHOULDER 1LT</v>
          </cell>
          <cell r="C1059" t="str">
            <v>Pcs</v>
          </cell>
          <cell r="D1059">
            <v>6</v>
          </cell>
          <cell r="E1059">
            <v>0</v>
          </cell>
          <cell r="F1059">
            <v>6</v>
          </cell>
          <cell r="G1059">
            <v>0</v>
          </cell>
          <cell r="H1059">
            <v>5000</v>
          </cell>
        </row>
        <row r="1060">
          <cell r="A1060">
            <v>1471</v>
          </cell>
          <cell r="B1060" t="str">
            <v>MONKEY SHOULDER 750ML</v>
          </cell>
          <cell r="C1060" t="str">
            <v>Pcs</v>
          </cell>
          <cell r="D1060">
            <v>174</v>
          </cell>
          <cell r="E1060">
            <v>0</v>
          </cell>
          <cell r="F1060">
            <v>18</v>
          </cell>
          <cell r="G1060">
            <v>156</v>
          </cell>
          <cell r="H1060">
            <v>3700</v>
          </cell>
        </row>
        <row r="1061">
          <cell r="A1061">
            <v>1484</v>
          </cell>
          <cell r="B1061" t="str">
            <v>MRDOWELLS NO.1 RESERVE WHISKY 750ML</v>
          </cell>
          <cell r="C1061" t="str">
            <v>Pcs</v>
          </cell>
          <cell r="D1061">
            <v>34</v>
          </cell>
          <cell r="E1061">
            <v>0</v>
          </cell>
          <cell r="F1061">
            <v>0</v>
          </cell>
          <cell r="G1061">
            <v>34</v>
          </cell>
          <cell r="H1061">
            <v>500</v>
          </cell>
        </row>
        <row r="1062">
          <cell r="A1062">
            <v>2278</v>
          </cell>
          <cell r="B1062" t="str">
            <v>MR DOWELS 750ML</v>
          </cell>
          <cell r="C1062" t="str">
            <v>Pcs</v>
          </cell>
          <cell r="D1062">
            <v>1</v>
          </cell>
          <cell r="E1062">
            <v>0</v>
          </cell>
          <cell r="F1062">
            <v>0</v>
          </cell>
          <cell r="G1062">
            <v>1</v>
          </cell>
          <cell r="H1062">
            <v>800</v>
          </cell>
        </row>
        <row r="1063">
          <cell r="A1063">
            <v>1495</v>
          </cell>
          <cell r="B1063" t="str">
            <v>NAKED MALT 750ml</v>
          </cell>
          <cell r="C1063" t="str">
            <v>Pcs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4000</v>
          </cell>
        </row>
        <row r="1064">
          <cell r="A1064">
            <v>1546</v>
          </cell>
          <cell r="B1064" t="str">
            <v>OFFICERS CHOICE 750ML</v>
          </cell>
          <cell r="C1064" t="str">
            <v>Pcs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800</v>
          </cell>
        </row>
        <row r="1065">
          <cell r="A1065">
            <v>1545</v>
          </cell>
          <cell r="B1065" t="str">
            <v>OFFICER'S CHOICE WHISKY LITRE</v>
          </cell>
          <cell r="C1065" t="str">
            <v>Pcs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650</v>
          </cell>
        </row>
        <row r="1066">
          <cell r="A1066">
            <v>1550</v>
          </cell>
          <cell r="B1066" t="str">
            <v>OLD FORESTER WHISKY 1ltr</v>
          </cell>
          <cell r="C1066" t="str">
            <v>Pcs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3900</v>
          </cell>
        </row>
        <row r="1067">
          <cell r="A1067">
            <v>2383</v>
          </cell>
          <cell r="B1067" t="str">
            <v>OLD PULLTENEY WHISKY 1LTR</v>
          </cell>
          <cell r="C1067" t="str">
            <v>Pcs</v>
          </cell>
          <cell r="D1067">
            <v>1</v>
          </cell>
          <cell r="E1067">
            <v>0</v>
          </cell>
          <cell r="F1067">
            <v>0</v>
          </cell>
          <cell r="G1067">
            <v>1</v>
          </cell>
          <cell r="H1067">
            <v>9000</v>
          </cell>
        </row>
        <row r="1068">
          <cell r="A1068">
            <v>1576</v>
          </cell>
          <cell r="B1068" t="str">
            <v>PADDY IRISH WHISKY 375ML</v>
          </cell>
          <cell r="C1068" t="str">
            <v>Pcs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600</v>
          </cell>
        </row>
        <row r="1069">
          <cell r="A1069">
            <v>1587</v>
          </cell>
          <cell r="B1069" t="str">
            <v>PASSPORT SCOTCH 40% 750ML</v>
          </cell>
          <cell r="C1069" t="str">
            <v>Pcs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1100</v>
          </cell>
        </row>
        <row r="1070">
          <cell r="A1070">
            <v>1588</v>
          </cell>
          <cell r="B1070" t="str">
            <v>PASSPORT SCOTCH WHISKY 1LTR</v>
          </cell>
          <cell r="C1070" t="str">
            <v>Pcs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1900</v>
          </cell>
        </row>
        <row r="1071">
          <cell r="A1071">
            <v>1636</v>
          </cell>
          <cell r="B1071" t="str">
            <v>PROPER TWELVE IRISH WHISKY 1LTR</v>
          </cell>
          <cell r="C1071" t="str">
            <v>Pcs</v>
          </cell>
          <cell r="D1071">
            <v>138</v>
          </cell>
          <cell r="E1071">
            <v>0</v>
          </cell>
          <cell r="F1071">
            <v>0</v>
          </cell>
          <cell r="G1071">
            <v>138</v>
          </cell>
          <cell r="H1071">
            <v>6500</v>
          </cell>
        </row>
        <row r="1072">
          <cell r="A1072">
            <v>1660</v>
          </cell>
          <cell r="B1072" t="str">
            <v>RESERVE 7 RARE WHISKY 750ML</v>
          </cell>
          <cell r="C1072" t="str">
            <v>Pcs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750</v>
          </cell>
        </row>
        <row r="1073">
          <cell r="A1073">
            <v>1703</v>
          </cell>
          <cell r="B1073" t="str">
            <v>ROYAL ARMS BLUE RESERVE BLACK 750ML</v>
          </cell>
          <cell r="C1073" t="str">
            <v>Pcs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750</v>
          </cell>
        </row>
        <row r="1074">
          <cell r="A1074">
            <v>2244</v>
          </cell>
          <cell r="B1074" t="str">
            <v>ROYAL CHALLENGE 375ML</v>
          </cell>
          <cell r="C1074" t="str">
            <v>Pcs</v>
          </cell>
          <cell r="D1074">
            <v>72</v>
          </cell>
          <cell r="E1074">
            <v>0</v>
          </cell>
          <cell r="F1074">
            <v>24</v>
          </cell>
          <cell r="G1074">
            <v>48</v>
          </cell>
          <cell r="H1074">
            <v>550</v>
          </cell>
        </row>
        <row r="1075">
          <cell r="A1075">
            <v>1704</v>
          </cell>
          <cell r="B1075" t="str">
            <v>ROYAL CHALLENGE AMERICAN PRIDE 750ML</v>
          </cell>
          <cell r="C1075" t="str">
            <v>Pcs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1150</v>
          </cell>
        </row>
        <row r="1076">
          <cell r="A1076">
            <v>1705</v>
          </cell>
          <cell r="B1076" t="str">
            <v>ROYAL CHALLENGE WHISKY RED 750ML</v>
          </cell>
          <cell r="C1076" t="str">
            <v>Pcs</v>
          </cell>
          <cell r="D1076">
            <v>717</v>
          </cell>
          <cell r="E1076">
            <v>0</v>
          </cell>
          <cell r="F1076">
            <v>0</v>
          </cell>
          <cell r="G1076">
            <v>717</v>
          </cell>
          <cell r="H1076">
            <v>900</v>
          </cell>
        </row>
        <row r="1077">
          <cell r="A1077">
            <v>1706</v>
          </cell>
          <cell r="B1077" t="str">
            <v>ROYAL CIRCLE 1LTR</v>
          </cell>
          <cell r="C1077" t="str">
            <v>Pcs</v>
          </cell>
          <cell r="D1077">
            <v>36</v>
          </cell>
          <cell r="E1077">
            <v>0</v>
          </cell>
          <cell r="F1077">
            <v>24</v>
          </cell>
          <cell r="G1077">
            <v>12</v>
          </cell>
          <cell r="H1077">
            <v>1300</v>
          </cell>
        </row>
        <row r="1078">
          <cell r="A1078">
            <v>1707</v>
          </cell>
          <cell r="B1078" t="str">
            <v>ROYAL CIRCLE 350ML</v>
          </cell>
          <cell r="C1078" t="str">
            <v>Pcs</v>
          </cell>
          <cell r="D1078">
            <v>72</v>
          </cell>
          <cell r="E1078">
            <v>0</v>
          </cell>
          <cell r="F1078">
            <v>48</v>
          </cell>
          <cell r="G1078">
            <v>24</v>
          </cell>
          <cell r="H1078">
            <v>550</v>
          </cell>
        </row>
        <row r="1079">
          <cell r="A1079">
            <v>1708</v>
          </cell>
          <cell r="B1079" t="str">
            <v>ROYAL CIRCLE 750ML</v>
          </cell>
          <cell r="C1079" t="str">
            <v>Pcs</v>
          </cell>
          <cell r="D1079">
            <v>72</v>
          </cell>
          <cell r="E1079">
            <v>0</v>
          </cell>
          <cell r="F1079">
            <v>24</v>
          </cell>
          <cell r="G1079">
            <v>48</v>
          </cell>
          <cell r="H1079">
            <v>1150</v>
          </cell>
        </row>
        <row r="1080">
          <cell r="A1080">
            <v>2842</v>
          </cell>
          <cell r="B1080" t="str">
            <v>ROYAL CIRCLE HONEY 750ML  </v>
          </cell>
          <cell r="C1080" t="str">
            <v>Pcs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1150</v>
          </cell>
        </row>
        <row r="1081">
          <cell r="A1081">
            <v>1716</v>
          </cell>
          <cell r="B1081" t="str">
            <v>ROYAL WHYTEHALL HONEY 1LTR</v>
          </cell>
          <cell r="C1081" t="str">
            <v>Pcs</v>
          </cell>
          <cell r="D1081">
            <v>120</v>
          </cell>
          <cell r="E1081">
            <v>10</v>
          </cell>
          <cell r="F1081">
            <v>72</v>
          </cell>
          <cell r="G1081">
            <v>58</v>
          </cell>
          <cell r="H1081">
            <v>1500</v>
          </cell>
        </row>
        <row r="1082">
          <cell r="A1082">
            <v>2825</v>
          </cell>
          <cell r="B1082" t="str">
            <v>SAZERAC RYE 700ML</v>
          </cell>
          <cell r="C1082" t="str">
            <v>Pcs</v>
          </cell>
          <cell r="D1082">
            <v>12</v>
          </cell>
          <cell r="E1082">
            <v>0</v>
          </cell>
          <cell r="F1082">
            <v>0</v>
          </cell>
          <cell r="G1082">
            <v>12</v>
          </cell>
          <cell r="H1082">
            <v>3400</v>
          </cell>
        </row>
        <row r="1083">
          <cell r="A1083">
            <v>1774</v>
          </cell>
          <cell r="B1083" t="str">
            <v>SCOTTISH LEADER ORIGINAL 1LTR</v>
          </cell>
          <cell r="C1083" t="str">
            <v>Pcs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1600</v>
          </cell>
        </row>
        <row r="1084">
          <cell r="A1084">
            <v>1775</v>
          </cell>
          <cell r="B1084" t="str">
            <v>SCOTTISH LEADER ORIGINAL 700ML</v>
          </cell>
          <cell r="C1084" t="str">
            <v>Pcs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1300</v>
          </cell>
        </row>
        <row r="1085">
          <cell r="A1085">
            <v>1772</v>
          </cell>
          <cell r="B1085" t="str">
            <v>SCOTTISH STAG 1LTR</v>
          </cell>
          <cell r="C1085" t="str">
            <v>Pcs</v>
          </cell>
          <cell r="D1085">
            <v>41</v>
          </cell>
          <cell r="E1085">
            <v>0</v>
          </cell>
          <cell r="F1085">
            <v>6</v>
          </cell>
          <cell r="G1085">
            <v>35</v>
          </cell>
          <cell r="H1085">
            <v>1700</v>
          </cell>
        </row>
        <row r="1086">
          <cell r="A1086">
            <v>2246</v>
          </cell>
          <cell r="B1086" t="str">
            <v>SHACKLETON 1LTR</v>
          </cell>
          <cell r="C1086" t="str">
            <v>Pcs</v>
          </cell>
          <cell r="D1086">
            <v>12</v>
          </cell>
          <cell r="E1086">
            <v>0</v>
          </cell>
          <cell r="F1086">
            <v>0</v>
          </cell>
          <cell r="G1086">
            <v>12</v>
          </cell>
          <cell r="H1086">
            <v>5500</v>
          </cell>
        </row>
        <row r="1087">
          <cell r="A1087">
            <v>1779</v>
          </cell>
          <cell r="B1087" t="str">
            <v>SHACKLETON BLENDED MALT 700ML</v>
          </cell>
          <cell r="C1087" t="str">
            <v>Pcs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4200</v>
          </cell>
        </row>
        <row r="1088">
          <cell r="A1088">
            <v>2282</v>
          </cell>
          <cell r="B1088" t="str">
            <v>SINGLETON 12YRS 1LTR</v>
          </cell>
          <cell r="C1088" t="str">
            <v>Pcs</v>
          </cell>
          <cell r="D1088">
            <v>1</v>
          </cell>
          <cell r="E1088">
            <v>0</v>
          </cell>
          <cell r="F1088">
            <v>0</v>
          </cell>
          <cell r="G1088">
            <v>1</v>
          </cell>
          <cell r="H1088">
            <v>6500</v>
          </cell>
        </row>
        <row r="1089">
          <cell r="A1089">
            <v>1799</v>
          </cell>
          <cell r="B1089" t="str">
            <v>SINGLETON 12YRS WHISKY 750ML</v>
          </cell>
          <cell r="C1089" t="str">
            <v>Pcs</v>
          </cell>
          <cell r="D1089">
            <v>243</v>
          </cell>
          <cell r="E1089">
            <v>0</v>
          </cell>
          <cell r="F1089">
            <v>42</v>
          </cell>
          <cell r="G1089">
            <v>201</v>
          </cell>
          <cell r="H1089">
            <v>4500</v>
          </cell>
        </row>
        <row r="1090">
          <cell r="A1090">
            <v>1800</v>
          </cell>
          <cell r="B1090" t="str">
            <v>SINGLETON 21YRS 700ML</v>
          </cell>
          <cell r="C1090" t="str">
            <v>Pcs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18000</v>
          </cell>
        </row>
        <row r="1091">
          <cell r="A1091">
            <v>2956</v>
          </cell>
          <cell r="B1091" t="str">
            <v>SINGLETON ARTISAN 1L</v>
          </cell>
          <cell r="C1091" t="str">
            <v>Pcs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10500</v>
          </cell>
        </row>
        <row r="1092">
          <cell r="A1092">
            <v>1801</v>
          </cell>
          <cell r="B1092" t="str">
            <v>SINGLETON DUFFTOWN 15YRS 750ML</v>
          </cell>
          <cell r="C1092" t="str">
            <v>Pcs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6300</v>
          </cell>
        </row>
        <row r="1093">
          <cell r="A1093">
            <v>1802</v>
          </cell>
          <cell r="B1093" t="str">
            <v>SINGLETON DUFFTOWN 18YRS WHISKY 750ML</v>
          </cell>
          <cell r="C1093" t="str">
            <v>Pcs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10000</v>
          </cell>
        </row>
        <row r="1094">
          <cell r="A1094">
            <v>2162</v>
          </cell>
          <cell r="B1094" t="str">
            <v>SIR EDWARDS SMOKY  1L</v>
          </cell>
          <cell r="C1094" t="str">
            <v>Pcs</v>
          </cell>
          <cell r="D1094">
            <v>227</v>
          </cell>
          <cell r="E1094">
            <v>0</v>
          </cell>
          <cell r="F1094">
            <v>4</v>
          </cell>
          <cell r="G1094">
            <v>223</v>
          </cell>
          <cell r="H1094">
            <v>1650</v>
          </cell>
        </row>
        <row r="1095">
          <cell r="A1095">
            <v>1805</v>
          </cell>
          <cell r="B1095" t="str">
            <v>SIR EDWARD'S SMOKY WHISKY 750ML</v>
          </cell>
          <cell r="C1095" t="str">
            <v>Pcs</v>
          </cell>
          <cell r="D1095">
            <v>832</v>
          </cell>
          <cell r="E1095">
            <v>0</v>
          </cell>
          <cell r="F1095">
            <v>0</v>
          </cell>
          <cell r="G1095">
            <v>832</v>
          </cell>
          <cell r="H1095">
            <v>1400</v>
          </cell>
        </row>
        <row r="1096">
          <cell r="A1096">
            <v>1806</v>
          </cell>
          <cell r="B1096" t="str">
            <v>SIR EDWARDS WHISKY  1LTR</v>
          </cell>
          <cell r="C1096" t="str">
            <v>Pcs</v>
          </cell>
          <cell r="D1096">
            <v>735</v>
          </cell>
          <cell r="E1096">
            <v>0</v>
          </cell>
          <cell r="F1096">
            <v>249</v>
          </cell>
          <cell r="G1096">
            <v>486</v>
          </cell>
          <cell r="H1096">
            <v>1450</v>
          </cell>
        </row>
        <row r="1097">
          <cell r="A1097">
            <v>1808</v>
          </cell>
          <cell r="B1097" t="str">
            <v>SIR EDWARDS WHISKY  4.5LTR</v>
          </cell>
          <cell r="C1097" t="str">
            <v>Pcs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10500</v>
          </cell>
        </row>
        <row r="1098">
          <cell r="A1098">
            <v>1809</v>
          </cell>
          <cell r="B1098" t="str">
            <v>SIR EDWARDS WHISKY  700ML</v>
          </cell>
          <cell r="C1098" t="str">
            <v>Pcs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900</v>
          </cell>
        </row>
        <row r="1099">
          <cell r="A1099">
            <v>1851</v>
          </cell>
          <cell r="B1099" t="str">
            <v>SOLAN NO. ONE BLACK 750ML</v>
          </cell>
          <cell r="C1099" t="str">
            <v>Pcs</v>
          </cell>
          <cell r="D1099">
            <v>12</v>
          </cell>
          <cell r="E1099">
            <v>0</v>
          </cell>
          <cell r="F1099">
            <v>0</v>
          </cell>
          <cell r="G1099">
            <v>12</v>
          </cell>
          <cell r="H1099">
            <v>800</v>
          </cell>
        </row>
        <row r="1100">
          <cell r="A1100">
            <v>1852</v>
          </cell>
          <cell r="B1100" t="str">
            <v>SOLO AVIATOR 500ML</v>
          </cell>
          <cell r="C1100" t="str">
            <v>Pcs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2200</v>
          </cell>
        </row>
        <row r="1101">
          <cell r="A1101">
            <v>1853</v>
          </cell>
          <cell r="B1101" t="str">
            <v>SOMETHING SPECIAL 1LTR</v>
          </cell>
          <cell r="C1101" t="str">
            <v>Pcs</v>
          </cell>
          <cell r="D1101">
            <v>24</v>
          </cell>
          <cell r="E1101">
            <v>0</v>
          </cell>
          <cell r="F1101">
            <v>0</v>
          </cell>
          <cell r="G1101">
            <v>24</v>
          </cell>
          <cell r="H1101">
            <v>1800</v>
          </cell>
        </row>
        <row r="1102">
          <cell r="A1102">
            <v>95</v>
          </cell>
          <cell r="B1102" t="str">
            <v>SOUTHERN COMFORT 1LT</v>
          </cell>
          <cell r="C1102" t="str">
            <v>Pcs</v>
          </cell>
          <cell r="D1102">
            <v>131</v>
          </cell>
          <cell r="E1102">
            <v>0</v>
          </cell>
          <cell r="F1102">
            <v>58</v>
          </cell>
          <cell r="G1102">
            <v>73</v>
          </cell>
          <cell r="H1102">
            <v>2200</v>
          </cell>
        </row>
        <row r="1103">
          <cell r="A1103">
            <v>1857</v>
          </cell>
          <cell r="B1103" t="str">
            <v>SOUTHERN COMFORT 350ML</v>
          </cell>
          <cell r="C1103" t="str">
            <v>Pcs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900</v>
          </cell>
        </row>
        <row r="1104">
          <cell r="A1104">
            <v>1858</v>
          </cell>
          <cell r="B1104" t="str">
            <v>SOUTHERN COMFORT 750ML</v>
          </cell>
          <cell r="C1104" t="str">
            <v>Pcs</v>
          </cell>
          <cell r="D1104">
            <v>207</v>
          </cell>
          <cell r="E1104">
            <v>1680</v>
          </cell>
          <cell r="F1104">
            <v>0</v>
          </cell>
          <cell r="G1104">
            <v>1887</v>
          </cell>
          <cell r="H1104">
            <v>2000</v>
          </cell>
        </row>
        <row r="1105">
          <cell r="A1105">
            <v>1856</v>
          </cell>
          <cell r="B1105" t="str">
            <v>SOUTHERN COMFORT BLACK 1LT</v>
          </cell>
          <cell r="C1105" t="str">
            <v>Pcs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2200</v>
          </cell>
        </row>
        <row r="1106">
          <cell r="A1106">
            <v>1859</v>
          </cell>
          <cell r="B1106" t="str">
            <v>SOUTHERN COMFORT BLACK 700ML</v>
          </cell>
          <cell r="C1106" t="str">
            <v>Pcs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1800</v>
          </cell>
        </row>
        <row r="1107">
          <cell r="A1107">
            <v>1860</v>
          </cell>
          <cell r="B1107" t="str">
            <v>SOUTHERN COMFORT LIME 700ML</v>
          </cell>
          <cell r="C1107" t="str">
            <v>Pcs</v>
          </cell>
          <cell r="D1107">
            <v>114</v>
          </cell>
          <cell r="E1107">
            <v>0</v>
          </cell>
          <cell r="F1107">
            <v>0</v>
          </cell>
          <cell r="G1107">
            <v>114</v>
          </cell>
          <cell r="H1107">
            <v>1800</v>
          </cell>
        </row>
        <row r="1108">
          <cell r="A1108">
            <v>1896</v>
          </cell>
          <cell r="B1108" t="str">
            <v>STRATHISLA 12YRS WHISKY 700ML</v>
          </cell>
          <cell r="C1108" t="str">
            <v>Pcs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4500</v>
          </cell>
        </row>
        <row r="1109">
          <cell r="A1109">
            <v>1904</v>
          </cell>
          <cell r="B1109" t="str">
            <v>SUPREME VODKA 250ML</v>
          </cell>
          <cell r="C1109" t="str">
            <v>Pcs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165</v>
          </cell>
        </row>
        <row r="1110">
          <cell r="A1110">
            <v>1918</v>
          </cell>
          <cell r="B1110" t="str">
            <v>TALISKER 10YRS WHISKY 1LTR</v>
          </cell>
          <cell r="C1110" t="str">
            <v>Pcs</v>
          </cell>
          <cell r="D1110">
            <v>6</v>
          </cell>
          <cell r="E1110">
            <v>0</v>
          </cell>
          <cell r="F1110">
            <v>0</v>
          </cell>
          <cell r="G1110">
            <v>6</v>
          </cell>
          <cell r="H1110">
            <v>8500</v>
          </cell>
        </row>
        <row r="1111">
          <cell r="A1111">
            <v>1919</v>
          </cell>
          <cell r="B1111" t="str">
            <v>TALISKER 10YRS WHISKY 700ML</v>
          </cell>
          <cell r="C1111" t="str">
            <v>Pcs</v>
          </cell>
          <cell r="D1111">
            <v>42</v>
          </cell>
          <cell r="E1111">
            <v>0</v>
          </cell>
          <cell r="F1111">
            <v>0</v>
          </cell>
          <cell r="G1111">
            <v>42</v>
          </cell>
          <cell r="H1111">
            <v>6500</v>
          </cell>
        </row>
        <row r="1112">
          <cell r="A1112">
            <v>1921</v>
          </cell>
          <cell r="B1112" t="str">
            <v>TALISKER DARK STORM WHISKY 1LTR</v>
          </cell>
          <cell r="C1112" t="str">
            <v>Pcs</v>
          </cell>
          <cell r="D1112">
            <v>52</v>
          </cell>
          <cell r="E1112">
            <v>0</v>
          </cell>
          <cell r="F1112">
            <v>0</v>
          </cell>
          <cell r="G1112">
            <v>52</v>
          </cell>
          <cell r="H1112">
            <v>8500</v>
          </cell>
        </row>
        <row r="1113">
          <cell r="A1113">
            <v>1916</v>
          </cell>
          <cell r="B1113" t="str">
            <v>TALISKER  NEIST POINT 700ml</v>
          </cell>
          <cell r="C1113" t="str">
            <v>Pcs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13000</v>
          </cell>
        </row>
        <row r="1114">
          <cell r="A1114">
            <v>1917</v>
          </cell>
          <cell r="B1114" t="str">
            <v>TALISKER  PORT RUIGHE WHISKY 700ML</v>
          </cell>
          <cell r="C1114" t="str">
            <v>Pcs</v>
          </cell>
          <cell r="D1114">
            <v>6</v>
          </cell>
          <cell r="E1114">
            <v>0</v>
          </cell>
          <cell r="F1114">
            <v>0</v>
          </cell>
          <cell r="G1114">
            <v>6</v>
          </cell>
          <cell r="H1114">
            <v>6000</v>
          </cell>
        </row>
        <row r="1115">
          <cell r="A1115">
            <v>1922</v>
          </cell>
          <cell r="B1115" t="str">
            <v>TALISKER SINGLE MALT 700ML</v>
          </cell>
          <cell r="C1115" t="str">
            <v>Pcs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7000</v>
          </cell>
        </row>
        <row r="1116">
          <cell r="A1116">
            <v>1923</v>
          </cell>
          <cell r="B1116" t="str">
            <v>TALISKER SKYE 1ltr</v>
          </cell>
          <cell r="C1116" t="str">
            <v>Pcs</v>
          </cell>
          <cell r="D1116">
            <v>18</v>
          </cell>
          <cell r="E1116">
            <v>0</v>
          </cell>
          <cell r="F1116">
            <v>0</v>
          </cell>
          <cell r="G1116">
            <v>18</v>
          </cell>
          <cell r="H1116">
            <v>7000</v>
          </cell>
        </row>
        <row r="1117">
          <cell r="A1117">
            <v>2384</v>
          </cell>
          <cell r="B1117" t="str">
            <v>TALISKER SKYE 700ML</v>
          </cell>
          <cell r="C1117" t="str">
            <v>Pcs</v>
          </cell>
          <cell r="D1117">
            <v>18</v>
          </cell>
          <cell r="E1117">
            <v>0</v>
          </cell>
          <cell r="F1117">
            <v>0</v>
          </cell>
          <cell r="G1117">
            <v>18</v>
          </cell>
          <cell r="H1117">
            <v>6200</v>
          </cell>
        </row>
        <row r="1118">
          <cell r="A1118">
            <v>1946</v>
          </cell>
          <cell r="B1118" t="str">
            <v>TEACHERS 1LT</v>
          </cell>
          <cell r="C1118" t="str">
            <v>Pcs</v>
          </cell>
          <cell r="D1118">
            <v>287</v>
          </cell>
          <cell r="E1118">
            <v>0</v>
          </cell>
          <cell r="F1118">
            <v>36</v>
          </cell>
          <cell r="G1118">
            <v>251</v>
          </cell>
          <cell r="H1118">
            <v>1700</v>
          </cell>
        </row>
        <row r="1119">
          <cell r="A1119">
            <v>1948</v>
          </cell>
          <cell r="B1119" t="str">
            <v>TEACHERS WHISKY 750ML</v>
          </cell>
          <cell r="C1119" t="str">
            <v>Pcs</v>
          </cell>
          <cell r="D1119">
            <v>60</v>
          </cell>
          <cell r="E1119">
            <v>0</v>
          </cell>
          <cell r="F1119">
            <v>0</v>
          </cell>
          <cell r="G1119">
            <v>60</v>
          </cell>
          <cell r="H1119">
            <v>1400</v>
          </cell>
        </row>
        <row r="1120">
          <cell r="A1120">
            <v>2958</v>
          </cell>
          <cell r="B1120" t="str">
            <v>TEELING WHISKY 700ML</v>
          </cell>
          <cell r="C1120" t="str">
            <v>Pcs</v>
          </cell>
          <cell r="D1120">
            <v>6</v>
          </cell>
          <cell r="E1120">
            <v>0</v>
          </cell>
          <cell r="F1120">
            <v>0</v>
          </cell>
          <cell r="G1120">
            <v>6</v>
          </cell>
          <cell r="H1120">
            <v>2800</v>
          </cell>
        </row>
        <row r="1121">
          <cell r="A1121">
            <v>1961</v>
          </cell>
          <cell r="B1121" t="str">
            <v>THE FAMOUS GROUSE 1LT</v>
          </cell>
          <cell r="C1121" t="str">
            <v>Pcs</v>
          </cell>
          <cell r="D1121">
            <v>602</v>
          </cell>
          <cell r="E1121">
            <v>0</v>
          </cell>
          <cell r="F1121">
            <v>268</v>
          </cell>
          <cell r="G1121">
            <v>334</v>
          </cell>
          <cell r="H1121">
            <v>2000</v>
          </cell>
        </row>
        <row r="1122">
          <cell r="A1122">
            <v>1962</v>
          </cell>
          <cell r="B1122" t="str">
            <v>THE FAMOUS GROUSE 350ML</v>
          </cell>
          <cell r="C1122" t="str">
            <v>Pcs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950</v>
          </cell>
        </row>
        <row r="1123">
          <cell r="A1123">
            <v>1963</v>
          </cell>
          <cell r="B1123" t="str">
            <v>THE FAMOUS GROUSE 750ML</v>
          </cell>
          <cell r="C1123" t="str">
            <v>Pcs</v>
          </cell>
          <cell r="D1123">
            <v>0</v>
          </cell>
          <cell r="E1123">
            <v>30</v>
          </cell>
          <cell r="F1123">
            <v>30</v>
          </cell>
          <cell r="G1123">
            <v>0</v>
          </cell>
          <cell r="H1123">
            <v>1700</v>
          </cell>
        </row>
        <row r="1124">
          <cell r="A1124">
            <v>2271</v>
          </cell>
          <cell r="B1124" t="str">
            <v>THE FAMOUS GROUSE BOURBON CASK 750ML</v>
          </cell>
          <cell r="C1124" t="str">
            <v>Pcs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2600</v>
          </cell>
        </row>
        <row r="1125">
          <cell r="A1125">
            <v>2489</v>
          </cell>
          <cell r="B1125" t="str">
            <v>THE FAMOUS GROUSE BOURBON CASK LITRE</v>
          </cell>
          <cell r="C1125" t="str">
            <v>Pcs</v>
          </cell>
          <cell r="D1125">
            <v>36</v>
          </cell>
          <cell r="E1125">
            <v>0</v>
          </cell>
          <cell r="F1125">
            <v>0</v>
          </cell>
          <cell r="G1125">
            <v>36</v>
          </cell>
          <cell r="H1125">
            <v>2500</v>
          </cell>
        </row>
        <row r="1126">
          <cell r="A1126">
            <v>2270</v>
          </cell>
          <cell r="B1126" t="str">
            <v>THE FAMOUS GROUSE CHERRY CASK 700ML</v>
          </cell>
          <cell r="C1126" t="str">
            <v>Pcs</v>
          </cell>
          <cell r="D1126">
            <v>18</v>
          </cell>
          <cell r="E1126">
            <v>0</v>
          </cell>
          <cell r="F1126">
            <v>0</v>
          </cell>
          <cell r="G1126">
            <v>18</v>
          </cell>
          <cell r="H1126">
            <v>2600</v>
          </cell>
        </row>
        <row r="1127">
          <cell r="A1127">
            <v>2252</v>
          </cell>
          <cell r="B1127" t="str">
            <v>THE FAMOUS GROUSE SMOKY BLACK 1LTR</v>
          </cell>
          <cell r="C1127" t="str">
            <v>Pcs</v>
          </cell>
          <cell r="D1127">
            <v>24</v>
          </cell>
          <cell r="E1127">
            <v>0</v>
          </cell>
          <cell r="F1127">
            <v>0</v>
          </cell>
          <cell r="G1127">
            <v>24</v>
          </cell>
          <cell r="H1127">
            <v>2600</v>
          </cell>
        </row>
        <row r="1128">
          <cell r="A1128">
            <v>1968</v>
          </cell>
          <cell r="B1128" t="str">
            <v>THE GLENLIVET 12 YO 405 1LT</v>
          </cell>
          <cell r="C1128" t="str">
            <v>Pcs</v>
          </cell>
          <cell r="D1128">
            <v>0</v>
          </cell>
          <cell r="E1128">
            <v>4</v>
          </cell>
          <cell r="F1128">
            <v>4</v>
          </cell>
          <cell r="G1128">
            <v>0</v>
          </cell>
          <cell r="H1128">
            <v>6500</v>
          </cell>
        </row>
        <row r="1129">
          <cell r="A1129">
            <v>1969</v>
          </cell>
          <cell r="B1129" t="str">
            <v>THE GLENLIVET 15 YO 40% 1LT</v>
          </cell>
          <cell r="C1129" t="str">
            <v>Pcs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12000</v>
          </cell>
        </row>
        <row r="1130">
          <cell r="A1130">
            <v>1970</v>
          </cell>
          <cell r="B1130" t="str">
            <v>THE GLENLIVET 15 YO 40% 700ML</v>
          </cell>
          <cell r="C1130" t="str">
            <v>Pcs</v>
          </cell>
          <cell r="D1130">
            <v>102</v>
          </cell>
          <cell r="E1130">
            <v>0</v>
          </cell>
          <cell r="F1130">
            <v>12</v>
          </cell>
          <cell r="G1130">
            <v>90</v>
          </cell>
          <cell r="H1130">
            <v>9000</v>
          </cell>
        </row>
        <row r="1131">
          <cell r="A1131">
            <v>1971</v>
          </cell>
          <cell r="B1131" t="str">
            <v>THE GLENLIVET 18 YO 43% 1LT</v>
          </cell>
          <cell r="C1131" t="str">
            <v>Pcs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18000</v>
          </cell>
        </row>
        <row r="1132">
          <cell r="A1132">
            <v>1972</v>
          </cell>
          <cell r="B1132" t="str">
            <v>THE GLENLIVET 18 YO 43% 700ML</v>
          </cell>
          <cell r="C1132" t="str">
            <v>Pcs</v>
          </cell>
          <cell r="D1132">
            <v>210</v>
          </cell>
          <cell r="E1132">
            <v>0</v>
          </cell>
          <cell r="F1132">
            <v>0</v>
          </cell>
          <cell r="G1132">
            <v>210</v>
          </cell>
          <cell r="H1132">
            <v>15000</v>
          </cell>
        </row>
        <row r="1133">
          <cell r="A1133">
            <v>1973</v>
          </cell>
          <cell r="B1133" t="str">
            <v>THE GLENLIVET 21 YO 43% 700ML</v>
          </cell>
          <cell r="C1133" t="str">
            <v>Pcs</v>
          </cell>
          <cell r="D1133">
            <v>11</v>
          </cell>
          <cell r="E1133">
            <v>0</v>
          </cell>
          <cell r="F1133">
            <v>0</v>
          </cell>
          <cell r="G1133">
            <v>11</v>
          </cell>
          <cell r="H1133">
            <v>36000</v>
          </cell>
        </row>
        <row r="1134">
          <cell r="A1134">
            <v>2451</v>
          </cell>
          <cell r="B1134" t="str">
            <v>THE GLENLIVET DOUBLE OAK 12 YO 750ML</v>
          </cell>
          <cell r="C1134" t="str">
            <v>Pcs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4750</v>
          </cell>
        </row>
        <row r="1135">
          <cell r="A1135">
            <v>1967</v>
          </cell>
          <cell r="B1135" t="str">
            <v>THE GLENLIVET DOUBLE OAK 12 YO WITH GLASS 750ML</v>
          </cell>
          <cell r="C1135" t="str">
            <v>Pcs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4750</v>
          </cell>
        </row>
        <row r="1136">
          <cell r="A1136">
            <v>1975</v>
          </cell>
          <cell r="B1136" t="str">
            <v>THE GLENLIVET FOUNDERS RESERVE 1LTR</v>
          </cell>
          <cell r="C1136" t="str">
            <v>Pcs</v>
          </cell>
          <cell r="D1136">
            <v>20</v>
          </cell>
          <cell r="E1136">
            <v>0</v>
          </cell>
          <cell r="F1136">
            <v>0</v>
          </cell>
          <cell r="G1136">
            <v>20</v>
          </cell>
          <cell r="H1136">
            <v>5600</v>
          </cell>
        </row>
        <row r="1137">
          <cell r="A1137">
            <v>1976</v>
          </cell>
          <cell r="B1137" t="str">
            <v>THE GLENLIVET FOUNDERS RESERVE WHISKY 700ML</v>
          </cell>
          <cell r="C1137" t="str">
            <v>Pcs</v>
          </cell>
          <cell r="D1137">
            <v>30</v>
          </cell>
          <cell r="E1137">
            <v>0</v>
          </cell>
          <cell r="F1137">
            <v>6</v>
          </cell>
          <cell r="G1137">
            <v>24</v>
          </cell>
          <cell r="H1137">
            <v>5000</v>
          </cell>
        </row>
        <row r="1138">
          <cell r="A1138">
            <v>2450</v>
          </cell>
          <cell r="B1138" t="str">
            <v>THE GLENLIVET GEORGE SMITH 12 YO  750ML</v>
          </cell>
          <cell r="C1138" t="str">
            <v>Pcs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5500</v>
          </cell>
        </row>
        <row r="1139">
          <cell r="A1139">
            <v>1964</v>
          </cell>
          <cell r="B1139" t="str">
            <v>THE GLEN SILVER'S SINGLE MALT SCOTCH WHISKY 700ML</v>
          </cell>
          <cell r="C1139" t="str">
            <v>Pcs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2500</v>
          </cell>
        </row>
        <row r="1140">
          <cell r="A1140">
            <v>1338</v>
          </cell>
          <cell r="B1140" t="str">
            <v>THE MACALLAN 12YR 700ML</v>
          </cell>
          <cell r="C1140" t="str">
            <v>Pcs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11500</v>
          </cell>
        </row>
        <row r="1141">
          <cell r="A1141">
            <v>1339</v>
          </cell>
          <cell r="B1141" t="str">
            <v>THE MACALLAN 15YR 700ML</v>
          </cell>
          <cell r="C1141" t="str">
            <v>Pcs</v>
          </cell>
          <cell r="D1141">
            <v>90</v>
          </cell>
          <cell r="E1141">
            <v>0</v>
          </cell>
          <cell r="F1141">
            <v>6</v>
          </cell>
          <cell r="G1141">
            <v>84</v>
          </cell>
          <cell r="H1141">
            <v>20000</v>
          </cell>
        </row>
        <row r="1142">
          <cell r="A1142">
            <v>1341</v>
          </cell>
          <cell r="B1142" t="str">
            <v>THE MACALLAN AMBER 1LTR</v>
          </cell>
          <cell r="C1142" t="str">
            <v>Pcs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7200</v>
          </cell>
        </row>
        <row r="1143">
          <cell r="A1143">
            <v>1342</v>
          </cell>
          <cell r="B1143" t="str">
            <v>THE MACALLAN ENIGMA 700ml</v>
          </cell>
          <cell r="C1143" t="str">
            <v>Pcs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27500</v>
          </cell>
        </row>
        <row r="1144">
          <cell r="A1144">
            <v>1982</v>
          </cell>
          <cell r="B1144" t="str">
            <v>THE MACALLAN NIGHT ON EARTH WHISKY 700ML</v>
          </cell>
          <cell r="C1144" t="str">
            <v>Pcs</v>
          </cell>
          <cell r="D1144">
            <v>42</v>
          </cell>
          <cell r="E1144">
            <v>0</v>
          </cell>
          <cell r="F1144">
            <v>0</v>
          </cell>
          <cell r="G1144">
            <v>42</v>
          </cell>
          <cell r="H1144">
            <v>14000</v>
          </cell>
        </row>
        <row r="1145">
          <cell r="A1145">
            <v>1983</v>
          </cell>
          <cell r="B1145" t="str">
            <v>THE MACALLAN THE HARMONY COLLECTION WHISKY 700ML</v>
          </cell>
          <cell r="C1145" t="str">
            <v>Pcs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21000</v>
          </cell>
        </row>
        <row r="1146">
          <cell r="A1146">
            <v>2881</v>
          </cell>
          <cell r="B1146" t="str">
            <v>THE WILSHIRE BLENDED WHISKY 750ML</v>
          </cell>
          <cell r="C1146" t="str">
            <v>Pcs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1150</v>
          </cell>
        </row>
        <row r="1147">
          <cell r="A1147">
            <v>2954</v>
          </cell>
          <cell r="B1147" t="str">
            <v>THE YAMAZAKI 12YRS 700ML</v>
          </cell>
          <cell r="C1147" t="str">
            <v>Pcs</v>
          </cell>
          <cell r="D1147">
            <v>6</v>
          </cell>
          <cell r="E1147">
            <v>0</v>
          </cell>
          <cell r="F1147">
            <v>0</v>
          </cell>
          <cell r="G1147">
            <v>6</v>
          </cell>
          <cell r="H1147">
            <v>22500</v>
          </cell>
        </row>
        <row r="1148">
          <cell r="A1148">
            <v>2022</v>
          </cell>
          <cell r="B1148" t="str">
            <v>TULLAMORE 750ML</v>
          </cell>
          <cell r="C1148" t="str">
            <v>Pcs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2400</v>
          </cell>
        </row>
        <row r="1149">
          <cell r="A1149">
            <v>2024</v>
          </cell>
          <cell r="B1149" t="str">
            <v>TULLAMORE DEW 1LTR</v>
          </cell>
          <cell r="C1149" t="str">
            <v>Pcs</v>
          </cell>
          <cell r="D1149">
            <v>273</v>
          </cell>
          <cell r="E1149">
            <v>0</v>
          </cell>
          <cell r="F1149">
            <v>0</v>
          </cell>
          <cell r="G1149">
            <v>273</v>
          </cell>
          <cell r="H1149">
            <v>3500</v>
          </cell>
        </row>
        <row r="1150">
          <cell r="A1150">
            <v>2025</v>
          </cell>
          <cell r="B1150" t="str">
            <v>TULLAMORE DEW WHISKY 700ML</v>
          </cell>
          <cell r="C1150" t="str">
            <v>Pcs</v>
          </cell>
          <cell r="D1150">
            <v>102</v>
          </cell>
          <cell r="E1150">
            <v>0</v>
          </cell>
          <cell r="F1150">
            <v>36</v>
          </cell>
          <cell r="G1150">
            <v>66</v>
          </cell>
          <cell r="H1150">
            <v>2400</v>
          </cell>
        </row>
        <row r="1151">
          <cell r="A1151">
            <v>2290</v>
          </cell>
          <cell r="B1151" t="str">
            <v>TWO KEYS 375ML</v>
          </cell>
          <cell r="C1151" t="str">
            <v>Pcs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700</v>
          </cell>
        </row>
        <row r="1152">
          <cell r="A1152">
            <v>2035</v>
          </cell>
          <cell r="B1152" t="str">
            <v>TWO KEYS WHISKY 750ML</v>
          </cell>
          <cell r="C1152" t="str">
            <v>Pcs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850</v>
          </cell>
        </row>
        <row r="1153">
          <cell r="A1153">
            <v>2880</v>
          </cell>
          <cell r="B1153" t="str">
            <v>UPRISE WHISKY &amp; COLA 500ML</v>
          </cell>
          <cell r="C1153" t="str">
            <v>Pcs</v>
          </cell>
          <cell r="D1153">
            <v>0</v>
          </cell>
          <cell r="E1153">
            <v>480</v>
          </cell>
          <cell r="F1153">
            <v>96</v>
          </cell>
          <cell r="G1153">
            <v>384</v>
          </cell>
          <cell r="H1153">
            <v>250</v>
          </cell>
        </row>
        <row r="1154">
          <cell r="A1154">
            <v>2730</v>
          </cell>
          <cell r="B1154" t="str">
            <v>URBAN WHISKY 750ML</v>
          </cell>
          <cell r="C1154" t="str">
            <v>Pcs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1300</v>
          </cell>
        </row>
        <row r="1155">
          <cell r="A1155">
            <v>2044</v>
          </cell>
          <cell r="B1155" t="str">
            <v>VAT 69 1L</v>
          </cell>
          <cell r="C1155" t="str">
            <v>Pcs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1700</v>
          </cell>
        </row>
        <row r="1156">
          <cell r="A1156">
            <v>2046</v>
          </cell>
          <cell r="B1156" t="str">
            <v>VAT 69 375ML</v>
          </cell>
          <cell r="C1156" t="str">
            <v>Pcs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750</v>
          </cell>
        </row>
        <row r="1157">
          <cell r="A1157">
            <v>2047</v>
          </cell>
          <cell r="B1157" t="str">
            <v>VAT 69 750ML</v>
          </cell>
          <cell r="C1157" t="str">
            <v>Pcs</v>
          </cell>
          <cell r="D1157">
            <v>492</v>
          </cell>
          <cell r="E1157">
            <v>0</v>
          </cell>
          <cell r="F1157">
            <v>84</v>
          </cell>
          <cell r="G1157">
            <v>408</v>
          </cell>
          <cell r="H1157">
            <v>1300</v>
          </cell>
        </row>
        <row r="1158">
          <cell r="A1158">
            <v>2090</v>
          </cell>
          <cell r="B1158" t="str">
            <v>WHYTEHALL FIRE(CINAMON) 1LT</v>
          </cell>
          <cell r="C1158" t="str">
            <v>Pcs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1500</v>
          </cell>
        </row>
        <row r="1159">
          <cell r="A1159">
            <v>2110</v>
          </cell>
          <cell r="B1159" t="str">
            <v>WHYTE &amp; MACKAY WHISKY 1LTR</v>
          </cell>
          <cell r="C1159" t="str">
            <v>Pcs</v>
          </cell>
          <cell r="D1159">
            <v>24</v>
          </cell>
          <cell r="E1159">
            <v>0</v>
          </cell>
          <cell r="F1159">
            <v>0</v>
          </cell>
          <cell r="G1159">
            <v>24</v>
          </cell>
          <cell r="H1159">
            <v>2500</v>
          </cell>
        </row>
        <row r="1160">
          <cell r="A1160">
            <v>2111</v>
          </cell>
          <cell r="B1160" t="str">
            <v>WHYTE &amp; MACKAY WHISKY 350ML</v>
          </cell>
          <cell r="C1160" t="str">
            <v>Pcs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800</v>
          </cell>
        </row>
        <row r="1161">
          <cell r="A1161">
            <v>2112</v>
          </cell>
          <cell r="B1161" t="str">
            <v>WHYTE &amp; MACKAY WHISKY 750ML</v>
          </cell>
          <cell r="C1161" t="str">
            <v>Pcs</v>
          </cell>
          <cell r="D1161">
            <v>35</v>
          </cell>
          <cell r="E1161">
            <v>0</v>
          </cell>
          <cell r="F1161">
            <v>0</v>
          </cell>
          <cell r="G1161">
            <v>35</v>
          </cell>
          <cell r="H1161">
            <v>1500</v>
          </cell>
        </row>
        <row r="1162">
          <cell r="A1162">
            <v>2853</v>
          </cell>
          <cell r="B1162" t="str">
            <v>WILD TURKEY 101 LITRE</v>
          </cell>
          <cell r="C1162" t="str">
            <v>Pcs</v>
          </cell>
          <cell r="D1162">
            <v>144</v>
          </cell>
          <cell r="E1162">
            <v>0</v>
          </cell>
          <cell r="F1162">
            <v>0</v>
          </cell>
          <cell r="G1162">
            <v>144</v>
          </cell>
          <cell r="H1162">
            <v>3500</v>
          </cell>
        </row>
        <row r="1163">
          <cell r="A1163">
            <v>2116</v>
          </cell>
          <cell r="B1163" t="str">
            <v>WILD TURKEY 750ML</v>
          </cell>
          <cell r="C1163" t="str">
            <v>Pcs</v>
          </cell>
          <cell r="D1163">
            <v>12</v>
          </cell>
          <cell r="E1163">
            <v>0</v>
          </cell>
          <cell r="F1163">
            <v>6</v>
          </cell>
          <cell r="G1163">
            <v>6</v>
          </cell>
          <cell r="H1163">
            <v>2500</v>
          </cell>
        </row>
        <row r="1164">
          <cell r="A1164">
            <v>2121</v>
          </cell>
          <cell r="B1164" t="str">
            <v>WILLIAM LAWSON'S 1LT</v>
          </cell>
          <cell r="C1164" t="str">
            <v>Pcs</v>
          </cell>
          <cell r="D1164">
            <v>307</v>
          </cell>
          <cell r="E1164">
            <v>0</v>
          </cell>
          <cell r="F1164">
            <v>6</v>
          </cell>
          <cell r="G1164">
            <v>301</v>
          </cell>
          <cell r="H1164">
            <v>2100</v>
          </cell>
        </row>
        <row r="1165">
          <cell r="A1165">
            <v>2122</v>
          </cell>
          <cell r="B1165" t="str">
            <v>WILLIAM LAWSON'S 750ML</v>
          </cell>
          <cell r="C1165" t="str">
            <v>Pcs</v>
          </cell>
          <cell r="D1165">
            <v>75</v>
          </cell>
          <cell r="E1165">
            <v>0</v>
          </cell>
          <cell r="F1165">
            <v>12</v>
          </cell>
          <cell r="G1165">
            <v>63</v>
          </cell>
          <cell r="H1165">
            <v>1700</v>
          </cell>
        </row>
        <row r="1166">
          <cell r="A1166">
            <v>2335</v>
          </cell>
          <cell r="B1166" t="str">
            <v>WILLIAM LAWSON'S SPICED 750ML</v>
          </cell>
          <cell r="C1166" t="str">
            <v>Pcs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1700</v>
          </cell>
        </row>
        <row r="1167">
          <cell r="A1167">
            <v>2129</v>
          </cell>
          <cell r="B1167" t="str">
            <v>WOODFORD RESERVE 1LTR</v>
          </cell>
          <cell r="C1167" t="str">
            <v>Pcs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5000</v>
          </cell>
        </row>
        <row r="1168">
          <cell r="A1168">
            <v>2130</v>
          </cell>
          <cell r="B1168" t="str">
            <v>WOODFORD RESERVE 700ML</v>
          </cell>
          <cell r="C1168" t="str">
            <v>Pcs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4000</v>
          </cell>
        </row>
        <row r="1169">
          <cell r="A1169">
            <v>2</v>
          </cell>
          <cell r="B1169" t="str">
            <v>1659 CLASSIC RED 750ML</v>
          </cell>
          <cell r="C1169" t="str">
            <v>Pcs</v>
          </cell>
          <cell r="D1169">
            <v>4</v>
          </cell>
          <cell r="E1169">
            <v>0</v>
          </cell>
          <cell r="F1169">
            <v>0</v>
          </cell>
          <cell r="G1169">
            <v>4</v>
          </cell>
          <cell r="H1169">
            <v>1800</v>
          </cell>
        </row>
        <row r="1170">
          <cell r="A1170">
            <v>4</v>
          </cell>
          <cell r="B1170" t="str">
            <v>1692 SPIER CREATIVE BLOCK 3 SHIRAZ 750ML</v>
          </cell>
          <cell r="C1170" t="str">
            <v>Pcs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3360</v>
          </cell>
        </row>
        <row r="1171">
          <cell r="A1171">
            <v>2349</v>
          </cell>
          <cell r="B1171" t="str">
            <v>18 CAB SAUV 750ML</v>
          </cell>
          <cell r="C1171" t="str">
            <v>Pcs</v>
          </cell>
          <cell r="D1171">
            <v>5</v>
          </cell>
          <cell r="E1171">
            <v>0</v>
          </cell>
          <cell r="F1171">
            <v>0</v>
          </cell>
          <cell r="G1171">
            <v>5</v>
          </cell>
          <cell r="H1171">
            <v>1200</v>
          </cell>
        </row>
        <row r="1172">
          <cell r="A1172">
            <v>6</v>
          </cell>
          <cell r="B1172" t="str">
            <v>18 CHARDONNAY 750ML</v>
          </cell>
          <cell r="C1172" t="str">
            <v>Pcs</v>
          </cell>
          <cell r="D1172">
            <v>1</v>
          </cell>
          <cell r="E1172">
            <v>0</v>
          </cell>
          <cell r="F1172">
            <v>0</v>
          </cell>
          <cell r="G1172">
            <v>1</v>
          </cell>
          <cell r="H1172">
            <v>1800</v>
          </cell>
        </row>
        <row r="1173">
          <cell r="A1173">
            <v>5</v>
          </cell>
          <cell r="B1173" t="str">
            <v>18 MERLOT 750ML</v>
          </cell>
          <cell r="C1173" t="str">
            <v>Pcs</v>
          </cell>
          <cell r="D1173">
            <v>13</v>
          </cell>
          <cell r="E1173">
            <v>0</v>
          </cell>
          <cell r="F1173">
            <v>0</v>
          </cell>
          <cell r="G1173">
            <v>13</v>
          </cell>
          <cell r="H1173">
            <v>1800</v>
          </cell>
        </row>
        <row r="1174">
          <cell r="A1174">
            <v>11</v>
          </cell>
          <cell r="B1174" t="str">
            <v>2SHARE 750ML</v>
          </cell>
          <cell r="C1174" t="str">
            <v>Pcs</v>
          </cell>
          <cell r="D1174">
            <v>1060</v>
          </cell>
          <cell r="E1174">
            <v>0</v>
          </cell>
          <cell r="F1174">
            <v>0</v>
          </cell>
          <cell r="G1174">
            <v>1060</v>
          </cell>
          <cell r="H1174">
            <v>850</v>
          </cell>
        </row>
        <row r="1175">
          <cell r="A1175">
            <v>12</v>
          </cell>
          <cell r="B1175" t="str">
            <v>35 SOUTH ASSORTED 750ML</v>
          </cell>
          <cell r="C1175" t="str">
            <v>Pcs</v>
          </cell>
          <cell r="D1175">
            <v>138</v>
          </cell>
          <cell r="E1175">
            <v>0</v>
          </cell>
          <cell r="F1175">
            <v>0</v>
          </cell>
          <cell r="G1175">
            <v>138</v>
          </cell>
          <cell r="H1175">
            <v>1850</v>
          </cell>
        </row>
        <row r="1176">
          <cell r="A1176">
            <v>13</v>
          </cell>
          <cell r="B1176" t="str">
            <v>4TH STREET RED 1.5LTR</v>
          </cell>
          <cell r="C1176" t="str">
            <v>Pcs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1650</v>
          </cell>
        </row>
        <row r="1177">
          <cell r="A1177">
            <v>14</v>
          </cell>
          <cell r="B1177" t="str">
            <v>4TH STREET RED 5LTR</v>
          </cell>
          <cell r="C1177" t="str">
            <v>Pcs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3800</v>
          </cell>
        </row>
        <row r="1178">
          <cell r="A1178">
            <v>15</v>
          </cell>
          <cell r="B1178" t="str">
            <v>4TH STREET RED 750ML</v>
          </cell>
          <cell r="C1178" t="str">
            <v>Pcs</v>
          </cell>
          <cell r="D1178">
            <v>539</v>
          </cell>
          <cell r="E1178">
            <v>1590</v>
          </cell>
          <cell r="F1178">
            <v>245</v>
          </cell>
          <cell r="G1178">
            <v>1884</v>
          </cell>
          <cell r="H1178">
            <v>830</v>
          </cell>
        </row>
        <row r="1179">
          <cell r="A1179">
            <v>19</v>
          </cell>
          <cell r="B1179" t="str">
            <v>4TH STREET WHITE 5LTR</v>
          </cell>
          <cell r="C1179" t="str">
            <v>Pcs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3400</v>
          </cell>
        </row>
        <row r="1180">
          <cell r="A1180">
            <v>20</v>
          </cell>
          <cell r="B1180" t="str">
            <v>4TH STREET WHITE 750ML</v>
          </cell>
          <cell r="C1180" t="str">
            <v>Pcs</v>
          </cell>
          <cell r="D1180">
            <v>25</v>
          </cell>
          <cell r="E1180">
            <v>2063</v>
          </cell>
          <cell r="F1180">
            <v>96</v>
          </cell>
          <cell r="G1180">
            <v>1992</v>
          </cell>
          <cell r="H1180">
            <v>830</v>
          </cell>
        </row>
        <row r="1181">
          <cell r="A1181">
            <v>24</v>
          </cell>
          <cell r="B1181" t="str">
            <v>5TH CARINO SWEET RED 750ML</v>
          </cell>
          <cell r="C1181" t="str">
            <v>Pcs</v>
          </cell>
          <cell r="D1181">
            <v>2</v>
          </cell>
          <cell r="E1181">
            <v>0</v>
          </cell>
          <cell r="F1181">
            <v>0</v>
          </cell>
          <cell r="G1181">
            <v>2</v>
          </cell>
          <cell r="H1181">
            <v>650</v>
          </cell>
        </row>
        <row r="1182">
          <cell r="A1182">
            <v>25</v>
          </cell>
          <cell r="B1182" t="str">
            <v>5TH CARINO SWEET WHITE 750ML</v>
          </cell>
          <cell r="C1182" t="str">
            <v>Pcs</v>
          </cell>
          <cell r="D1182">
            <v>1</v>
          </cell>
          <cell r="E1182">
            <v>0</v>
          </cell>
          <cell r="F1182">
            <v>0</v>
          </cell>
          <cell r="G1182">
            <v>1</v>
          </cell>
          <cell r="H1182">
            <v>650</v>
          </cell>
        </row>
        <row r="1183">
          <cell r="A1183">
            <v>2170</v>
          </cell>
          <cell r="B1183" t="str">
            <v>7EVEN BOUQUET BLANC 750ML</v>
          </cell>
          <cell r="C1183" t="str">
            <v>Pcs</v>
          </cell>
          <cell r="D1183">
            <v>3</v>
          </cell>
          <cell r="E1183">
            <v>0</v>
          </cell>
          <cell r="F1183">
            <v>0</v>
          </cell>
          <cell r="G1183">
            <v>3</v>
          </cell>
          <cell r="H1183">
            <v>900</v>
          </cell>
        </row>
        <row r="1184">
          <cell r="A1184">
            <v>26</v>
          </cell>
          <cell r="B1184" t="str">
            <v>7 HILLS SWEET WHITE 750ml</v>
          </cell>
          <cell r="C1184" t="str">
            <v>Pcs</v>
          </cell>
          <cell r="D1184">
            <v>1</v>
          </cell>
          <cell r="E1184">
            <v>0</v>
          </cell>
          <cell r="F1184">
            <v>0</v>
          </cell>
          <cell r="G1184">
            <v>1</v>
          </cell>
          <cell r="H1184">
            <v>750</v>
          </cell>
        </row>
        <row r="1185">
          <cell r="A1185">
            <v>2997</v>
          </cell>
          <cell r="B1185" t="str">
            <v>ADEGAMAE MAR LINDO DRY RED 750ML</v>
          </cell>
          <cell r="C1185" t="str">
            <v>Pcs</v>
          </cell>
          <cell r="D1185">
            <v>990</v>
          </cell>
          <cell r="E1185">
            <v>0</v>
          </cell>
          <cell r="F1185">
            <v>294</v>
          </cell>
          <cell r="G1185">
            <v>696</v>
          </cell>
          <cell r="H1185">
            <v>900</v>
          </cell>
        </row>
        <row r="1186">
          <cell r="A1186">
            <v>2998</v>
          </cell>
          <cell r="B1186" t="str">
            <v>ADEGAMAE MAR LINDO SWEET WHITE 750ML</v>
          </cell>
          <cell r="C1186" t="str">
            <v>Pcs</v>
          </cell>
          <cell r="D1186">
            <v>726</v>
          </cell>
          <cell r="E1186">
            <v>2</v>
          </cell>
          <cell r="F1186">
            <v>12</v>
          </cell>
          <cell r="G1186">
            <v>716</v>
          </cell>
          <cell r="H1186">
            <v>900</v>
          </cell>
        </row>
        <row r="1187">
          <cell r="A1187">
            <v>2993</v>
          </cell>
          <cell r="B1187" t="str">
            <v>ADEGAMAE TERRAS DE LISBOA DRY RED 750ML</v>
          </cell>
          <cell r="C1187" t="str">
            <v>Pcs</v>
          </cell>
          <cell r="D1187">
            <v>724</v>
          </cell>
          <cell r="E1187">
            <v>0</v>
          </cell>
          <cell r="F1187">
            <v>40</v>
          </cell>
          <cell r="G1187">
            <v>684</v>
          </cell>
          <cell r="H1187">
            <v>900</v>
          </cell>
        </row>
        <row r="1188">
          <cell r="A1188">
            <v>2994</v>
          </cell>
          <cell r="B1188" t="str">
            <v>ADEGAMAE TERRAS DE LISBOA SWEET WHITE WINE 850ML</v>
          </cell>
          <cell r="C1188" t="str">
            <v>Pcs</v>
          </cell>
          <cell r="D1188">
            <v>89</v>
          </cell>
          <cell r="E1188">
            <v>619</v>
          </cell>
          <cell r="F1188">
            <v>12</v>
          </cell>
          <cell r="G1188">
            <v>696</v>
          </cell>
          <cell r="H1188">
            <v>900</v>
          </cell>
        </row>
        <row r="1189">
          <cell r="A1189">
            <v>2173</v>
          </cell>
          <cell r="B1189" t="str">
            <v>AG FORTY SEVEN MALBEC SHIRAZ 750ML</v>
          </cell>
          <cell r="C1189" t="str">
            <v>Pcs</v>
          </cell>
          <cell r="D1189">
            <v>12</v>
          </cell>
          <cell r="E1189">
            <v>0</v>
          </cell>
          <cell r="F1189">
            <v>0</v>
          </cell>
          <cell r="G1189">
            <v>12</v>
          </cell>
          <cell r="H1189">
            <v>1700</v>
          </cell>
        </row>
        <row r="1190">
          <cell r="A1190">
            <v>71</v>
          </cell>
          <cell r="B1190" t="str">
            <v>ALAMOS CAB SAUV 750ML</v>
          </cell>
          <cell r="C1190" t="str">
            <v>Pcs</v>
          </cell>
          <cell r="D1190">
            <v>6</v>
          </cell>
          <cell r="E1190">
            <v>0</v>
          </cell>
          <cell r="F1190">
            <v>0</v>
          </cell>
          <cell r="G1190">
            <v>6</v>
          </cell>
          <cell r="H1190">
            <v>1400</v>
          </cell>
        </row>
        <row r="1191">
          <cell r="A1191">
            <v>2174</v>
          </cell>
          <cell r="B1191" t="str">
            <v>ALAMOS CHARDONNAY 750ML</v>
          </cell>
          <cell r="C1191" t="str">
            <v>Pcs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1400</v>
          </cell>
        </row>
        <row r="1192">
          <cell r="A1192">
            <v>72</v>
          </cell>
          <cell r="B1192" t="str">
            <v>ALAMOS MALBEC 750ML</v>
          </cell>
          <cell r="C1192" t="str">
            <v>Pcs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1400</v>
          </cell>
        </row>
        <row r="1193">
          <cell r="A1193">
            <v>2536</v>
          </cell>
          <cell r="B1193" t="str">
            <v>ALPACA CAB SAUVIGNON 750ML</v>
          </cell>
          <cell r="C1193" t="str">
            <v>Pcs</v>
          </cell>
          <cell r="D1193">
            <v>14</v>
          </cell>
          <cell r="E1193">
            <v>0</v>
          </cell>
          <cell r="F1193">
            <v>12</v>
          </cell>
          <cell r="G1193">
            <v>2</v>
          </cell>
          <cell r="H1193">
            <v>1250</v>
          </cell>
        </row>
        <row r="1194">
          <cell r="A1194">
            <v>2537</v>
          </cell>
          <cell r="B1194" t="str">
            <v>ALPACA CHARDONNAY 750ML</v>
          </cell>
          <cell r="C1194" t="str">
            <v>Pcs</v>
          </cell>
          <cell r="D1194">
            <v>10</v>
          </cell>
          <cell r="E1194">
            <v>0</v>
          </cell>
          <cell r="F1194">
            <v>0</v>
          </cell>
          <cell r="G1194">
            <v>10</v>
          </cell>
          <cell r="H1194">
            <v>1250</v>
          </cell>
        </row>
        <row r="1195">
          <cell r="A1195">
            <v>2538</v>
          </cell>
          <cell r="B1195" t="str">
            <v>ALPACA MERLOT 750ML</v>
          </cell>
          <cell r="C1195" t="str">
            <v>Pcs</v>
          </cell>
          <cell r="D1195">
            <v>2</v>
          </cell>
          <cell r="E1195">
            <v>0</v>
          </cell>
          <cell r="F1195">
            <v>0</v>
          </cell>
          <cell r="G1195">
            <v>2</v>
          </cell>
          <cell r="H1195">
            <v>1250</v>
          </cell>
        </row>
        <row r="1196">
          <cell r="A1196">
            <v>2539</v>
          </cell>
          <cell r="B1196" t="str">
            <v>ALPACA SAUVIGNON BLANC 750ML</v>
          </cell>
          <cell r="C1196" t="str">
            <v>Pcs</v>
          </cell>
          <cell r="D1196">
            <v>2</v>
          </cell>
          <cell r="E1196">
            <v>0</v>
          </cell>
          <cell r="F1196">
            <v>0</v>
          </cell>
          <cell r="G1196">
            <v>2</v>
          </cell>
          <cell r="H1196">
            <v>1250</v>
          </cell>
        </row>
        <row r="1197">
          <cell r="A1197">
            <v>83</v>
          </cell>
          <cell r="B1197" t="str">
            <v>ALTAR WINE 750ml</v>
          </cell>
          <cell r="C1197" t="str">
            <v>Pcs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1150</v>
          </cell>
        </row>
        <row r="1198">
          <cell r="A1198">
            <v>2175</v>
          </cell>
          <cell r="B1198" t="str">
            <v>AMA LA VIDA SIGNATURE SWT RED 750ML</v>
          </cell>
          <cell r="C1198" t="str">
            <v>Pcs</v>
          </cell>
          <cell r="D1198">
            <v>3</v>
          </cell>
          <cell r="E1198">
            <v>0</v>
          </cell>
          <cell r="F1198">
            <v>0</v>
          </cell>
          <cell r="G1198">
            <v>3</v>
          </cell>
          <cell r="H1198">
            <v>700</v>
          </cell>
        </row>
        <row r="1199">
          <cell r="A1199">
            <v>2301</v>
          </cell>
          <cell r="B1199" t="str">
            <v>AMA LA VIDA SWEET WHITE 750ML</v>
          </cell>
          <cell r="C1199" t="str">
            <v>Pcs</v>
          </cell>
          <cell r="D1199">
            <v>1</v>
          </cell>
          <cell r="E1199">
            <v>0</v>
          </cell>
          <cell r="F1199">
            <v>0</v>
          </cell>
          <cell r="G1199">
            <v>1</v>
          </cell>
          <cell r="H1199">
            <v>700</v>
          </cell>
        </row>
        <row r="1200">
          <cell r="A1200">
            <v>84</v>
          </cell>
          <cell r="B1200" t="str">
            <v>AMANI BAY DRY ROSE 750ML</v>
          </cell>
          <cell r="C1200" t="str">
            <v>Pcs</v>
          </cell>
          <cell r="D1200">
            <v>1</v>
          </cell>
          <cell r="E1200">
            <v>0</v>
          </cell>
          <cell r="F1200">
            <v>0</v>
          </cell>
          <cell r="G1200">
            <v>1</v>
          </cell>
          <cell r="H1200">
            <v>750</v>
          </cell>
        </row>
        <row r="1201">
          <cell r="A1201">
            <v>85</v>
          </cell>
          <cell r="B1201" t="str">
            <v>AMANI BAY FRESH WHITE 750ML</v>
          </cell>
          <cell r="C1201" t="str">
            <v>Pcs</v>
          </cell>
          <cell r="D1201">
            <v>1</v>
          </cell>
          <cell r="E1201">
            <v>0</v>
          </cell>
          <cell r="F1201">
            <v>0</v>
          </cell>
          <cell r="G1201">
            <v>1</v>
          </cell>
          <cell r="H1201">
            <v>750</v>
          </cell>
        </row>
        <row r="1202">
          <cell r="A1202">
            <v>86</v>
          </cell>
          <cell r="B1202" t="str">
            <v>AMANI BAY NATURAL SWEET RED 750ML</v>
          </cell>
          <cell r="C1202" t="str">
            <v>Pcs</v>
          </cell>
          <cell r="D1202">
            <v>1</v>
          </cell>
          <cell r="E1202">
            <v>0</v>
          </cell>
          <cell r="F1202">
            <v>0</v>
          </cell>
          <cell r="G1202">
            <v>1</v>
          </cell>
          <cell r="H1202">
            <v>750</v>
          </cell>
        </row>
        <row r="1203">
          <cell r="A1203">
            <v>87</v>
          </cell>
          <cell r="B1203" t="str">
            <v>AMANI BAY NATURAL SWEET ROSE 750ML</v>
          </cell>
          <cell r="C1203" t="str">
            <v>Pcs</v>
          </cell>
          <cell r="D1203">
            <v>1</v>
          </cell>
          <cell r="E1203">
            <v>0</v>
          </cell>
          <cell r="F1203">
            <v>0</v>
          </cell>
          <cell r="G1203">
            <v>1</v>
          </cell>
          <cell r="H1203">
            <v>750</v>
          </cell>
        </row>
        <row r="1204">
          <cell r="A1204">
            <v>88</v>
          </cell>
          <cell r="B1204" t="str">
            <v>AMANI BAY NATURAL SWEET WHITE 750ML</v>
          </cell>
          <cell r="C1204" t="str">
            <v>Pcs</v>
          </cell>
          <cell r="D1204">
            <v>1</v>
          </cell>
          <cell r="E1204">
            <v>0</v>
          </cell>
          <cell r="F1204">
            <v>0</v>
          </cell>
          <cell r="G1204">
            <v>1</v>
          </cell>
          <cell r="H1204">
            <v>750</v>
          </cell>
        </row>
        <row r="1205">
          <cell r="A1205">
            <v>89</v>
          </cell>
          <cell r="B1205" t="str">
            <v>AMANI BAY SMOOTH RED 750ML</v>
          </cell>
          <cell r="C1205" t="str">
            <v>Pcs</v>
          </cell>
          <cell r="D1205">
            <v>1</v>
          </cell>
          <cell r="E1205">
            <v>0</v>
          </cell>
          <cell r="F1205">
            <v>0</v>
          </cell>
          <cell r="G1205">
            <v>1</v>
          </cell>
          <cell r="H1205">
            <v>850</v>
          </cell>
        </row>
        <row r="1206">
          <cell r="A1206">
            <v>2588</v>
          </cell>
          <cell r="B1206" t="str">
            <v>AMARONE VALPOLI RED 750ML</v>
          </cell>
          <cell r="C1206" t="str">
            <v>Pcs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5300</v>
          </cell>
        </row>
        <row r="1207">
          <cell r="A1207">
            <v>96</v>
          </cell>
          <cell r="B1207" t="str">
            <v>ANDRE MOSCATO 750ML</v>
          </cell>
          <cell r="C1207" t="str">
            <v>Pcs</v>
          </cell>
          <cell r="D1207">
            <v>24</v>
          </cell>
          <cell r="E1207">
            <v>0</v>
          </cell>
          <cell r="F1207">
            <v>0</v>
          </cell>
          <cell r="G1207">
            <v>24</v>
          </cell>
          <cell r="H1207">
            <v>1500</v>
          </cell>
        </row>
        <row r="1208">
          <cell r="A1208">
            <v>2385</v>
          </cell>
          <cell r="B1208" t="str">
            <v>ANDRE MOSCATO SPUMANTE 750ML</v>
          </cell>
          <cell r="C1208" t="str">
            <v>Pcs</v>
          </cell>
          <cell r="D1208">
            <v>72</v>
          </cell>
          <cell r="E1208">
            <v>0</v>
          </cell>
          <cell r="F1208">
            <v>0</v>
          </cell>
          <cell r="G1208">
            <v>72</v>
          </cell>
          <cell r="H1208">
            <v>1300</v>
          </cell>
        </row>
        <row r="1209">
          <cell r="A1209">
            <v>97</v>
          </cell>
          <cell r="B1209" t="str">
            <v>ANDRE RUBY RED 750ML</v>
          </cell>
          <cell r="C1209" t="str">
            <v>Pcs</v>
          </cell>
          <cell r="D1209">
            <v>59</v>
          </cell>
          <cell r="E1209">
            <v>0</v>
          </cell>
          <cell r="F1209">
            <v>0</v>
          </cell>
          <cell r="G1209">
            <v>59</v>
          </cell>
          <cell r="H1209">
            <v>1500</v>
          </cell>
        </row>
        <row r="1210">
          <cell r="A1210">
            <v>98</v>
          </cell>
          <cell r="B1210" t="str">
            <v>ANGELO RED 750ML</v>
          </cell>
          <cell r="C1210" t="str">
            <v>Pcs</v>
          </cell>
          <cell r="D1210">
            <v>3</v>
          </cell>
          <cell r="E1210">
            <v>0</v>
          </cell>
          <cell r="F1210">
            <v>0</v>
          </cell>
          <cell r="G1210">
            <v>3</v>
          </cell>
          <cell r="H1210">
            <v>1200</v>
          </cell>
        </row>
        <row r="1211">
          <cell r="A1211">
            <v>2177</v>
          </cell>
          <cell r="B1211" t="str">
            <v>ANGOVE  MCLAREN VALE SHIRAZ 2016 750ML</v>
          </cell>
          <cell r="C1211" t="str">
            <v>Pcs</v>
          </cell>
          <cell r="D1211">
            <v>3</v>
          </cell>
          <cell r="E1211">
            <v>0</v>
          </cell>
          <cell r="F1211">
            <v>0</v>
          </cell>
          <cell r="G1211">
            <v>3</v>
          </cell>
          <cell r="H1211">
            <v>1500</v>
          </cell>
        </row>
        <row r="1212">
          <cell r="A1212">
            <v>2176</v>
          </cell>
          <cell r="B1212" t="str">
            <v>ANGOVE RIESLING 750ML</v>
          </cell>
          <cell r="C1212" t="str">
            <v>Pcs</v>
          </cell>
          <cell r="D1212">
            <v>12</v>
          </cell>
          <cell r="E1212">
            <v>0</v>
          </cell>
          <cell r="F1212">
            <v>0</v>
          </cell>
          <cell r="G1212">
            <v>12</v>
          </cell>
          <cell r="H1212">
            <v>1500</v>
          </cell>
        </row>
        <row r="1213">
          <cell r="A1213">
            <v>104</v>
          </cell>
          <cell r="B1213" t="str">
            <v>ANGOVE SAV BLANC 750ML</v>
          </cell>
          <cell r="C1213" t="str">
            <v>Pcs</v>
          </cell>
          <cell r="D1213">
            <v>12</v>
          </cell>
          <cell r="E1213">
            <v>0</v>
          </cell>
          <cell r="F1213">
            <v>0</v>
          </cell>
          <cell r="G1213">
            <v>12</v>
          </cell>
          <cell r="H1213">
            <v>1500</v>
          </cell>
        </row>
        <row r="1214">
          <cell r="A1214">
            <v>2178</v>
          </cell>
          <cell r="B1214" t="str">
            <v>ARCADIA DEMI SEC 750ML</v>
          </cell>
          <cell r="C1214" t="str">
            <v>Pcs</v>
          </cell>
          <cell r="D1214">
            <v>1</v>
          </cell>
          <cell r="E1214">
            <v>0</v>
          </cell>
          <cell r="F1214">
            <v>0</v>
          </cell>
          <cell r="G1214">
            <v>1</v>
          </cell>
          <cell r="H1214">
            <v>800</v>
          </cell>
        </row>
        <row r="1215">
          <cell r="A1215">
            <v>110</v>
          </cell>
          <cell r="B1215" t="str">
            <v>ARGENTO ORGANIC MALBEC 750ml</v>
          </cell>
          <cell r="C1215" t="str">
            <v>Pcs</v>
          </cell>
          <cell r="D1215">
            <v>30</v>
          </cell>
          <cell r="E1215">
            <v>0</v>
          </cell>
          <cell r="F1215">
            <v>6</v>
          </cell>
          <cell r="G1215">
            <v>24</v>
          </cell>
          <cell r="H1215">
            <v>1700</v>
          </cell>
        </row>
        <row r="1216">
          <cell r="A1216">
            <v>111</v>
          </cell>
          <cell r="B1216" t="str">
            <v>ARGENTO RESERVA MALBEC 750ml</v>
          </cell>
          <cell r="C1216" t="str">
            <v>Pcs</v>
          </cell>
          <cell r="D1216">
            <v>6</v>
          </cell>
          <cell r="E1216">
            <v>0</v>
          </cell>
          <cell r="F1216">
            <v>0</v>
          </cell>
          <cell r="G1216">
            <v>6</v>
          </cell>
          <cell r="H1216">
            <v>1500</v>
          </cell>
        </row>
        <row r="1217">
          <cell r="A1217">
            <v>112</v>
          </cell>
          <cell r="B1217" t="str">
            <v>ARGENTO SHIRAZ 750ml</v>
          </cell>
          <cell r="C1217" t="str">
            <v>Pcs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1500</v>
          </cell>
        </row>
        <row r="1218">
          <cell r="A1218">
            <v>2207</v>
          </cell>
          <cell r="B1218" t="str">
            <v>ARGENTO TORRONTES 750ML</v>
          </cell>
          <cell r="C1218" t="str">
            <v>Pcs</v>
          </cell>
          <cell r="D1218">
            <v>5</v>
          </cell>
          <cell r="E1218">
            <v>0</v>
          </cell>
          <cell r="F1218">
            <v>0</v>
          </cell>
          <cell r="G1218">
            <v>5</v>
          </cell>
          <cell r="H1218">
            <v>1700</v>
          </cell>
        </row>
        <row r="1219">
          <cell r="A1219">
            <v>113</v>
          </cell>
          <cell r="B1219" t="str">
            <v>ARMAND DE BRIGNAC ROSE 750ML</v>
          </cell>
          <cell r="C1219" t="str">
            <v>Pcs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67200</v>
          </cell>
        </row>
        <row r="1220">
          <cell r="A1220">
            <v>114</v>
          </cell>
          <cell r="B1220" t="str">
            <v>ARNEGUI RIOJA 750ML</v>
          </cell>
          <cell r="C1220" t="str">
            <v>Pcs</v>
          </cell>
          <cell r="D1220">
            <v>6</v>
          </cell>
          <cell r="E1220">
            <v>0</v>
          </cell>
          <cell r="F1220">
            <v>0</v>
          </cell>
          <cell r="G1220">
            <v>6</v>
          </cell>
          <cell r="H1220">
            <v>1700</v>
          </cell>
        </row>
        <row r="1221">
          <cell r="A1221">
            <v>115</v>
          </cell>
          <cell r="B1221" t="str">
            <v>ARNEGUI VIURA BLANC 750ML</v>
          </cell>
          <cell r="C1221" t="str">
            <v>Pcs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800</v>
          </cell>
        </row>
        <row r="1222">
          <cell r="A1222">
            <v>116</v>
          </cell>
          <cell r="B1222" t="str">
            <v>ARNISTON BAY RED 750ML</v>
          </cell>
          <cell r="C1222" t="str">
            <v>Pcs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2200</v>
          </cell>
        </row>
        <row r="1223">
          <cell r="A1223">
            <v>2498</v>
          </cell>
          <cell r="B1223" t="str">
            <v>ARNISTON BAY ROSE 750ML</v>
          </cell>
          <cell r="C1223" t="str">
            <v>Pcs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1850</v>
          </cell>
        </row>
        <row r="1224">
          <cell r="A1224">
            <v>2500</v>
          </cell>
          <cell r="B1224" t="str">
            <v>ARNISTON BAY SAUVIGNON 750ML</v>
          </cell>
          <cell r="C1224" t="str">
            <v>Pcs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1850</v>
          </cell>
        </row>
        <row r="1225">
          <cell r="A1225">
            <v>2499</v>
          </cell>
          <cell r="B1225" t="str">
            <v>ARNISTON BAY SHIRAZ 750ML</v>
          </cell>
          <cell r="C1225" t="str">
            <v>Pcs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1850</v>
          </cell>
        </row>
        <row r="1226">
          <cell r="A1226">
            <v>2514</v>
          </cell>
          <cell r="B1226" t="str">
            <v>ARTHUR METS CREMANT DALSACE ROSE 750ML</v>
          </cell>
          <cell r="C1226" t="str">
            <v>Pcs</v>
          </cell>
          <cell r="D1226">
            <v>12</v>
          </cell>
          <cell r="E1226">
            <v>0</v>
          </cell>
          <cell r="F1226">
            <v>0</v>
          </cell>
          <cell r="G1226">
            <v>12</v>
          </cell>
          <cell r="H1226">
            <v>2450</v>
          </cell>
        </row>
        <row r="1227">
          <cell r="A1227">
            <v>118</v>
          </cell>
          <cell r="B1227" t="str">
            <v>ASCONI AGOR LUX 750ML</v>
          </cell>
          <cell r="C1227" t="str">
            <v>Pcs</v>
          </cell>
          <cell r="D1227">
            <v>18</v>
          </cell>
          <cell r="E1227">
            <v>0</v>
          </cell>
          <cell r="F1227">
            <v>0</v>
          </cell>
          <cell r="G1227">
            <v>18</v>
          </cell>
          <cell r="H1227">
            <v>1630</v>
          </cell>
        </row>
        <row r="1228">
          <cell r="A1228">
            <v>2208</v>
          </cell>
          <cell r="B1228" t="str">
            <v>ASCONI CAB SAUV MERLOT 750ML</v>
          </cell>
          <cell r="C1228" t="str">
            <v>Pcs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1450</v>
          </cell>
        </row>
        <row r="1229">
          <cell r="A1229">
            <v>2209</v>
          </cell>
          <cell r="B1229" t="str">
            <v>ASCONI CAB SAUV ROSE 750ML</v>
          </cell>
          <cell r="C1229" t="str">
            <v>Pcs</v>
          </cell>
          <cell r="D1229">
            <v>72</v>
          </cell>
          <cell r="E1229">
            <v>0</v>
          </cell>
          <cell r="F1229">
            <v>0</v>
          </cell>
          <cell r="G1229">
            <v>72</v>
          </cell>
          <cell r="H1229">
            <v>1450</v>
          </cell>
        </row>
        <row r="1230">
          <cell r="A1230">
            <v>119</v>
          </cell>
          <cell r="B1230" t="str">
            <v>ASCONI KISS ME NOW CARBERNET 750ML</v>
          </cell>
          <cell r="C1230" t="str">
            <v>Pcs</v>
          </cell>
          <cell r="D1230">
            <v>25</v>
          </cell>
          <cell r="E1230">
            <v>0</v>
          </cell>
          <cell r="F1230">
            <v>0</v>
          </cell>
          <cell r="G1230">
            <v>25</v>
          </cell>
          <cell r="H1230">
            <v>1630</v>
          </cell>
        </row>
        <row r="1231">
          <cell r="A1231">
            <v>120</v>
          </cell>
          <cell r="B1231" t="str">
            <v>ASCONI KISS ME NOW MERLOT 750ML</v>
          </cell>
          <cell r="C1231" t="str">
            <v>Pcs</v>
          </cell>
          <cell r="D1231">
            <v>6</v>
          </cell>
          <cell r="E1231">
            <v>0</v>
          </cell>
          <cell r="F1231">
            <v>0</v>
          </cell>
          <cell r="G1231">
            <v>6</v>
          </cell>
          <cell r="H1231">
            <v>1650</v>
          </cell>
        </row>
        <row r="1232">
          <cell r="A1232">
            <v>121</v>
          </cell>
          <cell r="B1232" t="str">
            <v>ASCONI MOSCATO 750ML</v>
          </cell>
          <cell r="C1232" t="str">
            <v>Pcs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1630</v>
          </cell>
        </row>
        <row r="1233">
          <cell r="A1233">
            <v>122</v>
          </cell>
          <cell r="B1233" t="str">
            <v>ASCONI MOSCATO ROSE 750ML</v>
          </cell>
          <cell r="C1233" t="str">
            <v>Pcs</v>
          </cell>
          <cell r="D1233">
            <v>55</v>
          </cell>
          <cell r="E1233">
            <v>0</v>
          </cell>
          <cell r="F1233">
            <v>0</v>
          </cell>
          <cell r="G1233">
            <v>55</v>
          </cell>
          <cell r="H1233">
            <v>1630</v>
          </cell>
        </row>
        <row r="1234">
          <cell r="A1234">
            <v>2378</v>
          </cell>
          <cell r="B1234" t="str">
            <v>ASCONI MOSCATO SWEET WHITE 750ML</v>
          </cell>
          <cell r="C1234" t="str">
            <v>Pcs</v>
          </cell>
          <cell r="D1234">
            <v>1</v>
          </cell>
          <cell r="E1234">
            <v>0</v>
          </cell>
          <cell r="F1234">
            <v>0</v>
          </cell>
          <cell r="G1234">
            <v>1</v>
          </cell>
          <cell r="H1234">
            <v>1500</v>
          </cell>
        </row>
        <row r="1235">
          <cell r="A1235">
            <v>2377</v>
          </cell>
          <cell r="B1235" t="str">
            <v>ASCONI MUSCAT SWEET WHITE 750ML</v>
          </cell>
          <cell r="C1235" t="str">
            <v>Pcs</v>
          </cell>
          <cell r="D1235">
            <v>30</v>
          </cell>
          <cell r="E1235">
            <v>0</v>
          </cell>
          <cell r="F1235">
            <v>0</v>
          </cell>
          <cell r="G1235">
            <v>30</v>
          </cell>
          <cell r="H1235">
            <v>1500</v>
          </cell>
        </row>
        <row r="1236">
          <cell r="A1236">
            <v>123</v>
          </cell>
          <cell r="B1236" t="str">
            <v>ASCONI PASTORAL WINE 750ML</v>
          </cell>
          <cell r="C1236" t="str">
            <v>Pcs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1630</v>
          </cell>
        </row>
        <row r="1237">
          <cell r="A1237">
            <v>2894</v>
          </cell>
          <cell r="B1237" t="str">
            <v>Asconi Prestige Red Semisweet Wine</v>
          </cell>
          <cell r="C1237" t="str">
            <v>Pcs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1375</v>
          </cell>
        </row>
        <row r="1238">
          <cell r="A1238">
            <v>2893</v>
          </cell>
          <cell r="B1238" t="str">
            <v>Asconi Prestige White Semisweet Wine</v>
          </cell>
          <cell r="C1238" t="str">
            <v>Pcs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1375</v>
          </cell>
        </row>
        <row r="1239">
          <cell r="A1239">
            <v>124</v>
          </cell>
          <cell r="B1239" t="str">
            <v>ASCONI RED-SEMIDRY WINE 750ML</v>
          </cell>
          <cell r="C1239" t="str">
            <v>Pcs</v>
          </cell>
          <cell r="D1239">
            <v>12</v>
          </cell>
          <cell r="E1239">
            <v>0</v>
          </cell>
          <cell r="F1239">
            <v>0</v>
          </cell>
          <cell r="G1239">
            <v>12</v>
          </cell>
          <cell r="H1239">
            <v>1450</v>
          </cell>
        </row>
        <row r="1240">
          <cell r="A1240">
            <v>2895</v>
          </cell>
          <cell r="B1240" t="str">
            <v>Asconi Sweet Flavored Chocolate Red Wine</v>
          </cell>
          <cell r="C1240" t="str">
            <v>Pcs</v>
          </cell>
          <cell r="D1240">
            <v>0</v>
          </cell>
          <cell r="E1240">
            <v>6</v>
          </cell>
          <cell r="F1240">
            <v>6</v>
          </cell>
          <cell r="G1240">
            <v>0</v>
          </cell>
          <cell r="H1240">
            <v>1630</v>
          </cell>
        </row>
        <row r="1241">
          <cell r="A1241">
            <v>2896</v>
          </cell>
          <cell r="B1241" t="str">
            <v>Asconi Sweet Flavored Grapefruit Red Wine</v>
          </cell>
          <cell r="C1241" t="str">
            <v>Pcs</v>
          </cell>
          <cell r="D1241">
            <v>6</v>
          </cell>
          <cell r="E1241">
            <v>0</v>
          </cell>
          <cell r="F1241">
            <v>0</v>
          </cell>
          <cell r="G1241">
            <v>6</v>
          </cell>
          <cell r="H1241">
            <v>1630</v>
          </cell>
        </row>
        <row r="1242">
          <cell r="A1242">
            <v>2897</v>
          </cell>
          <cell r="B1242" t="str">
            <v>Asconi Sweet Flavored Passion Fruit White Wine</v>
          </cell>
          <cell r="C1242" t="str">
            <v>Pcs</v>
          </cell>
          <cell r="D1242">
            <v>6</v>
          </cell>
          <cell r="E1242">
            <v>0</v>
          </cell>
          <cell r="F1242">
            <v>0</v>
          </cell>
          <cell r="G1242">
            <v>6</v>
          </cell>
          <cell r="H1242">
            <v>1630</v>
          </cell>
        </row>
        <row r="1243">
          <cell r="A1243">
            <v>2898</v>
          </cell>
          <cell r="B1243" t="str">
            <v>Asconi Sweet Flavored Peach White Wine</v>
          </cell>
          <cell r="C1243" t="str">
            <v>Pcs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1630</v>
          </cell>
        </row>
        <row r="1244">
          <cell r="A1244">
            <v>2899</v>
          </cell>
          <cell r="B1244" t="str">
            <v>Asconi Sweet Flavored Strawberry Rose Wine</v>
          </cell>
          <cell r="C1244" t="str">
            <v>Pcs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1630</v>
          </cell>
        </row>
        <row r="1245">
          <cell r="A1245">
            <v>125</v>
          </cell>
          <cell r="B1245" t="str">
            <v>ASCONI WINERY CAB SAUV 700ML</v>
          </cell>
          <cell r="C1245" t="str">
            <v>Pcs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1450</v>
          </cell>
        </row>
        <row r="1246">
          <cell r="A1246">
            <v>126</v>
          </cell>
          <cell r="B1246" t="str">
            <v>ASCONI WINERY MERLOT 700ML</v>
          </cell>
          <cell r="C1246" t="str">
            <v>Pcs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1450</v>
          </cell>
        </row>
        <row r="1247">
          <cell r="A1247">
            <v>127</v>
          </cell>
          <cell r="B1247" t="str">
            <v>ASCONI WINERY MOSCAT 700ML</v>
          </cell>
          <cell r="C1247" t="str">
            <v>Pcs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1450</v>
          </cell>
        </row>
        <row r="1248">
          <cell r="A1248">
            <v>2386</v>
          </cell>
          <cell r="B1248" t="str">
            <v>AUSTRALIAN BUSH CHARDONNAY 3LTR</v>
          </cell>
          <cell r="C1248" t="str">
            <v>Pcs</v>
          </cell>
          <cell r="D1248">
            <v>8</v>
          </cell>
          <cell r="E1248">
            <v>0</v>
          </cell>
          <cell r="F1248">
            <v>0</v>
          </cell>
          <cell r="G1248">
            <v>8</v>
          </cell>
          <cell r="H1248">
            <v>2500</v>
          </cell>
        </row>
        <row r="1249">
          <cell r="A1249">
            <v>132</v>
          </cell>
          <cell r="B1249" t="str">
            <v>AUSTRALIAN BUSH CHARDONNAY 750ML</v>
          </cell>
          <cell r="C1249" t="str">
            <v>Pcs</v>
          </cell>
          <cell r="D1249">
            <v>24</v>
          </cell>
          <cell r="E1249">
            <v>0</v>
          </cell>
          <cell r="F1249">
            <v>0</v>
          </cell>
          <cell r="G1249">
            <v>24</v>
          </cell>
          <cell r="H1249">
            <v>1000</v>
          </cell>
        </row>
        <row r="1250">
          <cell r="A1250">
            <v>133</v>
          </cell>
          <cell r="B1250" t="str">
            <v>AUSTRALIAN BUSH SHIRAZ 3LTR</v>
          </cell>
          <cell r="C1250" t="str">
            <v>Pcs</v>
          </cell>
          <cell r="D1250">
            <v>8</v>
          </cell>
          <cell r="E1250">
            <v>0</v>
          </cell>
          <cell r="F1250">
            <v>0</v>
          </cell>
          <cell r="G1250">
            <v>8</v>
          </cell>
          <cell r="H1250">
            <v>2000</v>
          </cell>
        </row>
        <row r="1251">
          <cell r="A1251">
            <v>134</v>
          </cell>
          <cell r="B1251" t="str">
            <v>AUSTRALIAN BUSH SHIRAZ 750ML</v>
          </cell>
          <cell r="C1251" t="str">
            <v>Pcs</v>
          </cell>
          <cell r="D1251">
            <v>6</v>
          </cell>
          <cell r="E1251">
            <v>0</v>
          </cell>
          <cell r="F1251">
            <v>0</v>
          </cell>
          <cell r="G1251">
            <v>6</v>
          </cell>
          <cell r="H1251">
            <v>1000</v>
          </cell>
        </row>
        <row r="1252">
          <cell r="A1252">
            <v>2467</v>
          </cell>
          <cell r="B1252" t="str">
            <v>BACARDI LIMON 1 LITRE</v>
          </cell>
          <cell r="C1252" t="str">
            <v>Pcs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2250</v>
          </cell>
        </row>
        <row r="1253">
          <cell r="A1253">
            <v>158</v>
          </cell>
          <cell r="B1253" t="str">
            <v>BAIN'S WAY SWEET RED 750ML</v>
          </cell>
          <cell r="C1253" t="str">
            <v>Pcs</v>
          </cell>
          <cell r="D1253">
            <v>48</v>
          </cell>
          <cell r="E1253">
            <v>0</v>
          </cell>
          <cell r="F1253">
            <v>0</v>
          </cell>
          <cell r="G1253">
            <v>48</v>
          </cell>
          <cell r="H1253">
            <v>3000</v>
          </cell>
        </row>
        <row r="1254">
          <cell r="A1254">
            <v>176</v>
          </cell>
          <cell r="B1254" t="str">
            <v>BAREFOOT CHARDONNAY 750ML</v>
          </cell>
          <cell r="C1254" t="str">
            <v>Pcs</v>
          </cell>
          <cell r="D1254">
            <v>9</v>
          </cell>
          <cell r="E1254">
            <v>0</v>
          </cell>
          <cell r="F1254">
            <v>0</v>
          </cell>
          <cell r="G1254">
            <v>9</v>
          </cell>
          <cell r="H1254">
            <v>1200</v>
          </cell>
        </row>
        <row r="1255">
          <cell r="A1255">
            <v>177</v>
          </cell>
          <cell r="B1255" t="str">
            <v>BAREFOOT MERLOT 750ML</v>
          </cell>
          <cell r="C1255" t="str">
            <v>Pcs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1200</v>
          </cell>
        </row>
        <row r="1256">
          <cell r="A1256">
            <v>178</v>
          </cell>
          <cell r="B1256" t="str">
            <v>BARON D' ARIGNAC ASSORTED 5LTRS</v>
          </cell>
          <cell r="C1256" t="str">
            <v>Pcs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3000</v>
          </cell>
        </row>
        <row r="1257">
          <cell r="A1257">
            <v>181</v>
          </cell>
          <cell r="B1257" t="str">
            <v>BARON DE LESTAC BORDEAUX 750ML</v>
          </cell>
          <cell r="C1257" t="str">
            <v>Pcs</v>
          </cell>
          <cell r="D1257">
            <v>6</v>
          </cell>
          <cell r="E1257">
            <v>0</v>
          </cell>
          <cell r="F1257">
            <v>0</v>
          </cell>
          <cell r="G1257">
            <v>6</v>
          </cell>
          <cell r="H1257">
            <v>2100</v>
          </cell>
        </row>
        <row r="1258">
          <cell r="A1258">
            <v>2260</v>
          </cell>
          <cell r="B1258" t="str">
            <v>BARON DE LIRONDEAU BLANC 750ML</v>
          </cell>
          <cell r="C1258" t="str">
            <v>Pcs</v>
          </cell>
          <cell r="D1258">
            <v>36</v>
          </cell>
          <cell r="E1258">
            <v>0</v>
          </cell>
          <cell r="F1258">
            <v>0</v>
          </cell>
          <cell r="G1258">
            <v>36</v>
          </cell>
          <cell r="H1258">
            <v>2100</v>
          </cell>
        </row>
        <row r="1259">
          <cell r="A1259">
            <v>2483</v>
          </cell>
          <cell r="B1259" t="str">
            <v>BARON DE RUBI CAB SAV SWEET RED 750ML</v>
          </cell>
          <cell r="C1259" t="str">
            <v>Pcs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830</v>
          </cell>
        </row>
        <row r="1260">
          <cell r="A1260">
            <v>2484</v>
          </cell>
          <cell r="B1260" t="str">
            <v>BARON DE RUBI SPARKLING WHITE BRUT 750ML</v>
          </cell>
          <cell r="C1260" t="str">
            <v>Pcs</v>
          </cell>
          <cell r="D1260">
            <v>12</v>
          </cell>
          <cell r="E1260">
            <v>0</v>
          </cell>
          <cell r="F1260">
            <v>0</v>
          </cell>
          <cell r="G1260">
            <v>12</v>
          </cell>
          <cell r="H1260">
            <v>980</v>
          </cell>
        </row>
        <row r="1261">
          <cell r="A1261">
            <v>182</v>
          </cell>
          <cell r="B1261" t="str">
            <v>BARON DE VALLS SPARKLING WHITE WINE 750ML</v>
          </cell>
          <cell r="C1261" t="str">
            <v>Pcs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1200</v>
          </cell>
        </row>
        <row r="1262">
          <cell r="A1262">
            <v>195</v>
          </cell>
          <cell r="B1262" t="str">
            <v>BELLINGHAM HOMESTEAD CHARDONNAY 750ML</v>
          </cell>
          <cell r="C1262" t="str">
            <v>Pcs</v>
          </cell>
          <cell r="D1262">
            <v>12</v>
          </cell>
          <cell r="E1262">
            <v>0</v>
          </cell>
          <cell r="F1262">
            <v>0</v>
          </cell>
          <cell r="G1262">
            <v>12</v>
          </cell>
          <cell r="H1262">
            <v>1700</v>
          </cell>
        </row>
        <row r="1263">
          <cell r="A1263">
            <v>2210</v>
          </cell>
          <cell r="B1263" t="str">
            <v>BELLINGHAM HOMESTEAD GRAND CRU 750ML</v>
          </cell>
          <cell r="C1263" t="str">
            <v>Pcs</v>
          </cell>
          <cell r="D1263">
            <v>8</v>
          </cell>
          <cell r="E1263">
            <v>0</v>
          </cell>
          <cell r="F1263">
            <v>0</v>
          </cell>
          <cell r="G1263">
            <v>8</v>
          </cell>
          <cell r="H1263">
            <v>1800</v>
          </cell>
        </row>
        <row r="1264">
          <cell r="A1264">
            <v>196</v>
          </cell>
          <cell r="B1264" t="str">
            <v>BELLINGHAM HOMESTEAD PINOTAGE 750ML</v>
          </cell>
          <cell r="C1264" t="str">
            <v>Pcs</v>
          </cell>
          <cell r="D1264">
            <v>6</v>
          </cell>
          <cell r="E1264">
            <v>0</v>
          </cell>
          <cell r="F1264">
            <v>0</v>
          </cell>
          <cell r="G1264">
            <v>6</v>
          </cell>
          <cell r="H1264">
            <v>1900</v>
          </cell>
        </row>
        <row r="1265">
          <cell r="A1265">
            <v>197</v>
          </cell>
          <cell r="B1265" t="str">
            <v>BELLINGHAM HOMESTEAD SAUV BLANC 750ML</v>
          </cell>
          <cell r="C1265" t="str">
            <v>Pcs</v>
          </cell>
          <cell r="D1265">
            <v>36</v>
          </cell>
          <cell r="E1265">
            <v>0</v>
          </cell>
          <cell r="F1265">
            <v>0</v>
          </cell>
          <cell r="G1265">
            <v>36</v>
          </cell>
          <cell r="H1265">
            <v>1700</v>
          </cell>
        </row>
        <row r="1266">
          <cell r="A1266">
            <v>2486</v>
          </cell>
          <cell r="B1266" t="str">
            <v>BELLINGHAM PREMIER GRANC CRU 750ML</v>
          </cell>
          <cell r="C1266" t="str">
            <v>Pcs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1335</v>
          </cell>
        </row>
        <row r="1267">
          <cell r="A1267">
            <v>2262</v>
          </cell>
          <cell r="B1267" t="str">
            <v>BENARD LANCLAS BRUT 750ML</v>
          </cell>
          <cell r="C1267" t="str">
            <v>Pcs</v>
          </cell>
          <cell r="D1267">
            <v>12</v>
          </cell>
          <cell r="E1267">
            <v>0</v>
          </cell>
          <cell r="F1267">
            <v>0</v>
          </cell>
          <cell r="G1267">
            <v>12</v>
          </cell>
          <cell r="H1267">
            <v>1000</v>
          </cell>
        </row>
        <row r="1268">
          <cell r="A1268">
            <v>213</v>
          </cell>
          <cell r="B1268" t="str">
            <v>BERKSHIRE 500ML</v>
          </cell>
          <cell r="C1268" t="str">
            <v>Pcs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4000</v>
          </cell>
        </row>
        <row r="1269">
          <cell r="A1269">
            <v>2460</v>
          </cell>
          <cell r="B1269" t="str">
            <v>B&amp;G AOP CHATEAUNEUF DU PAPE 750ML</v>
          </cell>
          <cell r="C1269" t="str">
            <v>Pcs</v>
          </cell>
          <cell r="D1269">
            <v>22</v>
          </cell>
          <cell r="E1269">
            <v>0</v>
          </cell>
          <cell r="F1269">
            <v>0</v>
          </cell>
          <cell r="G1269">
            <v>22</v>
          </cell>
          <cell r="H1269">
            <v>3650</v>
          </cell>
        </row>
        <row r="1270">
          <cell r="A1270">
            <v>2461</v>
          </cell>
          <cell r="B1270" t="str">
            <v>B&amp;G BISTRO SAUVIGNON BLANC 750ML</v>
          </cell>
          <cell r="C1270" t="str">
            <v>Pcs</v>
          </cell>
          <cell r="D1270">
            <v>18</v>
          </cell>
          <cell r="E1270">
            <v>0</v>
          </cell>
          <cell r="F1270">
            <v>0</v>
          </cell>
          <cell r="G1270">
            <v>18</v>
          </cell>
          <cell r="H1270">
            <v>1325</v>
          </cell>
        </row>
        <row r="1271">
          <cell r="A1271">
            <v>2462</v>
          </cell>
          <cell r="B1271" t="str">
            <v>B&amp;G BORDEAUX MEDOC 750ML</v>
          </cell>
          <cell r="C1271" t="str">
            <v>Pcs</v>
          </cell>
          <cell r="D1271">
            <v>36</v>
          </cell>
          <cell r="E1271">
            <v>0</v>
          </cell>
          <cell r="F1271">
            <v>0</v>
          </cell>
          <cell r="G1271">
            <v>36</v>
          </cell>
          <cell r="H1271">
            <v>1800</v>
          </cell>
        </row>
        <row r="1272">
          <cell r="A1272">
            <v>2463</v>
          </cell>
          <cell r="B1272" t="str">
            <v>B&amp;G BORDEAUX ROUGE 750ML</v>
          </cell>
          <cell r="C1272" t="str">
            <v>Pcs</v>
          </cell>
          <cell r="D1272">
            <v>36</v>
          </cell>
          <cell r="E1272">
            <v>0</v>
          </cell>
          <cell r="F1272">
            <v>0</v>
          </cell>
          <cell r="G1272">
            <v>36</v>
          </cell>
          <cell r="H1272">
            <v>1625</v>
          </cell>
        </row>
        <row r="1273">
          <cell r="A1273">
            <v>2464</v>
          </cell>
          <cell r="B1273" t="str">
            <v>B&amp;G CAB SAV IGP PAYS DOC 750ML</v>
          </cell>
          <cell r="C1273" t="str">
            <v>Pcs</v>
          </cell>
          <cell r="D1273">
            <v>24</v>
          </cell>
          <cell r="E1273">
            <v>0</v>
          </cell>
          <cell r="F1273">
            <v>0</v>
          </cell>
          <cell r="G1273">
            <v>24</v>
          </cell>
          <cell r="H1273">
            <v>1220</v>
          </cell>
        </row>
        <row r="1274">
          <cell r="A1274">
            <v>2465</v>
          </cell>
          <cell r="B1274" t="str">
            <v>B&amp;G MALBEC IGP PAYS DOC 750ML</v>
          </cell>
          <cell r="C1274" t="str">
            <v>Pcs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1260</v>
          </cell>
        </row>
        <row r="1275">
          <cell r="A1275">
            <v>2466</v>
          </cell>
          <cell r="B1275" t="str">
            <v>B&amp;G MERLOT IGP PAYS DOC 750ML</v>
          </cell>
          <cell r="C1275" t="str">
            <v>Pcs</v>
          </cell>
          <cell r="D1275">
            <v>6</v>
          </cell>
          <cell r="E1275">
            <v>0</v>
          </cell>
          <cell r="F1275">
            <v>0</v>
          </cell>
          <cell r="G1275">
            <v>6</v>
          </cell>
          <cell r="H1275">
            <v>1300</v>
          </cell>
        </row>
        <row r="1276">
          <cell r="A1276">
            <v>2263</v>
          </cell>
          <cell r="B1276" t="str">
            <v>BIG OAK RED 1LTR</v>
          </cell>
          <cell r="C1276" t="str">
            <v>Pcs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1500</v>
          </cell>
        </row>
        <row r="1277">
          <cell r="A1277">
            <v>225</v>
          </cell>
          <cell r="B1277" t="str">
            <v>BIG OAK  RED 750ML</v>
          </cell>
          <cell r="C1277" t="str">
            <v>Pcs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1700</v>
          </cell>
        </row>
        <row r="1278">
          <cell r="A1278">
            <v>226</v>
          </cell>
          <cell r="B1278" t="str">
            <v>BIRDS N BEES SWEET RED 750ML</v>
          </cell>
          <cell r="C1278" t="str">
            <v>Pcs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1300</v>
          </cell>
        </row>
        <row r="1279">
          <cell r="A1279">
            <v>227</v>
          </cell>
          <cell r="B1279" t="str">
            <v>BIRDS N BEES SWEET WHITE 750ML</v>
          </cell>
          <cell r="C1279" t="str">
            <v>Pcs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1300</v>
          </cell>
        </row>
        <row r="1280">
          <cell r="A1280">
            <v>228</v>
          </cell>
          <cell r="B1280" t="str">
            <v> BITOLA RED 750ML</v>
          </cell>
          <cell r="C1280" t="str">
            <v>Pcs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850</v>
          </cell>
        </row>
        <row r="1281">
          <cell r="A1281">
            <v>233</v>
          </cell>
          <cell r="B1281" t="str">
            <v>BLACK BIRD SWEET RED 750ML</v>
          </cell>
          <cell r="C1281" t="str">
            <v>Pcs</v>
          </cell>
          <cell r="D1281">
            <v>234</v>
          </cell>
          <cell r="E1281">
            <v>0</v>
          </cell>
          <cell r="F1281">
            <v>30</v>
          </cell>
          <cell r="G1281">
            <v>204</v>
          </cell>
          <cell r="H1281">
            <v>950</v>
          </cell>
        </row>
        <row r="1282">
          <cell r="A1282">
            <v>234</v>
          </cell>
          <cell r="B1282" t="str">
            <v>BLACK BIRD SWEET ROSE 750ML</v>
          </cell>
          <cell r="C1282" t="str">
            <v>Pcs</v>
          </cell>
          <cell r="D1282">
            <v>86</v>
          </cell>
          <cell r="E1282">
            <v>0</v>
          </cell>
          <cell r="F1282">
            <v>6</v>
          </cell>
          <cell r="G1282">
            <v>80</v>
          </cell>
          <cell r="H1282">
            <v>950</v>
          </cell>
        </row>
        <row r="1283">
          <cell r="A1283">
            <v>235</v>
          </cell>
          <cell r="B1283" t="str">
            <v>BLACK BIRD SWEET WHITE 750ML</v>
          </cell>
          <cell r="C1283" t="str">
            <v>Pcs</v>
          </cell>
          <cell r="D1283">
            <v>156</v>
          </cell>
          <cell r="E1283">
            <v>0</v>
          </cell>
          <cell r="F1283">
            <v>42</v>
          </cell>
          <cell r="G1283">
            <v>114</v>
          </cell>
          <cell r="H1283">
            <v>950</v>
          </cell>
        </row>
        <row r="1284">
          <cell r="A1284">
            <v>2264</v>
          </cell>
          <cell r="B1284" t="str">
            <v>BLACK STALLION 750ML</v>
          </cell>
          <cell r="C1284" t="str">
            <v>Pcs</v>
          </cell>
          <cell r="D1284">
            <v>1</v>
          </cell>
          <cell r="E1284">
            <v>0</v>
          </cell>
          <cell r="F1284">
            <v>0</v>
          </cell>
          <cell r="G1284">
            <v>1</v>
          </cell>
          <cell r="H1284">
            <v>700</v>
          </cell>
        </row>
        <row r="1285">
          <cell r="A1285">
            <v>254</v>
          </cell>
          <cell r="B1285" t="str">
            <v>BOLAND CELLAR CAB SAUV 750ML</v>
          </cell>
          <cell r="C1285" t="str">
            <v>Pcs</v>
          </cell>
          <cell r="D1285">
            <v>0</v>
          </cell>
          <cell r="E1285">
            <v>1</v>
          </cell>
          <cell r="F1285">
            <v>0</v>
          </cell>
          <cell r="G1285">
            <v>1</v>
          </cell>
          <cell r="H1285">
            <v>1800</v>
          </cell>
        </row>
        <row r="1286">
          <cell r="A1286">
            <v>255</v>
          </cell>
          <cell r="B1286" t="str">
            <v>BOLAND CELLAR CAB SHIRAZ 750ML</v>
          </cell>
          <cell r="C1286" t="str">
            <v>Pcs</v>
          </cell>
          <cell r="D1286">
            <v>18</v>
          </cell>
          <cell r="E1286">
            <v>0</v>
          </cell>
          <cell r="F1286">
            <v>0</v>
          </cell>
          <cell r="G1286">
            <v>18</v>
          </cell>
          <cell r="H1286">
            <v>1800</v>
          </cell>
        </row>
        <row r="1287">
          <cell r="A1287">
            <v>2212</v>
          </cell>
          <cell r="B1287" t="str">
            <v>BON VOYAGE 750ML</v>
          </cell>
          <cell r="C1287" t="str">
            <v>Pcs</v>
          </cell>
          <cell r="D1287">
            <v>1</v>
          </cell>
          <cell r="E1287">
            <v>0</v>
          </cell>
          <cell r="F1287">
            <v>0</v>
          </cell>
          <cell r="G1287">
            <v>1</v>
          </cell>
          <cell r="H1287">
            <v>1000</v>
          </cell>
        </row>
        <row r="1288">
          <cell r="A1288">
            <v>2346</v>
          </cell>
          <cell r="B1288" t="str">
            <v>BOTTEGA GOLD 750ML</v>
          </cell>
          <cell r="C1288" t="str">
            <v>Pcs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5000</v>
          </cell>
        </row>
        <row r="1289">
          <cell r="A1289">
            <v>271</v>
          </cell>
          <cell r="B1289" t="str">
            <v>BOTTEGA ROSSO 2016 750ml</v>
          </cell>
          <cell r="C1289" t="str">
            <v>Pcs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3000</v>
          </cell>
        </row>
        <row r="1290">
          <cell r="A1290">
            <v>2595</v>
          </cell>
          <cell r="B1290" t="str">
            <v>BOTTEGA VERMOUTH 750ML</v>
          </cell>
          <cell r="C1290" t="str">
            <v>Pcs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2000</v>
          </cell>
        </row>
        <row r="1291">
          <cell r="A1291">
            <v>2345</v>
          </cell>
          <cell r="B1291" t="str">
            <v>BOTTEGA WHITE GOLD 750ML</v>
          </cell>
          <cell r="C1291" t="str">
            <v>Pcs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5000</v>
          </cell>
        </row>
        <row r="1292">
          <cell r="A1292">
            <v>277</v>
          </cell>
          <cell r="B1292" t="str">
            <v>BRAZOS MALBEC 750ML</v>
          </cell>
          <cell r="C1292" t="str">
            <v>Pcs</v>
          </cell>
          <cell r="D1292">
            <v>12</v>
          </cell>
          <cell r="E1292">
            <v>0</v>
          </cell>
          <cell r="F1292">
            <v>0</v>
          </cell>
          <cell r="G1292">
            <v>12</v>
          </cell>
          <cell r="H1292">
            <v>1500</v>
          </cell>
        </row>
        <row r="1293">
          <cell r="A1293">
            <v>286</v>
          </cell>
          <cell r="B1293" t="str">
            <v>BRUCE JACK 750ML</v>
          </cell>
          <cell r="C1293" t="str">
            <v>Pcs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1500</v>
          </cell>
        </row>
        <row r="1294">
          <cell r="A1294">
            <v>287</v>
          </cell>
          <cell r="B1294" t="str">
            <v>BRUCE JACK CABERNET SAUV 2020 750ML</v>
          </cell>
          <cell r="C1294" t="str">
            <v>Pcs</v>
          </cell>
          <cell r="D1294">
            <v>54</v>
          </cell>
          <cell r="E1294">
            <v>0</v>
          </cell>
          <cell r="F1294">
            <v>0</v>
          </cell>
          <cell r="G1294">
            <v>54</v>
          </cell>
          <cell r="H1294">
            <v>1500</v>
          </cell>
        </row>
        <row r="1295">
          <cell r="A1295">
            <v>288</v>
          </cell>
          <cell r="B1295" t="str">
            <v>BRUCE JACK CHARDONNAY 2020 750ML</v>
          </cell>
          <cell r="C1295" t="str">
            <v>Pcs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1500</v>
          </cell>
        </row>
        <row r="1296">
          <cell r="A1296">
            <v>289</v>
          </cell>
          <cell r="B1296" t="str">
            <v>BRUCE JACK CHENIN BLANC 750ML</v>
          </cell>
          <cell r="C1296" t="str">
            <v>Pcs</v>
          </cell>
          <cell r="D1296">
            <v>18</v>
          </cell>
          <cell r="E1296">
            <v>0</v>
          </cell>
          <cell r="F1296">
            <v>0</v>
          </cell>
          <cell r="G1296">
            <v>18</v>
          </cell>
          <cell r="H1296">
            <v>1500</v>
          </cell>
        </row>
        <row r="1297">
          <cell r="A1297">
            <v>290</v>
          </cell>
          <cell r="B1297" t="str">
            <v>BRUCE JACK MERLOT 750ML</v>
          </cell>
          <cell r="C1297" t="str">
            <v>Pcs</v>
          </cell>
          <cell r="D1297">
            <v>24</v>
          </cell>
          <cell r="E1297">
            <v>0</v>
          </cell>
          <cell r="F1297">
            <v>0</v>
          </cell>
          <cell r="G1297">
            <v>24</v>
          </cell>
          <cell r="H1297">
            <v>1500</v>
          </cell>
        </row>
        <row r="1298">
          <cell r="A1298">
            <v>291</v>
          </cell>
          <cell r="B1298" t="str">
            <v>BRUCE JACK PINOTAGE MALBEC 750ML</v>
          </cell>
          <cell r="C1298" t="str">
            <v>Pcs</v>
          </cell>
          <cell r="D1298">
            <v>37</v>
          </cell>
          <cell r="E1298">
            <v>0</v>
          </cell>
          <cell r="F1298">
            <v>18</v>
          </cell>
          <cell r="G1298">
            <v>19</v>
          </cell>
          <cell r="H1298">
            <v>1500</v>
          </cell>
        </row>
        <row r="1299">
          <cell r="A1299">
            <v>293</v>
          </cell>
          <cell r="B1299" t="str">
            <v>BRUCE JACK RESERVE CHARDONNAY 750ML</v>
          </cell>
          <cell r="C1299" t="str">
            <v>Pcs</v>
          </cell>
          <cell r="D1299">
            <v>78</v>
          </cell>
          <cell r="E1299">
            <v>0</v>
          </cell>
          <cell r="F1299">
            <v>0</v>
          </cell>
          <cell r="G1299">
            <v>78</v>
          </cell>
          <cell r="H1299">
            <v>1250</v>
          </cell>
        </row>
        <row r="1300">
          <cell r="A1300">
            <v>295</v>
          </cell>
          <cell r="B1300" t="str">
            <v>BRUCE JACK RESERVE PINOTAGE 750ML</v>
          </cell>
          <cell r="C1300" t="str">
            <v>Pcs</v>
          </cell>
          <cell r="D1300">
            <v>12</v>
          </cell>
          <cell r="E1300">
            <v>0</v>
          </cell>
          <cell r="F1300">
            <v>0</v>
          </cell>
          <cell r="G1300">
            <v>12</v>
          </cell>
          <cell r="H1300">
            <v>1500</v>
          </cell>
        </row>
        <row r="1301">
          <cell r="A1301">
            <v>296</v>
          </cell>
          <cell r="B1301" t="str">
            <v>BRUCE JACK RESERVE SAUV BLANC 750ML</v>
          </cell>
          <cell r="C1301" t="str">
            <v>Pcs</v>
          </cell>
          <cell r="D1301">
            <v>6</v>
          </cell>
          <cell r="E1301">
            <v>0</v>
          </cell>
          <cell r="F1301">
            <v>0</v>
          </cell>
          <cell r="G1301">
            <v>6</v>
          </cell>
          <cell r="H1301">
            <v>1500</v>
          </cell>
        </row>
        <row r="1302">
          <cell r="A1302">
            <v>285</v>
          </cell>
          <cell r="B1302" t="str">
            <v>BRUCE JACK  SAUV BLANC 2021 750ML</v>
          </cell>
          <cell r="C1302" t="str">
            <v>Pcs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1500</v>
          </cell>
        </row>
        <row r="1303">
          <cell r="A1303">
            <v>297</v>
          </cell>
          <cell r="B1303" t="str">
            <v>BRUCE JACK SAUV BLANC 750ML</v>
          </cell>
          <cell r="C1303" t="str">
            <v>Pcs</v>
          </cell>
          <cell r="D1303">
            <v>36</v>
          </cell>
          <cell r="E1303">
            <v>0</v>
          </cell>
          <cell r="F1303">
            <v>0</v>
          </cell>
          <cell r="G1303">
            <v>36</v>
          </cell>
          <cell r="H1303">
            <v>1500</v>
          </cell>
        </row>
        <row r="1304">
          <cell r="A1304">
            <v>2523</v>
          </cell>
          <cell r="B1304" t="str">
            <v>BUSHMANSPAD SAUV BLANC 750ML</v>
          </cell>
          <cell r="C1304" t="str">
            <v>Pcs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2100</v>
          </cell>
        </row>
        <row r="1305">
          <cell r="A1305">
            <v>326</v>
          </cell>
          <cell r="B1305" t="str">
            <v>BUTTERFLY RIDGE CHARDONNAY 750ml</v>
          </cell>
          <cell r="C1305" t="str">
            <v>Pcs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1250</v>
          </cell>
        </row>
        <row r="1306">
          <cell r="A1306">
            <v>330</v>
          </cell>
          <cell r="B1306" t="str">
            <v>CALIFORNIA ROOTS ROSE 750ML</v>
          </cell>
          <cell r="C1306" t="str">
            <v>Pcs</v>
          </cell>
          <cell r="D1306">
            <v>5</v>
          </cell>
          <cell r="E1306">
            <v>0</v>
          </cell>
          <cell r="F1306">
            <v>0</v>
          </cell>
          <cell r="G1306">
            <v>5</v>
          </cell>
          <cell r="H1306">
            <v>1300</v>
          </cell>
        </row>
        <row r="1307">
          <cell r="A1307">
            <v>335</v>
          </cell>
          <cell r="B1307" t="str">
            <v>CALVET BOURGOGNE CHARDONNAY 750ML</v>
          </cell>
          <cell r="C1307" t="str">
            <v>Pcs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1350</v>
          </cell>
        </row>
        <row r="1308">
          <cell r="A1308">
            <v>2981</v>
          </cell>
          <cell r="B1308" t="str">
            <v>CALVET CHARDONNAY WHITE 750ML</v>
          </cell>
          <cell r="C1308" t="str">
            <v>Pcs</v>
          </cell>
          <cell r="D1308">
            <v>18</v>
          </cell>
          <cell r="E1308">
            <v>0</v>
          </cell>
          <cell r="F1308">
            <v>0</v>
          </cell>
          <cell r="G1308">
            <v>18</v>
          </cell>
          <cell r="H1308">
            <v>1500</v>
          </cell>
        </row>
        <row r="1309">
          <cell r="A1309">
            <v>2982</v>
          </cell>
          <cell r="B1309" t="str">
            <v>CALVET CINSUALT ROSE 750ML</v>
          </cell>
          <cell r="C1309" t="str">
            <v>Pcs</v>
          </cell>
          <cell r="D1309">
            <v>18</v>
          </cell>
          <cell r="E1309">
            <v>0</v>
          </cell>
          <cell r="F1309">
            <v>0</v>
          </cell>
          <cell r="G1309">
            <v>18</v>
          </cell>
          <cell r="H1309">
            <v>1650</v>
          </cell>
        </row>
        <row r="1310">
          <cell r="A1310">
            <v>344</v>
          </cell>
          <cell r="B1310" t="str">
            <v>CALVET GRANDE RESERVE BORDEAUX 1.5LTR</v>
          </cell>
          <cell r="C1310" t="str">
            <v>Pcs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2500</v>
          </cell>
        </row>
        <row r="1311">
          <cell r="A1311">
            <v>347</v>
          </cell>
          <cell r="B1311" t="str">
            <v>CALVET RÉSERVE BORDEAUX SAUV BLANC 750ML</v>
          </cell>
          <cell r="C1311" t="str">
            <v>Pcs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953</v>
          </cell>
        </row>
        <row r="1312">
          <cell r="A1312">
            <v>349</v>
          </cell>
          <cell r="B1312" t="str">
            <v>CALVET SANCERRE BLANC 750ML</v>
          </cell>
          <cell r="C1312" t="str">
            <v>Pcs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1600</v>
          </cell>
        </row>
        <row r="1313">
          <cell r="A1313">
            <v>351</v>
          </cell>
          <cell r="B1313" t="str">
            <v>CALVET VARIETALS CHARDONNAY 750ML</v>
          </cell>
          <cell r="C1313" t="str">
            <v>Pcs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1300</v>
          </cell>
        </row>
        <row r="1314">
          <cell r="A1314">
            <v>352</v>
          </cell>
          <cell r="B1314" t="str">
            <v>CALVET VARIETALS MERLOT 750ML</v>
          </cell>
          <cell r="C1314" t="str">
            <v>Pcs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1300</v>
          </cell>
        </row>
        <row r="1315">
          <cell r="A1315">
            <v>353</v>
          </cell>
          <cell r="B1315" t="str">
            <v>CALVET VARIETALS SAUV BLANC 750ML</v>
          </cell>
          <cell r="C1315" t="str">
            <v>Pcs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1300</v>
          </cell>
        </row>
        <row r="1316">
          <cell r="A1316">
            <v>354</v>
          </cell>
          <cell r="B1316" t="str">
            <v>CALVET VARIETALS SYRAH 750ML</v>
          </cell>
          <cell r="C1316" t="str">
            <v>Pcs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1300</v>
          </cell>
        </row>
        <row r="1317">
          <cell r="A1317">
            <v>2660</v>
          </cell>
          <cell r="B1317" t="str">
            <v>CANDY FLOSS SWEET RED WINE 750ML</v>
          </cell>
          <cell r="C1317" t="str">
            <v>Pcs</v>
          </cell>
          <cell r="D1317">
            <v>36</v>
          </cell>
          <cell r="E1317">
            <v>0</v>
          </cell>
          <cell r="F1317">
            <v>12</v>
          </cell>
          <cell r="G1317">
            <v>24</v>
          </cell>
          <cell r="H1317">
            <v>950</v>
          </cell>
        </row>
        <row r="1318">
          <cell r="A1318">
            <v>2626</v>
          </cell>
          <cell r="B1318" t="str">
            <v>CANDY FLOSS SWEET WHITE WINE 750ML</v>
          </cell>
          <cell r="C1318" t="str">
            <v>Pcs</v>
          </cell>
          <cell r="D1318">
            <v>108</v>
          </cell>
          <cell r="E1318">
            <v>0</v>
          </cell>
          <cell r="F1318">
            <v>0</v>
          </cell>
          <cell r="G1318">
            <v>108</v>
          </cell>
          <cell r="H1318">
            <v>950</v>
          </cell>
        </row>
        <row r="1319">
          <cell r="A1319">
            <v>2267</v>
          </cell>
          <cell r="B1319" t="str">
            <v>CAPE AUCTION 750ML</v>
          </cell>
          <cell r="C1319" t="str">
            <v>Pcs</v>
          </cell>
          <cell r="D1319">
            <v>2</v>
          </cell>
          <cell r="E1319">
            <v>0</v>
          </cell>
          <cell r="F1319">
            <v>0</v>
          </cell>
          <cell r="G1319">
            <v>2</v>
          </cell>
          <cell r="H1319">
            <v>800</v>
          </cell>
        </row>
        <row r="1320">
          <cell r="A1320">
            <v>2292</v>
          </cell>
          <cell r="B1320" t="str">
            <v>CAPE VELVET CREAM 750ML</v>
          </cell>
          <cell r="C1320" t="str">
            <v>Pcs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800</v>
          </cell>
        </row>
        <row r="1321">
          <cell r="A1321">
            <v>369</v>
          </cell>
          <cell r="B1321" t="str">
            <v>CAPRICE NATURAL SWEET RED 1LTR</v>
          </cell>
          <cell r="C1321" t="str">
            <v>Pcs</v>
          </cell>
          <cell r="D1321">
            <v>0</v>
          </cell>
          <cell r="E1321">
            <v>252</v>
          </cell>
          <cell r="F1321">
            <v>180</v>
          </cell>
          <cell r="G1321">
            <v>72</v>
          </cell>
          <cell r="H1321">
            <v>880</v>
          </cell>
        </row>
        <row r="1322">
          <cell r="A1322">
            <v>370</v>
          </cell>
          <cell r="B1322" t="str">
            <v>CAPRICE NATURAL SWT WHITE 1LTR</v>
          </cell>
          <cell r="C1322" t="str">
            <v>Pcs</v>
          </cell>
          <cell r="D1322">
            <v>0</v>
          </cell>
          <cell r="E1322">
            <v>360</v>
          </cell>
          <cell r="F1322">
            <v>168</v>
          </cell>
          <cell r="G1322">
            <v>192</v>
          </cell>
          <cell r="H1322">
            <v>880</v>
          </cell>
        </row>
        <row r="1323">
          <cell r="A1323">
            <v>371</v>
          </cell>
          <cell r="B1323" t="str">
            <v>CAPRICE RED DRY TETRA 1LTR</v>
          </cell>
          <cell r="C1323" t="str">
            <v>Pcs</v>
          </cell>
          <cell r="D1323">
            <v>96</v>
          </cell>
          <cell r="E1323">
            <v>0</v>
          </cell>
          <cell r="F1323">
            <v>26</v>
          </cell>
          <cell r="G1323">
            <v>70</v>
          </cell>
          <cell r="H1323">
            <v>880</v>
          </cell>
        </row>
        <row r="1324">
          <cell r="A1324">
            <v>372</v>
          </cell>
          <cell r="B1324" t="str">
            <v>CAPRICE WHITE DRY TETRA 1LTR</v>
          </cell>
          <cell r="C1324" t="str">
            <v>Pcs</v>
          </cell>
          <cell r="D1324">
            <v>84</v>
          </cell>
          <cell r="E1324">
            <v>0</v>
          </cell>
          <cell r="F1324">
            <v>27</v>
          </cell>
          <cell r="G1324">
            <v>57</v>
          </cell>
          <cell r="H1324">
            <v>880</v>
          </cell>
        </row>
        <row r="1325">
          <cell r="A1325">
            <v>389</v>
          </cell>
          <cell r="B1325" t="str">
            <v>CARLO ROSSI DRY WHITE 3LTR </v>
          </cell>
          <cell r="C1325" t="str">
            <v>Pcs</v>
          </cell>
          <cell r="D1325">
            <v>44</v>
          </cell>
          <cell r="E1325">
            <v>0</v>
          </cell>
          <cell r="F1325">
            <v>0</v>
          </cell>
          <cell r="G1325">
            <v>44</v>
          </cell>
          <cell r="H1325">
            <v>2300</v>
          </cell>
        </row>
        <row r="1326">
          <cell r="A1326">
            <v>390</v>
          </cell>
          <cell r="B1326" t="str">
            <v>CARLO ROSSI PINK MOSCATO 750ML</v>
          </cell>
          <cell r="C1326" t="str">
            <v>Pcs</v>
          </cell>
          <cell r="D1326">
            <v>3</v>
          </cell>
          <cell r="E1326">
            <v>0</v>
          </cell>
          <cell r="F1326">
            <v>0</v>
          </cell>
          <cell r="G1326">
            <v>3</v>
          </cell>
          <cell r="H1326">
            <v>1100</v>
          </cell>
        </row>
        <row r="1327">
          <cell r="A1327">
            <v>391</v>
          </cell>
          <cell r="B1327" t="str">
            <v>CARLO ROSSI RED 1.5LTR</v>
          </cell>
          <cell r="C1327" t="str">
            <v>Pcs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1400</v>
          </cell>
        </row>
        <row r="1328">
          <cell r="A1328">
            <v>392</v>
          </cell>
          <cell r="B1328" t="str">
            <v>CARLO ROSSI RED WINE 750ML</v>
          </cell>
          <cell r="C1328" t="str">
            <v>Pcs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1100</v>
          </cell>
        </row>
        <row r="1329">
          <cell r="A1329">
            <v>2213</v>
          </cell>
          <cell r="B1329" t="str">
            <v>CARLO ROSSI ROSE 750ML</v>
          </cell>
          <cell r="C1329" t="str">
            <v>Pcs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1100</v>
          </cell>
        </row>
        <row r="1330">
          <cell r="A1330">
            <v>393</v>
          </cell>
          <cell r="B1330" t="str">
            <v>CARLO ROSSI ROSEE 1.5LTR</v>
          </cell>
          <cell r="C1330" t="str">
            <v>Pcs</v>
          </cell>
          <cell r="D1330">
            <v>77</v>
          </cell>
          <cell r="E1330">
            <v>0</v>
          </cell>
          <cell r="F1330">
            <v>0</v>
          </cell>
          <cell r="G1330">
            <v>77</v>
          </cell>
          <cell r="H1330">
            <v>1400</v>
          </cell>
        </row>
        <row r="1331">
          <cell r="A1331">
            <v>394</v>
          </cell>
          <cell r="B1331" t="str">
            <v>CARLO ROSSI SWEET RED 3LTR</v>
          </cell>
          <cell r="C1331" t="str">
            <v>Pcs</v>
          </cell>
          <cell r="D1331">
            <v>12</v>
          </cell>
          <cell r="E1331">
            <v>0</v>
          </cell>
          <cell r="F1331">
            <v>0</v>
          </cell>
          <cell r="G1331">
            <v>12</v>
          </cell>
          <cell r="H1331">
            <v>2300</v>
          </cell>
        </row>
        <row r="1332">
          <cell r="A1332">
            <v>395</v>
          </cell>
          <cell r="B1332" t="str">
            <v>CARLO ROSSI WHITE 1.5LTR</v>
          </cell>
          <cell r="C1332" t="str">
            <v>Pcs</v>
          </cell>
          <cell r="D1332">
            <v>84</v>
          </cell>
          <cell r="E1332">
            <v>0</v>
          </cell>
          <cell r="F1332">
            <v>0</v>
          </cell>
          <cell r="G1332">
            <v>84</v>
          </cell>
          <cell r="H1332">
            <v>1400</v>
          </cell>
        </row>
        <row r="1333">
          <cell r="A1333">
            <v>396</v>
          </cell>
          <cell r="B1333" t="str">
            <v>CARLO ROSSI WHITE 750ML</v>
          </cell>
          <cell r="C1333" t="str">
            <v>Pcs</v>
          </cell>
          <cell r="D1333">
            <v>170</v>
          </cell>
          <cell r="E1333">
            <v>0</v>
          </cell>
          <cell r="F1333">
            <v>0</v>
          </cell>
          <cell r="G1333">
            <v>170</v>
          </cell>
          <cell r="H1333">
            <v>1100</v>
          </cell>
        </row>
        <row r="1334">
          <cell r="A1334">
            <v>397</v>
          </cell>
          <cell r="B1334" t="str">
            <v>CARMELA SPARKLING SWEET WINE 750ML</v>
          </cell>
          <cell r="C1334" t="str">
            <v>Pcs</v>
          </cell>
          <cell r="D1334">
            <v>1</v>
          </cell>
          <cell r="E1334">
            <v>0</v>
          </cell>
          <cell r="F1334">
            <v>0</v>
          </cell>
          <cell r="G1334">
            <v>1</v>
          </cell>
          <cell r="H1334">
            <v>2200</v>
          </cell>
        </row>
        <row r="1335">
          <cell r="A1335">
            <v>398</v>
          </cell>
          <cell r="B1335" t="str">
            <v>CARNIVOR 750ML</v>
          </cell>
          <cell r="C1335" t="str">
            <v>Pcs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1700</v>
          </cell>
        </row>
        <row r="1336">
          <cell r="A1336">
            <v>399</v>
          </cell>
          <cell r="B1336" t="str">
            <v>CASA BUENA SWEET RED 1LTR</v>
          </cell>
          <cell r="C1336" t="str">
            <v>Pcs</v>
          </cell>
          <cell r="D1336">
            <v>0</v>
          </cell>
          <cell r="E1336">
            <v>240</v>
          </cell>
          <cell r="F1336">
            <v>120</v>
          </cell>
          <cell r="G1336">
            <v>120</v>
          </cell>
          <cell r="H1336">
            <v>720</v>
          </cell>
        </row>
        <row r="1337">
          <cell r="A1337">
            <v>400</v>
          </cell>
          <cell r="B1337" t="str">
            <v>CASA BUENA SWEET WHITE 1LTR</v>
          </cell>
          <cell r="C1337" t="str">
            <v>Pcs</v>
          </cell>
          <cell r="D1337">
            <v>48</v>
          </cell>
          <cell r="E1337">
            <v>120</v>
          </cell>
          <cell r="F1337">
            <v>48</v>
          </cell>
          <cell r="G1337">
            <v>120</v>
          </cell>
          <cell r="H1337">
            <v>720</v>
          </cell>
        </row>
        <row r="1338">
          <cell r="A1338">
            <v>408</v>
          </cell>
          <cell r="B1338" t="str">
            <v>CASALDOMO CUVEE BRUT 750ML </v>
          </cell>
          <cell r="C1338" t="str">
            <v>Pcs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1500</v>
          </cell>
        </row>
        <row r="1339">
          <cell r="A1339">
            <v>407</v>
          </cell>
          <cell r="B1339" t="str">
            <v>CASAL MENDES RED 750ML</v>
          </cell>
          <cell r="C1339" t="str">
            <v>Pcs</v>
          </cell>
          <cell r="D1339">
            <v>6</v>
          </cell>
          <cell r="E1339">
            <v>0</v>
          </cell>
          <cell r="F1339">
            <v>0</v>
          </cell>
          <cell r="G1339">
            <v>6</v>
          </cell>
          <cell r="H1339">
            <v>1200</v>
          </cell>
        </row>
        <row r="1340">
          <cell r="A1340">
            <v>1751</v>
          </cell>
          <cell r="B1340" t="str">
            <v>CASAL MENDES SANGRIA 750ML</v>
          </cell>
          <cell r="C1340" t="str">
            <v>Pcs</v>
          </cell>
          <cell r="D1340">
            <v>5</v>
          </cell>
          <cell r="E1340">
            <v>0</v>
          </cell>
          <cell r="F1340">
            <v>0</v>
          </cell>
          <cell r="G1340">
            <v>5</v>
          </cell>
          <cell r="H1340">
            <v>1200</v>
          </cell>
        </row>
        <row r="1341">
          <cell r="A1341">
            <v>402</v>
          </cell>
          <cell r="B1341" t="str">
            <v>CASA MIGOS MESCAL 700ML</v>
          </cell>
          <cell r="C1341" t="str">
            <v>Pcs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11500</v>
          </cell>
        </row>
        <row r="1342">
          <cell r="A1342">
            <v>403</v>
          </cell>
          <cell r="B1342" t="str">
            <v>CASA MIGOS REPOSADO 1LTR</v>
          </cell>
          <cell r="C1342" t="str">
            <v>Pcs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12000</v>
          </cell>
        </row>
        <row r="1343">
          <cell r="A1343">
            <v>404</v>
          </cell>
          <cell r="B1343" t="str">
            <v>CASA SOLIS CAB SAUV 750ML</v>
          </cell>
          <cell r="C1343" t="str">
            <v>Pcs</v>
          </cell>
          <cell r="D1343">
            <v>54</v>
          </cell>
          <cell r="E1343">
            <v>0</v>
          </cell>
          <cell r="F1343">
            <v>0</v>
          </cell>
          <cell r="G1343">
            <v>54</v>
          </cell>
          <cell r="H1343">
            <v>850</v>
          </cell>
        </row>
        <row r="1344">
          <cell r="A1344">
            <v>2214</v>
          </cell>
          <cell r="B1344" t="str">
            <v>CASA SOLIS CHARDONNAY 750ML</v>
          </cell>
          <cell r="C1344" t="str">
            <v>Pcs</v>
          </cell>
          <cell r="D1344">
            <v>30</v>
          </cell>
          <cell r="E1344">
            <v>0</v>
          </cell>
          <cell r="F1344">
            <v>0</v>
          </cell>
          <cell r="G1344">
            <v>30</v>
          </cell>
          <cell r="H1344">
            <v>850</v>
          </cell>
        </row>
        <row r="1345">
          <cell r="A1345">
            <v>405</v>
          </cell>
          <cell r="B1345" t="str">
            <v>CASA SOLIS MERLOT 750ML</v>
          </cell>
          <cell r="C1345" t="str">
            <v>Pcs</v>
          </cell>
          <cell r="D1345">
            <v>43</v>
          </cell>
          <cell r="E1345">
            <v>0</v>
          </cell>
          <cell r="F1345">
            <v>0</v>
          </cell>
          <cell r="G1345">
            <v>43</v>
          </cell>
          <cell r="H1345">
            <v>850</v>
          </cell>
        </row>
        <row r="1346">
          <cell r="A1346">
            <v>406</v>
          </cell>
          <cell r="B1346" t="str">
            <v>CASA SOLIS SAUV BLANC 750ML</v>
          </cell>
          <cell r="C1346" t="str">
            <v>Pcs</v>
          </cell>
          <cell r="D1346">
            <v>42</v>
          </cell>
          <cell r="E1346">
            <v>0</v>
          </cell>
          <cell r="F1346">
            <v>0</v>
          </cell>
          <cell r="G1346">
            <v>42</v>
          </cell>
          <cell r="H1346">
            <v>850</v>
          </cell>
        </row>
        <row r="1347">
          <cell r="A1347">
            <v>409</v>
          </cell>
          <cell r="B1347" t="str">
            <v>CASILELLERO DEL DIABLO 750ML</v>
          </cell>
          <cell r="C1347" t="str">
            <v>Pcs</v>
          </cell>
          <cell r="D1347">
            <v>1</v>
          </cell>
          <cell r="E1347">
            <v>0</v>
          </cell>
          <cell r="F1347">
            <v>0</v>
          </cell>
          <cell r="G1347">
            <v>1</v>
          </cell>
          <cell r="H1347">
            <v>1500</v>
          </cell>
        </row>
        <row r="1348">
          <cell r="A1348">
            <v>410</v>
          </cell>
          <cell r="B1348" t="str">
            <v>CASTEL SYRAH 750ML</v>
          </cell>
          <cell r="C1348" t="str">
            <v>Pcs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1300</v>
          </cell>
        </row>
        <row r="1349">
          <cell r="A1349">
            <v>2540</v>
          </cell>
          <cell r="B1349" t="str">
            <v>CASTILLO DE FERRER BRUT SPARKLING 750ML</v>
          </cell>
          <cell r="C1349" t="str">
            <v>Pcs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1350</v>
          </cell>
        </row>
        <row r="1350">
          <cell r="A1350">
            <v>2542</v>
          </cell>
          <cell r="B1350" t="str">
            <v>CASTILLO DE FERRER RED DRY 750ML</v>
          </cell>
          <cell r="C1350" t="str">
            <v>Packets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1100</v>
          </cell>
        </row>
        <row r="1351">
          <cell r="A1351">
            <v>2541</v>
          </cell>
          <cell r="B1351" t="str">
            <v>CASTILLO DE FERRER RED SWEET 750ML</v>
          </cell>
          <cell r="C1351" t="str">
            <v>Pcs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1100</v>
          </cell>
        </row>
        <row r="1352">
          <cell r="A1352">
            <v>2543</v>
          </cell>
          <cell r="B1352" t="str">
            <v>CASTILLO DE FERRER WHITE SWEET 750ML 750ML</v>
          </cell>
          <cell r="C1352" t="str">
            <v>Pcs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1100</v>
          </cell>
        </row>
        <row r="1353">
          <cell r="A1353">
            <v>2181</v>
          </cell>
          <cell r="B1353" t="str">
            <v>CASTILLO DEL CHARDONNAY 750ML</v>
          </cell>
          <cell r="C1353" t="str">
            <v>Pcs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1500</v>
          </cell>
        </row>
        <row r="1354">
          <cell r="A1354">
            <v>2182</v>
          </cell>
          <cell r="B1354" t="str">
            <v>CASTILLO DEL DIABLO MERLOT 750ML</v>
          </cell>
          <cell r="C1354" t="str">
            <v>Pcs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1500</v>
          </cell>
        </row>
        <row r="1355">
          <cell r="A1355">
            <v>411</v>
          </cell>
          <cell r="B1355" t="str">
            <v>CASTILLO DEL MOLINA SAUV BLANC 750ML</v>
          </cell>
          <cell r="C1355" t="str">
            <v>Pcs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1500</v>
          </cell>
        </row>
        <row r="1356">
          <cell r="A1356">
            <v>413</v>
          </cell>
          <cell r="B1356" t="str">
            <v>CATENA CAB SAUV 750ML</v>
          </cell>
          <cell r="C1356" t="str">
            <v>Pcs</v>
          </cell>
          <cell r="D1356">
            <v>102</v>
          </cell>
          <cell r="E1356">
            <v>0</v>
          </cell>
          <cell r="F1356">
            <v>0</v>
          </cell>
          <cell r="G1356">
            <v>102</v>
          </cell>
          <cell r="H1356">
            <v>2600</v>
          </cell>
        </row>
        <row r="1357">
          <cell r="A1357">
            <v>414</v>
          </cell>
          <cell r="B1357" t="str">
            <v>CATENA CHARDONNAY 750ML</v>
          </cell>
          <cell r="C1357" t="str">
            <v>Pcs</v>
          </cell>
          <cell r="D1357">
            <v>30</v>
          </cell>
          <cell r="E1357">
            <v>0</v>
          </cell>
          <cell r="F1357">
            <v>0</v>
          </cell>
          <cell r="G1357">
            <v>30</v>
          </cell>
          <cell r="H1357">
            <v>2600</v>
          </cell>
        </row>
        <row r="1358">
          <cell r="A1358">
            <v>415</v>
          </cell>
          <cell r="B1358" t="str">
            <v>CATENA MALBEC 750ML</v>
          </cell>
          <cell r="C1358" t="str">
            <v>Pcs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2600</v>
          </cell>
        </row>
        <row r="1359">
          <cell r="A1359">
            <v>423</v>
          </cell>
          <cell r="B1359" t="str">
            <v>CELLAR J'BURG RED 5LTR</v>
          </cell>
          <cell r="C1359" t="str">
            <v>Pcs</v>
          </cell>
          <cell r="D1359">
            <v>154</v>
          </cell>
          <cell r="E1359">
            <v>0</v>
          </cell>
          <cell r="F1359">
            <v>91</v>
          </cell>
          <cell r="G1359">
            <v>63</v>
          </cell>
          <cell r="H1359">
            <v>3800</v>
          </cell>
        </row>
        <row r="1360">
          <cell r="A1360">
            <v>424</v>
          </cell>
          <cell r="B1360" t="str">
            <v>CELLAR J'BURG RED 750ML</v>
          </cell>
          <cell r="C1360" t="str">
            <v>Pcs</v>
          </cell>
          <cell r="D1360">
            <v>116</v>
          </cell>
          <cell r="E1360">
            <v>294</v>
          </cell>
          <cell r="F1360">
            <v>410</v>
          </cell>
          <cell r="G1360">
            <v>0</v>
          </cell>
          <cell r="H1360">
            <v>850</v>
          </cell>
        </row>
        <row r="1361">
          <cell r="A1361">
            <v>425</v>
          </cell>
          <cell r="B1361" t="str">
            <v>CELLAR J'BURG WHITE 5LTR</v>
          </cell>
          <cell r="C1361" t="str">
            <v>Pcs</v>
          </cell>
          <cell r="D1361">
            <v>437</v>
          </cell>
          <cell r="E1361">
            <v>0</v>
          </cell>
          <cell r="F1361">
            <v>42</v>
          </cell>
          <cell r="G1361">
            <v>395</v>
          </cell>
          <cell r="H1361">
            <v>3800</v>
          </cell>
        </row>
        <row r="1362">
          <cell r="A1362">
            <v>426</v>
          </cell>
          <cell r="B1362" t="str">
            <v>CELLAR J'BURG WHITE 750ML</v>
          </cell>
          <cell r="C1362" t="str">
            <v>Pcs</v>
          </cell>
          <cell r="D1362">
            <v>988</v>
          </cell>
          <cell r="E1362">
            <v>1204</v>
          </cell>
          <cell r="F1362">
            <v>168</v>
          </cell>
          <cell r="G1362">
            <v>2024</v>
          </cell>
          <cell r="H1362">
            <v>830</v>
          </cell>
        </row>
        <row r="1363">
          <cell r="A1363">
            <v>2521</v>
          </cell>
          <cell r="B1363" t="str">
            <v>CHALK ROAD CHARDONAY 750ML</v>
          </cell>
          <cell r="C1363" t="str">
            <v>Pcs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1650</v>
          </cell>
        </row>
        <row r="1364">
          <cell r="A1364">
            <v>2522</v>
          </cell>
          <cell r="B1364" t="str">
            <v>CHALK ROAD SAV BLANC 750ML</v>
          </cell>
          <cell r="C1364" t="str">
            <v>Pcs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1650</v>
          </cell>
        </row>
        <row r="1365">
          <cell r="A1365">
            <v>428</v>
          </cell>
          <cell r="B1365" t="str">
            <v>CHAMDOR RED  750ML</v>
          </cell>
          <cell r="C1365" t="str">
            <v>Pcs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760</v>
          </cell>
        </row>
        <row r="1366">
          <cell r="A1366">
            <v>430</v>
          </cell>
          <cell r="B1366" t="str">
            <v>CHAMDOR WHITE 750ML</v>
          </cell>
          <cell r="C1366" t="str">
            <v>Pcs</v>
          </cell>
          <cell r="D1366">
            <v>74</v>
          </cell>
          <cell r="E1366">
            <v>0</v>
          </cell>
          <cell r="F1366">
            <v>26</v>
          </cell>
          <cell r="G1366">
            <v>48</v>
          </cell>
          <cell r="H1366">
            <v>760</v>
          </cell>
        </row>
        <row r="1367">
          <cell r="A1367">
            <v>435</v>
          </cell>
          <cell r="B1367" t="str">
            <v>CHANGE GRENACHE-SYRAH ROSE (ORGANIC) 750ML</v>
          </cell>
          <cell r="C1367" t="str">
            <v>Pcs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1800</v>
          </cell>
        </row>
        <row r="1368">
          <cell r="A1368">
            <v>2373</v>
          </cell>
          <cell r="B1368" t="str">
            <v>CHARLES HEIDESECK ROSE 750ML</v>
          </cell>
          <cell r="C1368" t="str">
            <v>Pcs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9500</v>
          </cell>
        </row>
        <row r="1369">
          <cell r="A1369">
            <v>443</v>
          </cell>
          <cell r="B1369" t="str">
            <v>CHARLES HEIDSECK BLANC DE BLANC 750ml</v>
          </cell>
          <cell r="C1369" t="str">
            <v>Pcs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9500</v>
          </cell>
        </row>
        <row r="1370">
          <cell r="A1370">
            <v>2387</v>
          </cell>
          <cell r="B1370" t="str">
            <v>CHILINERO RED 750ML</v>
          </cell>
          <cell r="C1370" t="str">
            <v>Pcs</v>
          </cell>
          <cell r="D1370">
            <v>12</v>
          </cell>
          <cell r="E1370">
            <v>0</v>
          </cell>
          <cell r="F1370">
            <v>0</v>
          </cell>
          <cell r="G1370">
            <v>12</v>
          </cell>
          <cell r="H1370">
            <v>1200</v>
          </cell>
        </row>
        <row r="1371">
          <cell r="A1371">
            <v>2184</v>
          </cell>
          <cell r="B1371" t="str">
            <v>CHILINERO WHITE 750ML</v>
          </cell>
          <cell r="C1371" t="str">
            <v>Pcs</v>
          </cell>
          <cell r="D1371">
            <v>9</v>
          </cell>
          <cell r="E1371">
            <v>0</v>
          </cell>
          <cell r="F1371">
            <v>0</v>
          </cell>
          <cell r="G1371">
            <v>9</v>
          </cell>
          <cell r="H1371">
            <v>900</v>
          </cell>
        </row>
        <row r="1372">
          <cell r="A1372">
            <v>2662</v>
          </cell>
          <cell r="B1372" t="str">
            <v>CH VALAC MEDIUM SWEET RED 750ML</v>
          </cell>
          <cell r="C1372" t="str">
            <v>Pcs</v>
          </cell>
          <cell r="D1372">
            <v>31</v>
          </cell>
          <cell r="E1372">
            <v>0</v>
          </cell>
          <cell r="F1372">
            <v>0</v>
          </cell>
          <cell r="G1372">
            <v>31</v>
          </cell>
          <cell r="H1372">
            <v>1000</v>
          </cell>
        </row>
        <row r="1373">
          <cell r="A1373">
            <v>2663</v>
          </cell>
          <cell r="B1373" t="str">
            <v>CH VALAC MEDIUM SWEET WHITE 750ML</v>
          </cell>
          <cell r="C1373" t="str">
            <v>Pcs</v>
          </cell>
          <cell r="D1373">
            <v>37</v>
          </cell>
          <cell r="E1373">
            <v>0</v>
          </cell>
          <cell r="F1373">
            <v>0</v>
          </cell>
          <cell r="G1373">
            <v>37</v>
          </cell>
          <cell r="H1373">
            <v>1100</v>
          </cell>
        </row>
        <row r="1374">
          <cell r="A1374">
            <v>2664</v>
          </cell>
          <cell r="B1374" t="str">
            <v>CH VALAC RED 750ML</v>
          </cell>
          <cell r="C1374" t="str">
            <v>Pcs</v>
          </cell>
          <cell r="D1374">
            <v>31</v>
          </cell>
          <cell r="E1374">
            <v>0</v>
          </cell>
          <cell r="F1374">
            <v>12</v>
          </cell>
          <cell r="G1374">
            <v>19</v>
          </cell>
          <cell r="H1374">
            <v>1100</v>
          </cell>
        </row>
        <row r="1375">
          <cell r="A1375">
            <v>503</v>
          </cell>
          <cell r="B1375" t="str">
            <v>COCKBURN FINE TAWNY 1LTR</v>
          </cell>
          <cell r="C1375" t="str">
            <v>Pcs</v>
          </cell>
          <cell r="D1375">
            <v>4</v>
          </cell>
          <cell r="E1375">
            <v>0</v>
          </cell>
          <cell r="F1375">
            <v>0</v>
          </cell>
          <cell r="G1375">
            <v>4</v>
          </cell>
          <cell r="H1375">
            <v>2800</v>
          </cell>
        </row>
        <row r="1376">
          <cell r="A1376">
            <v>523</v>
          </cell>
          <cell r="B1376" t="str">
            <v>CONSIGNIA CHARDONNAY 750ML</v>
          </cell>
          <cell r="C1376" t="str">
            <v>Pcs</v>
          </cell>
          <cell r="D1376">
            <v>18</v>
          </cell>
          <cell r="E1376">
            <v>0</v>
          </cell>
          <cell r="F1376">
            <v>0</v>
          </cell>
          <cell r="G1376">
            <v>18</v>
          </cell>
          <cell r="H1376">
            <v>1440</v>
          </cell>
        </row>
        <row r="1377">
          <cell r="A1377">
            <v>2186</v>
          </cell>
          <cell r="B1377" t="str">
            <v>CONSIGNIA  MERLOT 750ML</v>
          </cell>
          <cell r="C1377" t="str">
            <v>Pcs</v>
          </cell>
          <cell r="D1377">
            <v>60</v>
          </cell>
          <cell r="E1377">
            <v>0</v>
          </cell>
          <cell r="F1377">
            <v>0</v>
          </cell>
          <cell r="G1377">
            <v>60</v>
          </cell>
          <cell r="H1377">
            <v>1440</v>
          </cell>
        </row>
        <row r="1378">
          <cell r="A1378">
            <v>524</v>
          </cell>
          <cell r="B1378" t="str">
            <v>CONSIGNIA ROSE 750ML</v>
          </cell>
          <cell r="C1378" t="str">
            <v>Pcs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1440</v>
          </cell>
        </row>
        <row r="1379">
          <cell r="A1379">
            <v>525</v>
          </cell>
          <cell r="B1379" t="str">
            <v>CONSIGNIA SHIRAZ 750ML</v>
          </cell>
          <cell r="C1379" t="str">
            <v>Pcs</v>
          </cell>
          <cell r="D1379">
            <v>12</v>
          </cell>
          <cell r="E1379">
            <v>0</v>
          </cell>
          <cell r="F1379">
            <v>12</v>
          </cell>
          <cell r="G1379">
            <v>0</v>
          </cell>
          <cell r="H1379">
            <v>1440</v>
          </cell>
        </row>
        <row r="1380">
          <cell r="A1380">
            <v>547</v>
          </cell>
          <cell r="B1380" t="str">
            <v>CREMA NOBILE AL CIOCCOLATA 750ML</v>
          </cell>
          <cell r="C1380" t="str">
            <v>Pcs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1400</v>
          </cell>
        </row>
        <row r="1381">
          <cell r="A1381">
            <v>549</v>
          </cell>
          <cell r="B1381" t="str">
            <v>CULEMBORG CAPE RED 1.5LTR</v>
          </cell>
          <cell r="C1381" t="str">
            <v>Pcs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1700</v>
          </cell>
        </row>
        <row r="1382">
          <cell r="A1382">
            <v>552</v>
          </cell>
          <cell r="B1382" t="str">
            <v>CULEMBORG MERLOT 750ML</v>
          </cell>
          <cell r="C1382" t="str">
            <v>Pcs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850</v>
          </cell>
        </row>
        <row r="1383">
          <cell r="A1383">
            <v>553</v>
          </cell>
          <cell r="B1383" t="str">
            <v>CULEMBORG S.A RED 750ML</v>
          </cell>
          <cell r="C1383" t="str">
            <v>Pcs</v>
          </cell>
          <cell r="D1383">
            <v>9</v>
          </cell>
          <cell r="E1383">
            <v>0</v>
          </cell>
          <cell r="F1383">
            <v>0</v>
          </cell>
          <cell r="G1383">
            <v>9</v>
          </cell>
          <cell r="H1383">
            <v>850</v>
          </cell>
        </row>
        <row r="1384">
          <cell r="A1384">
            <v>596</v>
          </cell>
          <cell r="B1384" t="str">
            <v>DELUSH SWEET RED 750ML</v>
          </cell>
          <cell r="C1384" t="str">
            <v>Pcs</v>
          </cell>
          <cell r="D1384">
            <v>537</v>
          </cell>
          <cell r="E1384">
            <v>0</v>
          </cell>
          <cell r="F1384">
            <v>0</v>
          </cell>
          <cell r="G1384">
            <v>537</v>
          </cell>
          <cell r="H1384">
            <v>850</v>
          </cell>
        </row>
        <row r="1385">
          <cell r="A1385">
            <v>597</v>
          </cell>
          <cell r="B1385" t="str">
            <v>DELUSH SWEET ROSE 750ML</v>
          </cell>
          <cell r="C1385" t="str">
            <v>Pcs</v>
          </cell>
          <cell r="D1385">
            <v>36</v>
          </cell>
          <cell r="E1385">
            <v>0</v>
          </cell>
          <cell r="F1385">
            <v>12</v>
          </cell>
          <cell r="G1385">
            <v>24</v>
          </cell>
          <cell r="H1385">
            <v>850</v>
          </cell>
        </row>
        <row r="1386">
          <cell r="A1386">
            <v>598</v>
          </cell>
          <cell r="B1386" t="str">
            <v>DELUSH SWEET WHITE 750ML</v>
          </cell>
          <cell r="C1386" t="str">
            <v>Pcs</v>
          </cell>
          <cell r="D1386">
            <v>228</v>
          </cell>
          <cell r="E1386">
            <v>0</v>
          </cell>
          <cell r="F1386">
            <v>0</v>
          </cell>
          <cell r="G1386">
            <v>228</v>
          </cell>
          <cell r="H1386">
            <v>850</v>
          </cell>
        </row>
        <row r="1387">
          <cell r="A1387">
            <v>614</v>
          </cell>
          <cell r="B1387" t="str">
            <v>DOM PERIGNON ROSE 750ML</v>
          </cell>
          <cell r="C1387" t="str">
            <v>Pcs</v>
          </cell>
          <cell r="D1387">
            <v>10</v>
          </cell>
          <cell r="E1387">
            <v>0</v>
          </cell>
          <cell r="F1387">
            <v>0</v>
          </cell>
          <cell r="G1387">
            <v>10</v>
          </cell>
          <cell r="H1387">
            <v>50000</v>
          </cell>
        </row>
        <row r="1388">
          <cell r="A1388">
            <v>2332</v>
          </cell>
          <cell r="B1388" t="str">
            <v>DOMPO SWT RED 750ML</v>
          </cell>
          <cell r="C1388" t="str">
            <v>Pcs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1150</v>
          </cell>
        </row>
        <row r="1389">
          <cell r="A1389">
            <v>2333</v>
          </cell>
          <cell r="B1389" t="str">
            <v>DOMPO SWT ROSE 750ML</v>
          </cell>
          <cell r="C1389" t="str">
            <v>Pcs</v>
          </cell>
          <cell r="D1389">
            <v>12</v>
          </cell>
          <cell r="E1389">
            <v>0</v>
          </cell>
          <cell r="F1389">
            <v>0</v>
          </cell>
          <cell r="G1389">
            <v>12</v>
          </cell>
          <cell r="H1389">
            <v>1150</v>
          </cell>
        </row>
        <row r="1390">
          <cell r="A1390">
            <v>2334</v>
          </cell>
          <cell r="B1390" t="str">
            <v>DOMPO SWT WHITE 750ML</v>
          </cell>
          <cell r="C1390" t="str">
            <v>Pcs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1150</v>
          </cell>
        </row>
        <row r="1391">
          <cell r="A1391">
            <v>632</v>
          </cell>
          <cell r="B1391" t="str">
            <v>DOUGLAS GREEN MERLOT 750ML</v>
          </cell>
          <cell r="C1391" t="str">
            <v>Pcs</v>
          </cell>
          <cell r="D1391">
            <v>3</v>
          </cell>
          <cell r="E1391">
            <v>0</v>
          </cell>
          <cell r="F1391">
            <v>0</v>
          </cell>
          <cell r="G1391">
            <v>3</v>
          </cell>
          <cell r="H1391">
            <v>1200</v>
          </cell>
        </row>
        <row r="1392">
          <cell r="A1392">
            <v>638</v>
          </cell>
          <cell r="B1392" t="str">
            <v>DROSTDY HOF CLARET 3LTR</v>
          </cell>
          <cell r="C1392" t="str">
            <v>Pcs</v>
          </cell>
          <cell r="D1392">
            <v>82</v>
          </cell>
          <cell r="E1392">
            <v>0</v>
          </cell>
          <cell r="F1392">
            <v>0</v>
          </cell>
          <cell r="G1392">
            <v>82</v>
          </cell>
          <cell r="H1392">
            <v>2500</v>
          </cell>
        </row>
        <row r="1393">
          <cell r="A1393">
            <v>643</v>
          </cell>
          <cell r="B1393" t="str">
            <v>DROSTDY-HOF CLARET 750ML</v>
          </cell>
          <cell r="C1393" t="str">
            <v>Pcs</v>
          </cell>
          <cell r="D1393">
            <v>90</v>
          </cell>
          <cell r="E1393">
            <v>336</v>
          </cell>
          <cell r="F1393">
            <v>367</v>
          </cell>
          <cell r="G1393">
            <v>59</v>
          </cell>
          <cell r="H1393">
            <v>850</v>
          </cell>
        </row>
        <row r="1394">
          <cell r="A1394">
            <v>644</v>
          </cell>
          <cell r="B1394" t="str">
            <v>DROSTDY-HOF G/CRU 5LTR</v>
          </cell>
          <cell r="C1394" t="str">
            <v>Pcs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3500</v>
          </cell>
        </row>
        <row r="1395">
          <cell r="A1395">
            <v>645</v>
          </cell>
          <cell r="B1395" t="str">
            <v>DROSTDY-HOF G/CRU 750ML</v>
          </cell>
          <cell r="C1395" t="str">
            <v>Pcs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850</v>
          </cell>
        </row>
        <row r="1396">
          <cell r="A1396">
            <v>639</v>
          </cell>
          <cell r="B1396" t="str">
            <v>DROSTDY HOF RED 375ML</v>
          </cell>
          <cell r="C1396" t="str">
            <v>Pcs</v>
          </cell>
          <cell r="D1396">
            <v>48</v>
          </cell>
          <cell r="E1396">
            <v>0</v>
          </cell>
          <cell r="F1396">
            <v>0</v>
          </cell>
          <cell r="G1396">
            <v>48</v>
          </cell>
          <cell r="H1396">
            <v>460</v>
          </cell>
        </row>
        <row r="1397">
          <cell r="A1397">
            <v>640</v>
          </cell>
          <cell r="B1397" t="str">
            <v>DROSTDY HOF WHITE 375ML</v>
          </cell>
          <cell r="C1397" t="str">
            <v>Pcs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460</v>
          </cell>
        </row>
        <row r="1398">
          <cell r="A1398">
            <v>642</v>
          </cell>
          <cell r="B1398" t="str">
            <v>DROSTDY HOF WHITE 3LTR</v>
          </cell>
          <cell r="C1398" t="str">
            <v>Pcs</v>
          </cell>
          <cell r="D1398">
            <v>2</v>
          </cell>
          <cell r="E1398">
            <v>0</v>
          </cell>
          <cell r="F1398">
            <v>0</v>
          </cell>
          <cell r="G1398">
            <v>2</v>
          </cell>
          <cell r="H1398">
            <v>2500</v>
          </cell>
        </row>
        <row r="1399">
          <cell r="A1399">
            <v>641</v>
          </cell>
          <cell r="B1399" t="str">
            <v>DROSTDY RED CLARET 5LTR</v>
          </cell>
          <cell r="C1399" t="str">
            <v>Pcs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4000</v>
          </cell>
        </row>
        <row r="1400">
          <cell r="A1400">
            <v>2189</v>
          </cell>
          <cell r="B1400" t="str">
            <v>DROSTDY SWEET ROSE 750ML</v>
          </cell>
          <cell r="C1400" t="str">
            <v>Pcs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800</v>
          </cell>
        </row>
        <row r="1401">
          <cell r="A1401">
            <v>2216</v>
          </cell>
          <cell r="B1401" t="str">
            <v>DUCHESALIA BARBERA 750ML</v>
          </cell>
          <cell r="C1401" t="str">
            <v>Pcs</v>
          </cell>
          <cell r="D1401">
            <v>1</v>
          </cell>
          <cell r="E1401">
            <v>0</v>
          </cell>
          <cell r="F1401">
            <v>0</v>
          </cell>
          <cell r="G1401">
            <v>1</v>
          </cell>
          <cell r="H1401">
            <v>1350</v>
          </cell>
        </row>
        <row r="1402">
          <cell r="A1402">
            <v>646</v>
          </cell>
          <cell r="B1402" t="str">
            <v>DUCHESALIA FRAGOLINO RED 750ML</v>
          </cell>
          <cell r="C1402" t="str">
            <v>Pcs</v>
          </cell>
          <cell r="D1402">
            <v>84</v>
          </cell>
          <cell r="E1402">
            <v>0</v>
          </cell>
          <cell r="F1402">
            <v>42</v>
          </cell>
          <cell r="G1402">
            <v>42</v>
          </cell>
          <cell r="H1402">
            <v>1400</v>
          </cell>
        </row>
        <row r="1403">
          <cell r="A1403">
            <v>647</v>
          </cell>
          <cell r="B1403" t="str">
            <v>DUCHESALIA FRAGOLINO ROSE 750ML</v>
          </cell>
          <cell r="C1403" t="str">
            <v>Pcs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1400</v>
          </cell>
        </row>
        <row r="1404">
          <cell r="A1404">
            <v>648</v>
          </cell>
          <cell r="B1404" t="str">
            <v>DUCHESALIA FRAGOLINO WHITE 750ML</v>
          </cell>
          <cell r="C1404" t="str">
            <v>Pcs</v>
          </cell>
          <cell r="D1404">
            <v>30</v>
          </cell>
          <cell r="E1404">
            <v>0</v>
          </cell>
          <cell r="F1404">
            <v>30</v>
          </cell>
          <cell r="G1404">
            <v>0</v>
          </cell>
          <cell r="H1404">
            <v>1400</v>
          </cell>
        </row>
        <row r="1405">
          <cell r="A1405">
            <v>652</v>
          </cell>
          <cell r="B1405" t="str">
            <v>DURBANVILLE HILLS CAB SAUV 750ML</v>
          </cell>
          <cell r="C1405" t="str">
            <v>Pcs</v>
          </cell>
          <cell r="D1405">
            <v>2</v>
          </cell>
          <cell r="E1405">
            <v>0</v>
          </cell>
          <cell r="F1405">
            <v>0</v>
          </cell>
          <cell r="G1405">
            <v>2</v>
          </cell>
          <cell r="H1405">
            <v>900</v>
          </cell>
        </row>
        <row r="1406">
          <cell r="A1406">
            <v>654</v>
          </cell>
          <cell r="B1406" t="str">
            <v>DURBANVILLE HILLS PINOTAGE 750ML</v>
          </cell>
          <cell r="C1406" t="str">
            <v>Pcs</v>
          </cell>
          <cell r="D1406">
            <v>2</v>
          </cell>
          <cell r="E1406">
            <v>0</v>
          </cell>
          <cell r="F1406">
            <v>0</v>
          </cell>
          <cell r="G1406">
            <v>2</v>
          </cell>
          <cell r="H1406">
            <v>900</v>
          </cell>
        </row>
        <row r="1407">
          <cell r="A1407">
            <v>655</v>
          </cell>
          <cell r="B1407" t="str">
            <v>DURBANVILLE HILLS RESERVE CHARDONNAY 750ML</v>
          </cell>
          <cell r="C1407" t="str">
            <v>Pcs</v>
          </cell>
          <cell r="D1407">
            <v>1</v>
          </cell>
          <cell r="E1407">
            <v>0</v>
          </cell>
          <cell r="F1407">
            <v>0</v>
          </cell>
          <cell r="G1407">
            <v>1</v>
          </cell>
          <cell r="H1407">
            <v>900</v>
          </cell>
        </row>
        <row r="1408">
          <cell r="A1408">
            <v>2442</v>
          </cell>
          <cell r="B1408" t="str">
            <v>DURBANVILLE HILLS SAUV BLANC 750ML</v>
          </cell>
          <cell r="C1408" t="str">
            <v>Pcs</v>
          </cell>
          <cell r="D1408">
            <v>2</v>
          </cell>
          <cell r="E1408">
            <v>0</v>
          </cell>
          <cell r="F1408">
            <v>0</v>
          </cell>
          <cell r="G1408">
            <v>2</v>
          </cell>
          <cell r="H1408">
            <v>900</v>
          </cell>
        </row>
        <row r="1409">
          <cell r="A1409">
            <v>2389</v>
          </cell>
          <cell r="B1409" t="str">
            <v>ELECTIO CAB SAUV 750ML</v>
          </cell>
          <cell r="C1409" t="str">
            <v>Pcs</v>
          </cell>
          <cell r="D1409">
            <v>1</v>
          </cell>
          <cell r="E1409">
            <v>0</v>
          </cell>
          <cell r="F1409">
            <v>0</v>
          </cell>
          <cell r="G1409">
            <v>1</v>
          </cell>
          <cell r="H1409">
            <v>1100</v>
          </cell>
        </row>
        <row r="1410">
          <cell r="A1410">
            <v>2390</v>
          </cell>
          <cell r="B1410" t="str">
            <v>ELECTIO MERLOT 750ML</v>
          </cell>
          <cell r="C1410" t="str">
            <v>Pcs</v>
          </cell>
          <cell r="D1410">
            <v>2</v>
          </cell>
          <cell r="E1410">
            <v>0</v>
          </cell>
          <cell r="F1410">
            <v>0</v>
          </cell>
          <cell r="G1410">
            <v>2</v>
          </cell>
          <cell r="H1410">
            <v>1100</v>
          </cell>
        </row>
        <row r="1411">
          <cell r="A1411">
            <v>667</v>
          </cell>
          <cell r="B1411" t="str">
            <v>ESTANCIA MENDOZA 750ML</v>
          </cell>
          <cell r="C1411" t="str">
            <v>Pcs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1750</v>
          </cell>
        </row>
        <row r="1412">
          <cell r="A1412">
            <v>668</v>
          </cell>
          <cell r="B1412" t="str">
            <v>ESTANCIA MENDOZA MALBEC 750ml</v>
          </cell>
          <cell r="C1412" t="str">
            <v>Pcs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1650</v>
          </cell>
        </row>
        <row r="1413">
          <cell r="A1413">
            <v>669</v>
          </cell>
          <cell r="B1413" t="str">
            <v>ESTANCIA MENDOZA MERLOT 750ml</v>
          </cell>
          <cell r="C1413" t="str">
            <v>Pcs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1650</v>
          </cell>
        </row>
        <row r="1414">
          <cell r="A1414">
            <v>2494</v>
          </cell>
          <cell r="B1414" t="str">
            <v>EXPRESION BRUT SPARKLING 750ML</v>
          </cell>
          <cell r="C1414" t="str">
            <v>Pcs</v>
          </cell>
          <cell r="D1414">
            <v>6</v>
          </cell>
          <cell r="E1414">
            <v>0</v>
          </cell>
          <cell r="F1414">
            <v>0</v>
          </cell>
          <cell r="G1414">
            <v>6</v>
          </cell>
          <cell r="H1414">
            <v>1400</v>
          </cell>
        </row>
        <row r="1415">
          <cell r="A1415">
            <v>2495</v>
          </cell>
          <cell r="B1415" t="str">
            <v>EXPRESION SWEET ROSE 750ML</v>
          </cell>
          <cell r="C1415" t="str">
            <v>Pcs</v>
          </cell>
          <cell r="D1415">
            <v>18</v>
          </cell>
          <cell r="E1415">
            <v>0</v>
          </cell>
          <cell r="F1415">
            <v>6</v>
          </cell>
          <cell r="G1415">
            <v>12</v>
          </cell>
          <cell r="H1415">
            <v>1400</v>
          </cell>
        </row>
        <row r="1416">
          <cell r="A1416">
            <v>2594</v>
          </cell>
          <cell r="B1416" t="str">
            <v>EXPRESSION MIMOSA 750ML</v>
          </cell>
          <cell r="C1416" t="str">
            <v>Pcs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1250</v>
          </cell>
        </row>
        <row r="1417">
          <cell r="A1417">
            <v>2601</v>
          </cell>
          <cell r="B1417" t="str">
            <v> EXPRESSION MOJITO 750ML</v>
          </cell>
          <cell r="C1417" t="str">
            <v>Pcs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1250</v>
          </cell>
        </row>
        <row r="1418">
          <cell r="A1418">
            <v>2217</v>
          </cell>
          <cell r="B1418" t="str">
            <v>EXPRESSION MOSCATO 750ML</v>
          </cell>
          <cell r="C1418" t="str">
            <v>Pcs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1400</v>
          </cell>
        </row>
        <row r="1419">
          <cell r="A1419">
            <v>2218</v>
          </cell>
          <cell r="B1419" t="str">
            <v>EXPRESSION PINK ROSE 750ML</v>
          </cell>
          <cell r="C1419" t="str">
            <v>Pcs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1400</v>
          </cell>
        </row>
        <row r="1420">
          <cell r="A1420">
            <v>670</v>
          </cell>
          <cell r="B1420" t="str">
            <v>EXPRESSION SWEET RED 750ml</v>
          </cell>
          <cell r="C1420" t="str">
            <v>Pcs</v>
          </cell>
          <cell r="D1420">
            <v>112</v>
          </cell>
          <cell r="E1420">
            <v>0</v>
          </cell>
          <cell r="F1420">
            <v>30</v>
          </cell>
          <cell r="G1420">
            <v>82</v>
          </cell>
          <cell r="H1420">
            <v>1200</v>
          </cell>
        </row>
        <row r="1421">
          <cell r="A1421">
            <v>671</v>
          </cell>
          <cell r="B1421" t="str">
            <v>EXPRESSION SWEET WHITE  750ml</v>
          </cell>
          <cell r="C1421" t="str">
            <v>Pcs</v>
          </cell>
          <cell r="D1421">
            <v>43</v>
          </cell>
          <cell r="E1421">
            <v>0</v>
          </cell>
          <cell r="F1421">
            <v>12</v>
          </cell>
          <cell r="G1421">
            <v>31</v>
          </cell>
          <cell r="H1421">
            <v>1400</v>
          </cell>
        </row>
        <row r="1422">
          <cell r="A1422">
            <v>672</v>
          </cell>
          <cell r="B1422" t="str">
            <v>FAIRVIEW DARLING SAUV BLANC 750ml</v>
          </cell>
          <cell r="C1422" t="str">
            <v>Pcs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1800</v>
          </cell>
        </row>
        <row r="1423">
          <cell r="A1423">
            <v>673</v>
          </cell>
          <cell r="B1423" t="str">
            <v>FAIRVIEW GOATS DO ROAM 750ML</v>
          </cell>
          <cell r="C1423" t="str">
            <v>Pcs</v>
          </cell>
          <cell r="D1423">
            <v>4</v>
          </cell>
          <cell r="E1423">
            <v>0</v>
          </cell>
          <cell r="F1423">
            <v>0</v>
          </cell>
          <cell r="G1423">
            <v>4</v>
          </cell>
          <cell r="H1423">
            <v>1200</v>
          </cell>
        </row>
        <row r="1424">
          <cell r="A1424">
            <v>674</v>
          </cell>
          <cell r="B1424" t="str">
            <v>FAIRVIEW SHIRAZ 750ML</v>
          </cell>
          <cell r="C1424" t="str">
            <v>Pcs</v>
          </cell>
          <cell r="D1424">
            <v>21</v>
          </cell>
          <cell r="E1424">
            <v>0</v>
          </cell>
          <cell r="F1424">
            <v>0</v>
          </cell>
          <cell r="G1424">
            <v>21</v>
          </cell>
          <cell r="H1424">
            <v>1800</v>
          </cell>
        </row>
        <row r="1425">
          <cell r="A1425">
            <v>2999</v>
          </cell>
          <cell r="B1425" t="str">
            <v>FANTINEL SPUMANTE ZUCCOLO PROSECCO EXTRA-DRY 750ML</v>
          </cell>
          <cell r="C1425" t="str">
            <v>Pcs</v>
          </cell>
          <cell r="D1425">
            <v>18</v>
          </cell>
          <cell r="E1425">
            <v>0</v>
          </cell>
          <cell r="F1425">
            <v>12</v>
          </cell>
          <cell r="G1425">
            <v>6</v>
          </cell>
          <cell r="H1425">
            <v>1550</v>
          </cell>
        </row>
        <row r="1426">
          <cell r="A1426">
            <v>686</v>
          </cell>
          <cell r="B1426" t="str">
            <v>FESTA ROSE DOLCEE</v>
          </cell>
          <cell r="C1426" t="str">
            <v>Pcs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950</v>
          </cell>
        </row>
        <row r="1427">
          <cell r="A1427">
            <v>2272</v>
          </cell>
          <cell r="B1427" t="str">
            <v>FINCA LOS ALTOS 750ML</v>
          </cell>
          <cell r="C1427" t="str">
            <v>Pcs</v>
          </cell>
          <cell r="D1427">
            <v>3</v>
          </cell>
          <cell r="E1427">
            <v>0</v>
          </cell>
          <cell r="F1427">
            <v>0</v>
          </cell>
          <cell r="G1427">
            <v>3</v>
          </cell>
          <cell r="H1427">
            <v>1000</v>
          </cell>
        </row>
        <row r="1428">
          <cell r="A1428">
            <v>2273</v>
          </cell>
          <cell r="B1428" t="str">
            <v>FIVE'S RESERVE MERLOT ROSE 750ML</v>
          </cell>
          <cell r="C1428" t="str">
            <v>Pcs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1000</v>
          </cell>
        </row>
        <row r="1429">
          <cell r="A1429">
            <v>2448</v>
          </cell>
          <cell r="B1429" t="str">
            <v>FOOTPRINT RED 5LTR</v>
          </cell>
          <cell r="C1429" t="str">
            <v>Pcs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3500</v>
          </cell>
        </row>
        <row r="1430">
          <cell r="A1430">
            <v>742</v>
          </cell>
          <cell r="B1430" t="str">
            <v>FOOTPRINT WHITE 5LTR</v>
          </cell>
          <cell r="C1430" t="str">
            <v>Pcs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3500</v>
          </cell>
        </row>
        <row r="1431">
          <cell r="A1431">
            <v>743</v>
          </cell>
          <cell r="B1431" t="str">
            <v>FORMENTERA WHITE OCEAN SWEET 750ML</v>
          </cell>
          <cell r="C1431" t="str">
            <v>Pcs</v>
          </cell>
          <cell r="D1431">
            <v>12</v>
          </cell>
          <cell r="E1431">
            <v>0</v>
          </cell>
          <cell r="F1431">
            <v>0</v>
          </cell>
          <cell r="G1431">
            <v>12</v>
          </cell>
          <cell r="H1431">
            <v>750</v>
          </cell>
        </row>
        <row r="1432">
          <cell r="A1432">
            <v>2372</v>
          </cell>
          <cell r="B1432" t="str">
            <v>FOUR COUSINS CAB SAUV 750ML</v>
          </cell>
          <cell r="C1432" t="str">
            <v>Pcs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1000</v>
          </cell>
        </row>
        <row r="1433">
          <cell r="A1433">
            <v>747</v>
          </cell>
          <cell r="B1433" t="str">
            <v>FOUR COUSINS COLLECTION CAB SAUV 750ml</v>
          </cell>
          <cell r="C1433" t="str">
            <v>Pcs</v>
          </cell>
          <cell r="D1433">
            <v>48</v>
          </cell>
          <cell r="E1433">
            <v>0</v>
          </cell>
          <cell r="F1433">
            <v>0</v>
          </cell>
          <cell r="G1433">
            <v>48</v>
          </cell>
          <cell r="H1433">
            <v>1000</v>
          </cell>
        </row>
        <row r="1434">
          <cell r="A1434">
            <v>2397</v>
          </cell>
          <cell r="B1434" t="str">
            <v>FOUR COUSINS DRY RED 5LTR</v>
          </cell>
          <cell r="C1434" t="str">
            <v>Pcs</v>
          </cell>
          <cell r="D1434">
            <v>76</v>
          </cell>
          <cell r="E1434">
            <v>0</v>
          </cell>
          <cell r="F1434">
            <v>0</v>
          </cell>
          <cell r="G1434">
            <v>76</v>
          </cell>
          <cell r="H1434">
            <v>3500</v>
          </cell>
        </row>
        <row r="1435">
          <cell r="A1435">
            <v>750</v>
          </cell>
          <cell r="B1435" t="str">
            <v>FOUR COUSINS RED 750ML</v>
          </cell>
          <cell r="C1435" t="str">
            <v>Pcs</v>
          </cell>
          <cell r="D1435">
            <v>442</v>
          </cell>
          <cell r="E1435">
            <v>456</v>
          </cell>
          <cell r="F1435">
            <v>264</v>
          </cell>
          <cell r="G1435">
            <v>634</v>
          </cell>
          <cell r="H1435">
            <v>830</v>
          </cell>
        </row>
        <row r="1436">
          <cell r="A1436">
            <v>751</v>
          </cell>
          <cell r="B1436" t="str">
            <v>FOUR COUSINS RED DRY 1.5LTR</v>
          </cell>
          <cell r="C1436" t="str">
            <v>Pcs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1550</v>
          </cell>
        </row>
        <row r="1437">
          <cell r="A1437">
            <v>752</v>
          </cell>
          <cell r="B1437" t="str">
            <v>FOUR COUSINS SAUV BLANC 750ml</v>
          </cell>
          <cell r="C1437" t="str">
            <v>Pcs</v>
          </cell>
          <cell r="D1437">
            <v>10</v>
          </cell>
          <cell r="E1437">
            <v>0</v>
          </cell>
          <cell r="F1437">
            <v>0</v>
          </cell>
          <cell r="G1437">
            <v>10</v>
          </cell>
          <cell r="H1437">
            <v>1100</v>
          </cell>
        </row>
        <row r="1438">
          <cell r="A1438">
            <v>753</v>
          </cell>
          <cell r="B1438" t="str">
            <v>FOUR COUSINS SWEET RED 3LTR</v>
          </cell>
          <cell r="C1438" t="str">
            <v>Pcs</v>
          </cell>
          <cell r="D1438">
            <v>2</v>
          </cell>
          <cell r="E1438">
            <v>0</v>
          </cell>
          <cell r="F1438">
            <v>0</v>
          </cell>
          <cell r="G1438">
            <v>2</v>
          </cell>
          <cell r="H1438">
            <v>1500</v>
          </cell>
        </row>
        <row r="1439">
          <cell r="A1439">
            <v>754</v>
          </cell>
          <cell r="B1439" t="str">
            <v>FOUR COUSINS SWEET ROSE 750ML</v>
          </cell>
          <cell r="C1439" t="str">
            <v>Pcs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800</v>
          </cell>
        </row>
        <row r="1440">
          <cell r="A1440">
            <v>2219</v>
          </cell>
          <cell r="B1440" t="str">
            <v>FOUR COUSINS SWEET SPARKLING BLUSH 750ML</v>
          </cell>
          <cell r="C1440" t="str">
            <v>Pcs</v>
          </cell>
          <cell r="D1440">
            <v>18</v>
          </cell>
          <cell r="E1440">
            <v>0</v>
          </cell>
          <cell r="F1440">
            <v>0</v>
          </cell>
          <cell r="G1440">
            <v>18</v>
          </cell>
          <cell r="H1440">
            <v>1400</v>
          </cell>
        </row>
        <row r="1441">
          <cell r="A1441">
            <v>2220</v>
          </cell>
          <cell r="B1441" t="str">
            <v>FOUR COUSINS SWEET SPARKLING WHITE 750ML</v>
          </cell>
          <cell r="C1441" t="str">
            <v>Pcs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1400</v>
          </cell>
        </row>
        <row r="1442">
          <cell r="A1442">
            <v>755</v>
          </cell>
          <cell r="B1442" t="str">
            <v>FOUR COUSINS SWEET WHITE 1.5LTR</v>
          </cell>
          <cell r="C1442" t="str">
            <v>Pcs</v>
          </cell>
          <cell r="D1442">
            <v>60</v>
          </cell>
          <cell r="E1442">
            <v>120</v>
          </cell>
          <cell r="F1442">
            <v>0</v>
          </cell>
          <cell r="G1442">
            <v>180</v>
          </cell>
          <cell r="H1442">
            <v>1550</v>
          </cell>
        </row>
        <row r="1443">
          <cell r="A1443">
            <v>745</v>
          </cell>
          <cell r="B1443" t="str">
            <v>FOUR COUSIN SWEET RED 1.5LTR</v>
          </cell>
          <cell r="C1443" t="str">
            <v>Pcs</v>
          </cell>
          <cell r="D1443">
            <v>72</v>
          </cell>
          <cell r="E1443">
            <v>180</v>
          </cell>
          <cell r="F1443">
            <v>6</v>
          </cell>
          <cell r="G1443">
            <v>246</v>
          </cell>
          <cell r="H1443">
            <v>1550</v>
          </cell>
        </row>
        <row r="1444">
          <cell r="A1444">
            <v>746</v>
          </cell>
          <cell r="B1444" t="str">
            <v>FOUR COUSIN SWEET RED 5LTR</v>
          </cell>
          <cell r="C1444" t="str">
            <v>Pcs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3400</v>
          </cell>
        </row>
        <row r="1445">
          <cell r="A1445">
            <v>757</v>
          </cell>
          <cell r="B1445" t="str">
            <v>FOUR COUSINS WHITE 5LTR</v>
          </cell>
          <cell r="C1445" t="str">
            <v>Pcs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3400</v>
          </cell>
        </row>
        <row r="1446">
          <cell r="A1446">
            <v>758</v>
          </cell>
          <cell r="B1446" t="str">
            <v>FOUR COUSINS WHITE 750ML</v>
          </cell>
          <cell r="C1446" t="str">
            <v>Pcs</v>
          </cell>
          <cell r="D1446">
            <v>722</v>
          </cell>
          <cell r="E1446">
            <v>1188</v>
          </cell>
          <cell r="F1446">
            <v>87</v>
          </cell>
          <cell r="G1446">
            <v>1823</v>
          </cell>
          <cell r="H1446">
            <v>850</v>
          </cell>
        </row>
        <row r="1447">
          <cell r="A1447">
            <v>759</v>
          </cell>
          <cell r="B1447" t="str">
            <v>FOUR COUSINS WHITE DRY 1.5LTR</v>
          </cell>
          <cell r="C1447" t="str">
            <v>Pcs</v>
          </cell>
          <cell r="D1447">
            <v>90</v>
          </cell>
          <cell r="E1447">
            <v>180</v>
          </cell>
          <cell r="F1447">
            <v>18</v>
          </cell>
          <cell r="G1447">
            <v>252</v>
          </cell>
          <cell r="H1447">
            <v>1550</v>
          </cell>
        </row>
        <row r="1448">
          <cell r="A1448">
            <v>770</v>
          </cell>
          <cell r="B1448" t="str">
            <v>FRANSCHHOEK CELLAR BRUT ROSE 750ML</v>
          </cell>
          <cell r="C1448" t="str">
            <v>Pcs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1955</v>
          </cell>
        </row>
        <row r="1449">
          <cell r="A1449">
            <v>775</v>
          </cell>
          <cell r="B1449" t="str">
            <v>FRANSCHHOEK CELLAR MERLOT 750ML</v>
          </cell>
          <cell r="C1449" t="str">
            <v>Pcs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1200</v>
          </cell>
        </row>
        <row r="1450">
          <cell r="A1450">
            <v>781</v>
          </cell>
          <cell r="B1450" t="str">
            <v>FRONTERA AFTER MIDNIGHT 750ML</v>
          </cell>
          <cell r="C1450" t="str">
            <v>Pcs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1080</v>
          </cell>
        </row>
        <row r="1451">
          <cell r="A1451">
            <v>783</v>
          </cell>
          <cell r="B1451" t="str">
            <v>FRONTERA BRUT 750ML</v>
          </cell>
          <cell r="C1451" t="str">
            <v>Pcs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1800</v>
          </cell>
        </row>
        <row r="1452">
          <cell r="A1452">
            <v>782</v>
          </cell>
          <cell r="B1452" t="str">
            <v>FRONTERA CAB  BLUSH 750ML</v>
          </cell>
          <cell r="C1452" t="str">
            <v>Pcs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1080</v>
          </cell>
        </row>
        <row r="1453">
          <cell r="A1453">
            <v>785</v>
          </cell>
          <cell r="B1453" t="str">
            <v>FRONTERA CAB SAUV  1.5LTR</v>
          </cell>
          <cell r="C1453" t="str">
            <v>Pcs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1850</v>
          </cell>
        </row>
        <row r="1454">
          <cell r="A1454">
            <v>786</v>
          </cell>
          <cell r="B1454" t="str">
            <v>FRONTERA CAB SAUV  750ML</v>
          </cell>
          <cell r="C1454" t="str">
            <v>Pcs</v>
          </cell>
          <cell r="D1454">
            <v>2</v>
          </cell>
          <cell r="E1454">
            <v>0</v>
          </cell>
          <cell r="F1454">
            <v>0</v>
          </cell>
          <cell r="G1454">
            <v>2</v>
          </cell>
          <cell r="H1454">
            <v>1080</v>
          </cell>
        </row>
        <row r="1455">
          <cell r="A1455">
            <v>787</v>
          </cell>
          <cell r="B1455" t="str">
            <v>FRONTERA CHARDONNAY 1.5LTR</v>
          </cell>
          <cell r="C1455" t="str">
            <v>Pcs</v>
          </cell>
          <cell r="D1455">
            <v>42</v>
          </cell>
          <cell r="E1455">
            <v>0</v>
          </cell>
          <cell r="F1455">
            <v>0</v>
          </cell>
          <cell r="G1455">
            <v>42</v>
          </cell>
          <cell r="H1455">
            <v>1850</v>
          </cell>
        </row>
        <row r="1456">
          <cell r="A1456">
            <v>788</v>
          </cell>
          <cell r="B1456" t="str">
            <v>FRONTERA CHARDONNAY 750ML</v>
          </cell>
          <cell r="C1456" t="str">
            <v>Pcs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1080</v>
          </cell>
        </row>
        <row r="1457">
          <cell r="A1457">
            <v>789</v>
          </cell>
          <cell r="B1457" t="str">
            <v>FRONTERA LATE HARVEST 750ML</v>
          </cell>
          <cell r="C1457" t="str">
            <v>Pcs</v>
          </cell>
          <cell r="D1457">
            <v>12</v>
          </cell>
          <cell r="E1457">
            <v>0</v>
          </cell>
          <cell r="F1457">
            <v>0</v>
          </cell>
          <cell r="G1457">
            <v>12</v>
          </cell>
          <cell r="H1457">
            <v>1100</v>
          </cell>
        </row>
        <row r="1458">
          <cell r="A1458">
            <v>790</v>
          </cell>
          <cell r="B1458" t="str">
            <v>FRONTERA MERLOT 1.5LTR</v>
          </cell>
          <cell r="C1458" t="str">
            <v>Pcs</v>
          </cell>
          <cell r="D1458">
            <v>48</v>
          </cell>
          <cell r="E1458">
            <v>0</v>
          </cell>
          <cell r="F1458">
            <v>0</v>
          </cell>
          <cell r="G1458">
            <v>48</v>
          </cell>
          <cell r="H1458">
            <v>1850</v>
          </cell>
        </row>
        <row r="1459">
          <cell r="A1459">
            <v>791</v>
          </cell>
          <cell r="B1459" t="str">
            <v>FRONTERA MERLOT 750ML</v>
          </cell>
          <cell r="C1459" t="str">
            <v>Pcs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1080</v>
          </cell>
        </row>
        <row r="1460">
          <cell r="A1460">
            <v>794</v>
          </cell>
          <cell r="B1460" t="str">
            <v>FRONTERA SAUV BLANC 1.5LTR</v>
          </cell>
          <cell r="C1460" t="str">
            <v>Pcs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1850</v>
          </cell>
        </row>
        <row r="1461">
          <cell r="A1461">
            <v>793</v>
          </cell>
          <cell r="B1461" t="str">
            <v>FRONTERA SAUV BLANC  750ML</v>
          </cell>
          <cell r="C1461" t="str">
            <v>Pcs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1080</v>
          </cell>
        </row>
        <row r="1462">
          <cell r="A1462">
            <v>796</v>
          </cell>
          <cell r="B1462" t="str">
            <v>FRONTERA SHIRAZ 750ML</v>
          </cell>
          <cell r="C1462" t="str">
            <v>Pcs</v>
          </cell>
          <cell r="D1462">
            <v>1</v>
          </cell>
          <cell r="E1462">
            <v>0</v>
          </cell>
          <cell r="F1462">
            <v>0</v>
          </cell>
          <cell r="G1462">
            <v>1</v>
          </cell>
          <cell r="H1462">
            <v>1080</v>
          </cell>
        </row>
        <row r="1463">
          <cell r="A1463">
            <v>797</v>
          </cell>
          <cell r="B1463" t="str">
            <v>FRONTERA SPARKLING BRUT 750ML</v>
          </cell>
          <cell r="C1463" t="str">
            <v>Pcs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1300</v>
          </cell>
        </row>
        <row r="1464">
          <cell r="A1464">
            <v>2602</v>
          </cell>
          <cell r="B1464" t="str">
            <v>FRONTERA SPARKLING SWEET ROSE 750ML</v>
          </cell>
          <cell r="C1464" t="str">
            <v>Pcs</v>
          </cell>
          <cell r="D1464">
            <v>54</v>
          </cell>
          <cell r="E1464">
            <v>0</v>
          </cell>
          <cell r="F1464">
            <v>0</v>
          </cell>
          <cell r="G1464">
            <v>54</v>
          </cell>
          <cell r="H1464">
            <v>1150</v>
          </cell>
        </row>
        <row r="1465">
          <cell r="A1465">
            <v>800</v>
          </cell>
          <cell r="B1465" t="str">
            <v>FRONTERA SWEET RED 750ML</v>
          </cell>
          <cell r="C1465" t="str">
            <v>Pcs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1100</v>
          </cell>
        </row>
        <row r="1466">
          <cell r="A1466">
            <v>799</v>
          </cell>
          <cell r="B1466" t="str">
            <v>FRONTERA SWEET ROSE 750ML</v>
          </cell>
          <cell r="C1466" t="str">
            <v>Pcs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1300</v>
          </cell>
        </row>
        <row r="1467">
          <cell r="A1467">
            <v>803</v>
          </cell>
          <cell r="B1467" t="str">
            <v>GALLO FAMILY CAB SAUV 750ML</v>
          </cell>
          <cell r="C1467" t="str">
            <v>Pcs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1200</v>
          </cell>
        </row>
        <row r="1468">
          <cell r="A1468">
            <v>807</v>
          </cell>
          <cell r="B1468" t="str">
            <v>GATONEGRO CAB MERLOT 1.5LTR</v>
          </cell>
          <cell r="C1468" t="str">
            <v>Pcs</v>
          </cell>
          <cell r="D1468">
            <v>23</v>
          </cell>
          <cell r="E1468">
            <v>0</v>
          </cell>
          <cell r="F1468">
            <v>0</v>
          </cell>
          <cell r="G1468">
            <v>23</v>
          </cell>
          <cell r="H1468">
            <v>1500</v>
          </cell>
        </row>
        <row r="1469">
          <cell r="A1469">
            <v>2402</v>
          </cell>
          <cell r="B1469" t="str">
            <v>GATO NEGRO CAB SAUV 1.5L</v>
          </cell>
          <cell r="C1469" t="str">
            <v>Pcs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1650</v>
          </cell>
        </row>
        <row r="1470">
          <cell r="A1470">
            <v>809</v>
          </cell>
          <cell r="B1470" t="str">
            <v>GATONEGRO CAB SAUV 750ML</v>
          </cell>
          <cell r="C1470" t="str">
            <v>Pcs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850</v>
          </cell>
        </row>
        <row r="1471">
          <cell r="A1471">
            <v>2441</v>
          </cell>
          <cell r="B1471" t="str">
            <v>GATO NEGRO CAB SAUV MERLOT 750ML</v>
          </cell>
          <cell r="C1471" t="str">
            <v>Pcs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850</v>
          </cell>
        </row>
        <row r="1472">
          <cell r="A1472">
            <v>810</v>
          </cell>
          <cell r="B1472" t="str">
            <v>GATONEGRO CHARDONNAY 1.5LTR</v>
          </cell>
          <cell r="C1472" t="str">
            <v>Pcs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1500</v>
          </cell>
        </row>
        <row r="1473">
          <cell r="A1473">
            <v>811</v>
          </cell>
          <cell r="B1473" t="str">
            <v>GATONEGRO CHARDONNAY 750ML</v>
          </cell>
          <cell r="C1473" t="str">
            <v>Pcs</v>
          </cell>
          <cell r="D1473">
            <v>57</v>
          </cell>
          <cell r="E1473">
            <v>0</v>
          </cell>
          <cell r="F1473">
            <v>10</v>
          </cell>
          <cell r="G1473">
            <v>47</v>
          </cell>
          <cell r="H1473">
            <v>850</v>
          </cell>
        </row>
        <row r="1474">
          <cell r="A1474">
            <v>2221</v>
          </cell>
          <cell r="B1474" t="str">
            <v>GATO NEGRO CREMENERE 750ML</v>
          </cell>
          <cell r="C1474" t="str">
            <v>Pcs</v>
          </cell>
          <cell r="D1474">
            <v>14</v>
          </cell>
          <cell r="E1474">
            <v>0</v>
          </cell>
          <cell r="F1474">
            <v>0</v>
          </cell>
          <cell r="G1474">
            <v>14</v>
          </cell>
          <cell r="H1474">
            <v>850</v>
          </cell>
        </row>
        <row r="1475">
          <cell r="A1475">
            <v>812</v>
          </cell>
          <cell r="B1475" t="str">
            <v>GATONEGRO MERLOT 1.5LTR</v>
          </cell>
          <cell r="C1475" t="str">
            <v>Pcs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1500</v>
          </cell>
        </row>
        <row r="1476">
          <cell r="A1476">
            <v>813</v>
          </cell>
          <cell r="B1476" t="str">
            <v>GATONEGRO MERLOT 750ML</v>
          </cell>
          <cell r="C1476" t="str">
            <v>Pcs</v>
          </cell>
          <cell r="D1476">
            <v>1</v>
          </cell>
          <cell r="E1476">
            <v>0</v>
          </cell>
          <cell r="F1476">
            <v>0</v>
          </cell>
          <cell r="G1476">
            <v>1</v>
          </cell>
          <cell r="H1476">
            <v>850</v>
          </cell>
        </row>
        <row r="1477">
          <cell r="A1477">
            <v>2222</v>
          </cell>
          <cell r="B1477" t="str">
            <v>GATO NEGRO MOSCATO 750ML</v>
          </cell>
          <cell r="C1477" t="str">
            <v>Pcs</v>
          </cell>
          <cell r="D1477">
            <v>1</v>
          </cell>
          <cell r="E1477">
            <v>0</v>
          </cell>
          <cell r="F1477">
            <v>0</v>
          </cell>
          <cell r="G1477">
            <v>1</v>
          </cell>
          <cell r="H1477">
            <v>850</v>
          </cell>
        </row>
        <row r="1478">
          <cell r="A1478">
            <v>814</v>
          </cell>
          <cell r="B1478" t="str">
            <v>GATONEGRO SAUV BLANC 1.5LTR</v>
          </cell>
          <cell r="C1478" t="str">
            <v>Pcs</v>
          </cell>
          <cell r="D1478">
            <v>24</v>
          </cell>
          <cell r="E1478">
            <v>0</v>
          </cell>
          <cell r="F1478">
            <v>6</v>
          </cell>
          <cell r="G1478">
            <v>18</v>
          </cell>
          <cell r="H1478">
            <v>1500</v>
          </cell>
        </row>
        <row r="1479">
          <cell r="A1479">
            <v>805</v>
          </cell>
          <cell r="B1479" t="str">
            <v>GATO NEGRO SAUV BLANC 750ML</v>
          </cell>
          <cell r="C1479" t="str">
            <v>Pcs</v>
          </cell>
          <cell r="D1479">
            <v>4</v>
          </cell>
          <cell r="E1479">
            <v>0</v>
          </cell>
          <cell r="F1479">
            <v>0</v>
          </cell>
          <cell r="G1479">
            <v>4</v>
          </cell>
          <cell r="H1479">
            <v>850</v>
          </cell>
        </row>
        <row r="1480">
          <cell r="A1480">
            <v>815</v>
          </cell>
          <cell r="B1480" t="str">
            <v>GATONEGRO SEMI SWEET RED 750ML</v>
          </cell>
          <cell r="C1480" t="str">
            <v>Pcs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850</v>
          </cell>
        </row>
        <row r="1481">
          <cell r="A1481">
            <v>806</v>
          </cell>
          <cell r="B1481" t="str">
            <v>GATO NEGRO SEMI SWEET WHITE 750ML</v>
          </cell>
          <cell r="C1481" t="str">
            <v>Pcs</v>
          </cell>
          <cell r="D1481">
            <v>253</v>
          </cell>
          <cell r="E1481">
            <v>0</v>
          </cell>
          <cell r="F1481">
            <v>0</v>
          </cell>
          <cell r="G1481">
            <v>253</v>
          </cell>
          <cell r="H1481">
            <v>850</v>
          </cell>
        </row>
        <row r="1482">
          <cell r="A1482">
            <v>2548</v>
          </cell>
          <cell r="B1482" t="str">
            <v>GINBERYS LONDON DRY GIN  700ML</v>
          </cell>
          <cell r="C1482" t="str">
            <v>Pcs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1300</v>
          </cell>
        </row>
        <row r="1483">
          <cell r="A1483">
            <v>894</v>
          </cell>
          <cell r="B1483" t="str">
            <v>GRACA WHITE 750ML</v>
          </cell>
          <cell r="C1483" t="str">
            <v>Pcs</v>
          </cell>
          <cell r="D1483">
            <v>162</v>
          </cell>
          <cell r="E1483">
            <v>0</v>
          </cell>
          <cell r="F1483">
            <v>0</v>
          </cell>
          <cell r="G1483">
            <v>162</v>
          </cell>
          <cell r="H1483">
            <v>1000</v>
          </cell>
        </row>
        <row r="1484">
          <cell r="A1484">
            <v>897</v>
          </cell>
          <cell r="B1484" t="str">
            <v>GRAHAM BECK BRUT ROSE 750ML</v>
          </cell>
          <cell r="C1484" t="str">
            <v>Pcs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2500</v>
          </cell>
        </row>
        <row r="1485">
          <cell r="A1485">
            <v>2193</v>
          </cell>
          <cell r="B1485" t="str">
            <v>GRAHAM BECK NECTAR ROSE 750ML</v>
          </cell>
          <cell r="C1485" t="str">
            <v>Pcs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2800</v>
          </cell>
        </row>
        <row r="1486">
          <cell r="A1486">
            <v>2805</v>
          </cell>
          <cell r="B1486" t="str">
            <v>GRAHAM'S FINE RUBY</v>
          </cell>
          <cell r="C1486" t="str">
            <v>Pcs</v>
          </cell>
          <cell r="D1486">
            <v>60</v>
          </cell>
          <cell r="E1486">
            <v>0</v>
          </cell>
          <cell r="F1486">
            <v>0</v>
          </cell>
          <cell r="G1486">
            <v>60</v>
          </cell>
          <cell r="H1486">
            <v>1800</v>
          </cell>
        </row>
        <row r="1487">
          <cell r="A1487">
            <v>2806</v>
          </cell>
          <cell r="B1487" t="str">
            <v>GRAHAM'S FINE TAWNY 750ML</v>
          </cell>
          <cell r="C1487" t="str">
            <v>Pcs</v>
          </cell>
          <cell r="D1487">
            <v>44</v>
          </cell>
          <cell r="E1487">
            <v>0</v>
          </cell>
          <cell r="F1487">
            <v>0</v>
          </cell>
          <cell r="G1487">
            <v>44</v>
          </cell>
          <cell r="H1487">
            <v>1800</v>
          </cell>
        </row>
        <row r="1488">
          <cell r="A1488">
            <v>2807</v>
          </cell>
          <cell r="B1488" t="str">
            <v>GRAHAM'S FINE WHITE 750ML</v>
          </cell>
          <cell r="C1488" t="str">
            <v>Pcs</v>
          </cell>
          <cell r="D1488">
            <v>17</v>
          </cell>
          <cell r="E1488">
            <v>0</v>
          </cell>
          <cell r="F1488">
            <v>0</v>
          </cell>
          <cell r="G1488">
            <v>17</v>
          </cell>
          <cell r="H1488">
            <v>1800</v>
          </cell>
        </row>
        <row r="1489">
          <cell r="A1489">
            <v>2194</v>
          </cell>
          <cell r="B1489" t="str">
            <v>GRANDE FRANCE BRUT 750ML</v>
          </cell>
          <cell r="C1489" t="str">
            <v>Pcs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2000</v>
          </cell>
        </row>
        <row r="1490">
          <cell r="A1490">
            <v>2195</v>
          </cell>
          <cell r="B1490" t="str">
            <v>GRANDE FRANCE ROSE 750ML</v>
          </cell>
          <cell r="C1490" t="str">
            <v>Pcs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2000</v>
          </cell>
        </row>
        <row r="1491">
          <cell r="A1491">
            <v>905</v>
          </cell>
          <cell r="B1491" t="str">
            <v>GRANDE FRANCE SEMI SWEET WHITE 750ML</v>
          </cell>
          <cell r="C1491" t="str">
            <v>Pcs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3000</v>
          </cell>
        </row>
        <row r="1492">
          <cell r="A1492">
            <v>2923</v>
          </cell>
          <cell r="B1492" t="str">
            <v>GRANDE RESERVE LE LYS ROUGE BORDEAUX RED 750ML</v>
          </cell>
          <cell r="C1492" t="str">
            <v>Pcs</v>
          </cell>
          <cell r="D1492">
            <v>1</v>
          </cell>
          <cell r="E1492">
            <v>24</v>
          </cell>
          <cell r="F1492">
            <v>6</v>
          </cell>
          <cell r="G1492">
            <v>19</v>
          </cell>
          <cell r="H1492">
            <v>950</v>
          </cell>
        </row>
        <row r="1493">
          <cell r="A1493">
            <v>2518</v>
          </cell>
          <cell r="B1493" t="str">
            <v>HAMSINI SWEET RED 750ML</v>
          </cell>
          <cell r="C1493" t="str">
            <v>Pcs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1200</v>
          </cell>
        </row>
        <row r="1494">
          <cell r="A1494">
            <v>2519</v>
          </cell>
          <cell r="B1494" t="str">
            <v>HAMSINI SWEET WHITE750ML</v>
          </cell>
          <cell r="C1494" t="str">
            <v>Pcs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1200</v>
          </cell>
        </row>
        <row r="1495">
          <cell r="A1495">
            <v>2512</v>
          </cell>
          <cell r="B1495" t="str">
            <v>HAUTE CABRIERE CHARDONNAY  PINOT 750ML750ML</v>
          </cell>
          <cell r="C1495" t="str">
            <v>Pcs</v>
          </cell>
          <cell r="D1495">
            <v>6</v>
          </cell>
          <cell r="E1495">
            <v>0</v>
          </cell>
          <cell r="F1495">
            <v>0</v>
          </cell>
          <cell r="G1495">
            <v>6</v>
          </cell>
          <cell r="H1495">
            <v>1800</v>
          </cell>
        </row>
        <row r="1496">
          <cell r="A1496">
            <v>2497</v>
          </cell>
          <cell r="B1496" t="str">
            <v>HAUTE CABRIERE UNWOODED CHARDONNAY 750ML</v>
          </cell>
          <cell r="C1496" t="str">
            <v>Pcs</v>
          </cell>
          <cell r="D1496">
            <v>6</v>
          </cell>
          <cell r="E1496">
            <v>0</v>
          </cell>
          <cell r="F1496">
            <v>0</v>
          </cell>
          <cell r="G1496">
            <v>6</v>
          </cell>
          <cell r="H1496">
            <v>1650</v>
          </cell>
        </row>
        <row r="1497">
          <cell r="A1497">
            <v>2517</v>
          </cell>
          <cell r="B1497" t="str">
            <v>HAUTE CABRIERE UNWOODED PINOTNOIR 750ML</v>
          </cell>
          <cell r="C1497" t="str">
            <v>Pcs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1800</v>
          </cell>
        </row>
        <row r="1498">
          <cell r="A1498">
            <v>968</v>
          </cell>
          <cell r="B1498" t="str">
            <v>HERITAGE AOP LANGUEDOC 750ML</v>
          </cell>
          <cell r="C1498" t="str">
            <v>Pcs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1855</v>
          </cell>
        </row>
        <row r="1499">
          <cell r="A1499">
            <v>1013</v>
          </cell>
          <cell r="B1499" t="str">
            <v>ITINERA PROSECCO 750ML</v>
          </cell>
          <cell r="C1499" t="str">
            <v>Pcs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2300</v>
          </cell>
        </row>
        <row r="1500">
          <cell r="A1500">
            <v>2439</v>
          </cell>
          <cell r="B1500" t="str">
            <v>JACOB'S CREEK CABERNET SAUVIGNON 750ML</v>
          </cell>
          <cell r="C1500" t="str">
            <v>Pcs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1250</v>
          </cell>
        </row>
        <row r="1501">
          <cell r="A1501">
            <v>1044</v>
          </cell>
          <cell r="B1501" t="str">
            <v>JACOBS CREEK CHARDONNAY</v>
          </cell>
          <cell r="C1501" t="str">
            <v>Pcs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1250</v>
          </cell>
        </row>
        <row r="1502">
          <cell r="A1502">
            <v>1042</v>
          </cell>
          <cell r="B1502" t="str">
            <v>JACOB'S CREEK CLASSIC SHIRAZ 750ML</v>
          </cell>
          <cell r="C1502" t="str">
            <v>Pcs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1250</v>
          </cell>
        </row>
        <row r="1503">
          <cell r="A1503">
            <v>1045</v>
          </cell>
          <cell r="B1503" t="str">
            <v>JACOBS CREEK MERLOT 750ML</v>
          </cell>
          <cell r="C1503" t="str">
            <v>Pcs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1250</v>
          </cell>
        </row>
        <row r="1504">
          <cell r="A1504">
            <v>2443</v>
          </cell>
          <cell r="B1504" t="str">
            <v>JACOB'S CREEK RESERVE SHIRAZ 750ML</v>
          </cell>
          <cell r="C1504" t="str">
            <v>Pcs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1250</v>
          </cell>
        </row>
        <row r="1505">
          <cell r="A1505">
            <v>1043</v>
          </cell>
          <cell r="B1505" t="str">
            <v>JACOB'S CREEK ROSE 750ML</v>
          </cell>
          <cell r="C1505" t="str">
            <v>Pcs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1250</v>
          </cell>
        </row>
        <row r="1506">
          <cell r="A1506">
            <v>2205</v>
          </cell>
          <cell r="B1506" t="str">
            <v>JAM JAR SWEET RED 750ML</v>
          </cell>
          <cell r="C1506" t="str">
            <v>Pcs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800</v>
          </cell>
        </row>
        <row r="1507">
          <cell r="A1507">
            <v>2382</v>
          </cell>
          <cell r="B1507" t="str">
            <v>JAM JAR SWEET SHIRAZ 750ML</v>
          </cell>
          <cell r="C1507" t="str">
            <v>Pcs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1100</v>
          </cell>
        </row>
        <row r="1508">
          <cell r="A1508">
            <v>2206</v>
          </cell>
          <cell r="B1508" t="str">
            <v>JAM JAR SWEET WHITE 750ML</v>
          </cell>
          <cell r="C1508" t="str">
            <v>Pcs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800</v>
          </cell>
        </row>
        <row r="1509">
          <cell r="A1509">
            <v>2590</v>
          </cell>
          <cell r="B1509" t="str">
            <v>JP AZEITAO RED 750ML </v>
          </cell>
          <cell r="C1509" t="str">
            <v>Pcs</v>
          </cell>
          <cell r="D1509">
            <v>12</v>
          </cell>
          <cell r="E1509">
            <v>0</v>
          </cell>
          <cell r="F1509">
            <v>0</v>
          </cell>
          <cell r="G1509">
            <v>12</v>
          </cell>
          <cell r="H1509">
            <v>1500</v>
          </cell>
        </row>
        <row r="1510">
          <cell r="A1510">
            <v>2591</v>
          </cell>
          <cell r="B1510" t="str">
            <v>JP AZEITAO WHITE 750ML </v>
          </cell>
          <cell r="C1510" t="str">
            <v>Pcs</v>
          </cell>
          <cell r="D1510">
            <v>12</v>
          </cell>
          <cell r="E1510">
            <v>0</v>
          </cell>
          <cell r="F1510">
            <v>0</v>
          </cell>
          <cell r="G1510">
            <v>12</v>
          </cell>
          <cell r="H1510">
            <v>1500</v>
          </cell>
        </row>
        <row r="1511">
          <cell r="A1511">
            <v>1144</v>
          </cell>
          <cell r="B1511" t="str">
            <v>JP CHENET FASHION PINEAPPLE 750ML</v>
          </cell>
          <cell r="C1511" t="str">
            <v>Pcs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1200</v>
          </cell>
        </row>
        <row r="1512">
          <cell r="A1512">
            <v>2204</v>
          </cell>
          <cell r="B1512" t="str">
            <v>JP CHENET ICE EDITION 750ML</v>
          </cell>
          <cell r="C1512" t="str">
            <v>Pcs</v>
          </cell>
          <cell r="D1512">
            <v>1</v>
          </cell>
          <cell r="E1512">
            <v>0</v>
          </cell>
          <cell r="F1512">
            <v>0</v>
          </cell>
          <cell r="G1512">
            <v>1</v>
          </cell>
          <cell r="H1512">
            <v>950</v>
          </cell>
        </row>
        <row r="1513">
          <cell r="A1513">
            <v>1147</v>
          </cell>
          <cell r="B1513" t="str">
            <v>JP CHENET ORIGINAL BRUT-SPARKLING 750ML</v>
          </cell>
          <cell r="C1513" t="str">
            <v>Pcs</v>
          </cell>
          <cell r="D1513">
            <v>24</v>
          </cell>
          <cell r="E1513">
            <v>0</v>
          </cell>
          <cell r="F1513">
            <v>0</v>
          </cell>
          <cell r="G1513">
            <v>24</v>
          </cell>
          <cell r="H1513">
            <v>950</v>
          </cell>
        </row>
        <row r="1514">
          <cell r="A1514">
            <v>1151</v>
          </cell>
          <cell r="B1514" t="str">
            <v>JP CHENET ORIGINAL MERLOT ORIGINAL 750ML</v>
          </cell>
          <cell r="C1514" t="str">
            <v>Pcs</v>
          </cell>
          <cell r="D1514">
            <v>6</v>
          </cell>
          <cell r="E1514">
            <v>0</v>
          </cell>
          <cell r="F1514">
            <v>0</v>
          </cell>
          <cell r="G1514">
            <v>6</v>
          </cell>
          <cell r="H1514">
            <v>950</v>
          </cell>
        </row>
        <row r="1515">
          <cell r="A1515">
            <v>1152</v>
          </cell>
          <cell r="B1515" t="str">
            <v>JP CHENET ORIGINAL SAUV BLANC 750ML</v>
          </cell>
          <cell r="C1515" t="str">
            <v>Pcs</v>
          </cell>
          <cell r="D1515">
            <v>13</v>
          </cell>
          <cell r="E1515">
            <v>0</v>
          </cell>
          <cell r="F1515">
            <v>0</v>
          </cell>
          <cell r="G1515">
            <v>13</v>
          </cell>
          <cell r="H1515">
            <v>950</v>
          </cell>
        </row>
        <row r="1516">
          <cell r="A1516">
            <v>1154</v>
          </cell>
          <cell r="B1516" t="str">
            <v>JP CHENET RESERVE CHARDONNAY VIOGNIER 750ML</v>
          </cell>
          <cell r="C1516" t="str">
            <v>Pcs</v>
          </cell>
          <cell r="D1516">
            <v>2</v>
          </cell>
          <cell r="E1516">
            <v>0</v>
          </cell>
          <cell r="F1516">
            <v>0</v>
          </cell>
          <cell r="G1516">
            <v>2</v>
          </cell>
          <cell r="H1516">
            <v>1230</v>
          </cell>
        </row>
        <row r="1517">
          <cell r="A1517">
            <v>2438</v>
          </cell>
          <cell r="B1517" t="str">
            <v>JURA 18YEARS 700ML</v>
          </cell>
          <cell r="C1517" t="str">
            <v>Pcs</v>
          </cell>
          <cell r="D1517">
            <v>6</v>
          </cell>
          <cell r="E1517">
            <v>0</v>
          </cell>
          <cell r="F1517">
            <v>0</v>
          </cell>
          <cell r="G1517">
            <v>6</v>
          </cell>
          <cell r="H1517">
            <v>9500</v>
          </cell>
        </row>
        <row r="1518">
          <cell r="A1518">
            <v>1173</v>
          </cell>
          <cell r="B1518" t="str">
            <v>KANONKOP KADETTE 750ML</v>
          </cell>
          <cell r="C1518" t="str">
            <v>Pcs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2500</v>
          </cell>
        </row>
        <row r="1519">
          <cell r="A1519">
            <v>1165</v>
          </cell>
          <cell r="B1519" t="str">
            <v>KANONKOP KADETTE PINOTAGE ROSE 750ml</v>
          </cell>
          <cell r="C1519" t="str">
            <v>Pcs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2500</v>
          </cell>
        </row>
        <row r="1520">
          <cell r="A1520">
            <v>1213</v>
          </cell>
          <cell r="B1520" t="str">
            <v>KLEINE RUST  SAVIGNON BLANC 1.5LTR</v>
          </cell>
          <cell r="C1520" t="str">
            <v>Pcs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2300</v>
          </cell>
        </row>
        <row r="1521">
          <cell r="A1521">
            <v>1239</v>
          </cell>
          <cell r="B1521" t="str">
            <v>KWV CAPE RUBY 750ml</v>
          </cell>
          <cell r="C1521" t="str">
            <v>Pcs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1800</v>
          </cell>
        </row>
        <row r="1522">
          <cell r="A1522">
            <v>1241</v>
          </cell>
          <cell r="B1522" t="str">
            <v>KWV CLASSIC CAB SAUV 750ML</v>
          </cell>
          <cell r="C1522" t="str">
            <v>Pcs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1200</v>
          </cell>
        </row>
        <row r="1523">
          <cell r="A1523">
            <v>1242</v>
          </cell>
          <cell r="B1523" t="str">
            <v>KWV CLASSIC CHARDONNAY 750ML</v>
          </cell>
          <cell r="C1523" t="str">
            <v>Pcs</v>
          </cell>
          <cell r="D1523">
            <v>8</v>
          </cell>
          <cell r="E1523">
            <v>0</v>
          </cell>
          <cell r="F1523">
            <v>6</v>
          </cell>
          <cell r="G1523">
            <v>2</v>
          </cell>
          <cell r="H1523">
            <v>1200</v>
          </cell>
        </row>
        <row r="1524">
          <cell r="A1524">
            <v>1243</v>
          </cell>
          <cell r="B1524" t="str">
            <v>KWV CLASSIC CHENIN BLANC 750ML</v>
          </cell>
          <cell r="C1524" t="str">
            <v>Pcs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1100</v>
          </cell>
        </row>
        <row r="1525">
          <cell r="A1525">
            <v>1244</v>
          </cell>
          <cell r="B1525" t="str">
            <v>KWV CLASSIC MERLOT 750ML</v>
          </cell>
          <cell r="C1525" t="str">
            <v>Pcs</v>
          </cell>
          <cell r="D1525">
            <v>96</v>
          </cell>
          <cell r="E1525">
            <v>0</v>
          </cell>
          <cell r="F1525">
            <v>0</v>
          </cell>
          <cell r="G1525">
            <v>96</v>
          </cell>
          <cell r="H1525">
            <v>1200</v>
          </cell>
        </row>
        <row r="1526">
          <cell r="A1526">
            <v>2392</v>
          </cell>
          <cell r="B1526" t="str">
            <v>KWV CLASSIC ROSE 750ML</v>
          </cell>
          <cell r="C1526" t="str">
            <v>Pcs</v>
          </cell>
          <cell r="D1526">
            <v>18</v>
          </cell>
          <cell r="E1526">
            <v>0</v>
          </cell>
          <cell r="F1526">
            <v>0</v>
          </cell>
          <cell r="G1526">
            <v>18</v>
          </cell>
          <cell r="H1526">
            <v>1200</v>
          </cell>
        </row>
        <row r="1527">
          <cell r="A1527">
            <v>1245</v>
          </cell>
          <cell r="B1527" t="str">
            <v>KWV CLASSIC SAUV BLANC 750ML</v>
          </cell>
          <cell r="C1527" t="str">
            <v>Pcs</v>
          </cell>
          <cell r="D1527">
            <v>30</v>
          </cell>
          <cell r="E1527">
            <v>6</v>
          </cell>
          <cell r="F1527">
            <v>0</v>
          </cell>
          <cell r="G1527">
            <v>36</v>
          </cell>
          <cell r="H1527">
            <v>1200</v>
          </cell>
        </row>
        <row r="1528">
          <cell r="A1528">
            <v>1246</v>
          </cell>
          <cell r="B1528" t="str">
            <v>KWV CLASSIC SHIRAZ 750ML</v>
          </cell>
          <cell r="C1528" t="str">
            <v>Pcs</v>
          </cell>
          <cell r="D1528">
            <v>96</v>
          </cell>
          <cell r="E1528">
            <v>0</v>
          </cell>
          <cell r="F1528">
            <v>0</v>
          </cell>
          <cell r="G1528">
            <v>96</v>
          </cell>
          <cell r="H1528">
            <v>1200</v>
          </cell>
        </row>
        <row r="1529">
          <cell r="A1529">
            <v>2227</v>
          </cell>
          <cell r="B1529" t="str">
            <v>KWV CUVEE BRUT 750ML</v>
          </cell>
          <cell r="C1529" t="str">
            <v>Pcs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1300</v>
          </cell>
        </row>
        <row r="1530">
          <cell r="A1530">
            <v>1248</v>
          </cell>
          <cell r="B1530" t="str">
            <v>KWV PINOTAGE 750ML</v>
          </cell>
          <cell r="C1530" t="str">
            <v>Pcs</v>
          </cell>
          <cell r="D1530">
            <v>57</v>
          </cell>
          <cell r="E1530">
            <v>0</v>
          </cell>
          <cell r="F1530">
            <v>0</v>
          </cell>
          <cell r="G1530">
            <v>57</v>
          </cell>
          <cell r="H1530">
            <v>1400</v>
          </cell>
        </row>
        <row r="1531">
          <cell r="A1531">
            <v>2228</v>
          </cell>
          <cell r="B1531" t="str">
            <v>LA CAPRA CHENIN BLANC 750ML</v>
          </cell>
          <cell r="C1531" t="str">
            <v>Pcs</v>
          </cell>
          <cell r="D1531">
            <v>24</v>
          </cell>
          <cell r="E1531">
            <v>0</v>
          </cell>
          <cell r="F1531">
            <v>0</v>
          </cell>
          <cell r="G1531">
            <v>24</v>
          </cell>
          <cell r="H1531">
            <v>1200</v>
          </cell>
        </row>
        <row r="1532">
          <cell r="A1532">
            <v>2229</v>
          </cell>
          <cell r="B1532" t="str">
            <v>LA CAPRA MERLOT 750ML</v>
          </cell>
          <cell r="C1532" t="str">
            <v>Pcs</v>
          </cell>
          <cell r="D1532">
            <v>5</v>
          </cell>
          <cell r="E1532">
            <v>0</v>
          </cell>
          <cell r="F1532">
            <v>0</v>
          </cell>
          <cell r="G1532">
            <v>5</v>
          </cell>
          <cell r="H1532">
            <v>1200</v>
          </cell>
        </row>
        <row r="1533">
          <cell r="A1533">
            <v>2491</v>
          </cell>
          <cell r="B1533" t="str">
            <v>LA CAPRA SAUV BLANC 750ML</v>
          </cell>
          <cell r="C1533" t="str">
            <v>Pcs</v>
          </cell>
          <cell r="D1533">
            <v>19</v>
          </cell>
          <cell r="E1533">
            <v>0</v>
          </cell>
          <cell r="F1533">
            <v>0</v>
          </cell>
          <cell r="G1533">
            <v>19</v>
          </cell>
          <cell r="H1533">
            <v>1200</v>
          </cell>
        </row>
        <row r="1534">
          <cell r="A1534">
            <v>2945</v>
          </cell>
          <cell r="B1534" t="str">
            <v>LA CONSULTA MALBEC </v>
          </cell>
          <cell r="C1534" t="str">
            <v>Pcs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950</v>
          </cell>
        </row>
        <row r="1535">
          <cell r="A1535">
            <v>1250</v>
          </cell>
          <cell r="B1535" t="str">
            <v>LA MAUQUELINE 750ML</v>
          </cell>
          <cell r="C1535" t="str">
            <v>Pcs</v>
          </cell>
          <cell r="D1535">
            <v>24</v>
          </cell>
          <cell r="E1535">
            <v>0</v>
          </cell>
          <cell r="F1535">
            <v>0</v>
          </cell>
          <cell r="G1535">
            <v>24</v>
          </cell>
          <cell r="H1535">
            <v>2490</v>
          </cell>
        </row>
        <row r="1536">
          <cell r="A1536">
            <v>1268</v>
          </cell>
          <cell r="B1536" t="str">
            <v>LE BOLICINE PROSECO 750ML</v>
          </cell>
          <cell r="C1536" t="str">
            <v>Pcs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2300</v>
          </cell>
        </row>
        <row r="1537">
          <cell r="A1537">
            <v>1281</v>
          </cell>
          <cell r="B1537" t="str">
            <v>LEGENDE BLACK 750ML</v>
          </cell>
          <cell r="C1537" t="str">
            <v>Pcs</v>
          </cell>
          <cell r="D1537">
            <v>10</v>
          </cell>
          <cell r="E1537">
            <v>0</v>
          </cell>
          <cell r="F1537">
            <v>0</v>
          </cell>
          <cell r="G1537">
            <v>10</v>
          </cell>
          <cell r="H1537">
            <v>640</v>
          </cell>
        </row>
        <row r="1538">
          <cell r="A1538">
            <v>1282</v>
          </cell>
          <cell r="B1538" t="str">
            <v>LEGENDE MEDOC 750ML</v>
          </cell>
          <cell r="C1538" t="str">
            <v>Pcs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2600</v>
          </cell>
        </row>
        <row r="1539">
          <cell r="A1539">
            <v>2342</v>
          </cell>
          <cell r="B1539" t="str">
            <v>LELESHWA CHENIN BLANC 750ML</v>
          </cell>
          <cell r="C1539" t="str">
            <v>Pcs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950</v>
          </cell>
        </row>
        <row r="1540">
          <cell r="A1540">
            <v>1284</v>
          </cell>
          <cell r="B1540" t="str">
            <v>LELESHWA SAUV BLANC 750ml</v>
          </cell>
          <cell r="C1540" t="str">
            <v>Pcs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1350</v>
          </cell>
        </row>
        <row r="1541">
          <cell r="A1541">
            <v>1285</v>
          </cell>
          <cell r="B1541" t="str">
            <v>LELESHWA SWEET WHITE WINE 750ML</v>
          </cell>
          <cell r="C1541" t="str">
            <v>Pcs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1100</v>
          </cell>
        </row>
        <row r="1542">
          <cell r="A1542">
            <v>2511</v>
          </cell>
          <cell r="B1542" t="str">
            <v>LEOPARDS LEAP  CAB SAuv 750ML</v>
          </cell>
          <cell r="C1542" t="str">
            <v>Pcs</v>
          </cell>
          <cell r="D1542">
            <v>12</v>
          </cell>
          <cell r="E1542">
            <v>0</v>
          </cell>
          <cell r="F1542">
            <v>0</v>
          </cell>
          <cell r="G1542">
            <v>12</v>
          </cell>
          <cell r="H1542">
            <v>1550</v>
          </cell>
        </row>
        <row r="1543">
          <cell r="A1543">
            <v>2510</v>
          </cell>
          <cell r="B1543" t="str">
            <v>LEOPARDS LEAP CAB SAUV  MERLOT 750ML</v>
          </cell>
          <cell r="C1543" t="str">
            <v>Pcs</v>
          </cell>
          <cell r="D1543">
            <v>18</v>
          </cell>
          <cell r="E1543">
            <v>0</v>
          </cell>
          <cell r="F1543">
            <v>0</v>
          </cell>
          <cell r="G1543">
            <v>18</v>
          </cell>
          <cell r="H1543">
            <v>1550</v>
          </cell>
        </row>
        <row r="1544">
          <cell r="A1544">
            <v>2509</v>
          </cell>
          <cell r="B1544" t="str">
            <v>LEOPARDS LEAP CHARDONNAY PINOT NOIR 750ML</v>
          </cell>
          <cell r="C1544" t="str">
            <v>Pcs</v>
          </cell>
          <cell r="D1544">
            <v>24</v>
          </cell>
          <cell r="E1544">
            <v>0</v>
          </cell>
          <cell r="F1544">
            <v>0</v>
          </cell>
          <cell r="G1544">
            <v>24</v>
          </cell>
          <cell r="H1544">
            <v>1550</v>
          </cell>
        </row>
        <row r="1545">
          <cell r="A1545">
            <v>2507</v>
          </cell>
          <cell r="B1545" t="str">
            <v>LEOPARDS LEAP CHENIN BLANC750ML</v>
          </cell>
          <cell r="C1545" t="str">
            <v>Pcs</v>
          </cell>
          <cell r="D1545">
            <v>24</v>
          </cell>
          <cell r="E1545">
            <v>0</v>
          </cell>
          <cell r="F1545">
            <v>0</v>
          </cell>
          <cell r="G1545">
            <v>24</v>
          </cell>
          <cell r="H1545">
            <v>1550</v>
          </cell>
        </row>
        <row r="1546">
          <cell r="A1546">
            <v>2506</v>
          </cell>
          <cell r="B1546" t="str">
            <v>LEOPARDS LEAP MERLOT 750ML</v>
          </cell>
          <cell r="C1546" t="str">
            <v>Pcs</v>
          </cell>
          <cell r="D1546">
            <v>18</v>
          </cell>
          <cell r="E1546">
            <v>0</v>
          </cell>
          <cell r="F1546">
            <v>0</v>
          </cell>
          <cell r="G1546">
            <v>18</v>
          </cell>
          <cell r="H1546">
            <v>1550</v>
          </cell>
        </row>
        <row r="1547">
          <cell r="A1547">
            <v>2505</v>
          </cell>
          <cell r="B1547" t="str">
            <v>LEOPARDS LEAP SAUV BLANC 750ML</v>
          </cell>
          <cell r="C1547" t="str">
            <v>Pcs</v>
          </cell>
          <cell r="D1547">
            <v>12</v>
          </cell>
          <cell r="E1547">
            <v>0</v>
          </cell>
          <cell r="F1547">
            <v>0</v>
          </cell>
          <cell r="G1547">
            <v>12</v>
          </cell>
          <cell r="H1547">
            <v>1550</v>
          </cell>
        </row>
        <row r="1548">
          <cell r="A1548">
            <v>2572</v>
          </cell>
          <cell r="B1548" t="str">
            <v>LIONS DRY WHITE  750ML</v>
          </cell>
          <cell r="C1548" t="str">
            <v>Pcs</v>
          </cell>
          <cell r="D1548">
            <v>30</v>
          </cell>
          <cell r="E1548">
            <v>0</v>
          </cell>
          <cell r="F1548">
            <v>0</v>
          </cell>
          <cell r="G1548">
            <v>30</v>
          </cell>
          <cell r="H1548">
            <v>850</v>
          </cell>
        </row>
        <row r="1549">
          <cell r="A1549">
            <v>2571</v>
          </cell>
          <cell r="B1549" t="str">
            <v>LIONS SWEET WHITE 750ML</v>
          </cell>
          <cell r="C1549" t="str">
            <v>Pcs</v>
          </cell>
          <cell r="D1549">
            <v>30</v>
          </cell>
          <cell r="E1549">
            <v>0</v>
          </cell>
          <cell r="F1549">
            <v>0</v>
          </cell>
          <cell r="G1549">
            <v>30</v>
          </cell>
          <cell r="H1549">
            <v>850</v>
          </cell>
        </row>
        <row r="1550">
          <cell r="A1550">
            <v>1292</v>
          </cell>
          <cell r="B1550" t="str">
            <v>LODEZ CABERENT SAUV BLANC 750ML</v>
          </cell>
          <cell r="C1550" t="str">
            <v>Pcs</v>
          </cell>
          <cell r="D1550">
            <v>18</v>
          </cell>
          <cell r="E1550">
            <v>0</v>
          </cell>
          <cell r="F1550">
            <v>0</v>
          </cell>
          <cell r="G1550">
            <v>18</v>
          </cell>
          <cell r="H1550">
            <v>1130</v>
          </cell>
        </row>
        <row r="1551">
          <cell r="A1551">
            <v>1293</v>
          </cell>
          <cell r="B1551" t="str">
            <v>LODEZ CHARDONNAY 750ML</v>
          </cell>
          <cell r="C1551" t="str">
            <v>Pcs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1200</v>
          </cell>
        </row>
        <row r="1552">
          <cell r="A1552">
            <v>1294</v>
          </cell>
          <cell r="B1552" t="str">
            <v>LODEZ CINSAULT ROSE 750ML</v>
          </cell>
          <cell r="C1552" t="str">
            <v>Pcs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1130</v>
          </cell>
        </row>
        <row r="1553">
          <cell r="A1553">
            <v>1295</v>
          </cell>
          <cell r="B1553" t="str">
            <v>LODEZ MERLOT RED 750ML</v>
          </cell>
          <cell r="C1553" t="str">
            <v>Pcs</v>
          </cell>
          <cell r="D1553">
            <v>12</v>
          </cell>
          <cell r="E1553">
            <v>0</v>
          </cell>
          <cell r="F1553">
            <v>0</v>
          </cell>
          <cell r="G1553">
            <v>12</v>
          </cell>
          <cell r="H1553">
            <v>1130</v>
          </cell>
        </row>
        <row r="1554">
          <cell r="A1554">
            <v>1296</v>
          </cell>
          <cell r="B1554" t="str">
            <v>LODEZ SAUV BLANC 750ML</v>
          </cell>
          <cell r="C1554" t="str">
            <v>Pcs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1200</v>
          </cell>
        </row>
        <row r="1555">
          <cell r="A1555">
            <v>1297</v>
          </cell>
          <cell r="B1555" t="str">
            <v>LOLIE SWEET RED 750ML</v>
          </cell>
          <cell r="C1555" t="str">
            <v>Pcs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1300</v>
          </cell>
        </row>
        <row r="1556">
          <cell r="A1556">
            <v>2520</v>
          </cell>
          <cell r="B1556" t="str">
            <v>LOLIE SWEET WHITE 750ML</v>
          </cell>
          <cell r="C1556" t="str">
            <v>Pcs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1200</v>
          </cell>
        </row>
        <row r="1557">
          <cell r="A1557">
            <v>1327</v>
          </cell>
          <cell r="B1557" t="str">
            <v>LUIS FELIPE WHITE 750ML</v>
          </cell>
          <cell r="C1557" t="str">
            <v>Pcs</v>
          </cell>
          <cell r="D1557">
            <v>1</v>
          </cell>
          <cell r="E1557">
            <v>0</v>
          </cell>
          <cell r="F1557">
            <v>0</v>
          </cell>
          <cell r="G1557">
            <v>1</v>
          </cell>
          <cell r="H1557">
            <v>1050</v>
          </cell>
        </row>
        <row r="1558">
          <cell r="A1558">
            <v>1359</v>
          </cell>
          <cell r="B1558" t="str">
            <v>MAISON CASTEL CAB SAUV 750ML</v>
          </cell>
          <cell r="C1558" t="str">
            <v>Pcs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1300</v>
          </cell>
        </row>
        <row r="1559">
          <cell r="A1559">
            <v>2183</v>
          </cell>
          <cell r="B1559" t="str">
            <v>MAISON CASTEL CHABLIS 2022 750ML</v>
          </cell>
          <cell r="C1559" t="str">
            <v>Pcs</v>
          </cell>
          <cell r="D1559">
            <v>30</v>
          </cell>
          <cell r="E1559">
            <v>0</v>
          </cell>
          <cell r="F1559">
            <v>0</v>
          </cell>
          <cell r="G1559">
            <v>30</v>
          </cell>
          <cell r="H1559">
            <v>1300</v>
          </cell>
        </row>
        <row r="1560">
          <cell r="A1560">
            <v>1360</v>
          </cell>
          <cell r="B1560" t="str">
            <v>MAISON CASTEL CUVEE BRUT 750ML</v>
          </cell>
          <cell r="C1560" t="str">
            <v>Pcs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1300</v>
          </cell>
        </row>
        <row r="1561">
          <cell r="A1561">
            <v>1361</v>
          </cell>
          <cell r="B1561" t="str">
            <v>MAISON CASTEL CUVEE ROSEE  750ML</v>
          </cell>
          <cell r="C1561" t="str">
            <v>Pcs</v>
          </cell>
          <cell r="D1561">
            <v>4</v>
          </cell>
          <cell r="E1561">
            <v>0</v>
          </cell>
          <cell r="F1561">
            <v>0</v>
          </cell>
          <cell r="G1561">
            <v>4</v>
          </cell>
          <cell r="H1561">
            <v>1300</v>
          </cell>
        </row>
        <row r="1562">
          <cell r="A1562">
            <v>1362</v>
          </cell>
          <cell r="B1562" t="str">
            <v>MAISON CASTEL ICE  750ML</v>
          </cell>
          <cell r="C1562" t="str">
            <v>Pcs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1200</v>
          </cell>
        </row>
        <row r="1563">
          <cell r="A1563">
            <v>1363</v>
          </cell>
          <cell r="B1563" t="str">
            <v>MAISON CASTEL ICE CUVEE BLANC 750ML</v>
          </cell>
          <cell r="C1563" t="str">
            <v>Pcs</v>
          </cell>
          <cell r="D1563">
            <v>28</v>
          </cell>
          <cell r="E1563">
            <v>0</v>
          </cell>
          <cell r="F1563">
            <v>12</v>
          </cell>
          <cell r="G1563">
            <v>16</v>
          </cell>
          <cell r="H1563">
            <v>1300</v>
          </cell>
        </row>
        <row r="1564">
          <cell r="A1564">
            <v>1364</v>
          </cell>
          <cell r="B1564" t="str">
            <v>MAISON CASTEL ICE ROSE  750ML</v>
          </cell>
          <cell r="C1564" t="str">
            <v>Pcs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1200</v>
          </cell>
        </row>
        <row r="1565">
          <cell r="A1565">
            <v>2233</v>
          </cell>
          <cell r="B1565" t="str">
            <v>MAISON CASTEL MEDOC 750ML</v>
          </cell>
          <cell r="C1565" t="str">
            <v>Pcs</v>
          </cell>
          <cell r="D1565">
            <v>36</v>
          </cell>
          <cell r="E1565">
            <v>0</v>
          </cell>
          <cell r="F1565">
            <v>0</v>
          </cell>
          <cell r="G1565">
            <v>36</v>
          </cell>
          <cell r="H1565">
            <v>1300</v>
          </cell>
        </row>
        <row r="1566">
          <cell r="A1566">
            <v>2235</v>
          </cell>
          <cell r="B1566" t="str">
            <v>MAISON CASTEL MENDOZA 750ML</v>
          </cell>
          <cell r="C1566" t="str">
            <v>Pcs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1300</v>
          </cell>
        </row>
        <row r="1567">
          <cell r="A1567">
            <v>2400</v>
          </cell>
          <cell r="B1567" t="str">
            <v>MAISON CASTEL MERLOT 750ML</v>
          </cell>
          <cell r="C1567" t="str">
            <v>Pcs</v>
          </cell>
          <cell r="D1567">
            <v>6</v>
          </cell>
          <cell r="E1567">
            <v>0</v>
          </cell>
          <cell r="F1567">
            <v>0</v>
          </cell>
          <cell r="G1567">
            <v>6</v>
          </cell>
          <cell r="H1567">
            <v>1300</v>
          </cell>
        </row>
        <row r="1568">
          <cell r="A1568">
            <v>1365</v>
          </cell>
          <cell r="B1568" t="str">
            <v>MAISON CASTEL PINOT NOIR 750ML</v>
          </cell>
          <cell r="C1568" t="str">
            <v>Pcs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1200</v>
          </cell>
        </row>
        <row r="1569">
          <cell r="A1569">
            <v>1358</v>
          </cell>
          <cell r="B1569" t="str">
            <v>MAISON CASTEL  SAUV BLANC 750ML</v>
          </cell>
          <cell r="C1569" t="str">
            <v>Pcs</v>
          </cell>
          <cell r="D1569">
            <v>39</v>
          </cell>
          <cell r="E1569">
            <v>0</v>
          </cell>
          <cell r="F1569">
            <v>6</v>
          </cell>
          <cell r="G1569">
            <v>33</v>
          </cell>
          <cell r="H1569">
            <v>1300</v>
          </cell>
        </row>
        <row r="1570">
          <cell r="A1570">
            <v>2234</v>
          </cell>
          <cell r="B1570" t="str">
            <v>MAISON CASTEL SYRAH 750ML</v>
          </cell>
          <cell r="C1570" t="str">
            <v>Pcs</v>
          </cell>
          <cell r="D1570">
            <v>90</v>
          </cell>
          <cell r="E1570">
            <v>0</v>
          </cell>
          <cell r="F1570">
            <v>0</v>
          </cell>
          <cell r="G1570">
            <v>90</v>
          </cell>
          <cell r="H1570">
            <v>1300</v>
          </cell>
        </row>
        <row r="1571">
          <cell r="A1571">
            <v>1366</v>
          </cell>
          <cell r="B1571" t="str">
            <v>MAISON CASTEL TOURAINE SAUV BLANC 750ML</v>
          </cell>
          <cell r="C1571" t="str">
            <v>Pcs</v>
          </cell>
          <cell r="D1571">
            <v>54</v>
          </cell>
          <cell r="E1571">
            <v>0</v>
          </cell>
          <cell r="F1571">
            <v>0</v>
          </cell>
          <cell r="G1571">
            <v>54</v>
          </cell>
          <cell r="H1571">
            <v>1200</v>
          </cell>
        </row>
        <row r="1572">
          <cell r="A1572">
            <v>2513</v>
          </cell>
          <cell r="B1572" t="str">
            <v>MAJESTY SEMI-SWEET RED WINE</v>
          </cell>
          <cell r="C1572" t="str">
            <v>Pcs</v>
          </cell>
          <cell r="D1572">
            <v>18</v>
          </cell>
          <cell r="E1572">
            <v>0</v>
          </cell>
          <cell r="F1572">
            <v>0</v>
          </cell>
          <cell r="G1572">
            <v>18</v>
          </cell>
          <cell r="H1572">
            <v>900</v>
          </cell>
        </row>
        <row r="1573">
          <cell r="A1573">
            <v>1381</v>
          </cell>
          <cell r="B1573" t="str">
            <v>MANDALA MALBEC 750ml</v>
          </cell>
          <cell r="C1573" t="str">
            <v>Pcs</v>
          </cell>
          <cell r="D1573">
            <v>18</v>
          </cell>
          <cell r="E1573">
            <v>0</v>
          </cell>
          <cell r="F1573">
            <v>0</v>
          </cell>
          <cell r="G1573">
            <v>18</v>
          </cell>
          <cell r="H1573">
            <v>1350</v>
          </cell>
        </row>
        <row r="1574">
          <cell r="A1574">
            <v>1388</v>
          </cell>
          <cell r="B1574" t="str">
            <v>MARA ROSE 750ML</v>
          </cell>
          <cell r="C1574" t="str">
            <v>Pcs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1000</v>
          </cell>
        </row>
        <row r="1575">
          <cell r="A1575">
            <v>2526</v>
          </cell>
          <cell r="B1575" t="str">
            <v>MARQUES CAVA BRUT 750ML</v>
          </cell>
          <cell r="C1575" t="str">
            <v>Pcs</v>
          </cell>
          <cell r="D1575">
            <v>3</v>
          </cell>
          <cell r="E1575">
            <v>0</v>
          </cell>
          <cell r="F1575">
            <v>0</v>
          </cell>
          <cell r="G1575">
            <v>3</v>
          </cell>
          <cell r="H1575">
            <v>1850</v>
          </cell>
        </row>
        <row r="1576">
          <cell r="A1576">
            <v>2527</v>
          </cell>
          <cell r="B1576" t="str">
            <v>MARQUES SEGUNDO ANO 750ML</v>
          </cell>
          <cell r="C1576" t="str">
            <v>Pcs</v>
          </cell>
          <cell r="D1576">
            <v>3</v>
          </cell>
          <cell r="E1576">
            <v>0</v>
          </cell>
          <cell r="F1576">
            <v>0</v>
          </cell>
          <cell r="G1576">
            <v>3</v>
          </cell>
          <cell r="H1576">
            <v>1850</v>
          </cell>
        </row>
        <row r="1577">
          <cell r="A1577">
            <v>1411</v>
          </cell>
          <cell r="B1577" t="str">
            <v>MATEUS 1LTR</v>
          </cell>
          <cell r="C1577" t="str">
            <v>Pcs</v>
          </cell>
          <cell r="D1577">
            <v>97</v>
          </cell>
          <cell r="E1577">
            <v>0</v>
          </cell>
          <cell r="F1577">
            <v>0</v>
          </cell>
          <cell r="G1577">
            <v>97</v>
          </cell>
          <cell r="H1577">
            <v>1300</v>
          </cell>
        </row>
        <row r="1578">
          <cell r="A1578">
            <v>1412</v>
          </cell>
          <cell r="B1578" t="str">
            <v>MATEUS ROSE 1.5LTR</v>
          </cell>
          <cell r="C1578" t="str">
            <v>Pcs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2400</v>
          </cell>
        </row>
        <row r="1579">
          <cell r="A1579">
            <v>1418</v>
          </cell>
          <cell r="B1579" t="str">
            <v>MENAGE A TROIS ZINFANDEL 2019 750ML</v>
          </cell>
          <cell r="C1579" t="str">
            <v>Pcs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1800</v>
          </cell>
        </row>
        <row r="1580">
          <cell r="A1580">
            <v>1420</v>
          </cell>
          <cell r="B1580" t="str">
            <v>MESTA RED 750ML</v>
          </cell>
          <cell r="C1580" t="str">
            <v>Pcs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1500</v>
          </cell>
        </row>
        <row r="1581">
          <cell r="A1581">
            <v>1421</v>
          </cell>
          <cell r="B1581" t="str">
            <v>MESTA ROSE 750ML</v>
          </cell>
          <cell r="C1581" t="str">
            <v>Pcs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1500</v>
          </cell>
        </row>
        <row r="1582">
          <cell r="A1582">
            <v>1425</v>
          </cell>
          <cell r="B1582" t="str">
            <v>MICHEL TORINO COLECCION MALBEC 750ML</v>
          </cell>
          <cell r="C1582" t="str">
            <v>Pcs</v>
          </cell>
          <cell r="D1582">
            <v>5</v>
          </cell>
          <cell r="E1582">
            <v>0</v>
          </cell>
          <cell r="F1582">
            <v>0</v>
          </cell>
          <cell r="G1582">
            <v>5</v>
          </cell>
          <cell r="H1582">
            <v>1070</v>
          </cell>
        </row>
        <row r="1583">
          <cell r="A1583">
            <v>1430</v>
          </cell>
          <cell r="B1583" t="str">
            <v>MICHEL TORINO MALBEC 750ML</v>
          </cell>
          <cell r="C1583" t="str">
            <v>Pcs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1800</v>
          </cell>
        </row>
        <row r="1584">
          <cell r="A1584">
            <v>1431</v>
          </cell>
          <cell r="B1584" t="str">
            <v>MICHEL TORINO TRADITIONAL MALBEC 750ML</v>
          </cell>
          <cell r="C1584" t="str">
            <v>Pcs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870</v>
          </cell>
        </row>
        <row r="1585">
          <cell r="A1585">
            <v>1435</v>
          </cell>
          <cell r="B1585" t="str">
            <v>MIKADO RED 750ML</v>
          </cell>
          <cell r="C1585" t="str">
            <v>Pcs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1150</v>
          </cell>
        </row>
        <row r="1586">
          <cell r="A1586">
            <v>2356</v>
          </cell>
          <cell r="B1586" t="str">
            <v>MIRADOR DARK BLEND 750ML</v>
          </cell>
          <cell r="C1586" t="str">
            <v>Pcs</v>
          </cell>
          <cell r="D1586">
            <v>60</v>
          </cell>
          <cell r="E1586">
            <v>0</v>
          </cell>
          <cell r="F1586">
            <v>6</v>
          </cell>
          <cell r="G1586">
            <v>54</v>
          </cell>
          <cell r="H1586">
            <v>2300</v>
          </cell>
        </row>
        <row r="1587">
          <cell r="A1587">
            <v>2600</v>
          </cell>
          <cell r="B1587" t="str">
            <v>MIRADO RESERVA 750ML</v>
          </cell>
          <cell r="C1587" t="str">
            <v>Pcs</v>
          </cell>
          <cell r="D1587">
            <v>18</v>
          </cell>
          <cell r="E1587">
            <v>0</v>
          </cell>
          <cell r="F1587">
            <v>0</v>
          </cell>
          <cell r="G1587">
            <v>18</v>
          </cell>
          <cell r="H1587">
            <v>1500</v>
          </cell>
        </row>
        <row r="1588">
          <cell r="A1588">
            <v>1438</v>
          </cell>
          <cell r="B1588" t="str">
            <v>MIRADOR RED 750ML</v>
          </cell>
          <cell r="C1588" t="str">
            <v>Pcs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1950</v>
          </cell>
        </row>
        <row r="1589">
          <cell r="A1589">
            <v>1457</v>
          </cell>
          <cell r="B1589" t="str">
            <v>MOHANS RESERVE - REDSWEET WINE 750ML</v>
          </cell>
          <cell r="C1589" t="str">
            <v>Pcs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650</v>
          </cell>
        </row>
        <row r="1590">
          <cell r="A1590">
            <v>1458</v>
          </cell>
          <cell r="B1590" t="str">
            <v>MOHANS RESERVE - WHITE SWEET 750ML</v>
          </cell>
          <cell r="C1590" t="str">
            <v>Pcs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650</v>
          </cell>
        </row>
        <row r="1591">
          <cell r="A1591">
            <v>1459</v>
          </cell>
          <cell r="B1591" t="str">
            <v>MOILLARD CHABLIS COQUILLAGE 750ML</v>
          </cell>
          <cell r="C1591" t="str">
            <v>Pcs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3700</v>
          </cell>
        </row>
        <row r="1592">
          <cell r="A1592">
            <v>2277</v>
          </cell>
          <cell r="B1592" t="str">
            <v>MOLINA RESERVA 750ML</v>
          </cell>
          <cell r="C1592" t="str">
            <v>Pcs</v>
          </cell>
          <cell r="D1592">
            <v>66</v>
          </cell>
          <cell r="E1592">
            <v>0</v>
          </cell>
          <cell r="F1592">
            <v>0</v>
          </cell>
          <cell r="G1592">
            <v>66</v>
          </cell>
          <cell r="H1592">
            <v>1000</v>
          </cell>
        </row>
        <row r="1593">
          <cell r="A1593">
            <v>1478</v>
          </cell>
          <cell r="B1593" t="str">
            <v>MOSCATEL DE SETUBAL 750ML</v>
          </cell>
          <cell r="C1593" t="str">
            <v>Pcs</v>
          </cell>
          <cell r="D1593">
            <v>12</v>
          </cell>
          <cell r="E1593">
            <v>0</v>
          </cell>
          <cell r="F1593">
            <v>0</v>
          </cell>
          <cell r="G1593">
            <v>12</v>
          </cell>
          <cell r="H1593">
            <v>1800</v>
          </cell>
        </row>
        <row r="1594">
          <cell r="A1594">
            <v>1486</v>
          </cell>
          <cell r="B1594" t="str">
            <v>MUCHO MAS RED 1.5ltrs</v>
          </cell>
          <cell r="C1594" t="str">
            <v>Pcs</v>
          </cell>
          <cell r="D1594">
            <v>2</v>
          </cell>
          <cell r="E1594">
            <v>0</v>
          </cell>
          <cell r="F1594">
            <v>2</v>
          </cell>
          <cell r="G1594">
            <v>0</v>
          </cell>
          <cell r="H1594">
            <v>3300</v>
          </cell>
        </row>
        <row r="1595">
          <cell r="A1595">
            <v>1487</v>
          </cell>
          <cell r="B1595" t="str">
            <v>MUCHO MAS RED 750ML</v>
          </cell>
          <cell r="C1595" t="str">
            <v>Pcs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1750</v>
          </cell>
        </row>
        <row r="1596">
          <cell r="A1596">
            <v>1488</v>
          </cell>
          <cell r="B1596" t="str">
            <v>MUCHO MAS ROSE 750ML</v>
          </cell>
          <cell r="C1596" t="str">
            <v>Pcs</v>
          </cell>
          <cell r="D1596">
            <v>1139</v>
          </cell>
          <cell r="E1596">
            <v>0</v>
          </cell>
          <cell r="F1596">
            <v>0</v>
          </cell>
          <cell r="G1596">
            <v>1139</v>
          </cell>
          <cell r="H1596">
            <v>1750</v>
          </cell>
        </row>
        <row r="1597">
          <cell r="A1597">
            <v>1489</v>
          </cell>
          <cell r="B1597" t="str">
            <v>MUCHO MAS WHITE 750ML</v>
          </cell>
          <cell r="C1597" t="str">
            <v>Pcs</v>
          </cell>
          <cell r="D1597">
            <v>969</v>
          </cell>
          <cell r="E1597">
            <v>0</v>
          </cell>
          <cell r="F1597">
            <v>46</v>
          </cell>
          <cell r="G1597">
            <v>923</v>
          </cell>
          <cell r="H1597">
            <v>1750</v>
          </cell>
        </row>
        <row r="1598">
          <cell r="A1598">
            <v>2596</v>
          </cell>
          <cell r="B1598" t="str">
            <v>MURVIEDRO CAB SAV 750ML</v>
          </cell>
          <cell r="C1598" t="str">
            <v>Pcs</v>
          </cell>
          <cell r="D1598">
            <v>26</v>
          </cell>
          <cell r="E1598">
            <v>0</v>
          </cell>
          <cell r="F1598">
            <v>0</v>
          </cell>
          <cell r="G1598">
            <v>26</v>
          </cell>
          <cell r="H1598">
            <v>1500</v>
          </cell>
        </row>
        <row r="1599">
          <cell r="A1599">
            <v>2597</v>
          </cell>
          <cell r="B1599" t="str">
            <v>MURVIEDRO CHARDONNAY 750ML</v>
          </cell>
          <cell r="C1599" t="str">
            <v>Pcs</v>
          </cell>
          <cell r="D1599">
            <v>14</v>
          </cell>
          <cell r="E1599">
            <v>0</v>
          </cell>
          <cell r="F1599">
            <v>0</v>
          </cell>
          <cell r="G1599">
            <v>14</v>
          </cell>
          <cell r="H1599">
            <v>1500</v>
          </cell>
        </row>
        <row r="1600">
          <cell r="A1600">
            <v>2598</v>
          </cell>
          <cell r="B1600" t="str">
            <v>MURVIEDRO TEMPRANILO 750ML</v>
          </cell>
          <cell r="C1600" t="str">
            <v>Pcs</v>
          </cell>
          <cell r="D1600">
            <v>17</v>
          </cell>
          <cell r="E1600">
            <v>0</v>
          </cell>
          <cell r="F1600">
            <v>0</v>
          </cell>
          <cell r="G1600">
            <v>17</v>
          </cell>
          <cell r="H1600">
            <v>1500</v>
          </cell>
        </row>
        <row r="1601">
          <cell r="A1601">
            <v>1490</v>
          </cell>
          <cell r="B1601" t="str">
            <v>MUSCADOR 750ML</v>
          </cell>
          <cell r="C1601" t="str">
            <v>Pcs</v>
          </cell>
          <cell r="D1601">
            <v>60</v>
          </cell>
          <cell r="E1601">
            <v>0</v>
          </cell>
          <cell r="F1601">
            <v>0</v>
          </cell>
          <cell r="G1601">
            <v>60</v>
          </cell>
          <cell r="H1601">
            <v>650</v>
          </cell>
        </row>
        <row r="1602">
          <cell r="A1602">
            <v>2328</v>
          </cell>
          <cell r="B1602" t="str">
            <v>NAKED GROUSE CAB SAUV 750ML</v>
          </cell>
          <cell r="C1602" t="str">
            <v>Pcs</v>
          </cell>
          <cell r="D1602">
            <v>12</v>
          </cell>
          <cell r="E1602">
            <v>0</v>
          </cell>
          <cell r="F1602">
            <v>0</v>
          </cell>
          <cell r="G1602">
            <v>12</v>
          </cell>
          <cell r="H1602">
            <v>1100</v>
          </cell>
        </row>
        <row r="1603">
          <cell r="A1603">
            <v>1496</v>
          </cell>
          <cell r="B1603" t="str">
            <v>NAMAQUA BLANC DE BLANC 5LTR</v>
          </cell>
          <cell r="C1603" t="str">
            <v>Pcs</v>
          </cell>
          <cell r="D1603">
            <v>6</v>
          </cell>
          <cell r="E1603">
            <v>0</v>
          </cell>
          <cell r="F1603">
            <v>0</v>
          </cell>
          <cell r="G1603">
            <v>6</v>
          </cell>
          <cell r="H1603">
            <v>3000</v>
          </cell>
        </row>
        <row r="1604">
          <cell r="A1604">
            <v>1497</v>
          </cell>
          <cell r="B1604" t="str">
            <v>NAMAQUA CAB SAUV 750ML</v>
          </cell>
          <cell r="C1604" t="str">
            <v>Pcs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750</v>
          </cell>
        </row>
        <row r="1605">
          <cell r="A1605">
            <v>1498</v>
          </cell>
          <cell r="B1605" t="str">
            <v>NAMAQUA DRY RED  5LTR </v>
          </cell>
          <cell r="C1605" t="str">
            <v>Pcs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3300</v>
          </cell>
        </row>
        <row r="1606">
          <cell r="A1606">
            <v>1499</v>
          </cell>
          <cell r="B1606" t="str">
            <v>NAMAQUA DRY RED 750ML</v>
          </cell>
          <cell r="C1606" t="str">
            <v>Pcs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750</v>
          </cell>
        </row>
        <row r="1607">
          <cell r="A1607">
            <v>1500</v>
          </cell>
          <cell r="B1607" t="str">
            <v>NAMAQUA JOHANNISBERGER RED 5LTR</v>
          </cell>
          <cell r="C1607" t="str">
            <v>Pcs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3300</v>
          </cell>
        </row>
        <row r="1608">
          <cell r="A1608">
            <v>1502</v>
          </cell>
          <cell r="B1608" t="str">
            <v>NAMAQUA SWEET RED 5LTR</v>
          </cell>
          <cell r="C1608" t="str">
            <v>Pcs</v>
          </cell>
          <cell r="D1608">
            <v>2</v>
          </cell>
          <cell r="E1608">
            <v>0</v>
          </cell>
          <cell r="F1608">
            <v>1</v>
          </cell>
          <cell r="G1608">
            <v>1</v>
          </cell>
          <cell r="H1608">
            <v>3300</v>
          </cell>
        </row>
        <row r="1609">
          <cell r="A1609">
            <v>1503</v>
          </cell>
          <cell r="B1609" t="str">
            <v>NAMAQUA SWEET RED 750ML</v>
          </cell>
          <cell r="C1609" t="str">
            <v>Pcs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850</v>
          </cell>
        </row>
        <row r="1610">
          <cell r="A1610">
            <v>1501</v>
          </cell>
          <cell r="B1610" t="str">
            <v>NAMAQUA SWEET WHITE 5LTR</v>
          </cell>
          <cell r="C1610" t="str">
            <v>Pcs</v>
          </cell>
          <cell r="D1610">
            <v>53</v>
          </cell>
          <cell r="E1610">
            <v>0</v>
          </cell>
          <cell r="F1610">
            <v>0</v>
          </cell>
          <cell r="G1610">
            <v>53</v>
          </cell>
          <cell r="H1610">
            <v>3300</v>
          </cell>
        </row>
        <row r="1611">
          <cell r="A1611">
            <v>2163</v>
          </cell>
          <cell r="B1611" t="str">
            <v>NAMAQUA SWEET WHITE 750ML</v>
          </cell>
          <cell r="C1611" t="str">
            <v>Pcs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750</v>
          </cell>
        </row>
        <row r="1612">
          <cell r="A1612">
            <v>2238</v>
          </cell>
          <cell r="B1612" t="str">
            <v>NAMAQUA SWT ROSE 5LTR</v>
          </cell>
          <cell r="C1612" t="str">
            <v>Pcs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3000</v>
          </cell>
        </row>
        <row r="1613">
          <cell r="A1613">
            <v>1504</v>
          </cell>
          <cell r="B1613" t="str">
            <v>NATURALYS CAB SAUV 750ML</v>
          </cell>
          <cell r="C1613" t="str">
            <v>Pcs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1900</v>
          </cell>
        </row>
        <row r="1614">
          <cell r="A1614">
            <v>2239</v>
          </cell>
          <cell r="B1614" t="str">
            <v>NATURALYS MERLOT 750ML</v>
          </cell>
          <cell r="C1614" t="str">
            <v>Pcs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1900</v>
          </cell>
        </row>
        <row r="1615">
          <cell r="A1615">
            <v>1508</v>
          </cell>
          <cell r="B1615" t="str">
            <v>NEDERBERG (5600) CAB SAUV 750ML</v>
          </cell>
          <cell r="C1615" t="str">
            <v>Pcs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1450</v>
          </cell>
        </row>
        <row r="1616">
          <cell r="A1616">
            <v>1509</v>
          </cell>
          <cell r="B1616" t="str">
            <v>NEDERBURG - BARONE 750ML</v>
          </cell>
          <cell r="C1616" t="str">
            <v>Pcs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1450</v>
          </cell>
        </row>
        <row r="1617">
          <cell r="A1617">
            <v>1510</v>
          </cell>
          <cell r="B1617" t="str">
            <v>NEDERBURG - CAB SAUV 250ML</v>
          </cell>
          <cell r="C1617" t="str">
            <v>Pcs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500</v>
          </cell>
        </row>
        <row r="1618">
          <cell r="A1618">
            <v>1511</v>
          </cell>
          <cell r="B1618" t="str">
            <v>NEDERBURG - CAB SAUV 750ML</v>
          </cell>
          <cell r="C1618" t="str">
            <v>Pcs</v>
          </cell>
          <cell r="D1618">
            <v>270</v>
          </cell>
          <cell r="E1618">
            <v>900</v>
          </cell>
          <cell r="F1618">
            <v>132</v>
          </cell>
          <cell r="G1618">
            <v>1038</v>
          </cell>
          <cell r="H1618">
            <v>1400</v>
          </cell>
        </row>
        <row r="1619">
          <cell r="A1619">
            <v>1512</v>
          </cell>
          <cell r="B1619" t="str">
            <v>NEDERBURG - CHARDONNAY 750ML</v>
          </cell>
          <cell r="C1619" t="str">
            <v>Pcs</v>
          </cell>
          <cell r="D1619">
            <v>67</v>
          </cell>
          <cell r="E1619">
            <v>0</v>
          </cell>
          <cell r="F1619">
            <v>54</v>
          </cell>
          <cell r="G1619">
            <v>13</v>
          </cell>
          <cell r="H1619">
            <v>1450</v>
          </cell>
        </row>
        <row r="1620">
          <cell r="A1620">
            <v>2850</v>
          </cell>
          <cell r="B1620" t="str">
            <v>NEDERBURG CUVEE BRUT 750ML</v>
          </cell>
          <cell r="C1620" t="str">
            <v>Pcs</v>
          </cell>
          <cell r="D1620">
            <v>60</v>
          </cell>
          <cell r="E1620">
            <v>210</v>
          </cell>
          <cell r="F1620">
            <v>24</v>
          </cell>
          <cell r="G1620">
            <v>246</v>
          </cell>
          <cell r="H1620">
            <v>1400</v>
          </cell>
        </row>
        <row r="1621">
          <cell r="A1621">
            <v>1513</v>
          </cell>
          <cell r="B1621" t="str">
            <v>NEDERBURG - DUET 750ML</v>
          </cell>
          <cell r="C1621" t="str">
            <v>Pcs</v>
          </cell>
          <cell r="D1621">
            <v>84</v>
          </cell>
          <cell r="E1621">
            <v>0</v>
          </cell>
          <cell r="F1621">
            <v>0</v>
          </cell>
          <cell r="G1621">
            <v>84</v>
          </cell>
          <cell r="H1621">
            <v>1450</v>
          </cell>
        </row>
        <row r="1622">
          <cell r="A1622">
            <v>1514</v>
          </cell>
          <cell r="B1622" t="str">
            <v>NEDERBURG - EDELROOD 750ML</v>
          </cell>
          <cell r="C1622" t="str">
            <v>Pcs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1450</v>
          </cell>
        </row>
        <row r="1623">
          <cell r="A1623">
            <v>1515</v>
          </cell>
          <cell r="B1623" t="str">
            <v>NEDERBURG - LYRIC 750ML</v>
          </cell>
          <cell r="C1623" t="str">
            <v>Pcs</v>
          </cell>
          <cell r="D1623">
            <v>114</v>
          </cell>
          <cell r="E1623">
            <v>0</v>
          </cell>
          <cell r="F1623">
            <v>6</v>
          </cell>
          <cell r="G1623">
            <v>108</v>
          </cell>
          <cell r="H1623">
            <v>1450</v>
          </cell>
        </row>
        <row r="1624">
          <cell r="A1624">
            <v>1516</v>
          </cell>
          <cell r="B1624" t="str">
            <v>NEDERBURG - MANOR HOUSE SHIRAZ 750ML</v>
          </cell>
          <cell r="C1624" t="str">
            <v>Pcs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1450</v>
          </cell>
        </row>
        <row r="1625">
          <cell r="A1625">
            <v>1517</v>
          </cell>
          <cell r="B1625" t="str">
            <v>NEDERBURG - MERLOT 750ML</v>
          </cell>
          <cell r="C1625" t="str">
            <v>Pcs</v>
          </cell>
          <cell r="D1625">
            <v>198</v>
          </cell>
          <cell r="E1625">
            <v>300</v>
          </cell>
          <cell r="F1625">
            <v>36</v>
          </cell>
          <cell r="G1625">
            <v>462</v>
          </cell>
          <cell r="H1625">
            <v>1350</v>
          </cell>
        </row>
        <row r="1626">
          <cell r="A1626">
            <v>1518</v>
          </cell>
          <cell r="B1626" t="str">
            <v>NEDERBURG - PINOTAGE 750ML</v>
          </cell>
          <cell r="C1626" t="str">
            <v>Pcs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1450</v>
          </cell>
        </row>
        <row r="1627">
          <cell r="A1627">
            <v>1519</v>
          </cell>
          <cell r="B1627" t="str">
            <v>NEDERBURG - RIESLING 750ML</v>
          </cell>
          <cell r="C1627" t="str">
            <v>Pcs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1450</v>
          </cell>
        </row>
        <row r="1628">
          <cell r="A1628">
            <v>1520</v>
          </cell>
          <cell r="B1628" t="str">
            <v>NEDERBURG - ROSE 750 ML</v>
          </cell>
          <cell r="C1628" t="str">
            <v>Pcs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1450</v>
          </cell>
        </row>
        <row r="1629">
          <cell r="A1629">
            <v>1521</v>
          </cell>
          <cell r="B1629" t="str">
            <v>NEDERBURG - SAUV. BLANC 750 ML</v>
          </cell>
          <cell r="C1629" t="str">
            <v>Pcs</v>
          </cell>
          <cell r="D1629">
            <v>0</v>
          </cell>
          <cell r="E1629">
            <v>426</v>
          </cell>
          <cell r="F1629">
            <v>6</v>
          </cell>
          <cell r="G1629">
            <v>420</v>
          </cell>
          <cell r="H1629">
            <v>1450</v>
          </cell>
        </row>
        <row r="1630">
          <cell r="A1630">
            <v>1522</v>
          </cell>
          <cell r="B1630" t="str">
            <v>NEDERBURG - SHIRAZ 750ML</v>
          </cell>
          <cell r="C1630" t="str">
            <v>Pcs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1450</v>
          </cell>
        </row>
        <row r="1631">
          <cell r="A1631">
            <v>1531</v>
          </cell>
          <cell r="B1631" t="str">
            <v>NOBLE DRY RED 750ML</v>
          </cell>
          <cell r="C1631" t="str">
            <v>Pcs</v>
          </cell>
          <cell r="D1631">
            <v>6</v>
          </cell>
          <cell r="E1631">
            <v>0</v>
          </cell>
          <cell r="F1631">
            <v>0</v>
          </cell>
          <cell r="G1631">
            <v>6</v>
          </cell>
          <cell r="H1631">
            <v>1000</v>
          </cell>
        </row>
        <row r="1632">
          <cell r="A1632">
            <v>1532</v>
          </cell>
          <cell r="B1632" t="str">
            <v>NOBLE ROSE 750ML</v>
          </cell>
          <cell r="C1632" t="str">
            <v>Pcs</v>
          </cell>
          <cell r="D1632">
            <v>3</v>
          </cell>
          <cell r="E1632">
            <v>0</v>
          </cell>
          <cell r="F1632">
            <v>0</v>
          </cell>
          <cell r="G1632">
            <v>3</v>
          </cell>
          <cell r="H1632">
            <v>1000</v>
          </cell>
        </row>
        <row r="1633">
          <cell r="A1633">
            <v>1533</v>
          </cell>
          <cell r="B1633" t="str">
            <v>NOBLE SWEET RED 750ML</v>
          </cell>
          <cell r="C1633" t="str">
            <v>Pcs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1000</v>
          </cell>
        </row>
        <row r="1634">
          <cell r="A1634">
            <v>1534</v>
          </cell>
          <cell r="B1634" t="str">
            <v>NOBLE WHITE 750ML</v>
          </cell>
          <cell r="C1634" t="str">
            <v>Pcs</v>
          </cell>
          <cell r="D1634">
            <v>1</v>
          </cell>
          <cell r="E1634">
            <v>0</v>
          </cell>
          <cell r="F1634">
            <v>0</v>
          </cell>
          <cell r="G1634">
            <v>1</v>
          </cell>
          <cell r="H1634">
            <v>1000</v>
          </cell>
        </row>
        <row r="1635">
          <cell r="A1635">
            <v>1535</v>
          </cell>
          <cell r="B1635" t="str">
            <v>NOTOLA RED 750ML</v>
          </cell>
          <cell r="C1635" t="str">
            <v>Pcs</v>
          </cell>
          <cell r="D1635">
            <v>17</v>
          </cell>
          <cell r="E1635">
            <v>0</v>
          </cell>
          <cell r="F1635">
            <v>0</v>
          </cell>
          <cell r="G1635">
            <v>17</v>
          </cell>
          <cell r="H1635">
            <v>2500</v>
          </cell>
        </row>
        <row r="1636">
          <cell r="A1636">
            <v>2545</v>
          </cell>
          <cell r="B1636" t="str">
            <v>OLENAISHU RED DRY 750ML</v>
          </cell>
          <cell r="C1636" t="str">
            <v>Pcs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1300</v>
          </cell>
        </row>
        <row r="1637">
          <cell r="A1637">
            <v>2546</v>
          </cell>
          <cell r="B1637" t="str">
            <v>OLENAISHU RED SWEET 750ML</v>
          </cell>
          <cell r="C1637" t="str">
            <v>Pcs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1300</v>
          </cell>
        </row>
        <row r="1638">
          <cell r="A1638">
            <v>2547</v>
          </cell>
          <cell r="B1638" t="str">
            <v>OLENAISHU WHITE SWEET 750ML</v>
          </cell>
          <cell r="C1638" t="str">
            <v>Pcs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1300</v>
          </cell>
        </row>
        <row r="1639">
          <cell r="A1639">
            <v>2550</v>
          </cell>
          <cell r="B1639" t="str">
            <v>OLEPASU DRY RED 750ML</v>
          </cell>
          <cell r="C1639" t="str">
            <v>Pcs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1100</v>
          </cell>
        </row>
        <row r="1640">
          <cell r="A1640">
            <v>2532</v>
          </cell>
          <cell r="B1640" t="str">
            <v>OLEPASU ROSSO AL CIOCCOLATO 750ML</v>
          </cell>
          <cell r="C1640" t="str">
            <v>Pcs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1300</v>
          </cell>
        </row>
        <row r="1641">
          <cell r="A1641">
            <v>2551</v>
          </cell>
          <cell r="B1641" t="str">
            <v>OLEPASU SWEET RED 750ML</v>
          </cell>
          <cell r="C1641" t="str">
            <v>Pcs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1000</v>
          </cell>
        </row>
        <row r="1642">
          <cell r="A1642">
            <v>2552</v>
          </cell>
          <cell r="B1642" t="str">
            <v>OLEPASU SWEET WHITE750ML</v>
          </cell>
          <cell r="C1642" t="str">
            <v>Pcs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1000</v>
          </cell>
        </row>
        <row r="1643">
          <cell r="A1643">
            <v>1564</v>
          </cell>
          <cell r="B1643" t="str">
            <v>OMBRE ROSE 750ML</v>
          </cell>
          <cell r="C1643" t="str">
            <v>Pcs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1050</v>
          </cell>
        </row>
        <row r="1644">
          <cell r="A1644">
            <v>1568</v>
          </cell>
          <cell r="B1644" t="str">
            <v>OREANDA CHARDONNAY 750ML</v>
          </cell>
          <cell r="C1644" t="str">
            <v>Pcs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1000</v>
          </cell>
        </row>
        <row r="1645">
          <cell r="A1645">
            <v>1569</v>
          </cell>
          <cell r="B1645" t="str">
            <v>OREANDA CRYSTAL BRUT 750ML</v>
          </cell>
          <cell r="C1645" t="str">
            <v>Pcs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1000</v>
          </cell>
        </row>
        <row r="1646">
          <cell r="A1646">
            <v>2490</v>
          </cell>
          <cell r="B1646" t="str">
            <v>OVEERMEER CELLAR NATURAL SWEET ROSE 5LITRES</v>
          </cell>
          <cell r="C1646" t="str">
            <v>Pcs</v>
          </cell>
          <cell r="D1646">
            <v>31</v>
          </cell>
          <cell r="E1646">
            <v>0</v>
          </cell>
          <cell r="F1646">
            <v>0</v>
          </cell>
          <cell r="G1646">
            <v>31</v>
          </cell>
          <cell r="H1646">
            <v>2300</v>
          </cell>
        </row>
        <row r="1647">
          <cell r="A1647">
            <v>1573</v>
          </cell>
          <cell r="B1647" t="str">
            <v>OVERMEER 5LTR</v>
          </cell>
          <cell r="C1647" t="str">
            <v>Pcs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2500</v>
          </cell>
        </row>
        <row r="1648">
          <cell r="A1648">
            <v>2312</v>
          </cell>
          <cell r="B1648" t="str">
            <v>PAINTED WOLF CAB SAUV 750ML</v>
          </cell>
          <cell r="C1648" t="str">
            <v>Pcs</v>
          </cell>
          <cell r="D1648">
            <v>6</v>
          </cell>
          <cell r="E1648">
            <v>0</v>
          </cell>
          <cell r="F1648">
            <v>0</v>
          </cell>
          <cell r="G1648">
            <v>6</v>
          </cell>
          <cell r="H1648">
            <v>1200</v>
          </cell>
        </row>
        <row r="1649">
          <cell r="A1649">
            <v>1577</v>
          </cell>
          <cell r="B1649" t="str">
            <v>PAINTED WOLF CHENIN BLANC 750ML</v>
          </cell>
          <cell r="C1649" t="str">
            <v>Pcs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1200</v>
          </cell>
        </row>
        <row r="1650">
          <cell r="A1650">
            <v>2313</v>
          </cell>
          <cell r="B1650" t="str">
            <v>PAINTED WOLF PINOTAGE 750ML</v>
          </cell>
          <cell r="C1650" t="str">
            <v>Pcs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1200</v>
          </cell>
        </row>
        <row r="1651">
          <cell r="A1651">
            <v>2357</v>
          </cell>
          <cell r="B1651" t="str">
            <v>PEARLY BAY CHENIN BLANC 750ML</v>
          </cell>
          <cell r="C1651" t="str">
            <v>Pcs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1100</v>
          </cell>
        </row>
        <row r="1652">
          <cell r="A1652">
            <v>1600</v>
          </cell>
          <cell r="B1652" t="str">
            <v>PEARLY BAY SWEET RED 750ml</v>
          </cell>
          <cell r="C1652" t="str">
            <v>Pcs</v>
          </cell>
          <cell r="D1652">
            <v>0</v>
          </cell>
          <cell r="E1652">
            <v>30</v>
          </cell>
          <cell r="F1652">
            <v>0</v>
          </cell>
          <cell r="G1652">
            <v>30</v>
          </cell>
          <cell r="H1652">
            <v>800</v>
          </cell>
        </row>
        <row r="1653">
          <cell r="A1653">
            <v>1601</v>
          </cell>
          <cell r="B1653" t="str">
            <v>PEARLY BAY SWEET WHITE 750ml</v>
          </cell>
          <cell r="C1653" t="str">
            <v>Pcs</v>
          </cell>
          <cell r="D1653">
            <v>0</v>
          </cell>
          <cell r="E1653">
            <v>30</v>
          </cell>
          <cell r="F1653">
            <v>0</v>
          </cell>
          <cell r="G1653">
            <v>30</v>
          </cell>
          <cell r="H1653">
            <v>800</v>
          </cell>
        </row>
        <row r="1654">
          <cell r="A1654">
            <v>1602</v>
          </cell>
          <cell r="B1654" t="str">
            <v>PENASOL ALREN 750ML</v>
          </cell>
          <cell r="C1654" t="str">
            <v>Pcs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800</v>
          </cell>
        </row>
        <row r="1655">
          <cell r="A1655">
            <v>1603</v>
          </cell>
          <cell r="B1655" t="str">
            <v>PENASOL BRUT 750ML</v>
          </cell>
          <cell r="C1655" t="str">
            <v>Pcs</v>
          </cell>
          <cell r="D1655">
            <v>96</v>
          </cell>
          <cell r="E1655">
            <v>0</v>
          </cell>
          <cell r="F1655">
            <v>0</v>
          </cell>
          <cell r="G1655">
            <v>96</v>
          </cell>
          <cell r="H1655">
            <v>800</v>
          </cell>
        </row>
        <row r="1656">
          <cell r="A1656">
            <v>2358</v>
          </cell>
          <cell r="B1656" t="str">
            <v>PENASOL MEDIUM SWEET WHITE 1L</v>
          </cell>
          <cell r="C1656" t="str">
            <v>Pcs</v>
          </cell>
          <cell r="D1656">
            <v>12</v>
          </cell>
          <cell r="E1656">
            <v>0</v>
          </cell>
          <cell r="F1656">
            <v>0</v>
          </cell>
          <cell r="G1656">
            <v>12</v>
          </cell>
          <cell r="H1656">
            <v>850</v>
          </cell>
        </row>
        <row r="1657">
          <cell r="A1657">
            <v>1604</v>
          </cell>
          <cell r="B1657" t="str">
            <v>PENASOL RED WINE 1LTR</v>
          </cell>
          <cell r="C1657" t="str">
            <v>Pcs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850</v>
          </cell>
        </row>
        <row r="1658">
          <cell r="A1658">
            <v>1605</v>
          </cell>
          <cell r="B1658" t="str">
            <v>PENASOL SANGRIA 1.5 LTRS</v>
          </cell>
          <cell r="C1658" t="str">
            <v>Pcs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1200</v>
          </cell>
        </row>
        <row r="1659">
          <cell r="A1659">
            <v>1606</v>
          </cell>
          <cell r="B1659" t="str">
            <v>PENASOL TEMPRANILLO GARNACHA 750ML</v>
          </cell>
          <cell r="C1659" t="str">
            <v>Pcs</v>
          </cell>
          <cell r="D1659">
            <v>36</v>
          </cell>
          <cell r="E1659">
            <v>0</v>
          </cell>
          <cell r="F1659">
            <v>0</v>
          </cell>
          <cell r="G1659">
            <v>36</v>
          </cell>
          <cell r="H1659">
            <v>950</v>
          </cell>
        </row>
        <row r="1660">
          <cell r="A1660">
            <v>2314</v>
          </cell>
          <cell r="B1660" t="str">
            <v>PERRIER JOUET BLANC 750ML</v>
          </cell>
          <cell r="C1660" t="str">
            <v>Pcs</v>
          </cell>
          <cell r="D1660">
            <v>1</v>
          </cell>
          <cell r="E1660">
            <v>0</v>
          </cell>
          <cell r="F1660">
            <v>0</v>
          </cell>
          <cell r="G1660">
            <v>1</v>
          </cell>
          <cell r="H1660">
            <v>1400</v>
          </cell>
        </row>
        <row r="1661">
          <cell r="A1661">
            <v>2501</v>
          </cell>
          <cell r="B1661" t="str">
            <v>PIERRE JOURDAN TRANQUILLE 750ML</v>
          </cell>
          <cell r="C1661" t="str">
            <v>Pcs</v>
          </cell>
          <cell r="D1661">
            <v>6</v>
          </cell>
          <cell r="E1661">
            <v>0</v>
          </cell>
          <cell r="F1661">
            <v>0</v>
          </cell>
          <cell r="G1661">
            <v>6</v>
          </cell>
          <cell r="H1661">
            <v>1730</v>
          </cell>
        </row>
        <row r="1662">
          <cell r="A1662">
            <v>2336</v>
          </cell>
          <cell r="B1662" t="str">
            <v>PIERRE MARCEL ROSE 750ML</v>
          </cell>
          <cell r="C1662" t="str">
            <v>Pcs</v>
          </cell>
          <cell r="D1662">
            <v>96</v>
          </cell>
          <cell r="E1662">
            <v>0</v>
          </cell>
          <cell r="F1662">
            <v>24</v>
          </cell>
          <cell r="G1662">
            <v>72</v>
          </cell>
          <cell r="H1662">
            <v>1200</v>
          </cell>
        </row>
        <row r="1663">
          <cell r="A1663">
            <v>2869</v>
          </cell>
          <cell r="B1663" t="str">
            <v>PIERRE MARCEL SPARKLING WHITE 750ML</v>
          </cell>
          <cell r="C1663" t="str">
            <v>Pcs</v>
          </cell>
          <cell r="D1663">
            <v>18</v>
          </cell>
          <cell r="E1663">
            <v>0</v>
          </cell>
          <cell r="F1663">
            <v>0</v>
          </cell>
          <cell r="G1663">
            <v>18</v>
          </cell>
          <cell r="H1663">
            <v>1300</v>
          </cell>
        </row>
        <row r="1664">
          <cell r="A1664">
            <v>1622</v>
          </cell>
          <cell r="B1664" t="str">
            <v>PIERRE MARCEL SWEET RED  1.5LTR</v>
          </cell>
          <cell r="C1664" t="str">
            <v>Pcs</v>
          </cell>
          <cell r="D1664">
            <v>174</v>
          </cell>
          <cell r="E1664">
            <v>0</v>
          </cell>
          <cell r="F1664">
            <v>25</v>
          </cell>
          <cell r="G1664">
            <v>149</v>
          </cell>
          <cell r="H1664">
            <v>2300</v>
          </cell>
        </row>
        <row r="1665">
          <cell r="A1665">
            <v>1623</v>
          </cell>
          <cell r="B1665" t="str">
            <v>PIERRE MARCEL SWEET RED 750ML</v>
          </cell>
          <cell r="C1665" t="str">
            <v>Pcs</v>
          </cell>
          <cell r="D1665">
            <v>78</v>
          </cell>
          <cell r="E1665">
            <v>300</v>
          </cell>
          <cell r="F1665">
            <v>174</v>
          </cell>
          <cell r="G1665">
            <v>204</v>
          </cell>
          <cell r="H1665">
            <v>1200</v>
          </cell>
        </row>
        <row r="1666">
          <cell r="A1666">
            <v>1624</v>
          </cell>
          <cell r="B1666" t="str">
            <v>PIERRE MARCEL SWEET WHITE 1.5LTR</v>
          </cell>
          <cell r="C1666" t="str">
            <v>Pcs</v>
          </cell>
          <cell r="D1666">
            <v>0</v>
          </cell>
          <cell r="E1666">
            <v>120</v>
          </cell>
          <cell r="F1666">
            <v>30</v>
          </cell>
          <cell r="G1666">
            <v>90</v>
          </cell>
          <cell r="H1666">
            <v>2000</v>
          </cell>
        </row>
        <row r="1667">
          <cell r="A1667">
            <v>1625</v>
          </cell>
          <cell r="B1667" t="str">
            <v>PIERRE MARCEL SWEET WHITE 750ML</v>
          </cell>
          <cell r="C1667" t="str">
            <v>Pcs</v>
          </cell>
          <cell r="D1667">
            <v>42</v>
          </cell>
          <cell r="E1667">
            <v>180</v>
          </cell>
          <cell r="F1667">
            <v>66</v>
          </cell>
          <cell r="G1667">
            <v>156</v>
          </cell>
          <cell r="H1667">
            <v>1200</v>
          </cell>
        </row>
        <row r="1668">
          <cell r="A1668">
            <v>2990</v>
          </cell>
          <cell r="B1668" t="str">
            <v>PINTA NEGRA DRY RED WINE 750ML</v>
          </cell>
          <cell r="C1668" t="str">
            <v>Pcs</v>
          </cell>
          <cell r="D1668">
            <v>11152</v>
          </cell>
          <cell r="E1668">
            <v>873</v>
          </cell>
          <cell r="F1668">
            <v>92</v>
          </cell>
          <cell r="G1668">
            <v>11933</v>
          </cell>
          <cell r="H1668">
            <v>1000</v>
          </cell>
        </row>
        <row r="1669">
          <cell r="A1669">
            <v>2989</v>
          </cell>
          <cell r="B1669" t="str">
            <v>PINTA NEGRA RED 5L</v>
          </cell>
          <cell r="C1669" t="str">
            <v>Pcs</v>
          </cell>
          <cell r="D1669">
            <v>1378</v>
          </cell>
          <cell r="E1669">
            <v>8</v>
          </cell>
          <cell r="F1669">
            <v>96</v>
          </cell>
          <cell r="G1669">
            <v>1290</v>
          </cell>
          <cell r="H1669">
            <v>3200</v>
          </cell>
        </row>
        <row r="1670">
          <cell r="A1670">
            <v>2995</v>
          </cell>
          <cell r="B1670" t="str">
            <v>PINTA NEGRA SWEET RED WINE 750ML</v>
          </cell>
          <cell r="C1670" t="str">
            <v>Pcs</v>
          </cell>
          <cell r="D1670">
            <v>6034</v>
          </cell>
          <cell r="E1670">
            <v>506</v>
          </cell>
          <cell r="F1670">
            <v>99</v>
          </cell>
          <cell r="G1670">
            <v>6441</v>
          </cell>
          <cell r="H1670">
            <v>1000</v>
          </cell>
        </row>
        <row r="1671">
          <cell r="A1671">
            <v>2996</v>
          </cell>
          <cell r="B1671" t="str">
            <v>PINTA NEGRA SWEET WHITE WINE 2024 750ML</v>
          </cell>
          <cell r="C1671" t="str">
            <v>Pcs</v>
          </cell>
          <cell r="D1671">
            <v>1443</v>
          </cell>
          <cell r="E1671">
            <v>0</v>
          </cell>
          <cell r="F1671">
            <v>46</v>
          </cell>
          <cell r="G1671">
            <v>1397</v>
          </cell>
          <cell r="H1671">
            <v>1000</v>
          </cell>
        </row>
        <row r="1672">
          <cell r="A1672">
            <v>2991</v>
          </cell>
          <cell r="B1672" t="str">
            <v>PINTA NEGRA SWEET WHITE WINE 2025 750ML</v>
          </cell>
          <cell r="C1672" t="str">
            <v>Pcs</v>
          </cell>
          <cell r="D1672">
            <v>643</v>
          </cell>
          <cell r="E1672">
            <v>0</v>
          </cell>
          <cell r="F1672">
            <v>32</v>
          </cell>
          <cell r="G1672">
            <v>611</v>
          </cell>
          <cell r="H1672">
            <v>1000</v>
          </cell>
        </row>
        <row r="1673">
          <cell r="A1673">
            <v>2992</v>
          </cell>
          <cell r="B1673" t="str">
            <v>PINTA NEGRA VINHO VERDE WHITE WINE 750ML</v>
          </cell>
          <cell r="C1673" t="str">
            <v>Pcs</v>
          </cell>
          <cell r="D1673">
            <v>713</v>
          </cell>
          <cell r="E1673">
            <v>0</v>
          </cell>
          <cell r="F1673">
            <v>492</v>
          </cell>
          <cell r="G1673">
            <v>221</v>
          </cell>
          <cell r="H1673">
            <v>900</v>
          </cell>
        </row>
        <row r="1674">
          <cell r="A1674">
            <v>2988</v>
          </cell>
          <cell r="B1674" t="str">
            <v>PINTA NEGRA WHITE 5L</v>
          </cell>
          <cell r="C1674" t="str">
            <v>Pcs</v>
          </cell>
          <cell r="D1674">
            <v>315</v>
          </cell>
          <cell r="E1674">
            <v>1</v>
          </cell>
          <cell r="F1674">
            <v>52</v>
          </cell>
          <cell r="G1674">
            <v>264</v>
          </cell>
          <cell r="H1674">
            <v>3200</v>
          </cell>
        </row>
        <row r="1675">
          <cell r="A1675">
            <v>1630</v>
          </cell>
          <cell r="B1675" t="str">
            <v>PLAYA DEL SOL MALBEC 75Oml</v>
          </cell>
          <cell r="C1675" t="str">
            <v>Pcs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1100</v>
          </cell>
        </row>
        <row r="1676">
          <cell r="A1676">
            <v>1632</v>
          </cell>
          <cell r="B1676" t="str">
            <v>POMMERY ROYAL BRUT 750ML</v>
          </cell>
          <cell r="C1676" t="str">
            <v>Pcs</v>
          </cell>
          <cell r="D1676">
            <v>12</v>
          </cell>
          <cell r="E1676">
            <v>0</v>
          </cell>
          <cell r="F1676">
            <v>0</v>
          </cell>
          <cell r="G1676">
            <v>12</v>
          </cell>
          <cell r="H1676">
            <v>6500</v>
          </cell>
        </row>
        <row r="1677">
          <cell r="A1677">
            <v>2359</v>
          </cell>
          <cell r="B1677" t="str">
            <v>POMMERY ROYAL BRUT ROSE 750ML</v>
          </cell>
          <cell r="C1677" t="str">
            <v>Pcs</v>
          </cell>
          <cell r="D1677">
            <v>12</v>
          </cell>
          <cell r="E1677">
            <v>0</v>
          </cell>
          <cell r="F1677">
            <v>0</v>
          </cell>
          <cell r="G1677">
            <v>12</v>
          </cell>
          <cell r="H1677">
            <v>5500</v>
          </cell>
        </row>
        <row r="1678">
          <cell r="A1678">
            <v>1637</v>
          </cell>
          <cell r="B1678" t="str">
            <v>PROSECO ROSE 750ML</v>
          </cell>
          <cell r="C1678" t="str">
            <v>Pcs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2800</v>
          </cell>
        </row>
        <row r="1679">
          <cell r="A1679">
            <v>1639</v>
          </cell>
          <cell r="B1679" t="str">
            <v>PROTEA MERLOT 750ML</v>
          </cell>
          <cell r="C1679" t="str">
            <v>Pcs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1000</v>
          </cell>
        </row>
        <row r="1680">
          <cell r="A1680">
            <v>2589</v>
          </cell>
          <cell r="B1680" t="str">
            <v>QUINTA DOS TAWNY PORT 750ML</v>
          </cell>
          <cell r="C1680" t="str">
            <v>Pcs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5500</v>
          </cell>
        </row>
        <row r="1681">
          <cell r="A1681">
            <v>1661</v>
          </cell>
          <cell r="B1681" t="str">
            <v>RIB SHACK RED 750ML</v>
          </cell>
          <cell r="C1681" t="str">
            <v>Pcs</v>
          </cell>
          <cell r="D1681">
            <v>5</v>
          </cell>
          <cell r="E1681">
            <v>0</v>
          </cell>
          <cell r="F1681">
            <v>0</v>
          </cell>
          <cell r="G1681">
            <v>5</v>
          </cell>
          <cell r="H1681">
            <v>1800</v>
          </cell>
        </row>
        <row r="1682">
          <cell r="A1682">
            <v>1666</v>
          </cell>
          <cell r="B1682" t="str">
            <v>RIGAL ORIGINAL MALBEC 750ML</v>
          </cell>
          <cell r="C1682" t="str">
            <v>Pcs</v>
          </cell>
          <cell r="D1682">
            <v>18</v>
          </cell>
          <cell r="E1682">
            <v>0</v>
          </cell>
          <cell r="F1682">
            <v>0</v>
          </cell>
          <cell r="G1682">
            <v>18</v>
          </cell>
          <cell r="H1682">
            <v>1350</v>
          </cell>
        </row>
        <row r="1683">
          <cell r="A1683">
            <v>1667</v>
          </cell>
          <cell r="B1683" t="str">
            <v>RIGAL ORIGINAL SAUV BLANC 750ML</v>
          </cell>
          <cell r="C1683" t="str">
            <v>Pcs</v>
          </cell>
          <cell r="D1683">
            <v>13</v>
          </cell>
          <cell r="E1683">
            <v>0</v>
          </cell>
          <cell r="F1683">
            <v>0</v>
          </cell>
          <cell r="G1683">
            <v>13</v>
          </cell>
          <cell r="H1683">
            <v>1350</v>
          </cell>
        </row>
        <row r="1684">
          <cell r="A1684">
            <v>1674</v>
          </cell>
          <cell r="B1684" t="str">
            <v>ROBERTSON CHARDONNAY 750ML</v>
          </cell>
          <cell r="C1684" t="str">
            <v>Pcs</v>
          </cell>
          <cell r="D1684">
            <v>37</v>
          </cell>
          <cell r="E1684">
            <v>0</v>
          </cell>
          <cell r="F1684">
            <v>0</v>
          </cell>
          <cell r="G1684">
            <v>37</v>
          </cell>
          <cell r="H1684">
            <v>1200</v>
          </cell>
        </row>
        <row r="1685">
          <cell r="A1685">
            <v>1669</v>
          </cell>
          <cell r="B1685" t="str">
            <v>ROBERTSON - RED SWEET 750ML</v>
          </cell>
          <cell r="C1685" t="str">
            <v>Pcs</v>
          </cell>
          <cell r="D1685">
            <v>138</v>
          </cell>
          <cell r="E1685">
            <v>0</v>
          </cell>
          <cell r="F1685">
            <v>138</v>
          </cell>
          <cell r="G1685">
            <v>0</v>
          </cell>
          <cell r="H1685">
            <v>950</v>
          </cell>
        </row>
        <row r="1686">
          <cell r="A1686">
            <v>2243</v>
          </cell>
          <cell r="B1686" t="str">
            <v>ROBERTSON SAUV BLANC 750ML</v>
          </cell>
          <cell r="C1686" t="str">
            <v>Pcs</v>
          </cell>
          <cell r="D1686">
            <v>76</v>
          </cell>
          <cell r="E1686">
            <v>0</v>
          </cell>
          <cell r="F1686">
            <v>0</v>
          </cell>
          <cell r="G1686">
            <v>76</v>
          </cell>
          <cell r="H1686">
            <v>800</v>
          </cell>
        </row>
        <row r="1687">
          <cell r="A1687">
            <v>1670</v>
          </cell>
          <cell r="B1687" t="str">
            <v>ROBERTSON - SWEET RED 1.5LT</v>
          </cell>
          <cell r="C1687" t="str">
            <v>Pcs</v>
          </cell>
          <cell r="D1687">
            <v>30</v>
          </cell>
          <cell r="E1687">
            <v>0</v>
          </cell>
          <cell r="F1687">
            <v>30</v>
          </cell>
          <cell r="G1687">
            <v>0</v>
          </cell>
          <cell r="H1687">
            <v>1700</v>
          </cell>
        </row>
        <row r="1688">
          <cell r="A1688">
            <v>1675</v>
          </cell>
          <cell r="B1688" t="str">
            <v>ROBERTSON SWEET ROSE 1.5LT</v>
          </cell>
          <cell r="C1688" t="str">
            <v>Pcs</v>
          </cell>
          <cell r="D1688">
            <v>3</v>
          </cell>
          <cell r="E1688">
            <v>0</v>
          </cell>
          <cell r="F1688">
            <v>0</v>
          </cell>
          <cell r="G1688">
            <v>3</v>
          </cell>
          <cell r="H1688">
            <v>1800</v>
          </cell>
        </row>
        <row r="1689">
          <cell r="A1689">
            <v>1672</v>
          </cell>
          <cell r="B1689" t="str">
            <v>ROBERTSON - WHITE SWEET 1.5LT</v>
          </cell>
          <cell r="C1689" t="str">
            <v>Pcs</v>
          </cell>
          <cell r="D1689">
            <v>12</v>
          </cell>
          <cell r="E1689">
            <v>300</v>
          </cell>
          <cell r="F1689">
            <v>42</v>
          </cell>
          <cell r="G1689">
            <v>270</v>
          </cell>
          <cell r="H1689">
            <v>1700</v>
          </cell>
        </row>
        <row r="1690">
          <cell r="A1690">
            <v>1673</v>
          </cell>
          <cell r="B1690" t="str">
            <v>ROBERTSON - WHITE SWEET 750ML</v>
          </cell>
          <cell r="C1690" t="str">
            <v>Pcs</v>
          </cell>
          <cell r="D1690">
            <v>186</v>
          </cell>
          <cell r="E1690">
            <v>60</v>
          </cell>
          <cell r="F1690">
            <v>94</v>
          </cell>
          <cell r="G1690">
            <v>152</v>
          </cell>
          <cell r="H1690">
            <v>1000</v>
          </cell>
        </row>
        <row r="1691">
          <cell r="A1691">
            <v>1676</v>
          </cell>
          <cell r="B1691" t="str">
            <v>ROBERTSON WINERY CAB SAUV 750ML</v>
          </cell>
          <cell r="C1691" t="str">
            <v>Pcs</v>
          </cell>
          <cell r="D1691">
            <v>25</v>
          </cell>
          <cell r="E1691">
            <v>0</v>
          </cell>
          <cell r="F1691">
            <v>0</v>
          </cell>
          <cell r="G1691">
            <v>25</v>
          </cell>
          <cell r="H1691">
            <v>1200</v>
          </cell>
        </row>
        <row r="1692">
          <cell r="A1692">
            <v>2487</v>
          </cell>
          <cell r="B1692" t="str">
            <v>ROBERTSON  WINERY CHENIN BLANC 750ML</v>
          </cell>
          <cell r="C1692" t="str">
            <v>Pcs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1200</v>
          </cell>
        </row>
        <row r="1693">
          <cell r="A1693">
            <v>1677</v>
          </cell>
          <cell r="B1693" t="str">
            <v>ROBERTSON WINERY PINOTAGE 750ML</v>
          </cell>
          <cell r="C1693" t="str">
            <v>Pcs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1200</v>
          </cell>
        </row>
        <row r="1694">
          <cell r="A1694">
            <v>1678</v>
          </cell>
          <cell r="B1694" t="str">
            <v>ROCCA DEI FORTI RED 750ML</v>
          </cell>
          <cell r="C1694" t="str">
            <v>Pcs</v>
          </cell>
          <cell r="D1694">
            <v>115</v>
          </cell>
          <cell r="E1694">
            <v>0</v>
          </cell>
          <cell r="F1694">
            <v>0</v>
          </cell>
          <cell r="G1694">
            <v>115</v>
          </cell>
          <cell r="H1694">
            <v>1500</v>
          </cell>
        </row>
        <row r="1695">
          <cell r="A1695">
            <v>1679</v>
          </cell>
          <cell r="B1695" t="str">
            <v>ROCCA DEI FORTI WHITE 750ML</v>
          </cell>
          <cell r="C1695" t="str">
            <v>Pcs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1500</v>
          </cell>
        </row>
        <row r="1696">
          <cell r="A1696">
            <v>1680</v>
          </cell>
          <cell r="B1696" t="str">
            <v>ROCHE MAZET CAB SAUV  750ml </v>
          </cell>
          <cell r="C1696" t="str">
            <v>Pcs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1200</v>
          </cell>
        </row>
        <row r="1697">
          <cell r="A1697">
            <v>1681</v>
          </cell>
          <cell r="B1697" t="str">
            <v>ROCHE MAZET CHARDONNAY 750ML </v>
          </cell>
          <cell r="C1697" t="str">
            <v>Pcs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1200</v>
          </cell>
        </row>
        <row r="1698">
          <cell r="A1698">
            <v>1682</v>
          </cell>
          <cell r="B1698" t="str">
            <v>ROCHE MAZET GRENACHE 750ML</v>
          </cell>
          <cell r="C1698" t="str">
            <v>Pcs</v>
          </cell>
          <cell r="D1698">
            <v>96</v>
          </cell>
          <cell r="E1698">
            <v>0</v>
          </cell>
          <cell r="F1698">
            <v>0</v>
          </cell>
          <cell r="G1698">
            <v>96</v>
          </cell>
          <cell r="H1698">
            <v>1200</v>
          </cell>
        </row>
        <row r="1699">
          <cell r="A1699">
            <v>1683</v>
          </cell>
          <cell r="B1699" t="str">
            <v>ROCHE MAZET MERLOT</v>
          </cell>
          <cell r="C1699" t="str">
            <v>Pcs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1200</v>
          </cell>
        </row>
        <row r="1700">
          <cell r="A1700">
            <v>1684</v>
          </cell>
          <cell r="B1700" t="str">
            <v>ROCHE MAZET SAUVIGNON 750ML</v>
          </cell>
          <cell r="C1700" t="str">
            <v>Pcs</v>
          </cell>
          <cell r="D1700">
            <v>6</v>
          </cell>
          <cell r="E1700">
            <v>0</v>
          </cell>
          <cell r="F1700">
            <v>0</v>
          </cell>
          <cell r="G1700">
            <v>6</v>
          </cell>
          <cell r="H1700">
            <v>1200</v>
          </cell>
        </row>
        <row r="1701">
          <cell r="A1701">
            <v>1688</v>
          </cell>
          <cell r="B1701" t="str">
            <v>ROOIBERG WINERY RED MUSCADEL  750ML</v>
          </cell>
          <cell r="C1701" t="str">
            <v>Pcs</v>
          </cell>
          <cell r="D1701">
            <v>1</v>
          </cell>
          <cell r="E1701">
            <v>0</v>
          </cell>
          <cell r="F1701">
            <v>0</v>
          </cell>
          <cell r="G1701">
            <v>1</v>
          </cell>
          <cell r="H1701">
            <v>1100</v>
          </cell>
        </row>
        <row r="1702">
          <cell r="A1702">
            <v>1689</v>
          </cell>
          <cell r="B1702" t="str">
            <v>ROOIBERG WINERY SWEET WHITE 750ML</v>
          </cell>
          <cell r="C1702" t="str">
            <v>Pcs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1100</v>
          </cell>
        </row>
        <row r="1703">
          <cell r="A1703">
            <v>2416</v>
          </cell>
          <cell r="B1703" t="str">
            <v>ROSSO BIANCO NOBILE ALLA VANIGLIA 750ML</v>
          </cell>
          <cell r="C1703" t="str">
            <v>Pcs</v>
          </cell>
          <cell r="D1703">
            <v>1</v>
          </cell>
          <cell r="E1703">
            <v>231</v>
          </cell>
          <cell r="F1703">
            <v>108</v>
          </cell>
          <cell r="G1703">
            <v>124</v>
          </cell>
          <cell r="H1703">
            <v>1200</v>
          </cell>
        </row>
        <row r="1704">
          <cell r="A1704">
            <v>2584</v>
          </cell>
          <cell r="B1704" t="str">
            <v>ROSSO NOBILE BOIS BANDE PHILTRE 750ML 750ML</v>
          </cell>
          <cell r="C1704" t="str">
            <v>Pcs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1200</v>
          </cell>
        </row>
        <row r="1705">
          <cell r="A1705">
            <v>1693</v>
          </cell>
          <cell r="B1705" t="str">
            <v>ROSSO NOBILE CHERRY  750ML</v>
          </cell>
          <cell r="C1705" t="str">
            <v>Pcs</v>
          </cell>
          <cell r="D1705">
            <v>60</v>
          </cell>
          <cell r="E1705">
            <v>0</v>
          </cell>
          <cell r="F1705">
            <v>0</v>
          </cell>
          <cell r="G1705">
            <v>60</v>
          </cell>
          <cell r="H1705">
            <v>1200</v>
          </cell>
        </row>
        <row r="1706">
          <cell r="A1706">
            <v>1694</v>
          </cell>
          <cell r="B1706" t="str">
            <v>ROSSO NOBILE CHOCOLATA 750ML</v>
          </cell>
          <cell r="C1706" t="str">
            <v>Pcs</v>
          </cell>
          <cell r="D1706">
            <v>600</v>
          </cell>
          <cell r="E1706">
            <v>12</v>
          </cell>
          <cell r="F1706">
            <v>345</v>
          </cell>
          <cell r="G1706">
            <v>267</v>
          </cell>
          <cell r="H1706">
            <v>1200</v>
          </cell>
        </row>
        <row r="1707">
          <cell r="A1707">
            <v>2583</v>
          </cell>
          <cell r="B1707" t="str">
            <v>ROSSO NOBILE DARK CHOCOLATE 750ML</v>
          </cell>
          <cell r="C1707" t="str">
            <v>Pcs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1300</v>
          </cell>
        </row>
        <row r="1708">
          <cell r="A1708">
            <v>2582</v>
          </cell>
          <cell r="B1708" t="str">
            <v>ROSSO NOBILE DUBAI CHOCOLATE 750ML</v>
          </cell>
          <cell r="C1708" t="str">
            <v>Pcs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1200</v>
          </cell>
        </row>
        <row r="1709">
          <cell r="A1709">
            <v>1695</v>
          </cell>
          <cell r="B1709" t="str">
            <v>ROSSO NOBILE EXPRESSO 750ML</v>
          </cell>
          <cell r="C1709" t="str">
            <v>Pcs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1200</v>
          </cell>
        </row>
        <row r="1710">
          <cell r="A1710">
            <v>1696</v>
          </cell>
          <cell r="B1710" t="str">
            <v>ROSSO NOBILE MARZIPAN 750ML</v>
          </cell>
          <cell r="C1710" t="str">
            <v>Pcs</v>
          </cell>
          <cell r="D1710">
            <v>60</v>
          </cell>
          <cell r="E1710">
            <v>0</v>
          </cell>
          <cell r="F1710">
            <v>60</v>
          </cell>
          <cell r="G1710">
            <v>0</v>
          </cell>
          <cell r="H1710">
            <v>1200</v>
          </cell>
        </row>
        <row r="1711">
          <cell r="A1711">
            <v>1697</v>
          </cell>
          <cell r="B1711" t="str">
            <v>ROSSO NOBILE NACIOLLA 750ML</v>
          </cell>
          <cell r="C1711" t="str">
            <v>Pcs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1200</v>
          </cell>
        </row>
        <row r="1712">
          <cell r="A1712">
            <v>1698</v>
          </cell>
          <cell r="B1712" t="str">
            <v>ROSSO NOBILE NOUGAT 750ML</v>
          </cell>
          <cell r="C1712" t="str">
            <v>Pcs</v>
          </cell>
          <cell r="D1712">
            <v>60</v>
          </cell>
          <cell r="E1712">
            <v>0</v>
          </cell>
          <cell r="F1712">
            <v>0</v>
          </cell>
          <cell r="G1712">
            <v>60</v>
          </cell>
          <cell r="H1712">
            <v>1200</v>
          </cell>
        </row>
        <row r="1713">
          <cell r="A1713">
            <v>1699</v>
          </cell>
          <cell r="B1713" t="str">
            <v>ROSSO NOBILE RASPBERRY &amp; LEMON - BUBBLY 750ML</v>
          </cell>
          <cell r="C1713" t="str">
            <v>Pcs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1200</v>
          </cell>
        </row>
        <row r="1714">
          <cell r="A1714">
            <v>2245</v>
          </cell>
          <cell r="B1714" t="str">
            <v>RUINART BRUT 750ML</v>
          </cell>
          <cell r="C1714" t="str">
            <v>Pcs</v>
          </cell>
          <cell r="D1714">
            <v>18</v>
          </cell>
          <cell r="E1714">
            <v>0</v>
          </cell>
          <cell r="F1714">
            <v>0</v>
          </cell>
          <cell r="G1714">
            <v>18</v>
          </cell>
          <cell r="H1714">
            <v>15000</v>
          </cell>
        </row>
        <row r="1715">
          <cell r="A1715">
            <v>1718</v>
          </cell>
          <cell r="B1715" t="str">
            <v>RUINART ROSE 750ML</v>
          </cell>
          <cell r="C1715" t="str">
            <v>Pcs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18000</v>
          </cell>
        </row>
        <row r="1716">
          <cell r="A1716">
            <v>1720</v>
          </cell>
          <cell r="B1716" t="str">
            <v>RUPERT &amp; ROTHSCHILD CLASSIQUE 750ML</v>
          </cell>
          <cell r="C1716" t="str">
            <v>Pcs</v>
          </cell>
          <cell r="D1716">
            <v>48</v>
          </cell>
          <cell r="E1716">
            <v>180</v>
          </cell>
          <cell r="F1716">
            <v>12</v>
          </cell>
          <cell r="G1716">
            <v>216</v>
          </cell>
          <cell r="H1716">
            <v>4000</v>
          </cell>
        </row>
        <row r="1717">
          <cell r="A1717">
            <v>1719</v>
          </cell>
          <cell r="B1717" t="str">
            <v>RUPERT &amp; ROTHS RED 750ML</v>
          </cell>
          <cell r="C1717" t="str">
            <v>Pcs</v>
          </cell>
          <cell r="D1717">
            <v>195</v>
          </cell>
          <cell r="E1717">
            <v>0</v>
          </cell>
          <cell r="F1717">
            <v>0</v>
          </cell>
          <cell r="G1717">
            <v>195</v>
          </cell>
          <cell r="H1717">
            <v>8500</v>
          </cell>
        </row>
        <row r="1718">
          <cell r="A1718">
            <v>1725</v>
          </cell>
          <cell r="B1718" t="str">
            <v>RUTINI ENCUENTRO MALBEC 750ML</v>
          </cell>
          <cell r="C1718" t="str">
            <v>Pcs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2500</v>
          </cell>
        </row>
        <row r="1719">
          <cell r="A1719">
            <v>1726</v>
          </cell>
          <cell r="B1719" t="str">
            <v>RUTINI MALBEC 750ML</v>
          </cell>
          <cell r="C1719" t="str">
            <v>Pcs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2500</v>
          </cell>
        </row>
        <row r="1720">
          <cell r="A1720">
            <v>2315</v>
          </cell>
          <cell r="B1720" t="str">
            <v>RUTINI MENDOZA 750ML</v>
          </cell>
          <cell r="C1720" t="str">
            <v>Pcs</v>
          </cell>
          <cell r="D1720">
            <v>1</v>
          </cell>
          <cell r="E1720">
            <v>0</v>
          </cell>
          <cell r="F1720">
            <v>0</v>
          </cell>
          <cell r="G1720">
            <v>1</v>
          </cell>
          <cell r="H1720">
            <v>2500</v>
          </cell>
        </row>
        <row r="1721">
          <cell r="A1721">
            <v>1728</v>
          </cell>
          <cell r="B1721" t="str">
            <v>SAINT ANNA 750ML</v>
          </cell>
          <cell r="C1721" t="str">
            <v>Pcs</v>
          </cell>
          <cell r="D1721">
            <v>156</v>
          </cell>
          <cell r="E1721">
            <v>0</v>
          </cell>
          <cell r="F1721">
            <v>0</v>
          </cell>
          <cell r="G1721">
            <v>156</v>
          </cell>
          <cell r="H1721">
            <v>700</v>
          </cell>
        </row>
        <row r="1722">
          <cell r="A1722">
            <v>1729</v>
          </cell>
          <cell r="B1722" t="str">
            <v>SAINT CELINE RED WINE 750ML</v>
          </cell>
          <cell r="C1722" t="str">
            <v>Pcs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H1722">
            <v>850</v>
          </cell>
        </row>
        <row r="1723">
          <cell r="A1723">
            <v>1730</v>
          </cell>
          <cell r="B1723" t="str">
            <v>SAINT CELINE ROSE WINE 750ML</v>
          </cell>
          <cell r="C1723" t="str">
            <v>Pcs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850</v>
          </cell>
        </row>
        <row r="1724">
          <cell r="A1724">
            <v>2401</v>
          </cell>
          <cell r="B1724" t="str">
            <v>SAINT CLAIRE 750ML</v>
          </cell>
          <cell r="C1724" t="str">
            <v>Pcs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H1724">
            <v>850</v>
          </cell>
        </row>
        <row r="1725">
          <cell r="A1725">
            <v>2913</v>
          </cell>
          <cell r="B1725" t="str">
            <v>SAINT CLAIRE NATURAL SWEET ROSE 750ML</v>
          </cell>
          <cell r="C1725" t="str">
            <v>Pcs</v>
          </cell>
          <cell r="D1725">
            <v>36</v>
          </cell>
          <cell r="E1725">
            <v>60</v>
          </cell>
          <cell r="F1725">
            <v>0</v>
          </cell>
          <cell r="G1725">
            <v>96</v>
          </cell>
          <cell r="H1725">
            <v>750</v>
          </cell>
        </row>
        <row r="1726">
          <cell r="A1726">
            <v>2912</v>
          </cell>
          <cell r="B1726" t="str">
            <v>SAINT RAPHAEL SMOOTH RED 750ML</v>
          </cell>
          <cell r="C1726" t="str">
            <v>Pcs</v>
          </cell>
          <cell r="D1726">
            <v>24</v>
          </cell>
          <cell r="E1726">
            <v>60</v>
          </cell>
          <cell r="F1726">
            <v>12</v>
          </cell>
          <cell r="G1726">
            <v>72</v>
          </cell>
          <cell r="H1726">
            <v>750</v>
          </cell>
        </row>
        <row r="1727">
          <cell r="A1727">
            <v>1741</v>
          </cell>
          <cell r="B1727" t="str">
            <v>SANDARA PREMIUM SANGIRIA 750ML</v>
          </cell>
          <cell r="C1727" t="str">
            <v>Pcs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1100</v>
          </cell>
        </row>
        <row r="1728">
          <cell r="A1728">
            <v>1742</v>
          </cell>
          <cell r="B1728" t="str">
            <v>SANDARA Premium Sparkling Sangria 750ML</v>
          </cell>
          <cell r="C1728" t="str">
            <v>Pcs</v>
          </cell>
          <cell r="D1728">
            <v>6</v>
          </cell>
          <cell r="E1728">
            <v>0</v>
          </cell>
          <cell r="F1728">
            <v>0</v>
          </cell>
          <cell r="G1728">
            <v>6</v>
          </cell>
          <cell r="H1728">
            <v>1100</v>
          </cell>
        </row>
        <row r="1729">
          <cell r="A1729">
            <v>1746</v>
          </cell>
          <cell r="B1729" t="str">
            <v>SANDEMAN FINE RUBY 1ltr</v>
          </cell>
          <cell r="C1729" t="str">
            <v>Pcs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H1729">
            <v>2000</v>
          </cell>
        </row>
        <row r="1730">
          <cell r="A1730">
            <v>1747</v>
          </cell>
          <cell r="B1730" t="str">
            <v>SANDEMAN FINE RUBY 700ML</v>
          </cell>
          <cell r="C1730" t="str">
            <v>Pcs</v>
          </cell>
          <cell r="D1730">
            <v>6</v>
          </cell>
          <cell r="E1730">
            <v>0</v>
          </cell>
          <cell r="F1730">
            <v>0</v>
          </cell>
          <cell r="G1730">
            <v>6</v>
          </cell>
          <cell r="H1730">
            <v>2860</v>
          </cell>
        </row>
        <row r="1731">
          <cell r="A1731">
            <v>1749</v>
          </cell>
          <cell r="B1731" t="str">
            <v>SANDEMAN FINE WHITE 1ltr</v>
          </cell>
          <cell r="C1731" t="str">
            <v>Pcs</v>
          </cell>
          <cell r="D1731">
            <v>11</v>
          </cell>
          <cell r="E1731">
            <v>0</v>
          </cell>
          <cell r="F1731">
            <v>0</v>
          </cell>
          <cell r="G1731">
            <v>11</v>
          </cell>
          <cell r="H1731">
            <v>2000</v>
          </cell>
        </row>
        <row r="1732">
          <cell r="A1732">
            <v>1750</v>
          </cell>
          <cell r="B1732" t="str">
            <v>SANDEMAN SEMI SWEET 750ML</v>
          </cell>
          <cell r="C1732" t="str">
            <v>Pcs</v>
          </cell>
          <cell r="D1732">
            <v>6</v>
          </cell>
          <cell r="E1732">
            <v>0</v>
          </cell>
          <cell r="F1732">
            <v>0</v>
          </cell>
          <cell r="G1732">
            <v>6</v>
          </cell>
          <cell r="H1732">
            <v>2500</v>
          </cell>
        </row>
        <row r="1733">
          <cell r="A1733">
            <v>2872</v>
          </cell>
          <cell r="B1733" t="str">
            <v>SAN FELIPE CLASSIC CAB SAUV 750ML</v>
          </cell>
          <cell r="C1733" t="str">
            <v>Pcs</v>
          </cell>
          <cell r="D1733">
            <v>18</v>
          </cell>
          <cell r="E1733">
            <v>0</v>
          </cell>
          <cell r="F1733">
            <v>0</v>
          </cell>
          <cell r="G1733">
            <v>18</v>
          </cell>
          <cell r="H1733">
            <v>1150</v>
          </cell>
        </row>
        <row r="1734">
          <cell r="A1734">
            <v>1734</v>
          </cell>
          <cell r="B1734" t="str">
            <v>SAN FELIPE CLASSIC SAUV BLANC 750ML</v>
          </cell>
          <cell r="C1734" t="str">
            <v>Pcs</v>
          </cell>
          <cell r="D1734">
            <v>18</v>
          </cell>
          <cell r="E1734">
            <v>0</v>
          </cell>
          <cell r="F1734">
            <v>0</v>
          </cell>
          <cell r="G1734">
            <v>18</v>
          </cell>
          <cell r="H1734">
            <v>1150</v>
          </cell>
        </row>
        <row r="1735">
          <cell r="A1735">
            <v>1736</v>
          </cell>
          <cell r="B1735" t="str">
            <v>SAN FELIPE OAK MALBEC 750ML</v>
          </cell>
          <cell r="C1735" t="str">
            <v>Pcs</v>
          </cell>
          <cell r="D1735">
            <v>6</v>
          </cell>
          <cell r="E1735">
            <v>0</v>
          </cell>
          <cell r="F1735">
            <v>0</v>
          </cell>
          <cell r="G1735">
            <v>6</v>
          </cell>
          <cell r="H1735">
            <v>1550</v>
          </cell>
        </row>
        <row r="1736">
          <cell r="A1736">
            <v>2347</v>
          </cell>
          <cell r="B1736" t="str">
            <v>SANGRIA PENASOL 1LTR</v>
          </cell>
          <cell r="C1736" t="str">
            <v>Pcs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1000</v>
          </cell>
        </row>
        <row r="1737">
          <cell r="A1737">
            <v>2316</v>
          </cell>
          <cell r="B1737" t="str">
            <v>SANTA HELENA BLANCO 750ML</v>
          </cell>
          <cell r="C1737" t="str">
            <v>Pcs</v>
          </cell>
          <cell r="D1737">
            <v>97</v>
          </cell>
          <cell r="E1737">
            <v>0</v>
          </cell>
          <cell r="F1737">
            <v>0</v>
          </cell>
          <cell r="G1737">
            <v>97</v>
          </cell>
          <cell r="H1737">
            <v>850</v>
          </cell>
        </row>
        <row r="1738">
          <cell r="A1738">
            <v>1758</v>
          </cell>
          <cell r="B1738" t="str">
            <v>SANTA HELENA TINTO 750ML</v>
          </cell>
          <cell r="C1738" t="str">
            <v>Pcs</v>
          </cell>
          <cell r="D1738">
            <v>200</v>
          </cell>
          <cell r="E1738">
            <v>0</v>
          </cell>
          <cell r="F1738">
            <v>14</v>
          </cell>
          <cell r="G1738">
            <v>186</v>
          </cell>
          <cell r="H1738">
            <v>850</v>
          </cell>
        </row>
        <row r="1739">
          <cell r="A1739">
            <v>1759</v>
          </cell>
          <cell r="B1739" t="str">
            <v>SANTA HELLENA DULCEE 750ml</v>
          </cell>
          <cell r="C1739" t="str">
            <v>Pcs</v>
          </cell>
          <cell r="D1739">
            <v>137</v>
          </cell>
          <cell r="E1739">
            <v>0</v>
          </cell>
          <cell r="F1739">
            <v>0</v>
          </cell>
          <cell r="G1739">
            <v>137</v>
          </cell>
          <cell r="H1739">
            <v>850</v>
          </cell>
        </row>
        <row r="1740">
          <cell r="A1740">
            <v>1770</v>
          </cell>
          <cell r="B1740" t="str">
            <v>SCAVI &amp; RAY PROSECCO 750ML</v>
          </cell>
          <cell r="C1740" t="str">
            <v>Pcs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1800</v>
          </cell>
        </row>
        <row r="1741">
          <cell r="A1741">
            <v>2325</v>
          </cell>
          <cell r="B1741" t="str">
            <v>SECRET SAFARI CHERRY RED 750ML</v>
          </cell>
          <cell r="C1741" t="str">
            <v>Pcs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850</v>
          </cell>
        </row>
        <row r="1742">
          <cell r="A1742">
            <v>2980</v>
          </cell>
          <cell r="B1742" t="str">
            <v>SIGNORE GIUSEPPE PROSECCO SPUMANTE ROSE 750ML</v>
          </cell>
          <cell r="C1742" t="str">
            <v>Pcs</v>
          </cell>
          <cell r="D1742">
            <v>18</v>
          </cell>
          <cell r="E1742">
            <v>0</v>
          </cell>
          <cell r="F1742">
            <v>6</v>
          </cell>
          <cell r="G1742">
            <v>12</v>
          </cell>
          <cell r="H1742">
            <v>2300</v>
          </cell>
        </row>
        <row r="1743">
          <cell r="A1743">
            <v>2979</v>
          </cell>
          <cell r="B1743" t="str">
            <v>SIGNORE GIUSEPPE PROSECCO SPUMANTE WHITE 750ML</v>
          </cell>
          <cell r="C1743" t="str">
            <v>Pcs</v>
          </cell>
          <cell r="D1743">
            <v>36</v>
          </cell>
          <cell r="E1743">
            <v>0</v>
          </cell>
          <cell r="F1743">
            <v>12</v>
          </cell>
          <cell r="G1743">
            <v>24</v>
          </cell>
          <cell r="H1743">
            <v>2300</v>
          </cell>
        </row>
        <row r="1744">
          <cell r="A1744">
            <v>2478</v>
          </cell>
          <cell r="B1744" t="str">
            <v>SILK &amp;SPICE  750ML</v>
          </cell>
          <cell r="C1744" t="str">
            <v>Pcs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2500</v>
          </cell>
        </row>
        <row r="1745">
          <cell r="A1745">
            <v>2449</v>
          </cell>
          <cell r="B1745" t="str">
            <v>SIMONSIG CAB SAUV 750ML</v>
          </cell>
          <cell r="C1745" t="str">
            <v>Pcs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3500</v>
          </cell>
        </row>
        <row r="1746">
          <cell r="A1746">
            <v>1793</v>
          </cell>
          <cell r="B1746" t="str">
            <v>SIMONSIG CAB SAUV MERLOT 750ml</v>
          </cell>
          <cell r="C1746" t="str">
            <v>Pcs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1750</v>
          </cell>
        </row>
        <row r="1747">
          <cell r="A1747">
            <v>1794</v>
          </cell>
          <cell r="B1747" t="str">
            <v>SIMONSIG CAB SAUV SHIRAZ 750ml</v>
          </cell>
          <cell r="C1747" t="str">
            <v>Pcs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2000</v>
          </cell>
        </row>
        <row r="1748">
          <cell r="A1748">
            <v>1796</v>
          </cell>
          <cell r="B1748" t="str">
            <v>SIMONSIG PINOTAGE 750ml</v>
          </cell>
          <cell r="C1748" t="str">
            <v>Pcs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2300</v>
          </cell>
        </row>
        <row r="1749">
          <cell r="A1749">
            <v>1797</v>
          </cell>
          <cell r="B1749" t="str">
            <v>SIMONSIG SAUV BLANC SEMILLON 750ml</v>
          </cell>
          <cell r="C1749" t="str">
            <v>Pcs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1750</v>
          </cell>
        </row>
        <row r="1750">
          <cell r="A1750">
            <v>1861</v>
          </cell>
          <cell r="B1750" t="str">
            <v>SOUTHERN OCEAN SAUV BLANC 750ML</v>
          </cell>
          <cell r="C1750" t="str">
            <v>Pcs</v>
          </cell>
          <cell r="D1750">
            <v>6</v>
          </cell>
          <cell r="E1750">
            <v>0</v>
          </cell>
          <cell r="F1750">
            <v>6</v>
          </cell>
          <cell r="G1750">
            <v>0</v>
          </cell>
          <cell r="H1750">
            <v>2000</v>
          </cell>
        </row>
        <row r="1751">
          <cell r="A1751">
            <v>1867</v>
          </cell>
          <cell r="B1751" t="str">
            <v>SPUMANTE FESTA RED 750ML</v>
          </cell>
          <cell r="C1751" t="str">
            <v>Pcs</v>
          </cell>
          <cell r="D1751">
            <v>46</v>
          </cell>
          <cell r="E1751">
            <v>0</v>
          </cell>
          <cell r="F1751">
            <v>0</v>
          </cell>
          <cell r="G1751">
            <v>46</v>
          </cell>
          <cell r="H1751">
            <v>950</v>
          </cell>
        </row>
        <row r="1752">
          <cell r="A1752">
            <v>1868</v>
          </cell>
          <cell r="B1752" t="str">
            <v>SPUMANTE FESTA WHITE 750ML</v>
          </cell>
          <cell r="C1752" t="str">
            <v>Pcs</v>
          </cell>
          <cell r="D1752">
            <v>16</v>
          </cell>
          <cell r="E1752">
            <v>0</v>
          </cell>
          <cell r="F1752">
            <v>0</v>
          </cell>
          <cell r="G1752">
            <v>16</v>
          </cell>
          <cell r="H1752">
            <v>950</v>
          </cell>
        </row>
        <row r="1753">
          <cell r="A1753">
            <v>1881</v>
          </cell>
          <cell r="B1753" t="str">
            <v>STARCHASER  750ML</v>
          </cell>
          <cell r="C1753" t="str">
            <v>Pcs</v>
          </cell>
          <cell r="D1753">
            <v>1</v>
          </cell>
          <cell r="E1753">
            <v>0</v>
          </cell>
          <cell r="F1753">
            <v>0</v>
          </cell>
          <cell r="G1753">
            <v>1</v>
          </cell>
          <cell r="H1753">
            <v>500</v>
          </cell>
        </row>
        <row r="1754">
          <cell r="A1754">
            <v>1876</v>
          </cell>
          <cell r="B1754" t="str">
            <v>ST. CELINE 750ML</v>
          </cell>
          <cell r="C1754" t="str">
            <v>Pcs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850</v>
          </cell>
        </row>
        <row r="1755">
          <cell r="A1755">
            <v>1884</v>
          </cell>
          <cell r="B1755" t="str">
            <v>STELLENBOSCH VINEYARDS CAB SAUV 750ML</v>
          </cell>
          <cell r="C1755" t="str">
            <v>Pcs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1680</v>
          </cell>
        </row>
        <row r="1756">
          <cell r="A1756">
            <v>2375</v>
          </cell>
          <cell r="B1756" t="str">
            <v>SUNRISE 3LTR</v>
          </cell>
          <cell r="C1756" t="str">
            <v>Pcs</v>
          </cell>
          <cell r="D1756">
            <v>8</v>
          </cell>
          <cell r="E1756">
            <v>0</v>
          </cell>
          <cell r="F1756">
            <v>0</v>
          </cell>
          <cell r="G1756">
            <v>8</v>
          </cell>
          <cell r="H1756">
            <v>2500</v>
          </cell>
        </row>
        <row r="1757">
          <cell r="A1757">
            <v>1903</v>
          </cell>
          <cell r="B1757" t="str">
            <v>SUNRISE SAUV BLANC 1.5LTR</v>
          </cell>
          <cell r="C1757" t="str">
            <v>Pcs</v>
          </cell>
          <cell r="D1757">
            <v>0</v>
          </cell>
          <cell r="E1757">
            <v>2</v>
          </cell>
          <cell r="F1757">
            <v>0</v>
          </cell>
          <cell r="G1757">
            <v>2</v>
          </cell>
          <cell r="H1757">
            <v>2000</v>
          </cell>
        </row>
        <row r="1758">
          <cell r="A1758">
            <v>2249</v>
          </cell>
          <cell r="B1758" t="str">
            <v>SWARTLAND SAUV BLANC 750ML</v>
          </cell>
          <cell r="C1758" t="str">
            <v>Pcs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1300</v>
          </cell>
        </row>
        <row r="1759">
          <cell r="A1759">
            <v>2250</v>
          </cell>
          <cell r="B1759" t="str">
            <v>SWARTLAND  SYRAH 750ML</v>
          </cell>
          <cell r="C1759" t="str">
            <v>Pcs</v>
          </cell>
          <cell r="D1759">
            <v>24</v>
          </cell>
          <cell r="E1759">
            <v>0</v>
          </cell>
          <cell r="F1759">
            <v>0</v>
          </cell>
          <cell r="G1759">
            <v>24</v>
          </cell>
          <cell r="H1759">
            <v>1300</v>
          </cell>
        </row>
        <row r="1760">
          <cell r="A1760">
            <v>1905</v>
          </cell>
          <cell r="B1760" t="str">
            <v>SWARTLAND WINERY BRUT 750ML</v>
          </cell>
          <cell r="C1760" t="str">
            <v>Pcs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1300</v>
          </cell>
        </row>
        <row r="1761">
          <cell r="A1761">
            <v>1906</v>
          </cell>
          <cell r="B1761" t="str">
            <v>SWEET LIPS SWEET RED 1LTR</v>
          </cell>
          <cell r="C1761" t="str">
            <v>Pcs</v>
          </cell>
          <cell r="D1761">
            <v>42</v>
          </cell>
          <cell r="E1761">
            <v>150</v>
          </cell>
          <cell r="F1761">
            <v>24</v>
          </cell>
          <cell r="G1761">
            <v>168</v>
          </cell>
          <cell r="H1761">
            <v>1400</v>
          </cell>
        </row>
        <row r="1762">
          <cell r="A1762">
            <v>1907</v>
          </cell>
          <cell r="B1762" t="str">
            <v>SWEET LIPS SWEET ROSE 1LTR</v>
          </cell>
          <cell r="C1762" t="str">
            <v>Pcs</v>
          </cell>
          <cell r="D1762">
            <v>0</v>
          </cell>
          <cell r="E1762">
            <v>60</v>
          </cell>
          <cell r="F1762">
            <v>0</v>
          </cell>
          <cell r="G1762">
            <v>60</v>
          </cell>
          <cell r="H1762">
            <v>1400</v>
          </cell>
        </row>
        <row r="1763">
          <cell r="A1763">
            <v>1908</v>
          </cell>
          <cell r="B1763" t="str">
            <v>SWEET LIPS SWEET WHITE 1LTR</v>
          </cell>
          <cell r="C1763" t="str">
            <v>Pcs</v>
          </cell>
          <cell r="D1763">
            <v>0</v>
          </cell>
          <cell r="E1763">
            <v>90</v>
          </cell>
          <cell r="F1763">
            <v>12</v>
          </cell>
          <cell r="G1763">
            <v>78</v>
          </cell>
          <cell r="H1763">
            <v>1400</v>
          </cell>
        </row>
        <row r="1764">
          <cell r="A1764">
            <v>1925</v>
          </cell>
          <cell r="B1764" t="str">
            <v>TALL HORSE - CARB.SAUV. 750ML</v>
          </cell>
          <cell r="C1764" t="str">
            <v>Pcs</v>
          </cell>
          <cell r="D1764">
            <v>6</v>
          </cell>
          <cell r="E1764">
            <v>0</v>
          </cell>
          <cell r="F1764">
            <v>0</v>
          </cell>
          <cell r="G1764">
            <v>6</v>
          </cell>
          <cell r="H1764">
            <v>1200</v>
          </cell>
        </row>
        <row r="1765">
          <cell r="A1765">
            <v>1926</v>
          </cell>
          <cell r="B1765" t="str">
            <v>TALL HORSE - CHARDONNAY 750ML</v>
          </cell>
          <cell r="C1765" t="str">
            <v>Pcs</v>
          </cell>
          <cell r="D1765">
            <v>0</v>
          </cell>
          <cell r="E1765">
            <v>60</v>
          </cell>
          <cell r="F1765">
            <v>0</v>
          </cell>
          <cell r="G1765">
            <v>60</v>
          </cell>
          <cell r="H1765">
            <v>1200</v>
          </cell>
        </row>
        <row r="1766">
          <cell r="A1766">
            <v>1928</v>
          </cell>
          <cell r="B1766" t="str">
            <v>TALL HORSE MERLOT 750ML</v>
          </cell>
          <cell r="C1766" t="str">
            <v>Pcs</v>
          </cell>
          <cell r="D1766">
            <v>6</v>
          </cell>
          <cell r="E1766">
            <v>0</v>
          </cell>
          <cell r="F1766">
            <v>0</v>
          </cell>
          <cell r="G1766">
            <v>6</v>
          </cell>
          <cell r="H1766">
            <v>1200</v>
          </cell>
        </row>
        <row r="1767">
          <cell r="A1767">
            <v>1924</v>
          </cell>
          <cell r="B1767" t="str">
            <v>TALL HORSE -  PINOTAGE 750ML</v>
          </cell>
          <cell r="C1767" t="str">
            <v>Pcs</v>
          </cell>
          <cell r="D1767">
            <v>0</v>
          </cell>
          <cell r="E1767">
            <v>90</v>
          </cell>
          <cell r="F1767">
            <v>0</v>
          </cell>
          <cell r="G1767">
            <v>90</v>
          </cell>
          <cell r="H1767">
            <v>1200</v>
          </cell>
        </row>
        <row r="1768">
          <cell r="A1768">
            <v>2573</v>
          </cell>
          <cell r="B1768" t="str">
            <v>TASSENBERG  750ML</v>
          </cell>
          <cell r="C1768" t="str">
            <v>Pcs</v>
          </cell>
          <cell r="D1768">
            <v>36</v>
          </cell>
          <cell r="E1768">
            <v>0</v>
          </cell>
          <cell r="F1768">
            <v>0</v>
          </cell>
          <cell r="G1768">
            <v>36</v>
          </cell>
          <cell r="H1768">
            <v>1000</v>
          </cell>
        </row>
        <row r="1769">
          <cell r="A1769">
            <v>2978</v>
          </cell>
          <cell r="B1769" t="str">
            <v>TERRA LINDA CHARDONNAY WHITE 750ML</v>
          </cell>
          <cell r="C1769" t="str">
            <v>Pcs</v>
          </cell>
          <cell r="D1769">
            <v>18</v>
          </cell>
          <cell r="E1769">
            <v>0</v>
          </cell>
          <cell r="F1769">
            <v>0</v>
          </cell>
          <cell r="G1769">
            <v>18</v>
          </cell>
          <cell r="H1769">
            <v>2000</v>
          </cell>
        </row>
        <row r="1770">
          <cell r="A1770">
            <v>2914</v>
          </cell>
          <cell r="B1770" t="str">
            <v>TERRA LINDA GARNACHA RED 750ML</v>
          </cell>
          <cell r="C1770" t="str">
            <v>Pcs</v>
          </cell>
          <cell r="D1770">
            <v>36</v>
          </cell>
          <cell r="E1770">
            <v>0</v>
          </cell>
          <cell r="F1770">
            <v>6</v>
          </cell>
          <cell r="G1770">
            <v>30</v>
          </cell>
          <cell r="H1770">
            <v>2000</v>
          </cell>
        </row>
        <row r="1771">
          <cell r="A1771">
            <v>2708</v>
          </cell>
          <cell r="B1771" t="str">
            <v>TERRA LINDA SYRAH RED 750ML</v>
          </cell>
          <cell r="C1771" t="str">
            <v>Pcs</v>
          </cell>
          <cell r="D1771">
            <v>36</v>
          </cell>
          <cell r="E1771">
            <v>30</v>
          </cell>
          <cell r="F1771">
            <v>12</v>
          </cell>
          <cell r="G1771">
            <v>54</v>
          </cell>
          <cell r="H1771">
            <v>2000</v>
          </cell>
        </row>
        <row r="1772">
          <cell r="A1772">
            <v>1955</v>
          </cell>
          <cell r="B1772" t="str">
            <v>THE BEACHHOUSE ROSE 750ML</v>
          </cell>
          <cell r="C1772" t="str">
            <v>Pcs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1200</v>
          </cell>
        </row>
        <row r="1773">
          <cell r="A1773">
            <v>1956</v>
          </cell>
          <cell r="B1773" t="str">
            <v>THE BEACHHOUSE SHIRAZ 750ML</v>
          </cell>
          <cell r="C1773" t="str">
            <v>Pcs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1200</v>
          </cell>
        </row>
        <row r="1774">
          <cell r="A1774">
            <v>1960</v>
          </cell>
          <cell r="B1774" t="str">
            <v>THE CHOCOLATE BLOCK 750ML</v>
          </cell>
          <cell r="C1774" t="str">
            <v>Pcs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4500</v>
          </cell>
        </row>
        <row r="1775">
          <cell r="A1775">
            <v>2286</v>
          </cell>
          <cell r="B1775" t="str">
            <v>THE DEN SAUVIGNON BLANC 700ML</v>
          </cell>
          <cell r="C1775" t="str">
            <v>Pcs</v>
          </cell>
          <cell r="D1775">
            <v>1</v>
          </cell>
          <cell r="E1775">
            <v>0</v>
          </cell>
          <cell r="F1775">
            <v>0</v>
          </cell>
          <cell r="G1775">
            <v>1</v>
          </cell>
          <cell r="H1775">
            <v>1000</v>
          </cell>
        </row>
        <row r="1776">
          <cell r="A1776">
            <v>1980</v>
          </cell>
          <cell r="B1776" t="str">
            <v>THE GUVNOR RED 1.5LTR</v>
          </cell>
          <cell r="C1776" t="str">
            <v>Pcs</v>
          </cell>
          <cell r="D1776">
            <v>78</v>
          </cell>
          <cell r="E1776">
            <v>0</v>
          </cell>
          <cell r="F1776">
            <v>0</v>
          </cell>
          <cell r="G1776">
            <v>78</v>
          </cell>
          <cell r="H1776">
            <v>3200</v>
          </cell>
        </row>
        <row r="1777">
          <cell r="A1777">
            <v>1978</v>
          </cell>
          <cell r="B1777" t="str">
            <v>THE GUV'NOR RED 750ML</v>
          </cell>
          <cell r="C1777" t="str">
            <v>Pcs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1700</v>
          </cell>
        </row>
        <row r="1778">
          <cell r="A1778">
            <v>2337</v>
          </cell>
          <cell r="B1778" t="str">
            <v>THE GUV'NOR WHITE 750ML</v>
          </cell>
          <cell r="C1778" t="str">
            <v>Pcs</v>
          </cell>
          <cell r="D1778">
            <v>19</v>
          </cell>
          <cell r="E1778">
            <v>0</v>
          </cell>
          <cell r="F1778">
            <v>12</v>
          </cell>
          <cell r="G1778">
            <v>7</v>
          </cell>
          <cell r="H1778">
            <v>1700</v>
          </cell>
        </row>
        <row r="1779">
          <cell r="A1779">
            <v>2528</v>
          </cell>
          <cell r="B1779" t="str">
            <v>THREE MONKEYS SEMI SWEET RED 750ML</v>
          </cell>
          <cell r="C1779" t="str">
            <v>Pcs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1250</v>
          </cell>
        </row>
        <row r="1780">
          <cell r="A1780">
            <v>2446</v>
          </cell>
          <cell r="B1780" t="str">
            <v>THREE MONKEY'S WHITE 750ML</v>
          </cell>
          <cell r="C1780" t="str">
            <v>Pcs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1200</v>
          </cell>
        </row>
        <row r="1781">
          <cell r="A1781">
            <v>2253</v>
          </cell>
          <cell r="B1781" t="str">
            <v>TIA MARIA VANILLA 1LTR</v>
          </cell>
          <cell r="C1781" t="str">
            <v>Pcs</v>
          </cell>
          <cell r="D1781">
            <v>66</v>
          </cell>
          <cell r="E1781">
            <v>0</v>
          </cell>
          <cell r="F1781">
            <v>0</v>
          </cell>
          <cell r="G1781">
            <v>66</v>
          </cell>
          <cell r="H1781">
            <v>3000</v>
          </cell>
        </row>
        <row r="1782">
          <cell r="A1782">
            <v>1992</v>
          </cell>
          <cell r="B1782" t="str">
            <v>TILIA CAB SAUV 750ML</v>
          </cell>
          <cell r="C1782" t="str">
            <v>Pcs</v>
          </cell>
          <cell r="D1782">
            <v>110</v>
          </cell>
          <cell r="E1782">
            <v>0</v>
          </cell>
          <cell r="F1782">
            <v>0</v>
          </cell>
          <cell r="G1782">
            <v>110</v>
          </cell>
          <cell r="H1782">
            <v>1400</v>
          </cell>
        </row>
        <row r="1783">
          <cell r="A1783">
            <v>1993</v>
          </cell>
          <cell r="B1783" t="str">
            <v>TILIA CHARDONNAY 750ML</v>
          </cell>
          <cell r="C1783" t="str">
            <v>Pcs</v>
          </cell>
          <cell r="D1783">
            <v>9</v>
          </cell>
          <cell r="E1783">
            <v>0</v>
          </cell>
          <cell r="F1783">
            <v>9</v>
          </cell>
          <cell r="G1783">
            <v>0</v>
          </cell>
          <cell r="H1783">
            <v>1400</v>
          </cell>
        </row>
        <row r="1784">
          <cell r="A1784">
            <v>1994</v>
          </cell>
          <cell r="B1784" t="str">
            <v>TILIA MALBEC 750ML</v>
          </cell>
          <cell r="C1784" t="str">
            <v>Pcs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1400</v>
          </cell>
        </row>
        <row r="1785">
          <cell r="A1785">
            <v>2001</v>
          </cell>
          <cell r="B1785" t="str">
            <v>TOMMASI 750ML</v>
          </cell>
          <cell r="C1785" t="str">
            <v>Pcs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1400</v>
          </cell>
        </row>
        <row r="1786">
          <cell r="A1786">
            <v>2002</v>
          </cell>
          <cell r="B1786" t="str">
            <v>TOMMASI AMARONE DELLA VALPOLICELLA CLASSICO  750ML</v>
          </cell>
          <cell r="C1786" t="str">
            <v>Pcs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6500</v>
          </cell>
        </row>
        <row r="1787">
          <cell r="A1787">
            <v>2361</v>
          </cell>
          <cell r="B1787" t="str">
            <v>TOMMASI BARDOLINO 750ML</v>
          </cell>
          <cell r="C1787" t="str">
            <v>Pcs</v>
          </cell>
          <cell r="D1787">
            <v>18</v>
          </cell>
          <cell r="E1787">
            <v>0</v>
          </cell>
          <cell r="F1787">
            <v>0</v>
          </cell>
          <cell r="G1787">
            <v>18</v>
          </cell>
          <cell r="H1787">
            <v>2300</v>
          </cell>
        </row>
        <row r="1788">
          <cell r="A1788">
            <v>2254</v>
          </cell>
          <cell r="B1788" t="str">
            <v>TOMMASI MERLOT 750ML</v>
          </cell>
          <cell r="C1788" t="str">
            <v>Pcs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1800</v>
          </cell>
        </row>
        <row r="1789">
          <cell r="A1789">
            <v>2003</v>
          </cell>
          <cell r="B1789" t="str">
            <v>TOMMASI PINOTAGE 750ML</v>
          </cell>
          <cell r="C1789" t="str">
            <v>Pcs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1400</v>
          </cell>
        </row>
        <row r="1790">
          <cell r="A1790">
            <v>2362</v>
          </cell>
          <cell r="B1790" t="str">
            <v>TOMMASI PINOT GRIGIO 750ML</v>
          </cell>
          <cell r="C1790" t="str">
            <v>Pcs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2300</v>
          </cell>
        </row>
        <row r="1791">
          <cell r="A1791">
            <v>2364</v>
          </cell>
          <cell r="B1791" t="str">
            <v>TOMMASI RIPASO 750ML</v>
          </cell>
          <cell r="C1791" t="str">
            <v>Pcs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2300</v>
          </cell>
        </row>
        <row r="1792">
          <cell r="A1792">
            <v>2004</v>
          </cell>
          <cell r="B1792" t="str">
            <v>TOMMASI SOAVE CLASSICO 750ML</v>
          </cell>
          <cell r="C1792" t="str">
            <v>Pcs</v>
          </cell>
          <cell r="D1792">
            <v>17</v>
          </cell>
          <cell r="E1792">
            <v>0</v>
          </cell>
          <cell r="F1792">
            <v>0</v>
          </cell>
          <cell r="G1792">
            <v>17</v>
          </cell>
          <cell r="H1792">
            <v>1400</v>
          </cell>
        </row>
        <row r="1793">
          <cell r="A1793">
            <v>2363</v>
          </cell>
          <cell r="B1793" t="str">
            <v>TOMMASI VALIPOLICELLA 750ML</v>
          </cell>
          <cell r="C1793" t="str">
            <v>Pcs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2300</v>
          </cell>
        </row>
        <row r="1794">
          <cell r="A1794">
            <v>2585</v>
          </cell>
          <cell r="B1794" t="str">
            <v>TONS DE DUORUM RED 750ML</v>
          </cell>
          <cell r="C1794" t="str">
            <v>Pcs</v>
          </cell>
          <cell r="D1794">
            <v>24</v>
          </cell>
          <cell r="E1794">
            <v>0</v>
          </cell>
          <cell r="F1794">
            <v>0</v>
          </cell>
          <cell r="G1794">
            <v>24</v>
          </cell>
          <cell r="H1794">
            <v>1400</v>
          </cell>
        </row>
        <row r="1795">
          <cell r="A1795">
            <v>2587</v>
          </cell>
          <cell r="B1795" t="str">
            <v>TONS DE DUORUM ROSE 750</v>
          </cell>
          <cell r="C1795" t="str">
            <v>Pcs</v>
          </cell>
          <cell r="D1795">
            <v>6</v>
          </cell>
          <cell r="E1795">
            <v>0</v>
          </cell>
          <cell r="F1795">
            <v>0</v>
          </cell>
          <cell r="G1795">
            <v>6</v>
          </cell>
          <cell r="H1795">
            <v>1400</v>
          </cell>
        </row>
        <row r="1796">
          <cell r="A1796">
            <v>2586</v>
          </cell>
          <cell r="B1796" t="str">
            <v>TONS DE DUORUM WHITE 750ML</v>
          </cell>
          <cell r="C1796" t="str">
            <v>Pcs</v>
          </cell>
          <cell r="D1796">
            <v>30</v>
          </cell>
          <cell r="E1796">
            <v>0</v>
          </cell>
          <cell r="F1796">
            <v>0</v>
          </cell>
          <cell r="G1796">
            <v>30</v>
          </cell>
          <cell r="H1796">
            <v>1400</v>
          </cell>
        </row>
        <row r="1797">
          <cell r="A1797">
            <v>2012</v>
          </cell>
          <cell r="B1797" t="str">
            <v>TRUMPETER CAB FRANC 2012 750ML</v>
          </cell>
          <cell r="C1797" t="str">
            <v>Pcs</v>
          </cell>
          <cell r="D1797">
            <v>48</v>
          </cell>
          <cell r="E1797">
            <v>0</v>
          </cell>
          <cell r="F1797">
            <v>0</v>
          </cell>
          <cell r="G1797">
            <v>48</v>
          </cell>
          <cell r="H1797">
            <v>1850</v>
          </cell>
        </row>
        <row r="1798">
          <cell r="A1798">
            <v>2013</v>
          </cell>
          <cell r="B1798" t="str">
            <v>TRUMPETER CAB SAUV 750ML</v>
          </cell>
          <cell r="C1798" t="str">
            <v>Pcs</v>
          </cell>
          <cell r="D1798">
            <v>18</v>
          </cell>
          <cell r="E1798">
            <v>0</v>
          </cell>
          <cell r="F1798">
            <v>18</v>
          </cell>
          <cell r="G1798">
            <v>0</v>
          </cell>
          <cell r="H1798">
            <v>1850</v>
          </cell>
        </row>
        <row r="1799">
          <cell r="A1799">
            <v>2014</v>
          </cell>
          <cell r="B1799" t="str">
            <v>TRUMPETER MALBEC 750ML</v>
          </cell>
          <cell r="C1799" t="str">
            <v>Pcs</v>
          </cell>
          <cell r="D1799">
            <v>24</v>
          </cell>
          <cell r="E1799">
            <v>0</v>
          </cell>
          <cell r="F1799">
            <v>24</v>
          </cell>
          <cell r="G1799">
            <v>0</v>
          </cell>
          <cell r="H1799">
            <v>1850</v>
          </cell>
        </row>
        <row r="1800">
          <cell r="A1800">
            <v>2015</v>
          </cell>
          <cell r="B1800" t="str">
            <v>TRUMPETER MERLOT 2020 750ML</v>
          </cell>
          <cell r="C1800" t="str">
            <v>Pcs</v>
          </cell>
          <cell r="D1800">
            <v>54</v>
          </cell>
          <cell r="E1800">
            <v>0</v>
          </cell>
          <cell r="F1800">
            <v>24</v>
          </cell>
          <cell r="G1800">
            <v>30</v>
          </cell>
          <cell r="H1800">
            <v>1850</v>
          </cell>
        </row>
        <row r="1801">
          <cell r="A1801">
            <v>2016</v>
          </cell>
          <cell r="B1801" t="str">
            <v>TRUMPETER PINOT NOIR 750ml</v>
          </cell>
          <cell r="C1801" t="str">
            <v>Pcs</v>
          </cell>
          <cell r="D1801">
            <v>54</v>
          </cell>
          <cell r="E1801">
            <v>0</v>
          </cell>
          <cell r="F1801">
            <v>6</v>
          </cell>
          <cell r="G1801">
            <v>48</v>
          </cell>
          <cell r="H1801">
            <v>2000</v>
          </cell>
        </row>
        <row r="1802">
          <cell r="A1802">
            <v>2445</v>
          </cell>
          <cell r="B1802" t="str">
            <v>TRUMPETER RESERVE MALBEC 750ML</v>
          </cell>
          <cell r="C1802" t="str">
            <v>Pcs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2200</v>
          </cell>
        </row>
        <row r="1803">
          <cell r="A1803">
            <v>2017</v>
          </cell>
          <cell r="B1803" t="str">
            <v>TRUMPETER ROSE DE MALBEC 750ml</v>
          </cell>
          <cell r="C1803" t="str">
            <v>Pcs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1850</v>
          </cell>
        </row>
        <row r="1804">
          <cell r="A1804">
            <v>2018</v>
          </cell>
          <cell r="B1804" t="str">
            <v>TRUMPETER SAUV BLANC 2021 750ML</v>
          </cell>
          <cell r="C1804" t="str">
            <v>Pcs</v>
          </cell>
          <cell r="D1804">
            <v>30</v>
          </cell>
          <cell r="E1804">
            <v>0</v>
          </cell>
          <cell r="F1804">
            <v>24</v>
          </cell>
          <cell r="G1804">
            <v>6</v>
          </cell>
          <cell r="H1804">
            <v>1850</v>
          </cell>
        </row>
        <row r="1805">
          <cell r="A1805">
            <v>2031</v>
          </cell>
          <cell r="B1805" t="str">
            <v>TUSSOCK JUMPER CAB SAUV 750ml</v>
          </cell>
          <cell r="C1805" t="str">
            <v>Pcs</v>
          </cell>
          <cell r="D1805">
            <v>4</v>
          </cell>
          <cell r="E1805">
            <v>0</v>
          </cell>
          <cell r="F1805">
            <v>0</v>
          </cell>
          <cell r="G1805">
            <v>4</v>
          </cell>
          <cell r="H1805">
            <v>1750</v>
          </cell>
        </row>
        <row r="1806">
          <cell r="A1806">
            <v>2032</v>
          </cell>
          <cell r="B1806" t="str">
            <v>TUSSOCK JUMPER MALBEC 750ml</v>
          </cell>
          <cell r="C1806" t="str">
            <v>Pcs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1750</v>
          </cell>
        </row>
        <row r="1807">
          <cell r="A1807">
            <v>2033</v>
          </cell>
          <cell r="B1807" t="str">
            <v>TUSSOCK JUMPER SAUV BLANC 750ml</v>
          </cell>
          <cell r="C1807" t="str">
            <v>Pcs</v>
          </cell>
          <cell r="D1807">
            <v>4</v>
          </cell>
          <cell r="E1807">
            <v>0</v>
          </cell>
          <cell r="F1807">
            <v>0</v>
          </cell>
          <cell r="G1807">
            <v>4</v>
          </cell>
          <cell r="H1807">
            <v>1750</v>
          </cell>
        </row>
        <row r="1808">
          <cell r="A1808">
            <v>2034</v>
          </cell>
          <cell r="B1808" t="str">
            <v>TWIGA HILL 750ML</v>
          </cell>
          <cell r="C1808" t="str">
            <v>Pcs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1000</v>
          </cell>
        </row>
        <row r="1809">
          <cell r="A1809">
            <v>2287</v>
          </cell>
          <cell r="B1809" t="str">
            <v>TWIGA HILL CAB SAUV 700ML</v>
          </cell>
          <cell r="C1809" t="str">
            <v>Pcs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1000</v>
          </cell>
        </row>
        <row r="1810">
          <cell r="A1810">
            <v>2288</v>
          </cell>
          <cell r="B1810" t="str">
            <v>TWIGA HILL CHENIN BLANC 700ML</v>
          </cell>
          <cell r="C1810" t="str">
            <v>Pcs</v>
          </cell>
          <cell r="D1810">
            <v>1</v>
          </cell>
          <cell r="E1810">
            <v>0</v>
          </cell>
          <cell r="F1810">
            <v>0</v>
          </cell>
          <cell r="G1810">
            <v>1</v>
          </cell>
          <cell r="H1810">
            <v>1000</v>
          </cell>
        </row>
        <row r="1811">
          <cell r="A1811">
            <v>2289</v>
          </cell>
          <cell r="B1811" t="str">
            <v>TWIGA HILL MERLOT 700ML</v>
          </cell>
          <cell r="C1811" t="str">
            <v>Pcs</v>
          </cell>
          <cell r="D1811">
            <v>2</v>
          </cell>
          <cell r="E1811">
            <v>0</v>
          </cell>
          <cell r="F1811">
            <v>0</v>
          </cell>
          <cell r="G1811">
            <v>2</v>
          </cell>
          <cell r="H1811">
            <v>1000</v>
          </cell>
        </row>
        <row r="1812">
          <cell r="A1812">
            <v>2933</v>
          </cell>
          <cell r="B1812" t="str">
            <v>TWINS DRY RED TINTO 5L</v>
          </cell>
          <cell r="C1812" t="str">
            <v>Pcs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4000</v>
          </cell>
        </row>
        <row r="1813">
          <cell r="A1813">
            <v>2934</v>
          </cell>
          <cell r="B1813" t="str">
            <v>TWINS DRY WHITE BLANCO 5L</v>
          </cell>
          <cell r="C1813" t="str">
            <v>Pcs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3780</v>
          </cell>
        </row>
        <row r="1814">
          <cell r="A1814">
            <v>2444</v>
          </cell>
          <cell r="B1814" t="str">
            <v>TWO OCEANS CAB SAUV MERLOT 750ML</v>
          </cell>
          <cell r="C1814" t="str">
            <v>Pcs</v>
          </cell>
          <cell r="D1814">
            <v>24</v>
          </cell>
          <cell r="E1814">
            <v>0</v>
          </cell>
          <cell r="F1814">
            <v>0</v>
          </cell>
          <cell r="G1814">
            <v>24</v>
          </cell>
          <cell r="H1814">
            <v>1200</v>
          </cell>
        </row>
        <row r="1815">
          <cell r="A1815">
            <v>2036</v>
          </cell>
          <cell r="B1815" t="str">
            <v>TWO OCEANS SAUV BLANC 750ML</v>
          </cell>
          <cell r="C1815" t="str">
            <v>Pcs</v>
          </cell>
          <cell r="D1815">
            <v>4</v>
          </cell>
          <cell r="E1815">
            <v>0</v>
          </cell>
          <cell r="F1815">
            <v>0</v>
          </cell>
          <cell r="G1815">
            <v>4</v>
          </cell>
          <cell r="H1815">
            <v>1200</v>
          </cell>
        </row>
        <row r="1816">
          <cell r="A1816">
            <v>2830</v>
          </cell>
          <cell r="B1816" t="str">
            <v>UNDURRAGA CAB SAUV 750ML</v>
          </cell>
          <cell r="C1816" t="str">
            <v>Pcs</v>
          </cell>
          <cell r="D1816">
            <v>24</v>
          </cell>
          <cell r="E1816">
            <v>0</v>
          </cell>
          <cell r="F1816">
            <v>0</v>
          </cell>
          <cell r="G1816">
            <v>24</v>
          </cell>
          <cell r="H1816">
            <v>1155</v>
          </cell>
        </row>
        <row r="1817">
          <cell r="A1817">
            <v>2437</v>
          </cell>
          <cell r="B1817" t="str">
            <v>UNDURRAGA CARMENERE</v>
          </cell>
          <cell r="C1817" t="str">
            <v>Pcs</v>
          </cell>
          <cell r="D1817">
            <v>12</v>
          </cell>
          <cell r="E1817">
            <v>0</v>
          </cell>
          <cell r="F1817">
            <v>0</v>
          </cell>
          <cell r="G1817">
            <v>12</v>
          </cell>
          <cell r="H1817">
            <v>1390</v>
          </cell>
        </row>
        <row r="1818">
          <cell r="A1818">
            <v>2436</v>
          </cell>
          <cell r="B1818" t="str">
            <v>UNDURRAGA MERLOT</v>
          </cell>
          <cell r="C1818" t="str">
            <v>Pcs</v>
          </cell>
          <cell r="D1818">
            <v>24</v>
          </cell>
          <cell r="E1818">
            <v>0</v>
          </cell>
          <cell r="F1818">
            <v>0</v>
          </cell>
          <cell r="G1818">
            <v>24</v>
          </cell>
          <cell r="H1818">
            <v>1390</v>
          </cell>
        </row>
        <row r="1819">
          <cell r="A1819">
            <v>2037</v>
          </cell>
          <cell r="B1819" t="str">
            <v>UPPER VALLEY DRY RED 1.5ltr</v>
          </cell>
          <cell r="C1819" t="str">
            <v>Pcs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2300</v>
          </cell>
        </row>
        <row r="1820">
          <cell r="A1820">
            <v>2371</v>
          </cell>
          <cell r="B1820" t="str">
            <v>UPPER VALLEY DRY RED 750ML</v>
          </cell>
          <cell r="C1820" t="str">
            <v>Pcs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1200</v>
          </cell>
        </row>
        <row r="1821">
          <cell r="A1821">
            <v>2040</v>
          </cell>
          <cell r="B1821" t="str">
            <v>UPPER VALLEY SWEET WHITE 750ML</v>
          </cell>
          <cell r="C1821" t="str">
            <v>Pcs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1200</v>
          </cell>
        </row>
        <row r="1822">
          <cell r="A1822">
            <v>2553</v>
          </cell>
          <cell r="B1822" t="str">
            <v>VAN AFRICAN JAVA PINOTAGE 750ML</v>
          </cell>
          <cell r="C1822" t="str">
            <v>Pcs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1550</v>
          </cell>
        </row>
        <row r="1823">
          <cell r="A1823">
            <v>2554</v>
          </cell>
          <cell r="B1823" t="str">
            <v>VAN BLANC DE BLANC 750ML</v>
          </cell>
          <cell r="C1823" t="str">
            <v>Pcs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1150</v>
          </cell>
        </row>
        <row r="1824">
          <cell r="A1824">
            <v>2555</v>
          </cell>
          <cell r="B1824" t="str">
            <v>VAN BRUT SPARKLING 750ML</v>
          </cell>
          <cell r="C1824" t="str">
            <v>Pcs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1600</v>
          </cell>
        </row>
        <row r="1825">
          <cell r="A1825">
            <v>2557</v>
          </cell>
          <cell r="B1825" t="str">
            <v>VAN CHENIN BLANC NO 5 750ML</v>
          </cell>
          <cell r="C1825" t="str">
            <v>Pcs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1450</v>
          </cell>
        </row>
        <row r="1826">
          <cell r="A1826">
            <v>2558</v>
          </cell>
          <cell r="B1826" t="str">
            <v>VAN GEWURZTRAMINER 750ML</v>
          </cell>
          <cell r="C1826" t="str">
            <v>Pcs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1400</v>
          </cell>
        </row>
        <row r="1827">
          <cell r="A1827">
            <v>2255</v>
          </cell>
          <cell r="B1827" t="str">
            <v>VAN LOVEREN CAB SAUV 700ML</v>
          </cell>
          <cell r="C1827" t="str">
            <v>Pcs</v>
          </cell>
          <cell r="D1827">
            <v>6</v>
          </cell>
          <cell r="E1827">
            <v>0</v>
          </cell>
          <cell r="F1827">
            <v>0</v>
          </cell>
          <cell r="G1827">
            <v>6</v>
          </cell>
          <cell r="H1827">
            <v>3200</v>
          </cell>
        </row>
        <row r="1828">
          <cell r="A1828">
            <v>2257</v>
          </cell>
          <cell r="B1828" t="str">
            <v>VAN LOVEREN CHENIN BLANC 750ML</v>
          </cell>
          <cell r="C1828" t="str">
            <v>Pcs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3200</v>
          </cell>
        </row>
        <row r="1829">
          <cell r="A1829">
            <v>2559</v>
          </cell>
          <cell r="B1829" t="str">
            <v>VAN MOSCATO ROSE PERLE 750ML</v>
          </cell>
          <cell r="C1829" t="str">
            <v>Pcs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1200</v>
          </cell>
        </row>
        <row r="1830">
          <cell r="A1830">
            <v>2560</v>
          </cell>
          <cell r="B1830" t="str">
            <v>VAN RIVER RED SHIRAZ PINOTAGE 750ML</v>
          </cell>
          <cell r="C1830" t="str">
            <v>Pcs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1200</v>
          </cell>
        </row>
        <row r="1831">
          <cell r="A1831">
            <v>2531</v>
          </cell>
          <cell r="B1831" t="str">
            <v>VAN SAUVIGNON BLANC 750ML</v>
          </cell>
          <cell r="C1831" t="str">
            <v>Pcs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1400</v>
          </cell>
        </row>
        <row r="1832">
          <cell r="A1832">
            <v>2052</v>
          </cell>
          <cell r="B1832" t="str">
            <v>VERSUS RED DRY 1LTR </v>
          </cell>
          <cell r="C1832" t="str">
            <v>Pcs</v>
          </cell>
          <cell r="D1832">
            <v>334</v>
          </cell>
          <cell r="E1832">
            <v>0</v>
          </cell>
          <cell r="F1832">
            <v>0</v>
          </cell>
          <cell r="G1832">
            <v>334</v>
          </cell>
          <cell r="H1832">
            <v>1100</v>
          </cell>
        </row>
        <row r="1833">
          <cell r="A1833">
            <v>2053</v>
          </cell>
          <cell r="B1833" t="str">
            <v>VERSUS SWEET RED 750ML</v>
          </cell>
          <cell r="C1833" t="str">
            <v>Pcs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930</v>
          </cell>
        </row>
        <row r="1834">
          <cell r="A1834">
            <v>2054</v>
          </cell>
          <cell r="B1834" t="str">
            <v>VERSUS SWEET WHITE 750ML</v>
          </cell>
          <cell r="C1834" t="str">
            <v>Pcs</v>
          </cell>
          <cell r="D1834">
            <v>26</v>
          </cell>
          <cell r="E1834">
            <v>0</v>
          </cell>
          <cell r="F1834">
            <v>0</v>
          </cell>
          <cell r="G1834">
            <v>26</v>
          </cell>
          <cell r="H1834">
            <v>930</v>
          </cell>
        </row>
        <row r="1835">
          <cell r="A1835">
            <v>2055</v>
          </cell>
          <cell r="B1835" t="str">
            <v>VERSUS WHITE DRY 1LTR</v>
          </cell>
          <cell r="C1835" t="str">
            <v>Pcs</v>
          </cell>
          <cell r="D1835">
            <v>246</v>
          </cell>
          <cell r="E1835">
            <v>0</v>
          </cell>
          <cell r="F1835">
            <v>0</v>
          </cell>
          <cell r="G1835">
            <v>246</v>
          </cell>
          <cell r="H1835">
            <v>1100</v>
          </cell>
        </row>
        <row r="1836">
          <cell r="A1836">
            <v>2063</v>
          </cell>
          <cell r="B1836" t="str">
            <v>VILAVERARONI PROSECCO BRUT 750ml</v>
          </cell>
          <cell r="C1836" t="str">
            <v>Pcs</v>
          </cell>
          <cell r="D1836">
            <v>12</v>
          </cell>
          <cell r="E1836">
            <v>0</v>
          </cell>
          <cell r="F1836">
            <v>12</v>
          </cell>
          <cell r="G1836">
            <v>0</v>
          </cell>
          <cell r="H1836">
            <v>2300</v>
          </cell>
        </row>
        <row r="1837">
          <cell r="A1837">
            <v>2065</v>
          </cell>
          <cell r="B1837" t="str">
            <v>VINA MAIPO MOSCATO 750ML</v>
          </cell>
          <cell r="C1837" t="str">
            <v>Pcs</v>
          </cell>
          <cell r="D1837">
            <v>2</v>
          </cell>
          <cell r="E1837">
            <v>0</v>
          </cell>
          <cell r="F1837">
            <v>0</v>
          </cell>
          <cell r="G1837">
            <v>2</v>
          </cell>
          <cell r="H1837">
            <v>1100</v>
          </cell>
        </row>
        <row r="1838">
          <cell r="A1838">
            <v>2067</v>
          </cell>
          <cell r="B1838" t="str">
            <v>VINA MAIPO SAUV BLANC 750ML</v>
          </cell>
          <cell r="C1838" t="str">
            <v>Pcs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1200</v>
          </cell>
        </row>
        <row r="1839">
          <cell r="A1839">
            <v>2068</v>
          </cell>
          <cell r="B1839" t="str">
            <v>VINA MAIPO SWEET RED 750ML</v>
          </cell>
          <cell r="C1839" t="str">
            <v>Pcs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1200</v>
          </cell>
        </row>
        <row r="1840">
          <cell r="A1840">
            <v>2291</v>
          </cell>
          <cell r="B1840" t="str">
            <v>VINCLES SUMA MOCA 750ML</v>
          </cell>
          <cell r="C1840" t="str">
            <v>Pcs</v>
          </cell>
          <cell r="D1840">
            <v>1</v>
          </cell>
          <cell r="E1840">
            <v>0</v>
          </cell>
          <cell r="F1840">
            <v>0</v>
          </cell>
          <cell r="G1840">
            <v>1</v>
          </cell>
          <cell r="H1840">
            <v>700</v>
          </cell>
        </row>
        <row r="1841">
          <cell r="A1841">
            <v>2535</v>
          </cell>
          <cell r="B1841" t="str">
            <v>VINO DE MISA SWEET RED SUPERIOR 750ML</v>
          </cell>
          <cell r="C1841" t="str">
            <v>Pcs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1850</v>
          </cell>
        </row>
        <row r="1842">
          <cell r="A1842">
            <v>2524</v>
          </cell>
          <cell r="B1842" t="str">
            <v>VINUM CHIANTI RESERVA 750ML</v>
          </cell>
          <cell r="C1842" t="str">
            <v>Pcs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2200</v>
          </cell>
        </row>
        <row r="1843">
          <cell r="A1843">
            <v>2529</v>
          </cell>
          <cell r="B1843" t="str">
            <v>VINUM IL ROSSO DABRUZZO ORGANIC 750ML</v>
          </cell>
          <cell r="C1843" t="str">
            <v>Pcs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2100</v>
          </cell>
        </row>
        <row r="1844">
          <cell r="A1844">
            <v>2525</v>
          </cell>
          <cell r="B1844" t="str">
            <v>VINUM MOSCATO DASTI 750ML</v>
          </cell>
          <cell r="C1844" t="str">
            <v>Pcs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2150</v>
          </cell>
        </row>
        <row r="1845">
          <cell r="A1845">
            <v>2069</v>
          </cell>
          <cell r="B1845" t="str">
            <v>VINUM PROSECO 750ML</v>
          </cell>
          <cell r="C1845" t="str">
            <v>Pcs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2300</v>
          </cell>
        </row>
        <row r="1846">
          <cell r="A1846">
            <v>2070</v>
          </cell>
          <cell r="B1846" t="str">
            <v>WARWICK 750ML</v>
          </cell>
          <cell r="C1846" t="str">
            <v>Pcs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1200</v>
          </cell>
        </row>
        <row r="1847">
          <cell r="A1847">
            <v>2365</v>
          </cell>
          <cell r="B1847" t="str">
            <v>WATERFORD PEBBLE HILL 750ML</v>
          </cell>
          <cell r="C1847" t="str">
            <v>Pcs</v>
          </cell>
          <cell r="D1847">
            <v>18</v>
          </cell>
          <cell r="E1847">
            <v>0</v>
          </cell>
          <cell r="F1847">
            <v>0</v>
          </cell>
          <cell r="G1847">
            <v>18</v>
          </cell>
          <cell r="H1847">
            <v>1800</v>
          </cell>
        </row>
        <row r="1848">
          <cell r="A1848">
            <v>2072</v>
          </cell>
          <cell r="B1848" t="str">
            <v>WATERFORD ROSEMARY 750ML</v>
          </cell>
          <cell r="C1848" t="str">
            <v>Pcs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1200</v>
          </cell>
        </row>
        <row r="1849">
          <cell r="A1849">
            <v>2071</v>
          </cell>
          <cell r="B1849" t="str">
            <v>WATERFORD SAUV BLANC 750ML</v>
          </cell>
          <cell r="C1849" t="str">
            <v>Pcs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1200</v>
          </cell>
        </row>
        <row r="1850">
          <cell r="A1850">
            <v>2256</v>
          </cell>
          <cell r="B1850" t="str">
            <v>WAVE DANCER SWT WHITE  700ML</v>
          </cell>
          <cell r="C1850" t="str">
            <v>Pcs</v>
          </cell>
          <cell r="D1850">
            <v>5</v>
          </cell>
          <cell r="E1850">
            <v>0</v>
          </cell>
          <cell r="F1850">
            <v>0</v>
          </cell>
          <cell r="G1850">
            <v>5</v>
          </cell>
          <cell r="H1850">
            <v>500</v>
          </cell>
        </row>
        <row r="1851">
          <cell r="A1851">
            <v>2073</v>
          </cell>
          <cell r="B1851" t="str">
            <v>WAVE DANGER 750ML</v>
          </cell>
          <cell r="C1851" t="str">
            <v>Pcs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500</v>
          </cell>
        </row>
        <row r="1852">
          <cell r="A1852">
            <v>2075</v>
          </cell>
          <cell r="B1852" t="str">
            <v>WELMOED CAB SAUV 750ML</v>
          </cell>
          <cell r="C1852" t="str">
            <v>Pcs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1320</v>
          </cell>
        </row>
        <row r="1853">
          <cell r="A1853">
            <v>2076</v>
          </cell>
          <cell r="B1853" t="str">
            <v>WELMOED CHARDONNAY 750ML</v>
          </cell>
          <cell r="C1853" t="str">
            <v>Pcs</v>
          </cell>
          <cell r="D1853">
            <v>24</v>
          </cell>
          <cell r="E1853">
            <v>0</v>
          </cell>
          <cell r="F1853">
            <v>0</v>
          </cell>
          <cell r="G1853">
            <v>24</v>
          </cell>
          <cell r="H1853">
            <v>1320</v>
          </cell>
        </row>
        <row r="1854">
          <cell r="A1854">
            <v>2077</v>
          </cell>
          <cell r="B1854" t="str">
            <v>WELMOED CHENIN BLANC 750ML</v>
          </cell>
          <cell r="C1854" t="str">
            <v>Pcs</v>
          </cell>
          <cell r="D1854">
            <v>6</v>
          </cell>
          <cell r="E1854">
            <v>0</v>
          </cell>
          <cell r="F1854">
            <v>0</v>
          </cell>
          <cell r="G1854">
            <v>6</v>
          </cell>
          <cell r="H1854">
            <v>1320</v>
          </cell>
        </row>
        <row r="1855">
          <cell r="A1855">
            <v>2078</v>
          </cell>
          <cell r="B1855" t="str">
            <v>WELMOED MERLOT 750ML</v>
          </cell>
          <cell r="C1855" t="str">
            <v>Pcs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1320</v>
          </cell>
        </row>
        <row r="1856">
          <cell r="A1856">
            <v>2503</v>
          </cell>
          <cell r="B1856" t="str">
            <v>WELMOED PINOTAGE 750ML</v>
          </cell>
          <cell r="C1856" t="str">
            <v>Pcs</v>
          </cell>
          <cell r="D1856">
            <v>18</v>
          </cell>
          <cell r="E1856">
            <v>0</v>
          </cell>
          <cell r="F1856">
            <v>6</v>
          </cell>
          <cell r="G1856">
            <v>12</v>
          </cell>
          <cell r="H1856">
            <v>1450</v>
          </cell>
        </row>
        <row r="1857">
          <cell r="A1857">
            <v>2079</v>
          </cell>
          <cell r="B1857" t="str">
            <v>WELMOED PINOT GRIGIO 750ML</v>
          </cell>
          <cell r="C1857" t="str">
            <v>Pcs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1200</v>
          </cell>
        </row>
        <row r="1858">
          <cell r="A1858">
            <v>2080</v>
          </cell>
          <cell r="B1858" t="str">
            <v>WELMOED ROSÉ 750ML</v>
          </cell>
          <cell r="C1858" t="str">
            <v>Pcs</v>
          </cell>
          <cell r="D1858">
            <v>12</v>
          </cell>
          <cell r="E1858">
            <v>0</v>
          </cell>
          <cell r="F1858">
            <v>0</v>
          </cell>
          <cell r="G1858">
            <v>12</v>
          </cell>
          <cell r="H1858">
            <v>1200</v>
          </cell>
        </row>
        <row r="1859">
          <cell r="A1859">
            <v>2081</v>
          </cell>
          <cell r="B1859" t="str">
            <v>WELMOED SAUV BLANC 750ML</v>
          </cell>
          <cell r="C1859" t="str">
            <v>Pcs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H1859">
            <v>1450</v>
          </cell>
        </row>
        <row r="1860">
          <cell r="A1860">
            <v>2082</v>
          </cell>
          <cell r="B1860" t="str">
            <v>WELMOED SHIRAZ 750ML</v>
          </cell>
          <cell r="C1860" t="str">
            <v>Pcs</v>
          </cell>
          <cell r="D1860">
            <v>24</v>
          </cell>
          <cell r="E1860">
            <v>0</v>
          </cell>
          <cell r="F1860">
            <v>0</v>
          </cell>
          <cell r="G1860">
            <v>24</v>
          </cell>
          <cell r="H1860">
            <v>1200</v>
          </cell>
        </row>
        <row r="1861">
          <cell r="A1861">
            <v>2366</v>
          </cell>
          <cell r="B1861" t="str">
            <v>ZACAPPA 1LTR</v>
          </cell>
          <cell r="C1861" t="str">
            <v>Pcs</v>
          </cell>
          <cell r="D1861">
            <v>18</v>
          </cell>
          <cell r="E1861">
            <v>0</v>
          </cell>
          <cell r="F1861">
            <v>0</v>
          </cell>
          <cell r="G1861">
            <v>18</v>
          </cell>
          <cell r="H1861">
            <v>7200</v>
          </cell>
        </row>
        <row r="1862">
          <cell r="A1862">
            <v>2789</v>
          </cell>
          <cell r="B1862" t="str">
            <v>ZAPALLARES CAB SAUV 1500ML</v>
          </cell>
          <cell r="C1862" t="str">
            <v>Pcs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2300</v>
          </cell>
        </row>
        <row r="1863">
          <cell r="A1863">
            <v>2790</v>
          </cell>
          <cell r="B1863" t="str">
            <v>ZAPALLARES MERLOT 1500ML</v>
          </cell>
          <cell r="C1863" t="str">
            <v>Pcs</v>
          </cell>
          <cell r="D1863">
            <v>6</v>
          </cell>
          <cell r="E1863">
            <v>0</v>
          </cell>
          <cell r="F1863">
            <v>0</v>
          </cell>
          <cell r="G1863">
            <v>6</v>
          </cell>
          <cell r="H1863">
            <v>2300</v>
          </cell>
        </row>
        <row r="1864">
          <cell r="A1864">
            <v>2479</v>
          </cell>
          <cell r="B1864" t="str">
            <v>ZONIN MERLOT FRIULI DOC AQUIEIA 750ML</v>
          </cell>
          <cell r="C1864" t="str">
            <v>Pcs</v>
          </cell>
          <cell r="D1864">
            <v>18</v>
          </cell>
          <cell r="E1864">
            <v>0</v>
          </cell>
          <cell r="F1864">
            <v>0</v>
          </cell>
          <cell r="G1864">
            <v>18</v>
          </cell>
          <cell r="H1864">
            <v>1500</v>
          </cell>
        </row>
        <row r="1865">
          <cell r="A1865">
            <v>2480</v>
          </cell>
          <cell r="B1865" t="str">
            <v>ZONIN OG BARBERA VENTO 750ML</v>
          </cell>
          <cell r="C1865" t="str">
            <v>Pcs</v>
          </cell>
          <cell r="D1865">
            <v>12</v>
          </cell>
          <cell r="E1865">
            <v>0</v>
          </cell>
          <cell r="F1865">
            <v>0</v>
          </cell>
          <cell r="G1865">
            <v>12</v>
          </cell>
          <cell r="H1865">
            <v>1200</v>
          </cell>
        </row>
        <row r="1866">
          <cell r="B1866" t="str">
            <v/>
          </cell>
          <cell r="C1866" t="str">
            <v/>
          </cell>
          <cell r="D1866" t="str">
            <v/>
          </cell>
          <cell r="E1866" t="str">
            <v/>
          </cell>
          <cell r="F1866" t="str">
            <v/>
          </cell>
          <cell r="G1866" t="str">
            <v/>
          </cell>
          <cell r="H1866" t="str">
            <v>Total Value</v>
          </cell>
        </row>
        <row r="1867">
          <cell r="B1867" t="str">
            <v/>
          </cell>
          <cell r="C1867" t="str">
            <v/>
          </cell>
          <cell r="D1867" t="str">
            <v/>
          </cell>
          <cell r="E1867" t="str">
            <v/>
          </cell>
          <cell r="F1867" t="str">
            <v/>
          </cell>
          <cell r="G1867" t="str">
            <v/>
          </cell>
          <cell r="H1867" t="str">
            <v/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ockregister"/>
    </sheetNames>
    <sheetDataSet>
      <sheetData sheetId="0">
        <row r="1">
          <cell r="A1" t="str">
            <v>Category:</v>
          </cell>
          <cell r="B1" t="str">
            <v>Inventory</v>
          </cell>
          <cell r="C1" t="str">
            <v/>
          </cell>
          <cell r="D1" t="str">
            <v/>
          </cell>
          <cell r="E1" t="str">
            <v/>
          </cell>
          <cell r="F1" t="str">
            <v/>
          </cell>
          <cell r="G1" t="str">
            <v/>
          </cell>
          <cell r="H1" t="str">
            <v/>
          </cell>
          <cell r="I1" t="str">
            <v/>
          </cell>
          <cell r="J1" t="str">
            <v/>
          </cell>
          <cell r="K1" t="str">
            <v/>
          </cell>
          <cell r="L1" t="str">
            <v/>
          </cell>
          <cell r="M1" t="str">
            <v/>
          </cell>
        </row>
        <row r="2">
          <cell r="A2" t="str">
            <v>Item Type:</v>
          </cell>
          <cell r="B2" t="str">
            <v>Sales Product</v>
          </cell>
          <cell r="C2" t="str">
            <v/>
          </cell>
          <cell r="D2" t="str">
            <v/>
          </cell>
          <cell r="E2" t="str">
            <v/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</row>
        <row r="3">
          <cell r="A3" t="str">
            <v>Class :</v>
          </cell>
          <cell r="B3" t="str">
            <v>APERITIF</v>
          </cell>
          <cell r="C3" t="str">
            <v/>
          </cell>
          <cell r="D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</row>
        <row r="4">
          <cell r="A4">
            <v>105</v>
          </cell>
          <cell r="B4" t="str">
            <v/>
          </cell>
          <cell r="C4" t="str">
            <v>APEROL 1LTR</v>
          </cell>
          <cell r="D4" t="str">
            <v/>
          </cell>
          <cell r="E4" t="str">
            <v/>
          </cell>
          <cell r="F4" t="str">
            <v>Pcs</v>
          </cell>
          <cell r="G4">
            <v>0</v>
          </cell>
          <cell r="H4" t="str">
            <v/>
          </cell>
          <cell r="I4">
            <v>0</v>
          </cell>
          <cell r="J4">
            <v>0</v>
          </cell>
          <cell r="K4">
            <v>0</v>
          </cell>
          <cell r="L4">
            <v>1600</v>
          </cell>
          <cell r="M4">
            <v>0</v>
          </cell>
        </row>
        <row r="5">
          <cell r="A5">
            <v>106</v>
          </cell>
          <cell r="B5" t="str">
            <v/>
          </cell>
          <cell r="C5" t="str">
            <v>APEROL APERITIF 700ml</v>
          </cell>
          <cell r="D5" t="str">
            <v/>
          </cell>
          <cell r="E5" t="str">
            <v/>
          </cell>
          <cell r="F5" t="str">
            <v>Pcs</v>
          </cell>
          <cell r="G5">
            <v>0</v>
          </cell>
          <cell r="H5" t="str">
            <v/>
          </cell>
          <cell r="I5">
            <v>0</v>
          </cell>
          <cell r="J5">
            <v>0</v>
          </cell>
          <cell r="K5">
            <v>0</v>
          </cell>
          <cell r="L5">
            <v>2254</v>
          </cell>
          <cell r="M5">
            <v>0</v>
          </cell>
        </row>
        <row r="6">
          <cell r="A6">
            <v>357</v>
          </cell>
          <cell r="B6" t="str">
            <v/>
          </cell>
          <cell r="C6" t="str">
            <v>CAMPARI MILANO BITTER 1LTR</v>
          </cell>
          <cell r="D6" t="str">
            <v/>
          </cell>
          <cell r="E6" t="str">
            <v/>
          </cell>
          <cell r="F6" t="str">
            <v>Pcs</v>
          </cell>
          <cell r="G6">
            <v>475</v>
          </cell>
          <cell r="H6" t="str">
            <v/>
          </cell>
          <cell r="I6">
            <v>0</v>
          </cell>
          <cell r="J6">
            <v>84</v>
          </cell>
          <cell r="K6">
            <v>391</v>
          </cell>
          <cell r="L6">
            <v>1630</v>
          </cell>
          <cell r="M6">
            <v>637330</v>
          </cell>
        </row>
        <row r="7">
          <cell r="A7">
            <v>358</v>
          </cell>
          <cell r="B7" t="str">
            <v/>
          </cell>
          <cell r="C7" t="str">
            <v>CAMPARI MILANO BITTER 750ML</v>
          </cell>
          <cell r="D7" t="str">
            <v/>
          </cell>
          <cell r="E7" t="str">
            <v/>
          </cell>
          <cell r="F7" t="str">
            <v>Pcs</v>
          </cell>
          <cell r="G7">
            <v>0</v>
          </cell>
          <cell r="H7" t="str">
            <v/>
          </cell>
          <cell r="I7">
            <v>0</v>
          </cell>
          <cell r="J7">
            <v>0</v>
          </cell>
          <cell r="K7">
            <v>0</v>
          </cell>
          <cell r="L7">
            <v>1932</v>
          </cell>
          <cell r="M7">
            <v>0</v>
          </cell>
        </row>
        <row r="8">
          <cell r="A8">
            <v>1399</v>
          </cell>
          <cell r="B8" t="str">
            <v/>
          </cell>
          <cell r="C8" t="str">
            <v>MARTINI  BIANCO 1LTR</v>
          </cell>
          <cell r="D8" t="str">
            <v/>
          </cell>
          <cell r="E8" t="str">
            <v/>
          </cell>
          <cell r="F8" t="str">
            <v>Pcs</v>
          </cell>
          <cell r="G8">
            <v>19</v>
          </cell>
          <cell r="H8" t="str">
            <v/>
          </cell>
          <cell r="I8">
            <v>6</v>
          </cell>
          <cell r="J8">
            <v>18</v>
          </cell>
          <cell r="K8">
            <v>7</v>
          </cell>
          <cell r="L8">
            <v>1472</v>
          </cell>
          <cell r="M8">
            <v>10304</v>
          </cell>
        </row>
        <row r="9">
          <cell r="A9">
            <v>1400</v>
          </cell>
          <cell r="B9" t="str">
            <v/>
          </cell>
          <cell r="C9" t="str">
            <v>MARTINI BIANCO 750ML</v>
          </cell>
          <cell r="D9" t="str">
            <v/>
          </cell>
          <cell r="E9" t="str">
            <v/>
          </cell>
          <cell r="F9" t="str">
            <v>Pcs</v>
          </cell>
          <cell r="G9">
            <v>0</v>
          </cell>
          <cell r="H9" t="str">
            <v/>
          </cell>
          <cell r="I9">
            <v>0</v>
          </cell>
          <cell r="J9">
            <v>0</v>
          </cell>
          <cell r="K9">
            <v>0</v>
          </cell>
          <cell r="L9">
            <v>1288</v>
          </cell>
          <cell r="M9">
            <v>0</v>
          </cell>
        </row>
        <row r="10">
          <cell r="A10">
            <v>1403</v>
          </cell>
          <cell r="B10" t="str">
            <v/>
          </cell>
          <cell r="C10" t="str">
            <v>MARTINI BRUT 750ML</v>
          </cell>
          <cell r="D10" t="str">
            <v/>
          </cell>
          <cell r="E10" t="str">
            <v/>
          </cell>
          <cell r="F10" t="str">
            <v>Pcs</v>
          </cell>
          <cell r="G10">
            <v>2</v>
          </cell>
          <cell r="H10" t="str">
            <v/>
          </cell>
          <cell r="I10">
            <v>0</v>
          </cell>
          <cell r="J10">
            <v>0</v>
          </cell>
          <cell r="K10">
            <v>2</v>
          </cell>
          <cell r="L10">
            <v>1288</v>
          </cell>
          <cell r="M10">
            <v>2576</v>
          </cell>
        </row>
        <row r="11">
          <cell r="A11">
            <v>1404</v>
          </cell>
          <cell r="B11" t="str">
            <v/>
          </cell>
          <cell r="C11" t="str">
            <v>MARTINI EXTRA DRY 1LTR</v>
          </cell>
          <cell r="D11" t="str">
            <v/>
          </cell>
          <cell r="E11" t="str">
            <v/>
          </cell>
          <cell r="F11" t="str">
            <v>Pcs</v>
          </cell>
          <cell r="G11">
            <v>0</v>
          </cell>
          <cell r="H11" t="str">
            <v/>
          </cell>
          <cell r="I11">
            <v>0</v>
          </cell>
          <cell r="J11">
            <v>0</v>
          </cell>
          <cell r="K11">
            <v>0</v>
          </cell>
          <cell r="L11">
            <v>1334</v>
          </cell>
          <cell r="M11">
            <v>0</v>
          </cell>
        </row>
        <row r="12">
          <cell r="A12">
            <v>1407</v>
          </cell>
          <cell r="B12" t="str">
            <v/>
          </cell>
          <cell r="C12" t="str">
            <v>MARTINI ROSATO 1ltr</v>
          </cell>
          <cell r="D12" t="str">
            <v/>
          </cell>
          <cell r="E12" t="str">
            <v/>
          </cell>
          <cell r="F12" t="str">
            <v>Pcs</v>
          </cell>
          <cell r="G12">
            <v>0</v>
          </cell>
          <cell r="H12" t="str">
            <v/>
          </cell>
          <cell r="I12">
            <v>0</v>
          </cell>
          <cell r="J12">
            <v>0</v>
          </cell>
          <cell r="K12">
            <v>0</v>
          </cell>
          <cell r="L12">
            <v>1334</v>
          </cell>
          <cell r="M12">
            <v>0</v>
          </cell>
        </row>
        <row r="13">
          <cell r="A13">
            <v>2236</v>
          </cell>
          <cell r="B13" t="str">
            <v/>
          </cell>
          <cell r="C13" t="str">
            <v>MARTINI ROSE 750ML</v>
          </cell>
          <cell r="D13" t="str">
            <v/>
          </cell>
          <cell r="E13" t="str">
            <v/>
          </cell>
          <cell r="F13" t="str">
            <v>Pcs</v>
          </cell>
          <cell r="G13">
            <v>0</v>
          </cell>
          <cell r="H13" t="str">
            <v/>
          </cell>
          <cell r="I13">
            <v>0</v>
          </cell>
          <cell r="J13">
            <v>0</v>
          </cell>
          <cell r="K13">
            <v>0</v>
          </cell>
          <cell r="L13">
            <v>1400</v>
          </cell>
          <cell r="M13">
            <v>0</v>
          </cell>
        </row>
        <row r="14">
          <cell r="A14">
            <v>1401</v>
          </cell>
          <cell r="B14" t="str">
            <v/>
          </cell>
          <cell r="C14" t="str">
            <v>MARTINI - ROSSO 1LTR</v>
          </cell>
          <cell r="D14" t="str">
            <v/>
          </cell>
          <cell r="E14" t="str">
            <v/>
          </cell>
          <cell r="F14" t="str">
            <v>Pcs</v>
          </cell>
          <cell r="G14">
            <v>156</v>
          </cell>
          <cell r="H14" t="str">
            <v/>
          </cell>
          <cell r="I14">
            <v>2</v>
          </cell>
          <cell r="J14">
            <v>42</v>
          </cell>
          <cell r="K14">
            <v>116</v>
          </cell>
          <cell r="L14">
            <v>1500</v>
          </cell>
          <cell r="M14">
            <v>174000</v>
          </cell>
        </row>
        <row r="15">
          <cell r="A15">
            <v>1402</v>
          </cell>
          <cell r="B15" t="str">
            <v/>
          </cell>
          <cell r="C15" t="str">
            <v>MARTINI - ROSSO 750ML</v>
          </cell>
          <cell r="D15" t="str">
            <v/>
          </cell>
          <cell r="E15" t="str">
            <v/>
          </cell>
          <cell r="F15" t="str">
            <v>Pcs</v>
          </cell>
          <cell r="G15">
            <v>39</v>
          </cell>
          <cell r="H15" t="str">
            <v/>
          </cell>
          <cell r="I15">
            <v>0</v>
          </cell>
          <cell r="J15">
            <v>36</v>
          </cell>
          <cell r="K15">
            <v>3</v>
          </cell>
          <cell r="L15">
            <v>1350</v>
          </cell>
          <cell r="M15">
            <v>4050</v>
          </cell>
        </row>
        <row r="16">
          <cell r="B16" t="str">
            <v/>
          </cell>
          <cell r="C16" t="str">
            <v/>
          </cell>
          <cell r="D16" t="str">
            <v>APERITIF</v>
          </cell>
          <cell r="E16" t="str">
            <v/>
          </cell>
          <cell r="F16" t="str">
            <v/>
          </cell>
          <cell r="G16">
            <v>691</v>
          </cell>
          <cell r="H16" t="str">
            <v/>
          </cell>
          <cell r="I16">
            <v>8</v>
          </cell>
          <cell r="J16">
            <v>180</v>
          </cell>
          <cell r="K16">
            <v>519</v>
          </cell>
          <cell r="L16" t="str">
            <v/>
          </cell>
          <cell r="M16">
            <v>828260</v>
          </cell>
        </row>
        <row r="17">
          <cell r="A17" t="str">
            <v>Class :</v>
          </cell>
          <cell r="B17" t="str">
            <v>BEER</v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>
            <v>2166</v>
          </cell>
          <cell r="B18" t="str">
            <v/>
          </cell>
          <cell r="C18" t="str">
            <v>58 CLASSIC G&amp;T 330ML CAN</v>
          </cell>
          <cell r="D18" t="str">
            <v/>
          </cell>
          <cell r="E18" t="str">
            <v/>
          </cell>
          <cell r="F18" t="str">
            <v>Pcs</v>
          </cell>
          <cell r="G18">
            <v>96</v>
          </cell>
          <cell r="H18" t="str">
            <v/>
          </cell>
          <cell r="I18">
            <v>0</v>
          </cell>
          <cell r="J18">
            <v>24</v>
          </cell>
          <cell r="K18">
            <v>72</v>
          </cell>
          <cell r="L18">
            <v>203</v>
          </cell>
          <cell r="M18">
            <v>14616</v>
          </cell>
        </row>
        <row r="19">
          <cell r="A19">
            <v>2167</v>
          </cell>
          <cell r="B19" t="str">
            <v/>
          </cell>
          <cell r="C19" t="str">
            <v>58 SPICED ORANGE 330ML CAN</v>
          </cell>
          <cell r="D19" t="str">
            <v/>
          </cell>
          <cell r="E19" t="str">
            <v/>
          </cell>
          <cell r="F19" t="str">
            <v>Pcs</v>
          </cell>
          <cell r="G19">
            <v>48</v>
          </cell>
          <cell r="H19" t="str">
            <v/>
          </cell>
          <cell r="I19">
            <v>0</v>
          </cell>
          <cell r="J19">
            <v>48</v>
          </cell>
          <cell r="K19">
            <v>0</v>
          </cell>
          <cell r="L19">
            <v>203</v>
          </cell>
          <cell r="M19">
            <v>0</v>
          </cell>
        </row>
        <row r="20">
          <cell r="A20">
            <v>2169</v>
          </cell>
          <cell r="B20" t="str">
            <v/>
          </cell>
          <cell r="C20" t="str">
            <v>58 SPICED ORANGE GIN 350ML</v>
          </cell>
          <cell r="D20" t="str">
            <v/>
          </cell>
          <cell r="E20" t="str">
            <v/>
          </cell>
          <cell r="F20" t="str">
            <v>Pcs</v>
          </cell>
          <cell r="G20">
            <v>24</v>
          </cell>
          <cell r="H20" t="str">
            <v/>
          </cell>
          <cell r="I20">
            <v>0</v>
          </cell>
          <cell r="J20">
            <v>0</v>
          </cell>
          <cell r="K20">
            <v>24</v>
          </cell>
          <cell r="L20">
            <v>540</v>
          </cell>
          <cell r="M20">
            <v>12960</v>
          </cell>
        </row>
        <row r="21">
          <cell r="A21">
            <v>2168</v>
          </cell>
          <cell r="B21" t="str">
            <v/>
          </cell>
          <cell r="C21" t="str">
            <v>58 VERY BERRY G&amp;T 330ML CAN</v>
          </cell>
          <cell r="D21" t="str">
            <v/>
          </cell>
          <cell r="E21" t="str">
            <v/>
          </cell>
          <cell r="F21" t="str">
            <v>Pcs</v>
          </cell>
          <cell r="G21">
            <v>144</v>
          </cell>
          <cell r="H21" t="str">
            <v/>
          </cell>
          <cell r="I21">
            <v>0</v>
          </cell>
          <cell r="J21">
            <v>48</v>
          </cell>
          <cell r="K21">
            <v>96</v>
          </cell>
          <cell r="L21">
            <v>203</v>
          </cell>
          <cell r="M21">
            <v>19488</v>
          </cell>
        </row>
        <row r="22">
          <cell r="A22">
            <v>170</v>
          </cell>
          <cell r="B22" t="str">
            <v/>
          </cell>
          <cell r="C22" t="str">
            <v>BALOZI CANS 500ML</v>
          </cell>
          <cell r="D22" t="str">
            <v/>
          </cell>
          <cell r="E22" t="str">
            <v/>
          </cell>
          <cell r="F22" t="str">
            <v>Pcs</v>
          </cell>
          <cell r="G22">
            <v>840</v>
          </cell>
          <cell r="H22" t="str">
            <v/>
          </cell>
          <cell r="I22">
            <v>2400</v>
          </cell>
          <cell r="J22">
            <v>1560</v>
          </cell>
          <cell r="K22">
            <v>1680</v>
          </cell>
          <cell r="L22">
            <v>194.98</v>
          </cell>
          <cell r="M22">
            <v>327566.4</v>
          </cell>
        </row>
        <row r="23">
          <cell r="A23">
            <v>2905</v>
          </cell>
          <cell r="B23" t="str">
            <v/>
          </cell>
          <cell r="C23" t="str">
            <v>BUDWEISER 330ML BOTTLE </v>
          </cell>
          <cell r="D23" t="str">
            <v/>
          </cell>
          <cell r="E23" t="str">
            <v/>
          </cell>
          <cell r="F23" t="str">
            <v>Pcs</v>
          </cell>
          <cell r="G23">
            <v>1200</v>
          </cell>
          <cell r="H23" t="str">
            <v/>
          </cell>
          <cell r="I23">
            <v>0</v>
          </cell>
          <cell r="J23">
            <v>48</v>
          </cell>
          <cell r="K23">
            <v>1152</v>
          </cell>
          <cell r="L23">
            <v>206</v>
          </cell>
          <cell r="M23">
            <v>237312</v>
          </cell>
        </row>
        <row r="24">
          <cell r="A24">
            <v>2906</v>
          </cell>
          <cell r="B24" t="str">
            <v/>
          </cell>
          <cell r="C24" t="str">
            <v>BUDWEISER 500ML CAN</v>
          </cell>
          <cell r="D24" t="str">
            <v/>
          </cell>
          <cell r="E24" t="str">
            <v/>
          </cell>
          <cell r="F24" t="str">
            <v>Pcs</v>
          </cell>
          <cell r="G24">
            <v>96</v>
          </cell>
          <cell r="H24" t="str">
            <v/>
          </cell>
          <cell r="I24">
            <v>0</v>
          </cell>
          <cell r="J24">
            <v>96</v>
          </cell>
          <cell r="K24">
            <v>0</v>
          </cell>
          <cell r="L24">
            <v>220</v>
          </cell>
          <cell r="M24">
            <v>0</v>
          </cell>
        </row>
        <row r="25">
          <cell r="A25">
            <v>529</v>
          </cell>
          <cell r="B25" t="str">
            <v/>
          </cell>
          <cell r="C25" t="str">
            <v>CORONA EXTRA 355ML</v>
          </cell>
          <cell r="D25" t="str">
            <v/>
          </cell>
          <cell r="E25" t="str">
            <v/>
          </cell>
          <cell r="F25" t="str">
            <v>Pcs</v>
          </cell>
          <cell r="G25">
            <v>4176</v>
          </cell>
          <cell r="H25" t="str">
            <v/>
          </cell>
          <cell r="I25">
            <v>0</v>
          </cell>
          <cell r="J25">
            <v>480</v>
          </cell>
          <cell r="K25">
            <v>3696</v>
          </cell>
          <cell r="L25">
            <v>242.5</v>
          </cell>
          <cell r="M25">
            <v>896280</v>
          </cell>
        </row>
        <row r="26">
          <cell r="A26">
            <v>599</v>
          </cell>
          <cell r="B26" t="str">
            <v/>
          </cell>
          <cell r="C26" t="str">
            <v>DESPERADOS 500ML</v>
          </cell>
          <cell r="D26" t="str">
            <v/>
          </cell>
          <cell r="E26" t="str">
            <v/>
          </cell>
          <cell r="F26" t="str">
            <v>Pcs</v>
          </cell>
          <cell r="G26">
            <v>0</v>
          </cell>
          <cell r="H26" t="str">
            <v/>
          </cell>
          <cell r="I26">
            <v>0</v>
          </cell>
          <cell r="J26">
            <v>0</v>
          </cell>
          <cell r="K26">
            <v>0</v>
          </cell>
          <cell r="L26">
            <v>270</v>
          </cell>
          <cell r="M26">
            <v>0</v>
          </cell>
        </row>
        <row r="27">
          <cell r="A27">
            <v>600</v>
          </cell>
          <cell r="B27" t="str">
            <v/>
          </cell>
          <cell r="C27" t="str">
            <v>DESPERADOS TEQ BEER 330ML</v>
          </cell>
          <cell r="D27" t="str">
            <v/>
          </cell>
          <cell r="E27" t="str">
            <v/>
          </cell>
          <cell r="F27" t="str">
            <v>Pcs</v>
          </cell>
          <cell r="G27">
            <v>696</v>
          </cell>
          <cell r="H27" t="str">
            <v/>
          </cell>
          <cell r="I27">
            <v>1200</v>
          </cell>
          <cell r="J27">
            <v>960</v>
          </cell>
          <cell r="K27">
            <v>936</v>
          </cell>
          <cell r="L27">
            <v>276.61</v>
          </cell>
          <cell r="M27">
            <v>258906.96</v>
          </cell>
        </row>
        <row r="28">
          <cell r="A28">
            <v>2902</v>
          </cell>
          <cell r="B28" t="str">
            <v/>
          </cell>
          <cell r="C28" t="str">
            <v>EMBER PINE POA 250 ML</v>
          </cell>
          <cell r="D28" t="str">
            <v/>
          </cell>
          <cell r="E28" t="str">
            <v/>
          </cell>
          <cell r="F28" t="str">
            <v>Pcs</v>
          </cell>
          <cell r="G28">
            <v>168</v>
          </cell>
          <cell r="H28" t="str">
            <v/>
          </cell>
          <cell r="I28">
            <v>0</v>
          </cell>
          <cell r="J28">
            <v>0</v>
          </cell>
          <cell r="K28">
            <v>168</v>
          </cell>
          <cell r="L28">
            <v>208.45</v>
          </cell>
          <cell r="M28">
            <v>35019.6</v>
          </cell>
        </row>
        <row r="29">
          <cell r="A29">
            <v>2903</v>
          </cell>
          <cell r="B29" t="str">
            <v/>
          </cell>
          <cell r="C29" t="str">
            <v>EMBER PINE POA 750  ML</v>
          </cell>
          <cell r="D29" t="str">
            <v/>
          </cell>
          <cell r="E29" t="str">
            <v/>
          </cell>
          <cell r="F29" t="str">
            <v>Pcs</v>
          </cell>
          <cell r="G29">
            <v>36</v>
          </cell>
          <cell r="H29" t="str">
            <v/>
          </cell>
          <cell r="I29">
            <v>0</v>
          </cell>
          <cell r="J29">
            <v>0</v>
          </cell>
          <cell r="K29">
            <v>36</v>
          </cell>
          <cell r="L29">
            <v>577.24</v>
          </cell>
          <cell r="M29">
            <v>20780.64</v>
          </cell>
        </row>
        <row r="30">
          <cell r="A30">
            <v>683</v>
          </cell>
          <cell r="B30" t="str">
            <v/>
          </cell>
          <cell r="C30" t="str">
            <v>FAXE CAN 500ML</v>
          </cell>
          <cell r="D30" t="str">
            <v/>
          </cell>
          <cell r="E30" t="str">
            <v/>
          </cell>
          <cell r="F30" t="str">
            <v>Pcs</v>
          </cell>
          <cell r="G30">
            <v>0</v>
          </cell>
          <cell r="H30" t="str">
            <v/>
          </cell>
          <cell r="I30">
            <v>0</v>
          </cell>
          <cell r="J30">
            <v>0</v>
          </cell>
          <cell r="K30">
            <v>0</v>
          </cell>
          <cell r="L30">
            <v>239.2</v>
          </cell>
          <cell r="M30">
            <v>0</v>
          </cell>
        </row>
        <row r="31">
          <cell r="A31">
            <v>704</v>
          </cell>
          <cell r="B31" t="str">
            <v/>
          </cell>
          <cell r="C31" t="str">
            <v>FITCH &amp; LEEDES CLASSIC GINGER BEER 300ML</v>
          </cell>
          <cell r="D31" t="str">
            <v/>
          </cell>
          <cell r="E31" t="str">
            <v/>
          </cell>
          <cell r="F31" t="str">
            <v>Pcs</v>
          </cell>
          <cell r="G31">
            <v>0</v>
          </cell>
          <cell r="H31" t="str">
            <v/>
          </cell>
          <cell r="I31">
            <v>0</v>
          </cell>
          <cell r="J31">
            <v>0</v>
          </cell>
          <cell r="K31">
            <v>0</v>
          </cell>
          <cell r="L31">
            <v>119.6</v>
          </cell>
          <cell r="M31">
            <v>0</v>
          </cell>
        </row>
        <row r="32">
          <cell r="A32">
            <v>889</v>
          </cell>
          <cell r="B32" t="str">
            <v/>
          </cell>
          <cell r="C32" t="str">
            <v>GORDON'S PINK&amp;TONIC 330ml</v>
          </cell>
          <cell r="D32" t="str">
            <v/>
          </cell>
          <cell r="E32" t="str">
            <v/>
          </cell>
          <cell r="F32" t="str">
            <v>Pcs</v>
          </cell>
          <cell r="G32">
            <v>240</v>
          </cell>
          <cell r="H32" t="str">
            <v/>
          </cell>
          <cell r="I32">
            <v>240</v>
          </cell>
          <cell r="J32">
            <v>216</v>
          </cell>
          <cell r="K32">
            <v>264</v>
          </cell>
          <cell r="L32">
            <v>189.13</v>
          </cell>
          <cell r="M32">
            <v>49930.32</v>
          </cell>
        </row>
        <row r="33">
          <cell r="A33">
            <v>884</v>
          </cell>
          <cell r="B33" t="str">
            <v/>
          </cell>
          <cell r="C33" t="str">
            <v>GORDON'S &amp;TONIC PURPLE 330ml</v>
          </cell>
          <cell r="D33" t="str">
            <v/>
          </cell>
          <cell r="E33" t="str">
            <v/>
          </cell>
          <cell r="F33" t="str">
            <v>Pcs</v>
          </cell>
          <cell r="G33">
            <v>456</v>
          </cell>
          <cell r="H33" t="str">
            <v/>
          </cell>
          <cell r="I33">
            <v>480</v>
          </cell>
          <cell r="J33">
            <v>336</v>
          </cell>
          <cell r="K33">
            <v>600</v>
          </cell>
          <cell r="L33">
            <v>189.1</v>
          </cell>
          <cell r="M33">
            <v>113460</v>
          </cell>
        </row>
        <row r="34">
          <cell r="A34">
            <v>2424</v>
          </cell>
          <cell r="B34" t="str">
            <v/>
          </cell>
          <cell r="C34" t="str">
            <v>GUINESS CAN 500ML</v>
          </cell>
          <cell r="D34" t="str">
            <v/>
          </cell>
          <cell r="E34" t="str">
            <v/>
          </cell>
          <cell r="F34" t="str">
            <v>Pcs</v>
          </cell>
          <cell r="G34">
            <v>1440</v>
          </cell>
          <cell r="H34" t="str">
            <v/>
          </cell>
          <cell r="I34">
            <v>2400</v>
          </cell>
          <cell r="J34">
            <v>2328</v>
          </cell>
          <cell r="K34">
            <v>1512</v>
          </cell>
          <cell r="L34">
            <v>212.19</v>
          </cell>
          <cell r="M34">
            <v>320831.28</v>
          </cell>
        </row>
        <row r="35">
          <cell r="A35">
            <v>2408</v>
          </cell>
          <cell r="B35" t="str">
            <v/>
          </cell>
          <cell r="C35" t="str">
            <v>GUINESS CAN SMOOTH 330ML CAN</v>
          </cell>
          <cell r="D35" t="str">
            <v/>
          </cell>
          <cell r="E35" t="str">
            <v/>
          </cell>
          <cell r="F35" t="str">
            <v>Pcs</v>
          </cell>
          <cell r="G35">
            <v>0</v>
          </cell>
          <cell r="H35" t="str">
            <v/>
          </cell>
          <cell r="I35">
            <v>0</v>
          </cell>
          <cell r="J35">
            <v>0</v>
          </cell>
          <cell r="K35">
            <v>0</v>
          </cell>
          <cell r="L35">
            <v>172.55</v>
          </cell>
          <cell r="M35">
            <v>0</v>
          </cell>
        </row>
        <row r="36">
          <cell r="A36">
            <v>928</v>
          </cell>
          <cell r="B36" t="str">
            <v/>
          </cell>
          <cell r="C36" t="str">
            <v>GUINESS SMOOTH CAN 500ML</v>
          </cell>
          <cell r="D36" t="str">
            <v/>
          </cell>
          <cell r="E36" t="str">
            <v/>
          </cell>
          <cell r="F36" t="str">
            <v>Pcs</v>
          </cell>
          <cell r="G36">
            <v>0</v>
          </cell>
          <cell r="H36" t="str">
            <v/>
          </cell>
          <cell r="I36">
            <v>0</v>
          </cell>
          <cell r="J36">
            <v>0</v>
          </cell>
          <cell r="K36">
            <v>0</v>
          </cell>
          <cell r="L36">
            <v>173.38</v>
          </cell>
          <cell r="M36">
            <v>0</v>
          </cell>
        </row>
        <row r="37">
          <cell r="A37">
            <v>947</v>
          </cell>
          <cell r="B37" t="str">
            <v/>
          </cell>
          <cell r="C37" t="str">
            <v>HEINEKEN 0.0 NRB 330ML</v>
          </cell>
          <cell r="D37" t="str">
            <v/>
          </cell>
          <cell r="E37" t="str">
            <v/>
          </cell>
          <cell r="F37" t="str">
            <v>Pcs</v>
          </cell>
          <cell r="G37">
            <v>1488</v>
          </cell>
          <cell r="H37" t="str">
            <v/>
          </cell>
          <cell r="I37">
            <v>0</v>
          </cell>
          <cell r="J37">
            <v>960</v>
          </cell>
          <cell r="K37">
            <v>528</v>
          </cell>
          <cell r="L37">
            <v>197.85</v>
          </cell>
          <cell r="M37">
            <v>104464.8</v>
          </cell>
        </row>
        <row r="38">
          <cell r="A38">
            <v>948</v>
          </cell>
          <cell r="B38" t="str">
            <v/>
          </cell>
          <cell r="C38" t="str">
            <v>HEINEKEN BOTTLE 330 ML</v>
          </cell>
          <cell r="D38" t="str">
            <v/>
          </cell>
          <cell r="E38" t="str">
            <v/>
          </cell>
          <cell r="F38" t="str">
            <v>Pcs</v>
          </cell>
          <cell r="G38">
            <v>216</v>
          </cell>
          <cell r="H38" t="str">
            <v/>
          </cell>
          <cell r="I38">
            <v>6072</v>
          </cell>
          <cell r="J38">
            <v>3744</v>
          </cell>
          <cell r="K38">
            <v>2544</v>
          </cell>
          <cell r="L38">
            <v>226</v>
          </cell>
          <cell r="M38">
            <v>574944</v>
          </cell>
        </row>
        <row r="39">
          <cell r="A39">
            <v>949</v>
          </cell>
          <cell r="B39" t="str">
            <v/>
          </cell>
          <cell r="C39" t="str">
            <v>HEINEKEN CAN 500ML</v>
          </cell>
          <cell r="D39" t="str">
            <v/>
          </cell>
          <cell r="E39" t="str">
            <v/>
          </cell>
          <cell r="F39" t="str">
            <v>Pcs</v>
          </cell>
          <cell r="G39">
            <v>840</v>
          </cell>
          <cell r="H39" t="str">
            <v/>
          </cell>
          <cell r="I39">
            <v>1200</v>
          </cell>
          <cell r="J39">
            <v>1612</v>
          </cell>
          <cell r="K39">
            <v>428</v>
          </cell>
          <cell r="L39">
            <v>268.706271</v>
          </cell>
          <cell r="M39">
            <v>115006.283988</v>
          </cell>
        </row>
        <row r="40">
          <cell r="A40">
            <v>2834</v>
          </cell>
          <cell r="B40" t="str">
            <v/>
          </cell>
          <cell r="C40" t="str">
            <v>JINRO BLUE SOJU 360ML</v>
          </cell>
          <cell r="D40" t="str">
            <v/>
          </cell>
          <cell r="E40" t="str">
            <v/>
          </cell>
          <cell r="F40" t="str">
            <v>Pcs</v>
          </cell>
          <cell r="G40">
            <v>276</v>
          </cell>
          <cell r="H40" t="str">
            <v/>
          </cell>
          <cell r="I40">
            <v>0</v>
          </cell>
          <cell r="J40">
            <v>0</v>
          </cell>
          <cell r="K40">
            <v>276</v>
          </cell>
          <cell r="L40">
            <v>350</v>
          </cell>
          <cell r="M40">
            <v>96600</v>
          </cell>
        </row>
        <row r="41">
          <cell r="A41">
            <v>2832</v>
          </cell>
          <cell r="B41" t="str">
            <v/>
          </cell>
          <cell r="C41" t="str">
            <v>JINRO CHAMISUL FRESH SOJU 360 ML</v>
          </cell>
          <cell r="D41" t="str">
            <v/>
          </cell>
          <cell r="E41" t="str">
            <v/>
          </cell>
          <cell r="F41" t="str">
            <v>Pcs</v>
          </cell>
          <cell r="G41">
            <v>240</v>
          </cell>
          <cell r="H41" t="str">
            <v/>
          </cell>
          <cell r="I41">
            <v>0</v>
          </cell>
          <cell r="J41">
            <v>140</v>
          </cell>
          <cell r="K41">
            <v>100</v>
          </cell>
          <cell r="L41">
            <v>350</v>
          </cell>
          <cell r="M41">
            <v>35000</v>
          </cell>
        </row>
        <row r="42">
          <cell r="A42">
            <v>2833</v>
          </cell>
          <cell r="B42" t="str">
            <v/>
          </cell>
          <cell r="C42" t="str">
            <v>JINRO CHAMISUL ORIGINAL SOJU 350 ML</v>
          </cell>
          <cell r="D42" t="str">
            <v/>
          </cell>
          <cell r="E42" t="str">
            <v/>
          </cell>
          <cell r="F42" t="str">
            <v>Pcs</v>
          </cell>
          <cell r="G42">
            <v>0</v>
          </cell>
          <cell r="H42" t="str">
            <v/>
          </cell>
          <cell r="I42">
            <v>0</v>
          </cell>
          <cell r="J42">
            <v>0</v>
          </cell>
          <cell r="K42">
            <v>0</v>
          </cell>
          <cell r="L42">
            <v>350</v>
          </cell>
          <cell r="M42">
            <v>0</v>
          </cell>
        </row>
        <row r="43">
          <cell r="A43">
            <v>2413</v>
          </cell>
          <cell r="B43" t="str">
            <v/>
          </cell>
          <cell r="C43" t="str">
            <v>JINRO GRAPE FRUIT SOJU 360</v>
          </cell>
          <cell r="D43" t="str">
            <v/>
          </cell>
          <cell r="E43" t="str">
            <v/>
          </cell>
          <cell r="F43" t="str">
            <v>Pcs</v>
          </cell>
          <cell r="G43">
            <v>20</v>
          </cell>
          <cell r="H43" t="str">
            <v/>
          </cell>
          <cell r="I43">
            <v>0</v>
          </cell>
          <cell r="J43">
            <v>20</v>
          </cell>
          <cell r="K43">
            <v>0</v>
          </cell>
          <cell r="L43">
            <v>350</v>
          </cell>
          <cell r="M43">
            <v>0</v>
          </cell>
        </row>
        <row r="44">
          <cell r="A44">
            <v>2410</v>
          </cell>
          <cell r="B44" t="str">
            <v/>
          </cell>
          <cell r="C44" t="str">
            <v>JINRO GREEN GRAPE 360ML</v>
          </cell>
          <cell r="D44" t="str">
            <v/>
          </cell>
          <cell r="E44" t="str">
            <v/>
          </cell>
          <cell r="F44" t="str">
            <v>Pcs</v>
          </cell>
          <cell r="G44">
            <v>100</v>
          </cell>
          <cell r="H44" t="str">
            <v/>
          </cell>
          <cell r="I44">
            <v>20</v>
          </cell>
          <cell r="J44">
            <v>120</v>
          </cell>
          <cell r="K44">
            <v>0</v>
          </cell>
          <cell r="L44">
            <v>350</v>
          </cell>
          <cell r="M44">
            <v>0</v>
          </cell>
        </row>
        <row r="45">
          <cell r="A45">
            <v>2900</v>
          </cell>
          <cell r="B45" t="str">
            <v/>
          </cell>
          <cell r="C45" t="str">
            <v>JINRO LEMON SOJU 350ML</v>
          </cell>
          <cell r="D45" t="str">
            <v/>
          </cell>
          <cell r="E45" t="str">
            <v/>
          </cell>
          <cell r="F45" t="str">
            <v>Pcs</v>
          </cell>
          <cell r="G45">
            <v>0</v>
          </cell>
          <cell r="H45" t="str">
            <v/>
          </cell>
          <cell r="I45">
            <v>0</v>
          </cell>
          <cell r="J45">
            <v>0</v>
          </cell>
          <cell r="K45">
            <v>0</v>
          </cell>
          <cell r="L45">
            <v>350</v>
          </cell>
          <cell r="M45">
            <v>0</v>
          </cell>
        </row>
        <row r="46">
          <cell r="A46">
            <v>2411</v>
          </cell>
          <cell r="B46" t="str">
            <v/>
          </cell>
          <cell r="C46" t="str">
            <v>JINRO PEACH 360ML</v>
          </cell>
          <cell r="D46" t="str">
            <v/>
          </cell>
          <cell r="E46" t="str">
            <v/>
          </cell>
          <cell r="F46" t="str">
            <v>Pcs</v>
          </cell>
          <cell r="G46">
            <v>0</v>
          </cell>
          <cell r="H46" t="str">
            <v/>
          </cell>
          <cell r="I46">
            <v>0</v>
          </cell>
          <cell r="J46">
            <v>0</v>
          </cell>
          <cell r="K46">
            <v>0</v>
          </cell>
          <cell r="L46">
            <v>350</v>
          </cell>
          <cell r="M46">
            <v>0</v>
          </cell>
        </row>
        <row r="47">
          <cell r="A47">
            <v>2412</v>
          </cell>
          <cell r="B47" t="str">
            <v/>
          </cell>
          <cell r="C47" t="str">
            <v>JINRO PLUM SOJU 360ML</v>
          </cell>
          <cell r="D47" t="str">
            <v/>
          </cell>
          <cell r="E47" t="str">
            <v/>
          </cell>
          <cell r="F47" t="str">
            <v>Pcs</v>
          </cell>
          <cell r="G47">
            <v>0</v>
          </cell>
          <cell r="H47" t="str">
            <v/>
          </cell>
          <cell r="I47">
            <v>0</v>
          </cell>
          <cell r="J47">
            <v>0</v>
          </cell>
          <cell r="K47">
            <v>0</v>
          </cell>
          <cell r="L47">
            <v>350</v>
          </cell>
          <cell r="M47">
            <v>0</v>
          </cell>
        </row>
        <row r="48">
          <cell r="A48">
            <v>2414</v>
          </cell>
          <cell r="B48" t="str">
            <v/>
          </cell>
          <cell r="C48" t="str">
            <v>JINRO STRAWBERRY 360ML</v>
          </cell>
          <cell r="D48" t="str">
            <v/>
          </cell>
          <cell r="E48" t="str">
            <v/>
          </cell>
          <cell r="F48" t="str">
            <v>Pcs</v>
          </cell>
          <cell r="G48">
            <v>0</v>
          </cell>
          <cell r="H48" t="str">
            <v/>
          </cell>
          <cell r="I48">
            <v>0</v>
          </cell>
          <cell r="J48">
            <v>0</v>
          </cell>
          <cell r="K48">
            <v>0</v>
          </cell>
          <cell r="L48">
            <v>350</v>
          </cell>
          <cell r="M48">
            <v>0</v>
          </cell>
        </row>
        <row r="49">
          <cell r="A49">
            <v>1212</v>
          </cell>
          <cell r="B49" t="str">
            <v/>
          </cell>
          <cell r="C49" t="str">
            <v>KINGFISHER STRAWBERRY 300ML</v>
          </cell>
          <cell r="D49" t="str">
            <v/>
          </cell>
          <cell r="E49" t="str">
            <v/>
          </cell>
          <cell r="F49" t="str">
            <v>Pcs</v>
          </cell>
          <cell r="G49">
            <v>1752</v>
          </cell>
          <cell r="H49" t="str">
            <v/>
          </cell>
          <cell r="I49">
            <v>0</v>
          </cell>
          <cell r="J49">
            <v>408</v>
          </cell>
          <cell r="K49">
            <v>1344</v>
          </cell>
          <cell r="L49">
            <v>197.63</v>
          </cell>
          <cell r="M49">
            <v>265614.72</v>
          </cell>
        </row>
        <row r="50">
          <cell r="A50">
            <v>2904</v>
          </cell>
          <cell r="B50" t="str">
            <v/>
          </cell>
          <cell r="C50" t="str">
            <v>KO LIME AND GINGER 330 ML CAN </v>
          </cell>
          <cell r="D50" t="str">
            <v/>
          </cell>
          <cell r="E50" t="str">
            <v/>
          </cell>
          <cell r="F50" t="str">
            <v>Pcs</v>
          </cell>
          <cell r="G50">
            <v>0</v>
          </cell>
          <cell r="H50" t="str">
            <v/>
          </cell>
          <cell r="I50">
            <v>0</v>
          </cell>
          <cell r="J50">
            <v>0</v>
          </cell>
          <cell r="K50">
            <v>0</v>
          </cell>
          <cell r="L50">
            <v>194</v>
          </cell>
          <cell r="M50">
            <v>0</v>
          </cell>
        </row>
        <row r="51">
          <cell r="A51">
            <v>1543</v>
          </cell>
          <cell r="B51" t="str">
            <v/>
          </cell>
          <cell r="C51" t="str">
            <v>OETTINGER SUPER FORTE EXTRA STRONG BEER 500ML</v>
          </cell>
          <cell r="D51" t="str">
            <v/>
          </cell>
          <cell r="E51" t="str">
            <v/>
          </cell>
          <cell r="F51" t="str">
            <v>Pcs</v>
          </cell>
          <cell r="G51">
            <v>0</v>
          </cell>
          <cell r="H51" t="str">
            <v/>
          </cell>
          <cell r="I51">
            <v>0</v>
          </cell>
          <cell r="J51">
            <v>0</v>
          </cell>
          <cell r="K51">
            <v>0</v>
          </cell>
          <cell r="L51">
            <v>230</v>
          </cell>
          <cell r="M51">
            <v>0</v>
          </cell>
        </row>
        <row r="52">
          <cell r="A52">
            <v>1549</v>
          </cell>
          <cell r="B52" t="str">
            <v/>
          </cell>
          <cell r="C52" t="str">
            <v>OJ 16% BEER</v>
          </cell>
          <cell r="D52" t="str">
            <v/>
          </cell>
          <cell r="E52" t="str">
            <v/>
          </cell>
          <cell r="F52" t="str">
            <v>Pcs</v>
          </cell>
          <cell r="G52">
            <v>0</v>
          </cell>
          <cell r="H52" t="str">
            <v/>
          </cell>
          <cell r="I52">
            <v>0</v>
          </cell>
          <cell r="J52">
            <v>0</v>
          </cell>
          <cell r="K52">
            <v>0</v>
          </cell>
          <cell r="L52">
            <v>341.44</v>
          </cell>
          <cell r="M52">
            <v>0</v>
          </cell>
        </row>
        <row r="53">
          <cell r="A53">
            <v>2482</v>
          </cell>
          <cell r="B53" t="str">
            <v/>
          </cell>
          <cell r="C53" t="str">
            <v>OJ 20% BEER</v>
          </cell>
          <cell r="D53" t="str">
            <v/>
          </cell>
          <cell r="E53" t="str">
            <v/>
          </cell>
          <cell r="F53" t="str">
            <v>Pcs</v>
          </cell>
          <cell r="G53">
            <v>0</v>
          </cell>
          <cell r="H53" t="str">
            <v/>
          </cell>
          <cell r="I53">
            <v>0</v>
          </cell>
          <cell r="J53">
            <v>0</v>
          </cell>
          <cell r="K53">
            <v>0</v>
          </cell>
          <cell r="L53">
            <v>357.4</v>
          </cell>
          <cell r="M53">
            <v>0</v>
          </cell>
        </row>
        <row r="54">
          <cell r="A54">
            <v>1626</v>
          </cell>
          <cell r="B54" t="str">
            <v/>
          </cell>
          <cell r="C54" t="str">
            <v>PILSNER CAN 500ML</v>
          </cell>
          <cell r="D54" t="str">
            <v/>
          </cell>
          <cell r="E54" t="str">
            <v/>
          </cell>
          <cell r="F54" t="str">
            <v>Pcs</v>
          </cell>
          <cell r="G54">
            <v>312</v>
          </cell>
          <cell r="H54" t="str">
            <v/>
          </cell>
          <cell r="I54">
            <v>480</v>
          </cell>
          <cell r="J54">
            <v>360</v>
          </cell>
          <cell r="K54">
            <v>432</v>
          </cell>
          <cell r="L54">
            <v>196.7</v>
          </cell>
          <cell r="M54">
            <v>84974.4</v>
          </cell>
        </row>
        <row r="55">
          <cell r="A55">
            <v>2911</v>
          </cell>
          <cell r="B55" t="str">
            <v/>
          </cell>
          <cell r="C55" t="str">
            <v>ROYAL CIRCLE WHISKY COLA 330ML</v>
          </cell>
          <cell r="D55" t="str">
            <v/>
          </cell>
          <cell r="E55" t="str">
            <v/>
          </cell>
          <cell r="F55" t="str">
            <v>Pcs</v>
          </cell>
          <cell r="G55">
            <v>480</v>
          </cell>
          <cell r="H55" t="str">
            <v/>
          </cell>
          <cell r="I55">
            <v>0</v>
          </cell>
          <cell r="J55">
            <v>192</v>
          </cell>
          <cell r="K55">
            <v>288</v>
          </cell>
          <cell r="L55">
            <v>244.76</v>
          </cell>
          <cell r="M55">
            <v>70490.88</v>
          </cell>
        </row>
        <row r="56">
          <cell r="A56">
            <v>1821</v>
          </cell>
          <cell r="B56" t="str">
            <v/>
          </cell>
          <cell r="C56" t="str">
            <v>SMIRNOFF BLACK ICE CAN 330ML</v>
          </cell>
          <cell r="D56" t="str">
            <v/>
          </cell>
          <cell r="E56" t="str">
            <v/>
          </cell>
          <cell r="F56" t="str">
            <v>Pcs</v>
          </cell>
          <cell r="G56">
            <v>1632</v>
          </cell>
          <cell r="H56" t="str">
            <v/>
          </cell>
          <cell r="I56">
            <v>0</v>
          </cell>
          <cell r="J56">
            <v>1056</v>
          </cell>
          <cell r="K56">
            <v>576</v>
          </cell>
          <cell r="L56">
            <v>172.71</v>
          </cell>
          <cell r="M56">
            <v>99480.96</v>
          </cell>
        </row>
        <row r="57">
          <cell r="A57">
            <v>1840</v>
          </cell>
          <cell r="B57" t="str">
            <v/>
          </cell>
          <cell r="C57" t="str">
            <v>SMIRNOFF GUARANA ELECTRIC ICE 330ML</v>
          </cell>
          <cell r="D57" t="str">
            <v/>
          </cell>
          <cell r="E57" t="str">
            <v/>
          </cell>
          <cell r="F57" t="str">
            <v>Pcs</v>
          </cell>
          <cell r="G57">
            <v>0</v>
          </cell>
          <cell r="H57" t="str">
            <v/>
          </cell>
          <cell r="I57">
            <v>0</v>
          </cell>
          <cell r="J57">
            <v>0</v>
          </cell>
          <cell r="K57">
            <v>0</v>
          </cell>
          <cell r="L57">
            <v>153.64</v>
          </cell>
          <cell r="M57">
            <v>0</v>
          </cell>
        </row>
        <row r="58">
          <cell r="A58">
            <v>2430</v>
          </cell>
          <cell r="B58" t="str">
            <v/>
          </cell>
          <cell r="C58" t="str">
            <v>SMIRNOFF ICE GUARANA 330ML</v>
          </cell>
          <cell r="D58" t="str">
            <v/>
          </cell>
          <cell r="E58" t="str">
            <v/>
          </cell>
          <cell r="F58" t="str">
            <v>Pcs</v>
          </cell>
          <cell r="G58">
            <v>456</v>
          </cell>
          <cell r="H58" t="str">
            <v/>
          </cell>
          <cell r="I58">
            <v>2424</v>
          </cell>
          <cell r="J58">
            <v>1656</v>
          </cell>
          <cell r="K58">
            <v>1224</v>
          </cell>
          <cell r="L58">
            <v>172.7</v>
          </cell>
          <cell r="M58">
            <v>211384.8</v>
          </cell>
        </row>
        <row r="59">
          <cell r="A59">
            <v>2431</v>
          </cell>
          <cell r="B59" t="str">
            <v/>
          </cell>
          <cell r="C59" t="str">
            <v>SMIRNOFF ICE PINEAPPLE PUNCH 330ML</v>
          </cell>
          <cell r="D59" t="str">
            <v/>
          </cell>
          <cell r="E59" t="str">
            <v/>
          </cell>
          <cell r="F59" t="str">
            <v>Pcs</v>
          </cell>
          <cell r="G59">
            <v>961</v>
          </cell>
          <cell r="H59" t="str">
            <v/>
          </cell>
          <cell r="I59">
            <v>2400</v>
          </cell>
          <cell r="J59">
            <v>2281</v>
          </cell>
          <cell r="K59">
            <v>1080</v>
          </cell>
          <cell r="L59">
            <v>172.71</v>
          </cell>
          <cell r="M59">
            <v>186526.8</v>
          </cell>
        </row>
        <row r="60">
          <cell r="A60">
            <v>2845</v>
          </cell>
          <cell r="B60" t="str">
            <v/>
          </cell>
          <cell r="C60" t="str">
            <v>SMIRNOFF ICE RASPBERRY TWIST CAN 330ML</v>
          </cell>
          <cell r="D60" t="str">
            <v/>
          </cell>
          <cell r="E60" t="str">
            <v/>
          </cell>
          <cell r="F60" t="str">
            <v>Pcs</v>
          </cell>
          <cell r="G60">
            <v>480</v>
          </cell>
          <cell r="H60" t="str">
            <v/>
          </cell>
          <cell r="I60">
            <v>960</v>
          </cell>
          <cell r="J60">
            <v>1176</v>
          </cell>
          <cell r="K60">
            <v>264</v>
          </cell>
          <cell r="L60">
            <v>175.95</v>
          </cell>
          <cell r="M60">
            <v>46450.8</v>
          </cell>
        </row>
        <row r="61">
          <cell r="A61">
            <v>2922</v>
          </cell>
          <cell r="B61" t="str">
            <v/>
          </cell>
          <cell r="C61" t="str">
            <v>TUBORG GREEN BOTTLE 330ML</v>
          </cell>
          <cell r="D61" t="str">
            <v/>
          </cell>
          <cell r="E61" t="str">
            <v/>
          </cell>
          <cell r="F61" t="str">
            <v>Pcs</v>
          </cell>
          <cell r="G61">
            <v>120</v>
          </cell>
          <cell r="H61" t="str">
            <v/>
          </cell>
          <cell r="I61">
            <v>0</v>
          </cell>
          <cell r="J61">
            <v>120</v>
          </cell>
          <cell r="K61">
            <v>0</v>
          </cell>
          <cell r="L61">
            <v>199</v>
          </cell>
          <cell r="M61">
            <v>0</v>
          </cell>
        </row>
        <row r="62">
          <cell r="A62">
            <v>2020</v>
          </cell>
          <cell r="B62" t="str">
            <v/>
          </cell>
          <cell r="C62" t="str">
            <v>TUBORG GREEN CAN 500ML</v>
          </cell>
          <cell r="D62" t="str">
            <v/>
          </cell>
          <cell r="E62" t="str">
            <v/>
          </cell>
          <cell r="F62" t="str">
            <v>Pcs</v>
          </cell>
          <cell r="G62">
            <v>0</v>
          </cell>
          <cell r="H62" t="str">
            <v/>
          </cell>
          <cell r="I62">
            <v>0</v>
          </cell>
          <cell r="J62">
            <v>0</v>
          </cell>
          <cell r="K62">
            <v>0</v>
          </cell>
          <cell r="L62">
            <v>223</v>
          </cell>
          <cell r="M62">
            <v>0</v>
          </cell>
        </row>
        <row r="63">
          <cell r="A63">
            <v>2432</v>
          </cell>
          <cell r="B63" t="str">
            <v/>
          </cell>
          <cell r="C63" t="str">
            <v>TUSKER LAGER CAN 500ML</v>
          </cell>
          <cell r="D63" t="str">
            <v/>
          </cell>
          <cell r="E63" t="str">
            <v/>
          </cell>
          <cell r="F63" t="str">
            <v>Pcs</v>
          </cell>
          <cell r="G63">
            <v>1007</v>
          </cell>
          <cell r="H63" t="str">
            <v/>
          </cell>
          <cell r="I63">
            <v>2400</v>
          </cell>
          <cell r="J63">
            <v>1751</v>
          </cell>
          <cell r="K63">
            <v>1656</v>
          </cell>
          <cell r="L63">
            <v>194.98</v>
          </cell>
          <cell r="M63">
            <v>322886.88</v>
          </cell>
        </row>
        <row r="64">
          <cell r="A64">
            <v>2433</v>
          </cell>
          <cell r="B64" t="str">
            <v/>
          </cell>
          <cell r="C64" t="str">
            <v>TUSKER LITE CAN 500ML</v>
          </cell>
          <cell r="D64" t="str">
            <v/>
          </cell>
          <cell r="E64" t="str">
            <v/>
          </cell>
          <cell r="F64" t="str">
            <v>Pcs</v>
          </cell>
          <cell r="G64">
            <v>1248</v>
          </cell>
          <cell r="H64" t="str">
            <v/>
          </cell>
          <cell r="I64">
            <v>1200</v>
          </cell>
          <cell r="J64">
            <v>1563</v>
          </cell>
          <cell r="K64">
            <v>885</v>
          </cell>
          <cell r="L64">
            <v>237.4</v>
          </cell>
          <cell r="M64">
            <v>210099</v>
          </cell>
        </row>
        <row r="65">
          <cell r="A65">
            <v>2434</v>
          </cell>
          <cell r="B65" t="str">
            <v/>
          </cell>
          <cell r="C65" t="str">
            <v>TUSKER MALT CAN 500ML</v>
          </cell>
          <cell r="D65" t="str">
            <v/>
          </cell>
          <cell r="E65" t="str">
            <v/>
          </cell>
          <cell r="F65" t="str">
            <v>Pcs</v>
          </cell>
          <cell r="G65">
            <v>696</v>
          </cell>
          <cell r="H65" t="str">
            <v/>
          </cell>
          <cell r="I65">
            <v>720</v>
          </cell>
          <cell r="J65">
            <v>576</v>
          </cell>
          <cell r="K65">
            <v>840</v>
          </cell>
          <cell r="L65">
            <v>236.99</v>
          </cell>
          <cell r="M65">
            <v>199071.6</v>
          </cell>
        </row>
        <row r="66">
          <cell r="A66">
            <v>2088</v>
          </cell>
          <cell r="B66" t="str">
            <v/>
          </cell>
          <cell r="C66" t="str">
            <v>WHITECAP CRISP 330ML</v>
          </cell>
          <cell r="D66" t="str">
            <v/>
          </cell>
          <cell r="E66" t="str">
            <v/>
          </cell>
          <cell r="F66" t="str">
            <v>Pcs</v>
          </cell>
          <cell r="G66">
            <v>312</v>
          </cell>
          <cell r="H66" t="str">
            <v/>
          </cell>
          <cell r="I66">
            <v>0</v>
          </cell>
          <cell r="J66">
            <v>48</v>
          </cell>
          <cell r="K66">
            <v>264</v>
          </cell>
          <cell r="L66">
            <v>228.98</v>
          </cell>
          <cell r="M66">
            <v>60450.72</v>
          </cell>
        </row>
        <row r="67">
          <cell r="A67">
            <v>2435</v>
          </cell>
          <cell r="B67" t="str">
            <v/>
          </cell>
          <cell r="C67" t="str">
            <v>WHITECAP LAGER 500ML</v>
          </cell>
          <cell r="D67" t="str">
            <v/>
          </cell>
          <cell r="E67" t="str">
            <v/>
          </cell>
          <cell r="F67" t="str">
            <v>Pcs</v>
          </cell>
          <cell r="G67">
            <v>336</v>
          </cell>
          <cell r="H67" t="str">
            <v/>
          </cell>
          <cell r="I67">
            <v>3696</v>
          </cell>
          <cell r="J67">
            <v>3264</v>
          </cell>
          <cell r="K67">
            <v>768</v>
          </cell>
          <cell r="L67">
            <v>212.19</v>
          </cell>
          <cell r="M67">
            <v>162961.92</v>
          </cell>
        </row>
        <row r="68">
          <cell r="A68">
            <v>2127</v>
          </cell>
          <cell r="B68" t="str">
            <v/>
          </cell>
          <cell r="C68" t="str">
            <v>WINDHOEK DRAUGHT NRB 440ML</v>
          </cell>
          <cell r="D68" t="str">
            <v/>
          </cell>
          <cell r="E68" t="str">
            <v/>
          </cell>
          <cell r="F68" t="str">
            <v>Pcs</v>
          </cell>
          <cell r="G68">
            <v>312</v>
          </cell>
          <cell r="H68" t="str">
            <v/>
          </cell>
          <cell r="I68">
            <v>720</v>
          </cell>
          <cell r="J68">
            <v>336</v>
          </cell>
          <cell r="K68">
            <v>696</v>
          </cell>
          <cell r="L68">
            <v>182.71</v>
          </cell>
          <cell r="M68">
            <v>127166.16</v>
          </cell>
        </row>
        <row r="69">
          <cell r="A69">
            <v>2126</v>
          </cell>
          <cell r="B69" t="str">
            <v/>
          </cell>
          <cell r="C69" t="str">
            <v>WINDHOEK LAGER 33OML</v>
          </cell>
          <cell r="D69" t="str">
            <v/>
          </cell>
          <cell r="E69" t="str">
            <v/>
          </cell>
          <cell r="F69" t="str">
            <v>Pcs</v>
          </cell>
          <cell r="G69">
            <v>384</v>
          </cell>
          <cell r="H69" t="str">
            <v/>
          </cell>
          <cell r="I69">
            <v>720</v>
          </cell>
          <cell r="J69">
            <v>600</v>
          </cell>
          <cell r="K69">
            <v>504</v>
          </cell>
          <cell r="L69">
            <v>182.71</v>
          </cell>
          <cell r="M69">
            <v>92085.84</v>
          </cell>
        </row>
        <row r="70">
          <cell r="B70" t="str">
            <v/>
          </cell>
          <cell r="C70" t="str">
            <v/>
          </cell>
          <cell r="D70" t="str">
            <v>BEER</v>
          </cell>
          <cell r="E70" t="str">
            <v/>
          </cell>
          <cell r="F70" t="str">
            <v/>
          </cell>
          <cell r="G70">
            <v>23328</v>
          </cell>
          <cell r="H70" t="str">
            <v/>
          </cell>
          <cell r="I70">
            <v>29732</v>
          </cell>
          <cell r="J70">
            <v>28127</v>
          </cell>
          <cell r="K70">
            <v>24933</v>
          </cell>
          <cell r="L70" t="str">
            <v/>
          </cell>
          <cell r="M70">
            <v>5372811.763988</v>
          </cell>
        </row>
        <row r="71">
          <cell r="A71" t="str">
            <v>Class :</v>
          </cell>
          <cell r="B71" t="str">
            <v>BRANDY</v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</row>
        <row r="72">
          <cell r="A72">
            <v>174</v>
          </cell>
          <cell r="B72" t="str">
            <v/>
          </cell>
          <cell r="C72" t="str">
            <v>BARDINET BRANDY VSOP 1ltr</v>
          </cell>
          <cell r="D72" t="str">
            <v/>
          </cell>
          <cell r="E72" t="str">
            <v/>
          </cell>
          <cell r="F72" t="str">
            <v>Pcs</v>
          </cell>
          <cell r="G72">
            <v>0</v>
          </cell>
          <cell r="H72" t="str">
            <v/>
          </cell>
          <cell r="I72">
            <v>0</v>
          </cell>
          <cell r="J72">
            <v>0</v>
          </cell>
          <cell r="K72">
            <v>0</v>
          </cell>
          <cell r="L72">
            <v>1656</v>
          </cell>
          <cell r="M72">
            <v>0</v>
          </cell>
        </row>
        <row r="73">
          <cell r="A73">
            <v>192</v>
          </cell>
          <cell r="B73" t="str">
            <v/>
          </cell>
          <cell r="C73" t="str">
            <v>BEEHIVE VSOP BRANDY 1LTR</v>
          </cell>
          <cell r="D73" t="str">
            <v/>
          </cell>
          <cell r="E73" t="str">
            <v/>
          </cell>
          <cell r="F73" t="str">
            <v>Pcs</v>
          </cell>
          <cell r="G73">
            <v>0</v>
          </cell>
          <cell r="H73" t="str">
            <v/>
          </cell>
          <cell r="I73">
            <v>0</v>
          </cell>
          <cell r="J73">
            <v>0</v>
          </cell>
          <cell r="K73">
            <v>0</v>
          </cell>
          <cell r="L73">
            <v>1748</v>
          </cell>
          <cell r="M73">
            <v>0</v>
          </cell>
        </row>
        <row r="74">
          <cell r="A74">
            <v>214</v>
          </cell>
          <cell r="B74" t="str">
            <v/>
          </cell>
          <cell r="C74" t="str">
            <v>BERTRAMS TRIPLE 'R' BRANDY 750ML</v>
          </cell>
          <cell r="D74" t="str">
            <v/>
          </cell>
          <cell r="E74" t="str">
            <v/>
          </cell>
          <cell r="F74" t="str">
            <v>Pcs</v>
          </cell>
          <cell r="G74">
            <v>0</v>
          </cell>
          <cell r="H74" t="str">
            <v/>
          </cell>
          <cell r="I74">
            <v>0</v>
          </cell>
          <cell r="J74">
            <v>0</v>
          </cell>
          <cell r="K74">
            <v>0</v>
          </cell>
          <cell r="L74">
            <v>552</v>
          </cell>
          <cell r="M74">
            <v>0</v>
          </cell>
        </row>
        <row r="75">
          <cell r="A75">
            <v>215</v>
          </cell>
          <cell r="B75" t="str">
            <v/>
          </cell>
          <cell r="C75" t="str">
            <v>BERTRAMS VO OLD 750ML</v>
          </cell>
          <cell r="D75" t="str">
            <v/>
          </cell>
          <cell r="E75" t="str">
            <v/>
          </cell>
          <cell r="F75" t="str">
            <v>Pcs</v>
          </cell>
          <cell r="G75">
            <v>0</v>
          </cell>
          <cell r="H75" t="str">
            <v/>
          </cell>
          <cell r="I75">
            <v>0</v>
          </cell>
          <cell r="J75">
            <v>0</v>
          </cell>
          <cell r="K75">
            <v>0</v>
          </cell>
          <cell r="L75">
            <v>650</v>
          </cell>
          <cell r="M75">
            <v>0</v>
          </cell>
        </row>
        <row r="76">
          <cell r="A76">
            <v>276</v>
          </cell>
          <cell r="B76" t="str">
            <v/>
          </cell>
          <cell r="C76" t="str">
            <v>BRANDY MARNAT XO 750ML</v>
          </cell>
          <cell r="D76" t="str">
            <v/>
          </cell>
          <cell r="E76" t="str">
            <v/>
          </cell>
          <cell r="F76" t="str">
            <v>Pcs</v>
          </cell>
          <cell r="G76">
            <v>178</v>
          </cell>
          <cell r="H76" t="str">
            <v/>
          </cell>
          <cell r="I76">
            <v>0</v>
          </cell>
          <cell r="J76">
            <v>0</v>
          </cell>
          <cell r="K76">
            <v>178</v>
          </cell>
          <cell r="L76">
            <v>1800</v>
          </cell>
          <cell r="M76">
            <v>320400</v>
          </cell>
        </row>
        <row r="77">
          <cell r="A77">
            <v>2983</v>
          </cell>
          <cell r="B77" t="str">
            <v/>
          </cell>
          <cell r="C77" t="str">
            <v>CHROME BRANDY 250 ML</v>
          </cell>
          <cell r="D77" t="str">
            <v/>
          </cell>
          <cell r="E77" t="str">
            <v/>
          </cell>
          <cell r="F77" t="str">
            <v>Pcs</v>
          </cell>
          <cell r="G77">
            <v>360</v>
          </cell>
          <cell r="H77" t="str">
            <v/>
          </cell>
          <cell r="I77">
            <v>0</v>
          </cell>
          <cell r="J77">
            <v>40</v>
          </cell>
          <cell r="K77">
            <v>320</v>
          </cell>
          <cell r="L77">
            <v>200</v>
          </cell>
          <cell r="M77">
            <v>64000</v>
          </cell>
        </row>
        <row r="78">
          <cell r="A78">
            <v>2984</v>
          </cell>
          <cell r="B78" t="str">
            <v/>
          </cell>
          <cell r="C78" t="str">
            <v>CHROME BRANDY 750 ML</v>
          </cell>
          <cell r="D78" t="str">
            <v/>
          </cell>
          <cell r="E78" t="str">
            <v/>
          </cell>
          <cell r="F78" t="str">
            <v>Pcs</v>
          </cell>
          <cell r="G78">
            <v>48</v>
          </cell>
          <cell r="H78" t="str">
            <v/>
          </cell>
          <cell r="I78">
            <v>0</v>
          </cell>
          <cell r="J78">
            <v>24</v>
          </cell>
          <cell r="K78">
            <v>24</v>
          </cell>
          <cell r="L78">
            <v>680</v>
          </cell>
          <cell r="M78">
            <v>16320</v>
          </cell>
        </row>
        <row r="79">
          <cell r="A79">
            <v>2388</v>
          </cell>
          <cell r="B79" t="str">
            <v/>
          </cell>
          <cell r="C79" t="str">
            <v>CICERO BRANDY 250ML</v>
          </cell>
          <cell r="D79" t="str">
            <v/>
          </cell>
          <cell r="E79" t="str">
            <v/>
          </cell>
          <cell r="F79" t="str">
            <v>Pcs</v>
          </cell>
          <cell r="G79">
            <v>160</v>
          </cell>
          <cell r="H79" t="str">
            <v/>
          </cell>
          <cell r="I79">
            <v>0</v>
          </cell>
          <cell r="J79">
            <v>158</v>
          </cell>
          <cell r="K79">
            <v>2</v>
          </cell>
          <cell r="L79">
            <v>150</v>
          </cell>
          <cell r="M79">
            <v>300</v>
          </cell>
        </row>
        <row r="80">
          <cell r="A80">
            <v>2185</v>
          </cell>
          <cell r="B80" t="str">
            <v/>
          </cell>
          <cell r="C80" t="str">
            <v>CICERO BRANDY 350ML</v>
          </cell>
          <cell r="D80" t="str">
            <v/>
          </cell>
          <cell r="E80" t="str">
            <v/>
          </cell>
          <cell r="F80" t="str">
            <v>Pcs</v>
          </cell>
          <cell r="G80">
            <v>0</v>
          </cell>
          <cell r="H80" t="str">
            <v/>
          </cell>
          <cell r="I80">
            <v>0</v>
          </cell>
          <cell r="J80">
            <v>0</v>
          </cell>
          <cell r="K80">
            <v>0</v>
          </cell>
          <cell r="L80">
            <v>450</v>
          </cell>
          <cell r="M80">
            <v>0</v>
          </cell>
        </row>
        <row r="81">
          <cell r="A81">
            <v>534</v>
          </cell>
          <cell r="B81" t="str">
            <v/>
          </cell>
          <cell r="C81" t="str">
            <v>COUNTY BRANDY 250ML</v>
          </cell>
          <cell r="D81" t="str">
            <v/>
          </cell>
          <cell r="E81" t="str">
            <v/>
          </cell>
          <cell r="F81" t="str">
            <v>Pcs</v>
          </cell>
          <cell r="G81">
            <v>648</v>
          </cell>
          <cell r="H81" t="str">
            <v/>
          </cell>
          <cell r="I81">
            <v>1200</v>
          </cell>
          <cell r="J81">
            <v>984</v>
          </cell>
          <cell r="K81">
            <v>864</v>
          </cell>
          <cell r="L81">
            <v>228.05</v>
          </cell>
          <cell r="M81">
            <v>197035.2</v>
          </cell>
        </row>
        <row r="82">
          <cell r="A82">
            <v>535</v>
          </cell>
          <cell r="B82" t="str">
            <v/>
          </cell>
          <cell r="C82" t="str">
            <v>COUNTY BRANDY 750ML</v>
          </cell>
          <cell r="D82" t="str">
            <v/>
          </cell>
          <cell r="E82" t="str">
            <v/>
          </cell>
          <cell r="F82" t="str">
            <v>Pcs</v>
          </cell>
          <cell r="G82">
            <v>168</v>
          </cell>
          <cell r="H82" t="str">
            <v/>
          </cell>
          <cell r="I82">
            <v>240</v>
          </cell>
          <cell r="J82">
            <v>168</v>
          </cell>
          <cell r="K82">
            <v>240</v>
          </cell>
          <cell r="L82">
            <v>632.15</v>
          </cell>
          <cell r="M82">
            <v>151716</v>
          </cell>
        </row>
        <row r="83">
          <cell r="A83">
            <v>536</v>
          </cell>
          <cell r="B83" t="str">
            <v/>
          </cell>
          <cell r="C83" t="str">
            <v>COURVOISIER V.S 1LTR</v>
          </cell>
          <cell r="D83" t="str">
            <v/>
          </cell>
          <cell r="E83" t="str">
            <v/>
          </cell>
          <cell r="F83" t="str">
            <v>Pcs</v>
          </cell>
          <cell r="G83">
            <v>8</v>
          </cell>
          <cell r="H83" t="str">
            <v/>
          </cell>
          <cell r="I83">
            <v>0</v>
          </cell>
          <cell r="J83">
            <v>8</v>
          </cell>
          <cell r="K83">
            <v>0</v>
          </cell>
          <cell r="L83">
            <v>3723</v>
          </cell>
          <cell r="M83">
            <v>0</v>
          </cell>
        </row>
        <row r="84">
          <cell r="A84">
            <v>537</v>
          </cell>
          <cell r="B84" t="str">
            <v/>
          </cell>
          <cell r="C84" t="str">
            <v>COURVOISIER V.S. 700ML</v>
          </cell>
          <cell r="D84" t="str">
            <v/>
          </cell>
          <cell r="E84" t="str">
            <v/>
          </cell>
          <cell r="F84" t="str">
            <v>Pcs</v>
          </cell>
          <cell r="G84">
            <v>0</v>
          </cell>
          <cell r="H84" t="str">
            <v/>
          </cell>
          <cell r="I84">
            <v>0</v>
          </cell>
          <cell r="J84">
            <v>0</v>
          </cell>
          <cell r="K84">
            <v>0</v>
          </cell>
          <cell r="L84">
            <v>4140</v>
          </cell>
          <cell r="M84">
            <v>0</v>
          </cell>
        </row>
        <row r="85">
          <cell r="A85">
            <v>538</v>
          </cell>
          <cell r="B85" t="str">
            <v/>
          </cell>
          <cell r="C85" t="str">
            <v>COURVOISIER V.S.O.P 1LTR</v>
          </cell>
          <cell r="D85" t="str">
            <v/>
          </cell>
          <cell r="E85" t="str">
            <v/>
          </cell>
          <cell r="F85" t="str">
            <v>Pcs</v>
          </cell>
          <cell r="G85">
            <v>120</v>
          </cell>
          <cell r="H85" t="str">
            <v/>
          </cell>
          <cell r="I85">
            <v>0</v>
          </cell>
          <cell r="J85">
            <v>0</v>
          </cell>
          <cell r="K85">
            <v>120</v>
          </cell>
          <cell r="L85">
            <v>6900</v>
          </cell>
          <cell r="M85">
            <v>828000</v>
          </cell>
        </row>
        <row r="86">
          <cell r="A86">
            <v>539</v>
          </cell>
          <cell r="B86" t="str">
            <v/>
          </cell>
          <cell r="C86" t="str">
            <v>COURVOISIER V.S.O.P. 700ML</v>
          </cell>
          <cell r="D86" t="str">
            <v/>
          </cell>
          <cell r="E86" t="str">
            <v/>
          </cell>
          <cell r="F86" t="str">
            <v>Pcs</v>
          </cell>
          <cell r="G86">
            <v>120</v>
          </cell>
          <cell r="H86" t="str">
            <v/>
          </cell>
          <cell r="I86">
            <v>0</v>
          </cell>
          <cell r="J86">
            <v>0</v>
          </cell>
          <cell r="K86">
            <v>120</v>
          </cell>
          <cell r="L86">
            <v>5060</v>
          </cell>
          <cell r="M86">
            <v>607200</v>
          </cell>
        </row>
        <row r="87">
          <cell r="A87">
            <v>3008</v>
          </cell>
          <cell r="B87" t="str">
            <v/>
          </cell>
          <cell r="C87" t="str">
            <v>DALLAS BRANDY 750ML</v>
          </cell>
          <cell r="D87" t="str">
            <v/>
          </cell>
          <cell r="E87" t="str">
            <v/>
          </cell>
          <cell r="F87" t="str">
            <v>Pcs</v>
          </cell>
          <cell r="G87">
            <v>0</v>
          </cell>
          <cell r="H87" t="str">
            <v/>
          </cell>
          <cell r="I87">
            <v>300</v>
          </cell>
          <cell r="J87">
            <v>12</v>
          </cell>
          <cell r="K87">
            <v>288</v>
          </cell>
          <cell r="L87">
            <v>482</v>
          </cell>
          <cell r="M87">
            <v>138816</v>
          </cell>
        </row>
        <row r="88">
          <cell r="A88">
            <v>625</v>
          </cell>
          <cell r="B88" t="str">
            <v/>
          </cell>
          <cell r="C88" t="str">
            <v>DON MONTEGO (AGE 5 YEARS) 500ML</v>
          </cell>
          <cell r="D88" t="str">
            <v/>
          </cell>
          <cell r="E88" t="str">
            <v/>
          </cell>
          <cell r="F88" t="str">
            <v>Pcs</v>
          </cell>
          <cell r="G88">
            <v>0</v>
          </cell>
          <cell r="H88" t="str">
            <v/>
          </cell>
          <cell r="I88">
            <v>0</v>
          </cell>
          <cell r="J88">
            <v>0</v>
          </cell>
          <cell r="K88">
            <v>0</v>
          </cell>
          <cell r="L88">
            <v>920</v>
          </cell>
          <cell r="M88">
            <v>0</v>
          </cell>
        </row>
        <row r="89">
          <cell r="A89">
            <v>626</v>
          </cell>
          <cell r="B89" t="str">
            <v/>
          </cell>
          <cell r="C89" t="str">
            <v>DON MONTEGO (AGED 5 YEARS)250ML</v>
          </cell>
          <cell r="D89" t="str">
            <v/>
          </cell>
          <cell r="E89" t="str">
            <v/>
          </cell>
          <cell r="F89" t="str">
            <v>Pcs</v>
          </cell>
          <cell r="G89">
            <v>158</v>
          </cell>
          <cell r="H89" t="str">
            <v/>
          </cell>
          <cell r="I89">
            <v>0</v>
          </cell>
          <cell r="J89">
            <v>0</v>
          </cell>
          <cell r="K89">
            <v>158</v>
          </cell>
          <cell r="L89">
            <v>414</v>
          </cell>
          <cell r="M89">
            <v>65412</v>
          </cell>
        </row>
        <row r="90">
          <cell r="A90">
            <v>627</v>
          </cell>
          <cell r="B90" t="str">
            <v/>
          </cell>
          <cell r="C90" t="str">
            <v>DON MONTEGO BRANDY(AGED 5 YEARS )750ML</v>
          </cell>
          <cell r="D90" t="str">
            <v/>
          </cell>
          <cell r="E90" t="str">
            <v/>
          </cell>
          <cell r="F90" t="str">
            <v>Pcs</v>
          </cell>
          <cell r="G90">
            <v>0</v>
          </cell>
          <cell r="H90" t="str">
            <v/>
          </cell>
          <cell r="I90">
            <v>0</v>
          </cell>
          <cell r="J90">
            <v>0</v>
          </cell>
          <cell r="K90">
            <v>0</v>
          </cell>
          <cell r="L90">
            <v>1518</v>
          </cell>
          <cell r="M90">
            <v>0</v>
          </cell>
        </row>
        <row r="91">
          <cell r="A91">
            <v>2477</v>
          </cell>
          <cell r="B91" t="str">
            <v/>
          </cell>
          <cell r="C91" t="str">
            <v>JP CHENET VS 700ML</v>
          </cell>
          <cell r="D91" t="str">
            <v/>
          </cell>
          <cell r="E91" t="str">
            <v/>
          </cell>
          <cell r="F91" t="str">
            <v>Pcs</v>
          </cell>
          <cell r="G91">
            <v>0</v>
          </cell>
          <cell r="H91" t="str">
            <v/>
          </cell>
          <cell r="I91">
            <v>0</v>
          </cell>
          <cell r="J91">
            <v>0</v>
          </cell>
          <cell r="K91">
            <v>0</v>
          </cell>
          <cell r="L91">
            <v>1076</v>
          </cell>
          <cell r="M91">
            <v>0</v>
          </cell>
        </row>
        <row r="92">
          <cell r="A92">
            <v>1156</v>
          </cell>
          <cell r="B92" t="str">
            <v/>
          </cell>
          <cell r="C92" t="str">
            <v>JP CHENET VSOP 700ML</v>
          </cell>
          <cell r="D92" t="str">
            <v/>
          </cell>
          <cell r="E92" t="str">
            <v/>
          </cell>
          <cell r="F92" t="str">
            <v>Pcs</v>
          </cell>
          <cell r="G92">
            <v>0</v>
          </cell>
          <cell r="H92" t="str">
            <v/>
          </cell>
          <cell r="I92">
            <v>0</v>
          </cell>
          <cell r="J92">
            <v>0</v>
          </cell>
          <cell r="K92">
            <v>0</v>
          </cell>
          <cell r="L92">
            <v>1090</v>
          </cell>
          <cell r="M92">
            <v>0</v>
          </cell>
        </row>
        <row r="93">
          <cell r="A93">
            <v>1157</v>
          </cell>
          <cell r="B93" t="str">
            <v/>
          </cell>
          <cell r="C93" t="str">
            <v>JP CHENET XO 700ML</v>
          </cell>
          <cell r="D93" t="str">
            <v/>
          </cell>
          <cell r="E93" t="str">
            <v/>
          </cell>
          <cell r="F93" t="str">
            <v>Pcs</v>
          </cell>
          <cell r="G93">
            <v>0</v>
          </cell>
          <cell r="H93" t="str">
            <v/>
          </cell>
          <cell r="I93">
            <v>0</v>
          </cell>
          <cell r="J93">
            <v>0</v>
          </cell>
          <cell r="K93">
            <v>0</v>
          </cell>
          <cell r="L93">
            <v>1638</v>
          </cell>
          <cell r="M93">
            <v>0</v>
          </cell>
        </row>
        <row r="94">
          <cell r="A94">
            <v>1215</v>
          </cell>
          <cell r="B94" t="str">
            <v/>
          </cell>
          <cell r="C94" t="str">
            <v>KLIPORIFT 750ML</v>
          </cell>
          <cell r="D94" t="str">
            <v/>
          </cell>
          <cell r="E94" t="str">
            <v/>
          </cell>
          <cell r="F94" t="str">
            <v>Pcs</v>
          </cell>
          <cell r="G94">
            <v>24</v>
          </cell>
          <cell r="H94" t="str">
            <v/>
          </cell>
          <cell r="I94">
            <v>0</v>
          </cell>
          <cell r="J94">
            <v>0</v>
          </cell>
          <cell r="K94">
            <v>24</v>
          </cell>
          <cell r="L94">
            <v>1800</v>
          </cell>
          <cell r="M94">
            <v>43200</v>
          </cell>
        </row>
        <row r="95">
          <cell r="A95">
            <v>1233</v>
          </cell>
          <cell r="B95" t="str">
            <v/>
          </cell>
          <cell r="C95" t="str">
            <v>KWV 10YRS BRANDY 750ml</v>
          </cell>
          <cell r="D95" t="str">
            <v/>
          </cell>
          <cell r="E95" t="str">
            <v/>
          </cell>
          <cell r="F95" t="str">
            <v>Pcs</v>
          </cell>
          <cell r="G95">
            <v>0</v>
          </cell>
          <cell r="H95" t="str">
            <v/>
          </cell>
          <cell r="I95">
            <v>0</v>
          </cell>
          <cell r="J95">
            <v>0</v>
          </cell>
          <cell r="K95">
            <v>0</v>
          </cell>
          <cell r="L95">
            <v>2600</v>
          </cell>
          <cell r="M95">
            <v>0</v>
          </cell>
        </row>
        <row r="96">
          <cell r="A96">
            <v>1234</v>
          </cell>
          <cell r="B96" t="str">
            <v/>
          </cell>
          <cell r="C96" t="str">
            <v>KWV 12YRS BRANDY 750ML</v>
          </cell>
          <cell r="D96" t="str">
            <v/>
          </cell>
          <cell r="E96" t="str">
            <v/>
          </cell>
          <cell r="F96" t="str">
            <v>Pcs</v>
          </cell>
          <cell r="G96">
            <v>18</v>
          </cell>
          <cell r="H96" t="str">
            <v/>
          </cell>
          <cell r="I96">
            <v>0</v>
          </cell>
          <cell r="J96">
            <v>0</v>
          </cell>
          <cell r="K96">
            <v>18</v>
          </cell>
          <cell r="L96">
            <v>5980</v>
          </cell>
          <cell r="M96">
            <v>107640</v>
          </cell>
        </row>
        <row r="97">
          <cell r="A97">
            <v>1235</v>
          </cell>
          <cell r="B97" t="str">
            <v/>
          </cell>
          <cell r="C97" t="str">
            <v>KWV 15YRS BRANDY 750ml</v>
          </cell>
          <cell r="D97" t="str">
            <v/>
          </cell>
          <cell r="E97" t="str">
            <v/>
          </cell>
          <cell r="F97" t="str">
            <v>Pcs</v>
          </cell>
          <cell r="G97">
            <v>1</v>
          </cell>
          <cell r="H97" t="str">
            <v/>
          </cell>
          <cell r="I97">
            <v>0</v>
          </cell>
          <cell r="J97">
            <v>1</v>
          </cell>
          <cell r="K97">
            <v>0</v>
          </cell>
          <cell r="L97">
            <v>6900</v>
          </cell>
          <cell r="M97">
            <v>0</v>
          </cell>
        </row>
        <row r="98">
          <cell r="A98">
            <v>1236</v>
          </cell>
          <cell r="B98" t="str">
            <v/>
          </cell>
          <cell r="C98" t="str">
            <v>KWV 3YRS BRANDY 750 ML</v>
          </cell>
          <cell r="D98" t="str">
            <v/>
          </cell>
          <cell r="E98" t="str">
            <v/>
          </cell>
          <cell r="F98" t="str">
            <v>Pcs</v>
          </cell>
          <cell r="G98">
            <v>0</v>
          </cell>
          <cell r="H98" t="str">
            <v/>
          </cell>
          <cell r="I98">
            <v>0</v>
          </cell>
          <cell r="J98">
            <v>0</v>
          </cell>
          <cell r="K98">
            <v>0</v>
          </cell>
          <cell r="L98">
            <v>1330</v>
          </cell>
          <cell r="M98">
            <v>0</v>
          </cell>
        </row>
        <row r="99">
          <cell r="A99">
            <v>1237</v>
          </cell>
          <cell r="B99" t="str">
            <v/>
          </cell>
          <cell r="C99" t="str">
            <v>KWV 5YRS 750 ML</v>
          </cell>
          <cell r="D99" t="str">
            <v/>
          </cell>
          <cell r="E99" t="str">
            <v/>
          </cell>
          <cell r="F99" t="str">
            <v>Pcs</v>
          </cell>
          <cell r="G99">
            <v>0</v>
          </cell>
          <cell r="H99" t="str">
            <v/>
          </cell>
          <cell r="I99">
            <v>0</v>
          </cell>
          <cell r="J99">
            <v>0</v>
          </cell>
          <cell r="K99">
            <v>0</v>
          </cell>
          <cell r="L99">
            <v>1196</v>
          </cell>
          <cell r="M99">
            <v>0</v>
          </cell>
        </row>
        <row r="100">
          <cell r="A100">
            <v>2415</v>
          </cell>
          <cell r="B100" t="str">
            <v/>
          </cell>
          <cell r="C100" t="str">
            <v>LIBERTY SPIRIT 250ML</v>
          </cell>
          <cell r="D100" t="str">
            <v/>
          </cell>
          <cell r="E100" t="str">
            <v/>
          </cell>
          <cell r="F100" t="str">
            <v>Pcs</v>
          </cell>
          <cell r="G100">
            <v>80</v>
          </cell>
          <cell r="H100" t="str">
            <v/>
          </cell>
          <cell r="I100">
            <v>0</v>
          </cell>
          <cell r="J100">
            <v>0</v>
          </cell>
          <cell r="K100">
            <v>80</v>
          </cell>
          <cell r="L100">
            <v>216</v>
          </cell>
          <cell r="M100">
            <v>17280</v>
          </cell>
        </row>
        <row r="101">
          <cell r="A101">
            <v>1477</v>
          </cell>
          <cell r="B101" t="str">
            <v/>
          </cell>
          <cell r="C101" t="str">
            <v>MORPHEUS 750ML</v>
          </cell>
          <cell r="D101" t="str">
            <v/>
          </cell>
          <cell r="E101" t="str">
            <v/>
          </cell>
          <cell r="F101" t="str">
            <v>Pcs</v>
          </cell>
          <cell r="G101">
            <v>12</v>
          </cell>
          <cell r="H101" t="str">
            <v/>
          </cell>
          <cell r="I101">
            <v>0</v>
          </cell>
          <cell r="J101">
            <v>0</v>
          </cell>
          <cell r="K101">
            <v>12</v>
          </cell>
          <cell r="L101">
            <v>1000</v>
          </cell>
          <cell r="M101">
            <v>12000</v>
          </cell>
        </row>
        <row r="102">
          <cell r="A102">
            <v>2280</v>
          </cell>
          <cell r="B102" t="str">
            <v/>
          </cell>
          <cell r="C102" t="str">
            <v>NAPOLEON GOLD 750ML</v>
          </cell>
          <cell r="D102" t="str">
            <v/>
          </cell>
          <cell r="E102" t="str">
            <v/>
          </cell>
          <cell r="F102" t="str">
            <v>Pcs</v>
          </cell>
          <cell r="G102">
            <v>1</v>
          </cell>
          <cell r="H102" t="str">
            <v/>
          </cell>
          <cell r="I102">
            <v>0</v>
          </cell>
          <cell r="J102">
            <v>0</v>
          </cell>
          <cell r="K102">
            <v>1</v>
          </cell>
          <cell r="L102">
            <v>700</v>
          </cell>
          <cell r="M102">
            <v>700</v>
          </cell>
        </row>
        <row r="103">
          <cell r="A103">
            <v>1663</v>
          </cell>
          <cell r="B103" t="str">
            <v/>
          </cell>
          <cell r="C103" t="str">
            <v>RICHOT 250ML</v>
          </cell>
          <cell r="D103" t="str">
            <v/>
          </cell>
          <cell r="E103" t="str">
            <v/>
          </cell>
          <cell r="F103" t="str">
            <v>Pcs</v>
          </cell>
          <cell r="G103">
            <v>561</v>
          </cell>
          <cell r="H103" t="str">
            <v/>
          </cell>
          <cell r="I103">
            <v>0</v>
          </cell>
          <cell r="J103">
            <v>121</v>
          </cell>
          <cell r="K103">
            <v>440</v>
          </cell>
          <cell r="L103">
            <v>410.8</v>
          </cell>
          <cell r="M103">
            <v>180752</v>
          </cell>
        </row>
        <row r="104">
          <cell r="A104">
            <v>1664</v>
          </cell>
          <cell r="B104" t="str">
            <v/>
          </cell>
          <cell r="C104" t="str">
            <v>RICHOT 350ML</v>
          </cell>
          <cell r="D104" t="str">
            <v/>
          </cell>
          <cell r="E104" t="str">
            <v/>
          </cell>
          <cell r="F104" t="str">
            <v>Pcs</v>
          </cell>
          <cell r="G104">
            <v>168</v>
          </cell>
          <cell r="H104" t="str">
            <v/>
          </cell>
          <cell r="I104">
            <v>360</v>
          </cell>
          <cell r="J104">
            <v>216</v>
          </cell>
          <cell r="K104">
            <v>312</v>
          </cell>
          <cell r="L104">
            <v>570.85</v>
          </cell>
          <cell r="M104">
            <v>178105.2</v>
          </cell>
        </row>
        <row r="105">
          <cell r="A105">
            <v>1665</v>
          </cell>
          <cell r="B105" t="str">
            <v/>
          </cell>
          <cell r="C105" t="str">
            <v>RICHOT 750ML</v>
          </cell>
          <cell r="D105" t="str">
            <v/>
          </cell>
          <cell r="E105" t="str">
            <v/>
          </cell>
          <cell r="F105" t="str">
            <v>Pcs</v>
          </cell>
          <cell r="G105">
            <v>72</v>
          </cell>
          <cell r="H105" t="str">
            <v/>
          </cell>
          <cell r="I105">
            <v>180</v>
          </cell>
          <cell r="J105">
            <v>36</v>
          </cell>
          <cell r="K105">
            <v>216</v>
          </cell>
          <cell r="L105">
            <v>1223.98</v>
          </cell>
          <cell r="M105">
            <v>264379.68</v>
          </cell>
        </row>
        <row r="106">
          <cell r="A106">
            <v>1783</v>
          </cell>
          <cell r="B106" t="str">
            <v/>
          </cell>
          <cell r="C106" t="str">
            <v>SHUSHTOFF BRANDY 3YRS 500ML</v>
          </cell>
          <cell r="D106" t="str">
            <v/>
          </cell>
          <cell r="E106" t="str">
            <v/>
          </cell>
          <cell r="F106" t="str">
            <v>Pcs</v>
          </cell>
          <cell r="G106">
            <v>0</v>
          </cell>
          <cell r="H106" t="str">
            <v/>
          </cell>
          <cell r="I106">
            <v>0</v>
          </cell>
          <cell r="J106">
            <v>0</v>
          </cell>
          <cell r="K106">
            <v>0</v>
          </cell>
          <cell r="L106">
            <v>1334</v>
          </cell>
          <cell r="M106">
            <v>0</v>
          </cell>
        </row>
        <row r="107">
          <cell r="A107">
            <v>1786</v>
          </cell>
          <cell r="B107" t="str">
            <v/>
          </cell>
          <cell r="C107" t="str">
            <v>SHUSTOFF 3YRS 1LTR</v>
          </cell>
          <cell r="D107" t="str">
            <v/>
          </cell>
          <cell r="E107" t="str">
            <v/>
          </cell>
          <cell r="F107" t="str">
            <v>Pcs</v>
          </cell>
          <cell r="G107">
            <v>0</v>
          </cell>
          <cell r="H107" t="str">
            <v/>
          </cell>
          <cell r="I107">
            <v>0</v>
          </cell>
          <cell r="J107">
            <v>0</v>
          </cell>
          <cell r="K107">
            <v>0</v>
          </cell>
          <cell r="L107">
            <v>1334</v>
          </cell>
          <cell r="M107">
            <v>0</v>
          </cell>
        </row>
        <row r="108">
          <cell r="A108">
            <v>1872</v>
          </cell>
          <cell r="B108" t="str">
            <v/>
          </cell>
          <cell r="C108" t="str">
            <v>ST REMY VSOP FRENCH BRANDY 1LTR</v>
          </cell>
          <cell r="D108" t="str">
            <v/>
          </cell>
          <cell r="E108" t="str">
            <v/>
          </cell>
          <cell r="F108" t="str">
            <v>Pcs</v>
          </cell>
          <cell r="G108">
            <v>0</v>
          </cell>
          <cell r="H108" t="str">
            <v/>
          </cell>
          <cell r="I108">
            <v>0</v>
          </cell>
          <cell r="J108">
            <v>0</v>
          </cell>
          <cell r="K108">
            <v>0</v>
          </cell>
          <cell r="L108">
            <v>1850</v>
          </cell>
          <cell r="M108">
            <v>0</v>
          </cell>
        </row>
        <row r="109">
          <cell r="A109">
            <v>1873</v>
          </cell>
          <cell r="B109" t="str">
            <v/>
          </cell>
          <cell r="C109" t="str">
            <v>ST REMY VSOP FRENCH BRANDY 750ML</v>
          </cell>
          <cell r="D109" t="str">
            <v/>
          </cell>
          <cell r="E109" t="str">
            <v/>
          </cell>
          <cell r="F109" t="str">
            <v>Pcs</v>
          </cell>
          <cell r="G109">
            <v>2256</v>
          </cell>
          <cell r="H109" t="str">
            <v/>
          </cell>
          <cell r="I109">
            <v>0</v>
          </cell>
          <cell r="J109">
            <v>24</v>
          </cell>
          <cell r="K109">
            <v>2232</v>
          </cell>
          <cell r="L109">
            <v>1610</v>
          </cell>
          <cell r="M109">
            <v>3593520</v>
          </cell>
        </row>
        <row r="110">
          <cell r="A110">
            <v>1874</v>
          </cell>
          <cell r="B110" t="str">
            <v/>
          </cell>
          <cell r="C110" t="str">
            <v>ST REMY XO  FRENCH BRANDY 750ML</v>
          </cell>
          <cell r="D110" t="str">
            <v/>
          </cell>
          <cell r="E110" t="str">
            <v/>
          </cell>
          <cell r="F110" t="str">
            <v>Pcs</v>
          </cell>
          <cell r="G110">
            <v>60</v>
          </cell>
          <cell r="H110" t="str">
            <v/>
          </cell>
          <cell r="I110">
            <v>0</v>
          </cell>
          <cell r="J110">
            <v>0</v>
          </cell>
          <cell r="K110">
            <v>60</v>
          </cell>
          <cell r="L110">
            <v>1656</v>
          </cell>
          <cell r="M110">
            <v>99360</v>
          </cell>
        </row>
        <row r="111">
          <cell r="A111">
            <v>1986</v>
          </cell>
          <cell r="B111" t="str">
            <v/>
          </cell>
          <cell r="C111" t="str">
            <v>THREE BARREL'S 1LT</v>
          </cell>
          <cell r="D111" t="str">
            <v/>
          </cell>
          <cell r="E111" t="str">
            <v/>
          </cell>
          <cell r="F111" t="str">
            <v>Pcs</v>
          </cell>
          <cell r="G111">
            <v>60</v>
          </cell>
          <cell r="H111" t="str">
            <v/>
          </cell>
          <cell r="I111">
            <v>0</v>
          </cell>
          <cell r="J111">
            <v>0</v>
          </cell>
          <cell r="K111">
            <v>60</v>
          </cell>
          <cell r="L111">
            <v>2100</v>
          </cell>
          <cell r="M111">
            <v>126000</v>
          </cell>
        </row>
        <row r="112">
          <cell r="A112">
            <v>2060</v>
          </cell>
          <cell r="B112" t="str">
            <v/>
          </cell>
          <cell r="C112" t="str">
            <v>VICEROY 250ML</v>
          </cell>
          <cell r="D112" t="str">
            <v/>
          </cell>
          <cell r="E112" t="str">
            <v/>
          </cell>
          <cell r="F112" t="str">
            <v>Pcs</v>
          </cell>
          <cell r="G112">
            <v>408</v>
          </cell>
          <cell r="H112" t="str">
            <v/>
          </cell>
          <cell r="I112">
            <v>1200</v>
          </cell>
          <cell r="J112">
            <v>648</v>
          </cell>
          <cell r="K112">
            <v>960</v>
          </cell>
          <cell r="L112">
            <v>422.399979</v>
          </cell>
          <cell r="M112">
            <v>405503.97984</v>
          </cell>
        </row>
        <row r="113">
          <cell r="A113">
            <v>2061</v>
          </cell>
          <cell r="B113" t="str">
            <v/>
          </cell>
          <cell r="C113" t="str">
            <v>VICEROY 375ML</v>
          </cell>
          <cell r="D113" t="str">
            <v/>
          </cell>
          <cell r="E113" t="str">
            <v/>
          </cell>
          <cell r="F113" t="str">
            <v>Pcs</v>
          </cell>
          <cell r="G113">
            <v>24</v>
          </cell>
          <cell r="H113" t="str">
            <v/>
          </cell>
          <cell r="I113">
            <v>1224</v>
          </cell>
          <cell r="J113">
            <v>1200</v>
          </cell>
          <cell r="K113">
            <v>48</v>
          </cell>
          <cell r="L113">
            <v>616</v>
          </cell>
          <cell r="M113">
            <v>29568</v>
          </cell>
        </row>
        <row r="114">
          <cell r="A114">
            <v>2062</v>
          </cell>
          <cell r="B114" t="str">
            <v/>
          </cell>
          <cell r="C114" t="str">
            <v>VICEROY 750ML</v>
          </cell>
          <cell r="D114" t="str">
            <v/>
          </cell>
          <cell r="E114" t="str">
            <v/>
          </cell>
          <cell r="F114" t="str">
            <v>Pcs</v>
          </cell>
          <cell r="G114">
            <v>227</v>
          </cell>
          <cell r="H114" t="str">
            <v/>
          </cell>
          <cell r="I114">
            <v>432</v>
          </cell>
          <cell r="J114">
            <v>659</v>
          </cell>
          <cell r="K114">
            <v>0</v>
          </cell>
          <cell r="L114">
            <v>1215</v>
          </cell>
          <cell r="M114">
            <v>0</v>
          </cell>
        </row>
        <row r="115">
          <cell r="B115" t="str">
            <v/>
          </cell>
          <cell r="C115" t="str">
            <v/>
          </cell>
          <cell r="D115" t="str">
            <v>BRANDY</v>
          </cell>
          <cell r="E115" t="str">
            <v/>
          </cell>
          <cell r="F115" t="str">
            <v/>
          </cell>
          <cell r="G115">
            <v>5940</v>
          </cell>
          <cell r="H115" t="str">
            <v/>
          </cell>
          <cell r="I115">
            <v>5136</v>
          </cell>
          <cell r="J115">
            <v>4299</v>
          </cell>
          <cell r="K115">
            <v>6777</v>
          </cell>
          <cell r="L115" t="str">
            <v/>
          </cell>
          <cell r="M115">
            <v>7447208.05984</v>
          </cell>
        </row>
        <row r="116">
          <cell r="A116" t="str">
            <v>Class :</v>
          </cell>
          <cell r="B116" t="str">
            <v>CHAMPAGNE</v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</row>
        <row r="117">
          <cell r="A117">
            <v>612</v>
          </cell>
          <cell r="B117" t="str">
            <v/>
          </cell>
          <cell r="C117" t="str">
            <v>DOM PERIGNON BRUT 750ML</v>
          </cell>
          <cell r="D117" t="str">
            <v/>
          </cell>
          <cell r="E117" t="str">
            <v/>
          </cell>
          <cell r="F117" t="str">
            <v>Pcs</v>
          </cell>
          <cell r="G117">
            <v>0</v>
          </cell>
          <cell r="H117" t="str">
            <v/>
          </cell>
          <cell r="I117">
            <v>0</v>
          </cell>
          <cell r="J117">
            <v>0</v>
          </cell>
          <cell r="K117">
            <v>0</v>
          </cell>
          <cell r="L117">
            <v>18040</v>
          </cell>
          <cell r="M117">
            <v>0</v>
          </cell>
        </row>
        <row r="118">
          <cell r="A118">
            <v>818</v>
          </cell>
          <cell r="B118" t="str">
            <v/>
          </cell>
          <cell r="C118" t="str">
            <v>GH MUMM 750ML</v>
          </cell>
          <cell r="D118" t="str">
            <v/>
          </cell>
          <cell r="E118" t="str">
            <v/>
          </cell>
          <cell r="F118" t="str">
            <v>Pcs</v>
          </cell>
          <cell r="G118">
            <v>0</v>
          </cell>
          <cell r="H118" t="str">
            <v/>
          </cell>
          <cell r="I118">
            <v>0</v>
          </cell>
          <cell r="J118">
            <v>0</v>
          </cell>
          <cell r="K118">
            <v>0</v>
          </cell>
          <cell r="L118">
            <v>7800</v>
          </cell>
          <cell r="M118">
            <v>0</v>
          </cell>
        </row>
        <row r="119">
          <cell r="A119">
            <v>801</v>
          </cell>
          <cell r="B119" t="str">
            <v/>
          </cell>
          <cell r="C119" t="str">
            <v>G.H. MUMM ROSEE 750ML</v>
          </cell>
          <cell r="D119" t="str">
            <v/>
          </cell>
          <cell r="E119" t="str">
            <v/>
          </cell>
          <cell r="F119" t="str">
            <v>Pcs</v>
          </cell>
          <cell r="G119">
            <v>18</v>
          </cell>
          <cell r="H119" t="str">
            <v/>
          </cell>
          <cell r="I119">
            <v>0</v>
          </cell>
          <cell r="J119">
            <v>0</v>
          </cell>
          <cell r="K119">
            <v>18</v>
          </cell>
          <cell r="L119">
            <v>6900</v>
          </cell>
          <cell r="M119">
            <v>124200</v>
          </cell>
        </row>
        <row r="120">
          <cell r="A120">
            <v>2303</v>
          </cell>
          <cell r="B120" t="str">
            <v/>
          </cell>
          <cell r="C120" t="str">
            <v>LANSON CHAMPAIGN 750ML</v>
          </cell>
          <cell r="D120" t="str">
            <v/>
          </cell>
          <cell r="E120" t="str">
            <v/>
          </cell>
          <cell r="F120" t="str">
            <v>Pcs</v>
          </cell>
          <cell r="G120">
            <v>6</v>
          </cell>
          <cell r="H120" t="str">
            <v/>
          </cell>
          <cell r="I120">
            <v>0</v>
          </cell>
          <cell r="J120">
            <v>0</v>
          </cell>
          <cell r="K120">
            <v>6</v>
          </cell>
          <cell r="L120">
            <v>9200</v>
          </cell>
          <cell r="M120">
            <v>55200</v>
          </cell>
        </row>
        <row r="121">
          <cell r="A121">
            <v>1266</v>
          </cell>
          <cell r="B121" t="str">
            <v/>
          </cell>
          <cell r="C121" t="str">
            <v>LAURENT BRUT CHAMPAGNE 750ML</v>
          </cell>
          <cell r="D121" t="str">
            <v/>
          </cell>
          <cell r="E121" t="str">
            <v/>
          </cell>
          <cell r="F121" t="str">
            <v>Pcs</v>
          </cell>
          <cell r="G121">
            <v>16</v>
          </cell>
          <cell r="H121" t="str">
            <v/>
          </cell>
          <cell r="I121">
            <v>0</v>
          </cell>
          <cell r="J121">
            <v>0</v>
          </cell>
          <cell r="K121">
            <v>16</v>
          </cell>
          <cell r="L121">
            <v>8740</v>
          </cell>
          <cell r="M121">
            <v>139840</v>
          </cell>
        </row>
        <row r="122">
          <cell r="A122">
            <v>1267</v>
          </cell>
          <cell r="B122" t="str">
            <v/>
          </cell>
          <cell r="C122" t="str">
            <v>LAURENT- PERRIER ROSE CHAMPAGNE  750ML</v>
          </cell>
          <cell r="D122" t="str">
            <v/>
          </cell>
          <cell r="E122" t="str">
            <v/>
          </cell>
          <cell r="F122" t="str">
            <v>Pcs</v>
          </cell>
          <cell r="G122">
            <v>12</v>
          </cell>
          <cell r="H122" t="str">
            <v/>
          </cell>
          <cell r="I122">
            <v>0</v>
          </cell>
          <cell r="J122">
            <v>0</v>
          </cell>
          <cell r="K122">
            <v>12</v>
          </cell>
          <cell r="L122">
            <v>8740</v>
          </cell>
          <cell r="M122">
            <v>104880</v>
          </cell>
        </row>
        <row r="123">
          <cell r="A123">
            <v>2969</v>
          </cell>
          <cell r="B123" t="str">
            <v/>
          </cell>
          <cell r="C123" t="str">
            <v>LOUIS ROEDERER CHAMPAGNE CRISTAL BRUT 2013 1.5L </v>
          </cell>
          <cell r="D123" t="str">
            <v/>
          </cell>
          <cell r="E123" t="str">
            <v/>
          </cell>
          <cell r="F123" t="str">
            <v>Pcs</v>
          </cell>
          <cell r="G123">
            <v>3</v>
          </cell>
          <cell r="H123" t="str">
            <v/>
          </cell>
          <cell r="I123">
            <v>0</v>
          </cell>
          <cell r="J123">
            <v>0</v>
          </cell>
          <cell r="K123">
            <v>3</v>
          </cell>
          <cell r="L123">
            <v>63900</v>
          </cell>
          <cell r="M123">
            <v>191700</v>
          </cell>
        </row>
        <row r="124">
          <cell r="A124">
            <v>1313</v>
          </cell>
          <cell r="B124" t="str">
            <v/>
          </cell>
          <cell r="C124" t="str">
            <v>LUC BELAIRE BLEU CHAMPAGNE 750ML</v>
          </cell>
          <cell r="D124" t="str">
            <v/>
          </cell>
          <cell r="E124" t="str">
            <v/>
          </cell>
          <cell r="F124" t="str">
            <v>Pcs</v>
          </cell>
          <cell r="G124">
            <v>113</v>
          </cell>
          <cell r="H124" t="str">
            <v/>
          </cell>
          <cell r="I124">
            <v>0</v>
          </cell>
          <cell r="J124">
            <v>0</v>
          </cell>
          <cell r="K124">
            <v>113</v>
          </cell>
          <cell r="L124">
            <v>4140</v>
          </cell>
          <cell r="M124">
            <v>467820</v>
          </cell>
        </row>
        <row r="125">
          <cell r="A125">
            <v>1314</v>
          </cell>
          <cell r="B125" t="str">
            <v/>
          </cell>
          <cell r="C125" t="str">
            <v>LUC BELAIRE BRUT GOLD 1.5LTR</v>
          </cell>
          <cell r="D125" t="str">
            <v/>
          </cell>
          <cell r="E125" t="str">
            <v/>
          </cell>
          <cell r="F125" t="str">
            <v>Pcs</v>
          </cell>
          <cell r="G125">
            <v>0</v>
          </cell>
          <cell r="H125" t="str">
            <v/>
          </cell>
          <cell r="I125">
            <v>0</v>
          </cell>
          <cell r="J125">
            <v>0</v>
          </cell>
          <cell r="K125">
            <v>0</v>
          </cell>
          <cell r="L125">
            <v>8800</v>
          </cell>
          <cell r="M125">
            <v>0</v>
          </cell>
        </row>
        <row r="126">
          <cell r="A126">
            <v>2180</v>
          </cell>
          <cell r="B126" t="str">
            <v/>
          </cell>
          <cell r="C126" t="str">
            <v>LUC BELAIRE BRUT GOLD 750ML</v>
          </cell>
          <cell r="D126" t="str">
            <v/>
          </cell>
          <cell r="E126" t="str">
            <v/>
          </cell>
          <cell r="F126" t="str">
            <v>Pcs</v>
          </cell>
          <cell r="G126">
            <v>251</v>
          </cell>
          <cell r="H126" t="str">
            <v/>
          </cell>
          <cell r="I126">
            <v>0</v>
          </cell>
          <cell r="J126">
            <v>0</v>
          </cell>
          <cell r="K126">
            <v>251</v>
          </cell>
          <cell r="L126">
            <v>4200</v>
          </cell>
          <cell r="M126">
            <v>1054200</v>
          </cell>
        </row>
        <row r="127">
          <cell r="A127">
            <v>2179</v>
          </cell>
          <cell r="B127" t="str">
            <v/>
          </cell>
          <cell r="C127" t="str">
            <v>LUC BELAIRE BRUT GOLD FANTOME 750ML</v>
          </cell>
          <cell r="D127" t="str">
            <v/>
          </cell>
          <cell r="E127" t="str">
            <v/>
          </cell>
          <cell r="F127" t="str">
            <v>Pcs</v>
          </cell>
          <cell r="G127">
            <v>158</v>
          </cell>
          <cell r="H127" t="str">
            <v/>
          </cell>
          <cell r="I127">
            <v>0</v>
          </cell>
          <cell r="J127">
            <v>0</v>
          </cell>
          <cell r="K127">
            <v>158</v>
          </cell>
          <cell r="L127">
            <v>4200</v>
          </cell>
          <cell r="M127">
            <v>663600</v>
          </cell>
        </row>
        <row r="128">
          <cell r="A128">
            <v>1319</v>
          </cell>
          <cell r="B128" t="str">
            <v/>
          </cell>
          <cell r="C128" t="str">
            <v>LUC BELAIRE FANTOME ROSE 750ML</v>
          </cell>
          <cell r="D128" t="str">
            <v/>
          </cell>
          <cell r="E128" t="str">
            <v/>
          </cell>
          <cell r="F128" t="str">
            <v>Pcs</v>
          </cell>
          <cell r="G128">
            <v>1</v>
          </cell>
          <cell r="H128" t="str">
            <v/>
          </cell>
          <cell r="I128">
            <v>0</v>
          </cell>
          <cell r="J128">
            <v>1</v>
          </cell>
          <cell r="K128">
            <v>0</v>
          </cell>
          <cell r="L128">
            <v>3270</v>
          </cell>
          <cell r="M128">
            <v>0</v>
          </cell>
        </row>
        <row r="129">
          <cell r="A129">
            <v>2304</v>
          </cell>
          <cell r="B129" t="str">
            <v/>
          </cell>
          <cell r="C129" t="str">
            <v>LUC BELAIRE LUXE RARE FANTOM 750ML</v>
          </cell>
          <cell r="D129" t="str">
            <v/>
          </cell>
          <cell r="E129" t="str">
            <v/>
          </cell>
          <cell r="F129" t="str">
            <v>Pcs</v>
          </cell>
          <cell r="G129">
            <v>0</v>
          </cell>
          <cell r="H129" t="str">
            <v/>
          </cell>
          <cell r="I129">
            <v>0</v>
          </cell>
          <cell r="J129">
            <v>0</v>
          </cell>
          <cell r="K129">
            <v>0</v>
          </cell>
          <cell r="L129">
            <v>4800</v>
          </cell>
          <cell r="M129">
            <v>0</v>
          </cell>
        </row>
        <row r="130">
          <cell r="A130">
            <v>1321</v>
          </cell>
          <cell r="B130" t="str">
            <v/>
          </cell>
          <cell r="C130" t="str">
            <v>LUC BELAIRE LUXE ROSE 750ML</v>
          </cell>
          <cell r="D130" t="str">
            <v/>
          </cell>
          <cell r="E130" t="str">
            <v/>
          </cell>
          <cell r="F130" t="str">
            <v>Pcs</v>
          </cell>
          <cell r="G130">
            <v>0</v>
          </cell>
          <cell r="H130" t="str">
            <v/>
          </cell>
          <cell r="I130">
            <v>0</v>
          </cell>
          <cell r="J130">
            <v>0</v>
          </cell>
          <cell r="K130">
            <v>0</v>
          </cell>
          <cell r="L130">
            <v>3800</v>
          </cell>
          <cell r="M130">
            <v>0</v>
          </cell>
        </row>
        <row r="131">
          <cell r="A131">
            <v>2305</v>
          </cell>
          <cell r="B131" t="str">
            <v/>
          </cell>
          <cell r="C131" t="str">
            <v>LUC BELAIRE  RARE BRUT 750ML</v>
          </cell>
          <cell r="D131" t="str">
            <v/>
          </cell>
          <cell r="E131" t="str">
            <v/>
          </cell>
          <cell r="F131" t="str">
            <v>Pcs</v>
          </cell>
          <cell r="G131">
            <v>0</v>
          </cell>
          <cell r="H131" t="str">
            <v/>
          </cell>
          <cell r="I131">
            <v>0</v>
          </cell>
          <cell r="J131">
            <v>0</v>
          </cell>
          <cell r="K131">
            <v>0</v>
          </cell>
          <cell r="L131">
            <v>4700</v>
          </cell>
          <cell r="M131">
            <v>0</v>
          </cell>
        </row>
        <row r="132">
          <cell r="A132">
            <v>1322</v>
          </cell>
          <cell r="B132" t="str">
            <v/>
          </cell>
          <cell r="C132" t="str">
            <v>LUC BELAIRE RARE LUXE 750ML</v>
          </cell>
          <cell r="D132" t="str">
            <v/>
          </cell>
          <cell r="E132" t="str">
            <v/>
          </cell>
          <cell r="F132" t="str">
            <v>Pcs</v>
          </cell>
          <cell r="G132">
            <v>1</v>
          </cell>
          <cell r="H132" t="str">
            <v/>
          </cell>
          <cell r="I132">
            <v>0</v>
          </cell>
          <cell r="J132">
            <v>1</v>
          </cell>
          <cell r="K132">
            <v>0</v>
          </cell>
          <cell r="L132">
            <v>3700</v>
          </cell>
          <cell r="M132">
            <v>0</v>
          </cell>
        </row>
        <row r="133">
          <cell r="A133">
            <v>1323</v>
          </cell>
          <cell r="B133" t="str">
            <v/>
          </cell>
          <cell r="C133" t="str">
            <v>LUC BELAIRE RARE ROSE 750ML</v>
          </cell>
          <cell r="D133" t="str">
            <v/>
          </cell>
          <cell r="E133" t="str">
            <v/>
          </cell>
          <cell r="F133" t="str">
            <v>Pcs</v>
          </cell>
          <cell r="G133">
            <v>0</v>
          </cell>
          <cell r="H133" t="str">
            <v/>
          </cell>
          <cell r="I133">
            <v>0</v>
          </cell>
          <cell r="J133">
            <v>0</v>
          </cell>
          <cell r="K133">
            <v>0</v>
          </cell>
          <cell r="L133">
            <v>2545</v>
          </cell>
          <cell r="M133">
            <v>0</v>
          </cell>
        </row>
        <row r="134">
          <cell r="A134">
            <v>2374</v>
          </cell>
          <cell r="B134" t="str">
            <v/>
          </cell>
          <cell r="C134" t="str">
            <v>LUC BELAIRE ROSE 1.5LTR</v>
          </cell>
          <cell r="D134" t="str">
            <v/>
          </cell>
          <cell r="E134" t="str">
            <v/>
          </cell>
          <cell r="F134" t="str">
            <v>Pcs</v>
          </cell>
          <cell r="G134">
            <v>6</v>
          </cell>
          <cell r="H134" t="str">
            <v/>
          </cell>
          <cell r="I134">
            <v>0</v>
          </cell>
          <cell r="J134">
            <v>0</v>
          </cell>
          <cell r="K134">
            <v>6</v>
          </cell>
          <cell r="L134">
            <v>7500</v>
          </cell>
          <cell r="M134">
            <v>45000</v>
          </cell>
        </row>
        <row r="135">
          <cell r="A135">
            <v>1324</v>
          </cell>
          <cell r="B135" t="str">
            <v/>
          </cell>
          <cell r="C135" t="str">
            <v>LUC BELAIRE ROSE FANTOM 1.5LTR</v>
          </cell>
          <cell r="D135" t="str">
            <v/>
          </cell>
          <cell r="E135" t="str">
            <v/>
          </cell>
          <cell r="F135" t="str">
            <v>Pcs</v>
          </cell>
          <cell r="G135">
            <v>12</v>
          </cell>
          <cell r="H135" t="str">
            <v/>
          </cell>
          <cell r="I135">
            <v>0</v>
          </cell>
          <cell r="J135">
            <v>0</v>
          </cell>
          <cell r="K135">
            <v>12</v>
          </cell>
          <cell r="L135">
            <v>8800</v>
          </cell>
          <cell r="M135">
            <v>105600</v>
          </cell>
        </row>
        <row r="136">
          <cell r="A136">
            <v>1450</v>
          </cell>
          <cell r="B136" t="str">
            <v/>
          </cell>
          <cell r="C136" t="str">
            <v>MOET &amp; CHANDON BRUT IMPERIAL 750ML</v>
          </cell>
          <cell r="D136" t="str">
            <v/>
          </cell>
          <cell r="E136" t="str">
            <v/>
          </cell>
          <cell r="F136" t="str">
            <v>Pcs</v>
          </cell>
          <cell r="G136">
            <v>294</v>
          </cell>
          <cell r="H136" t="str">
            <v/>
          </cell>
          <cell r="I136">
            <v>0</v>
          </cell>
          <cell r="J136">
            <v>48</v>
          </cell>
          <cell r="K136">
            <v>246</v>
          </cell>
          <cell r="L136">
            <v>7709.7</v>
          </cell>
          <cell r="M136">
            <v>1896586.2</v>
          </cell>
        </row>
        <row r="137">
          <cell r="A137">
            <v>1441</v>
          </cell>
          <cell r="B137" t="str">
            <v/>
          </cell>
          <cell r="C137" t="str">
            <v>MOET &amp; CHANDON - GRAND VINTAGE 750ML</v>
          </cell>
          <cell r="D137" t="str">
            <v/>
          </cell>
          <cell r="E137" t="str">
            <v/>
          </cell>
          <cell r="F137" t="str">
            <v>Pcs</v>
          </cell>
          <cell r="G137">
            <v>6</v>
          </cell>
          <cell r="H137" t="str">
            <v/>
          </cell>
          <cell r="I137">
            <v>0</v>
          </cell>
          <cell r="J137">
            <v>0</v>
          </cell>
          <cell r="K137">
            <v>6</v>
          </cell>
          <cell r="L137">
            <v>8740</v>
          </cell>
          <cell r="M137">
            <v>52440</v>
          </cell>
        </row>
        <row r="138">
          <cell r="A138">
            <v>1444</v>
          </cell>
          <cell r="B138" t="str">
            <v/>
          </cell>
          <cell r="C138" t="str">
            <v>MOET &amp; CHANDON ICE IMPERIAL 750ML</v>
          </cell>
          <cell r="D138" t="str">
            <v/>
          </cell>
          <cell r="E138" t="str">
            <v/>
          </cell>
          <cell r="F138" t="str">
            <v>Pcs</v>
          </cell>
          <cell r="G138">
            <v>84</v>
          </cell>
          <cell r="H138" t="str">
            <v/>
          </cell>
          <cell r="I138">
            <v>0</v>
          </cell>
          <cell r="J138">
            <v>0</v>
          </cell>
          <cell r="K138">
            <v>84</v>
          </cell>
          <cell r="L138">
            <v>11500</v>
          </cell>
          <cell r="M138">
            <v>966000</v>
          </cell>
        </row>
        <row r="139">
          <cell r="A139">
            <v>1445</v>
          </cell>
          <cell r="B139" t="str">
            <v/>
          </cell>
          <cell r="C139" t="str">
            <v>MOET &amp; CHANDON ICE IMPERIAL ROSE 750ML</v>
          </cell>
          <cell r="D139" t="str">
            <v/>
          </cell>
          <cell r="E139" t="str">
            <v/>
          </cell>
          <cell r="F139" t="str">
            <v>Pcs</v>
          </cell>
          <cell r="G139">
            <v>0</v>
          </cell>
          <cell r="H139" t="str">
            <v/>
          </cell>
          <cell r="I139">
            <v>0</v>
          </cell>
          <cell r="J139">
            <v>0</v>
          </cell>
          <cell r="K139">
            <v>0</v>
          </cell>
          <cell r="L139">
            <v>11000</v>
          </cell>
          <cell r="M139">
            <v>0</v>
          </cell>
        </row>
        <row r="140">
          <cell r="A140">
            <v>1454</v>
          </cell>
          <cell r="B140" t="str">
            <v/>
          </cell>
          <cell r="C140" t="str">
            <v>MOET &amp; CHANDON NECTAR IMPERIAL 750ml</v>
          </cell>
          <cell r="D140" t="str">
            <v/>
          </cell>
          <cell r="E140" t="str">
            <v/>
          </cell>
          <cell r="F140" t="str">
            <v>Pcs</v>
          </cell>
          <cell r="G140">
            <v>30</v>
          </cell>
          <cell r="H140" t="str">
            <v/>
          </cell>
          <cell r="I140">
            <v>0</v>
          </cell>
          <cell r="J140">
            <v>18</v>
          </cell>
          <cell r="K140">
            <v>12</v>
          </cell>
          <cell r="L140">
            <v>11500</v>
          </cell>
          <cell r="M140">
            <v>138000</v>
          </cell>
        </row>
        <row r="141">
          <cell r="A141">
            <v>1449</v>
          </cell>
          <cell r="B141" t="str">
            <v/>
          </cell>
          <cell r="C141" t="str">
            <v>MOET &amp; CHANDON NECTAR IMPERIAL ROSE 750ML</v>
          </cell>
          <cell r="D141" t="str">
            <v/>
          </cell>
          <cell r="E141" t="str">
            <v/>
          </cell>
          <cell r="F141" t="str">
            <v>Pcs</v>
          </cell>
          <cell r="G141">
            <v>396</v>
          </cell>
          <cell r="H141" t="str">
            <v/>
          </cell>
          <cell r="I141">
            <v>0</v>
          </cell>
          <cell r="J141">
            <v>6</v>
          </cell>
          <cell r="K141">
            <v>390</v>
          </cell>
          <cell r="L141">
            <v>10078.88</v>
          </cell>
          <cell r="M141">
            <v>3930763.2</v>
          </cell>
        </row>
        <row r="142">
          <cell r="A142">
            <v>1448</v>
          </cell>
          <cell r="B142" t="str">
            <v/>
          </cell>
          <cell r="C142" t="str">
            <v>MOET &amp; CHANDON ROSE 1.5LTR</v>
          </cell>
          <cell r="D142" t="str">
            <v/>
          </cell>
          <cell r="E142" t="str">
            <v/>
          </cell>
          <cell r="F142" t="str">
            <v>Pcs</v>
          </cell>
          <cell r="G142">
            <v>7</v>
          </cell>
          <cell r="H142" t="str">
            <v/>
          </cell>
          <cell r="I142">
            <v>0</v>
          </cell>
          <cell r="J142">
            <v>0</v>
          </cell>
          <cell r="K142">
            <v>7</v>
          </cell>
          <cell r="L142">
            <v>13800</v>
          </cell>
          <cell r="M142">
            <v>96600</v>
          </cell>
        </row>
        <row r="143">
          <cell r="A143">
            <v>1453</v>
          </cell>
          <cell r="B143" t="str">
            <v/>
          </cell>
          <cell r="C143" t="str">
            <v>MOET &amp; CHANDON ROSE IMPERIAL 750ml</v>
          </cell>
          <cell r="D143" t="str">
            <v/>
          </cell>
          <cell r="E143" t="str">
            <v/>
          </cell>
          <cell r="F143" t="str">
            <v>Pcs</v>
          </cell>
          <cell r="G143">
            <v>83</v>
          </cell>
          <cell r="H143" t="str">
            <v/>
          </cell>
          <cell r="I143">
            <v>0</v>
          </cell>
          <cell r="J143">
            <v>6</v>
          </cell>
          <cell r="K143">
            <v>77</v>
          </cell>
          <cell r="L143">
            <v>9610</v>
          </cell>
          <cell r="M143">
            <v>739970</v>
          </cell>
        </row>
        <row r="144">
          <cell r="A144">
            <v>1451</v>
          </cell>
          <cell r="B144" t="str">
            <v/>
          </cell>
          <cell r="C144" t="str">
            <v>MOET &amp; CHARNDON - NECTOR 750ML</v>
          </cell>
          <cell r="D144" t="str">
            <v/>
          </cell>
          <cell r="E144" t="str">
            <v/>
          </cell>
          <cell r="F144" t="str">
            <v>Pcs</v>
          </cell>
          <cell r="G144">
            <v>0</v>
          </cell>
          <cell r="H144" t="str">
            <v/>
          </cell>
          <cell r="I144">
            <v>0</v>
          </cell>
          <cell r="J144">
            <v>0</v>
          </cell>
          <cell r="K144">
            <v>0</v>
          </cell>
          <cell r="L144">
            <v>11500</v>
          </cell>
          <cell r="M144">
            <v>0</v>
          </cell>
        </row>
        <row r="145">
          <cell r="A145">
            <v>1452</v>
          </cell>
          <cell r="B145" t="str">
            <v/>
          </cell>
          <cell r="C145" t="str">
            <v>MOET &amp; CHARNDON - ROSE 750ML</v>
          </cell>
          <cell r="D145" t="str">
            <v/>
          </cell>
          <cell r="E145" t="str">
            <v/>
          </cell>
          <cell r="F145" t="str">
            <v>Pcs</v>
          </cell>
          <cell r="G145">
            <v>0</v>
          </cell>
          <cell r="H145" t="str">
            <v/>
          </cell>
          <cell r="I145">
            <v>0</v>
          </cell>
          <cell r="J145">
            <v>0</v>
          </cell>
          <cell r="K145">
            <v>0</v>
          </cell>
          <cell r="L145">
            <v>9660</v>
          </cell>
          <cell r="M145">
            <v>0</v>
          </cell>
        </row>
        <row r="146">
          <cell r="A146">
            <v>1629</v>
          </cell>
          <cell r="B146" t="str">
            <v/>
          </cell>
          <cell r="C146" t="str">
            <v>PIPER HEIDSIECK BRUT CHAMPAGNE 750ML</v>
          </cell>
          <cell r="D146" t="str">
            <v/>
          </cell>
          <cell r="E146" t="str">
            <v/>
          </cell>
          <cell r="F146" t="str">
            <v>Pcs</v>
          </cell>
          <cell r="G146">
            <v>6</v>
          </cell>
          <cell r="H146" t="str">
            <v/>
          </cell>
          <cell r="I146">
            <v>0</v>
          </cell>
          <cell r="J146">
            <v>0</v>
          </cell>
          <cell r="K146">
            <v>6</v>
          </cell>
          <cell r="L146">
            <v>5520</v>
          </cell>
          <cell r="M146">
            <v>33120</v>
          </cell>
        </row>
        <row r="147">
          <cell r="A147">
            <v>1911</v>
          </cell>
          <cell r="B147" t="str">
            <v/>
          </cell>
          <cell r="C147" t="str">
            <v>TAITTINGER BRUT RESERVE 750ML</v>
          </cell>
          <cell r="D147" t="str">
            <v/>
          </cell>
          <cell r="E147" t="str">
            <v/>
          </cell>
          <cell r="F147" t="str">
            <v>Pcs</v>
          </cell>
          <cell r="G147">
            <v>1</v>
          </cell>
          <cell r="H147" t="str">
            <v/>
          </cell>
          <cell r="I147">
            <v>0</v>
          </cell>
          <cell r="J147">
            <v>0</v>
          </cell>
          <cell r="K147">
            <v>1</v>
          </cell>
          <cell r="L147">
            <v>6900</v>
          </cell>
          <cell r="M147">
            <v>6900</v>
          </cell>
        </row>
        <row r="148">
          <cell r="A148">
            <v>1915</v>
          </cell>
          <cell r="B148" t="str">
            <v/>
          </cell>
          <cell r="C148" t="str">
            <v>TAITTINGER PRESTIGE ROSÉ 750ML</v>
          </cell>
          <cell r="D148" t="str">
            <v/>
          </cell>
          <cell r="E148" t="str">
            <v/>
          </cell>
          <cell r="F148" t="str">
            <v>Pcs</v>
          </cell>
          <cell r="G148">
            <v>0</v>
          </cell>
          <cell r="H148" t="str">
            <v/>
          </cell>
          <cell r="I148">
            <v>0</v>
          </cell>
          <cell r="J148">
            <v>0</v>
          </cell>
          <cell r="K148">
            <v>0</v>
          </cell>
          <cell r="L148">
            <v>8740</v>
          </cell>
          <cell r="M148">
            <v>0</v>
          </cell>
        </row>
        <row r="149">
          <cell r="A149">
            <v>2056</v>
          </cell>
          <cell r="B149" t="str">
            <v/>
          </cell>
          <cell r="C149" t="str">
            <v>VEUVE CLICQUOT - BRUT 750ML</v>
          </cell>
          <cell r="D149" t="str">
            <v/>
          </cell>
          <cell r="E149" t="str">
            <v/>
          </cell>
          <cell r="F149" t="str">
            <v>Pcs</v>
          </cell>
          <cell r="G149">
            <v>0</v>
          </cell>
          <cell r="H149" t="str">
            <v/>
          </cell>
          <cell r="I149">
            <v>0</v>
          </cell>
          <cell r="J149">
            <v>0</v>
          </cell>
          <cell r="K149">
            <v>0</v>
          </cell>
          <cell r="L149">
            <v>10000</v>
          </cell>
          <cell r="M149">
            <v>0</v>
          </cell>
        </row>
        <row r="150">
          <cell r="A150">
            <v>2972</v>
          </cell>
          <cell r="B150" t="str">
            <v/>
          </cell>
          <cell r="C150" t="str">
            <v>VEUVE CLICQUOT DEMI-SEC 750ML</v>
          </cell>
          <cell r="D150" t="str">
            <v/>
          </cell>
          <cell r="E150" t="str">
            <v/>
          </cell>
          <cell r="F150" t="str">
            <v>Pcs</v>
          </cell>
          <cell r="G150">
            <v>24</v>
          </cell>
          <cell r="H150" t="str">
            <v/>
          </cell>
          <cell r="I150">
            <v>0</v>
          </cell>
          <cell r="J150">
            <v>0</v>
          </cell>
          <cell r="K150">
            <v>24</v>
          </cell>
          <cell r="L150">
            <v>12500</v>
          </cell>
          <cell r="M150">
            <v>300000</v>
          </cell>
        </row>
        <row r="151">
          <cell r="A151">
            <v>2057</v>
          </cell>
          <cell r="B151" t="str">
            <v/>
          </cell>
          <cell r="C151" t="str">
            <v>VEUVE CLICQUOT- ROSE 750ML</v>
          </cell>
          <cell r="D151" t="str">
            <v/>
          </cell>
          <cell r="E151" t="str">
            <v/>
          </cell>
          <cell r="F151" t="str">
            <v>Pcs</v>
          </cell>
          <cell r="G151">
            <v>1</v>
          </cell>
          <cell r="H151" t="str">
            <v/>
          </cell>
          <cell r="I151">
            <v>0</v>
          </cell>
          <cell r="J151">
            <v>0</v>
          </cell>
          <cell r="K151">
            <v>1</v>
          </cell>
          <cell r="L151">
            <v>11500</v>
          </cell>
          <cell r="M151">
            <v>11500</v>
          </cell>
        </row>
        <row r="152">
          <cell r="A152">
            <v>2058</v>
          </cell>
          <cell r="B152" t="str">
            <v/>
          </cell>
          <cell r="C152" t="str">
            <v>VEUVE DU VERNAY BRUT ROSE 750ML</v>
          </cell>
          <cell r="D152" t="str">
            <v/>
          </cell>
          <cell r="E152" t="str">
            <v/>
          </cell>
          <cell r="F152" t="str">
            <v>Pcs</v>
          </cell>
          <cell r="G152">
            <v>6</v>
          </cell>
          <cell r="H152" t="str">
            <v/>
          </cell>
          <cell r="I152">
            <v>0</v>
          </cell>
          <cell r="J152">
            <v>0</v>
          </cell>
          <cell r="K152">
            <v>6</v>
          </cell>
          <cell r="L152">
            <v>6900</v>
          </cell>
          <cell r="M152">
            <v>41400</v>
          </cell>
        </row>
        <row r="153">
          <cell r="A153">
            <v>2153</v>
          </cell>
          <cell r="B153" t="str">
            <v/>
          </cell>
          <cell r="C153" t="str">
            <v>ZONIN PROSECCO750ml</v>
          </cell>
          <cell r="D153" t="str">
            <v/>
          </cell>
          <cell r="E153" t="str">
            <v/>
          </cell>
          <cell r="F153" t="str">
            <v>Pcs</v>
          </cell>
          <cell r="G153">
            <v>0</v>
          </cell>
          <cell r="H153" t="str">
            <v/>
          </cell>
          <cell r="I153">
            <v>0</v>
          </cell>
          <cell r="J153">
            <v>0</v>
          </cell>
          <cell r="K153">
            <v>0</v>
          </cell>
          <cell r="L153">
            <v>2116</v>
          </cell>
          <cell r="M153">
            <v>0</v>
          </cell>
        </row>
        <row r="154">
          <cell r="B154" t="str">
            <v/>
          </cell>
          <cell r="C154" t="str">
            <v/>
          </cell>
          <cell r="D154" t="str">
            <v>CHAMPAGNE</v>
          </cell>
          <cell r="E154" t="str">
            <v/>
          </cell>
          <cell r="F154" t="str">
            <v/>
          </cell>
          <cell r="G154">
            <v>1535</v>
          </cell>
          <cell r="H154" t="str">
            <v/>
          </cell>
          <cell r="I154">
            <v>0</v>
          </cell>
          <cell r="J154">
            <v>80</v>
          </cell>
          <cell r="K154">
            <v>1455</v>
          </cell>
          <cell r="L154" t="str">
            <v/>
          </cell>
          <cell r="M154">
            <v>11165319.4</v>
          </cell>
        </row>
        <row r="155">
          <cell r="A155" t="str">
            <v>Class :</v>
          </cell>
          <cell r="B155" t="str">
            <v>CIDER</v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</row>
        <row r="156">
          <cell r="A156">
            <v>997</v>
          </cell>
          <cell r="B156" t="str">
            <v/>
          </cell>
          <cell r="C156" t="str">
            <v>HUNTERS DRY 330ML</v>
          </cell>
          <cell r="D156" t="str">
            <v/>
          </cell>
          <cell r="E156" t="str">
            <v/>
          </cell>
          <cell r="F156" t="str">
            <v>Pcs</v>
          </cell>
          <cell r="G156">
            <v>456</v>
          </cell>
          <cell r="H156" t="str">
            <v/>
          </cell>
          <cell r="I156">
            <v>1200</v>
          </cell>
          <cell r="J156">
            <v>864</v>
          </cell>
          <cell r="K156">
            <v>792</v>
          </cell>
          <cell r="L156">
            <v>191.81</v>
          </cell>
          <cell r="M156">
            <v>151913.52</v>
          </cell>
        </row>
        <row r="157">
          <cell r="A157">
            <v>998</v>
          </cell>
          <cell r="B157" t="str">
            <v/>
          </cell>
          <cell r="C157" t="str">
            <v>HUNTERS GOLD 330ML</v>
          </cell>
          <cell r="D157" t="str">
            <v/>
          </cell>
          <cell r="E157" t="str">
            <v/>
          </cell>
          <cell r="F157" t="str">
            <v>Pcs</v>
          </cell>
          <cell r="G157">
            <v>528</v>
          </cell>
          <cell r="H157" t="str">
            <v/>
          </cell>
          <cell r="I157">
            <v>1200</v>
          </cell>
          <cell r="J157">
            <v>670</v>
          </cell>
          <cell r="K157">
            <v>1058</v>
          </cell>
          <cell r="L157">
            <v>191.81</v>
          </cell>
          <cell r="M157">
            <v>202934.98</v>
          </cell>
        </row>
        <row r="158">
          <cell r="A158">
            <v>2226</v>
          </cell>
          <cell r="B158" t="str">
            <v/>
          </cell>
          <cell r="C158" t="str">
            <v>KO BLUSH PREMIUM ROSE &amp; CUCUMBER 750ML</v>
          </cell>
          <cell r="D158" t="str">
            <v/>
          </cell>
          <cell r="E158" t="str">
            <v/>
          </cell>
          <cell r="F158" t="str">
            <v>Pcs</v>
          </cell>
          <cell r="G158">
            <v>0</v>
          </cell>
          <cell r="H158" t="str">
            <v/>
          </cell>
          <cell r="I158">
            <v>0</v>
          </cell>
          <cell r="J158">
            <v>0</v>
          </cell>
          <cell r="K158">
            <v>0</v>
          </cell>
          <cell r="L158">
            <v>2200</v>
          </cell>
          <cell r="M158">
            <v>0</v>
          </cell>
        </row>
        <row r="159">
          <cell r="A159">
            <v>2580</v>
          </cell>
          <cell r="B159" t="str">
            <v/>
          </cell>
          <cell r="C159" t="str">
            <v>KO  DRY CIDER 500ML</v>
          </cell>
          <cell r="D159" t="str">
            <v/>
          </cell>
          <cell r="E159" t="str">
            <v/>
          </cell>
          <cell r="F159" t="str">
            <v>Pcs</v>
          </cell>
          <cell r="G159">
            <v>0</v>
          </cell>
          <cell r="H159" t="str">
            <v/>
          </cell>
          <cell r="I159">
            <v>0</v>
          </cell>
          <cell r="J159">
            <v>0</v>
          </cell>
          <cell r="K159">
            <v>0</v>
          </cell>
          <cell r="L159">
            <v>188</v>
          </cell>
          <cell r="M159">
            <v>0</v>
          </cell>
        </row>
        <row r="160">
          <cell r="A160">
            <v>2407</v>
          </cell>
          <cell r="B160" t="str">
            <v/>
          </cell>
          <cell r="C160" t="str">
            <v>KO HONEY &amp; LEMON 330ML</v>
          </cell>
          <cell r="D160" t="str">
            <v/>
          </cell>
          <cell r="E160" t="str">
            <v/>
          </cell>
          <cell r="F160" t="str">
            <v>Pcs</v>
          </cell>
          <cell r="G160">
            <v>0</v>
          </cell>
          <cell r="H160" t="str">
            <v/>
          </cell>
          <cell r="I160">
            <v>0</v>
          </cell>
          <cell r="J160">
            <v>0</v>
          </cell>
          <cell r="K160">
            <v>0</v>
          </cell>
          <cell r="L160">
            <v>225.04</v>
          </cell>
          <cell r="M160">
            <v>0</v>
          </cell>
        </row>
        <row r="161">
          <cell r="A161">
            <v>1220</v>
          </cell>
          <cell r="B161" t="str">
            <v/>
          </cell>
          <cell r="C161" t="str">
            <v>KO LIME &amp; GINGER 330ML</v>
          </cell>
          <cell r="D161" t="str">
            <v/>
          </cell>
          <cell r="E161" t="str">
            <v/>
          </cell>
          <cell r="F161" t="str">
            <v>Pcs</v>
          </cell>
          <cell r="G161">
            <v>192</v>
          </cell>
          <cell r="H161" t="str">
            <v/>
          </cell>
          <cell r="I161">
            <v>0</v>
          </cell>
          <cell r="J161">
            <v>192</v>
          </cell>
          <cell r="K161">
            <v>0</v>
          </cell>
          <cell r="L161">
            <v>225.04</v>
          </cell>
          <cell r="M161">
            <v>0</v>
          </cell>
        </row>
        <row r="162">
          <cell r="A162">
            <v>2164</v>
          </cell>
          <cell r="B162" t="str">
            <v/>
          </cell>
          <cell r="C162" t="str">
            <v>KO MANGO &amp; CHILLI 330ML</v>
          </cell>
          <cell r="D162" t="str">
            <v/>
          </cell>
          <cell r="E162" t="str">
            <v/>
          </cell>
          <cell r="F162" t="str">
            <v>Pcs</v>
          </cell>
          <cell r="G162">
            <v>0</v>
          </cell>
          <cell r="H162" t="str">
            <v/>
          </cell>
          <cell r="I162">
            <v>0</v>
          </cell>
          <cell r="J162">
            <v>0</v>
          </cell>
          <cell r="K162">
            <v>0</v>
          </cell>
          <cell r="L162">
            <v>225.04</v>
          </cell>
          <cell r="M162">
            <v>0</v>
          </cell>
        </row>
        <row r="163">
          <cell r="A163">
            <v>1221</v>
          </cell>
          <cell r="B163" t="str">
            <v/>
          </cell>
          <cell r="C163" t="str">
            <v>KO MANGO &amp; GINGER 330ML</v>
          </cell>
          <cell r="D163" t="str">
            <v/>
          </cell>
          <cell r="E163" t="str">
            <v/>
          </cell>
          <cell r="F163" t="str">
            <v>Pcs</v>
          </cell>
          <cell r="G163">
            <v>0</v>
          </cell>
          <cell r="H163" t="str">
            <v/>
          </cell>
          <cell r="I163">
            <v>0</v>
          </cell>
          <cell r="J163">
            <v>0</v>
          </cell>
          <cell r="K163">
            <v>0</v>
          </cell>
          <cell r="L163">
            <v>194</v>
          </cell>
          <cell r="M163">
            <v>0</v>
          </cell>
        </row>
        <row r="164">
          <cell r="A164">
            <v>2406</v>
          </cell>
          <cell r="B164" t="str">
            <v/>
          </cell>
          <cell r="C164" t="str">
            <v>KO PASSION FRUIT &amp; LIME CAN 330ML</v>
          </cell>
          <cell r="D164" t="str">
            <v/>
          </cell>
          <cell r="E164" t="str">
            <v/>
          </cell>
          <cell r="F164" t="str">
            <v>Pcs</v>
          </cell>
          <cell r="G164">
            <v>0</v>
          </cell>
          <cell r="H164" t="str">
            <v/>
          </cell>
          <cell r="I164">
            <v>0</v>
          </cell>
          <cell r="J164">
            <v>0</v>
          </cell>
          <cell r="K164">
            <v>0</v>
          </cell>
          <cell r="L164">
            <v>225.04</v>
          </cell>
          <cell r="M164">
            <v>0</v>
          </cell>
        </row>
        <row r="165">
          <cell r="A165">
            <v>1222</v>
          </cell>
          <cell r="B165" t="str">
            <v/>
          </cell>
          <cell r="C165" t="str">
            <v>KO PASSION&amp;LIME 330ML</v>
          </cell>
          <cell r="D165" t="str">
            <v/>
          </cell>
          <cell r="E165" t="str">
            <v/>
          </cell>
          <cell r="F165" t="str">
            <v>Pcs</v>
          </cell>
          <cell r="G165">
            <v>1728</v>
          </cell>
          <cell r="H165" t="str">
            <v/>
          </cell>
          <cell r="I165">
            <v>0</v>
          </cell>
          <cell r="J165">
            <v>672</v>
          </cell>
          <cell r="K165">
            <v>1056</v>
          </cell>
          <cell r="L165">
            <v>225.04</v>
          </cell>
          <cell r="M165">
            <v>237642.24</v>
          </cell>
        </row>
        <row r="166">
          <cell r="A166">
            <v>1223</v>
          </cell>
          <cell r="B166" t="str">
            <v/>
          </cell>
          <cell r="C166" t="str">
            <v>KO PINEAPPLE &amp; MINT 330ML</v>
          </cell>
          <cell r="D166" t="str">
            <v/>
          </cell>
          <cell r="E166" t="str">
            <v/>
          </cell>
          <cell r="F166" t="str">
            <v>Pcs</v>
          </cell>
          <cell r="G166">
            <v>2520</v>
          </cell>
          <cell r="H166" t="str">
            <v/>
          </cell>
          <cell r="I166">
            <v>0</v>
          </cell>
          <cell r="J166">
            <v>1176</v>
          </cell>
          <cell r="K166">
            <v>1344</v>
          </cell>
          <cell r="L166">
            <v>225.04</v>
          </cell>
          <cell r="M166">
            <v>302453.76</v>
          </cell>
        </row>
        <row r="167">
          <cell r="A167">
            <v>2405</v>
          </cell>
          <cell r="B167" t="str">
            <v/>
          </cell>
          <cell r="C167" t="str">
            <v>KO PINEAPPLE &amp; MINT CAN 330ML</v>
          </cell>
          <cell r="D167" t="str">
            <v/>
          </cell>
          <cell r="E167" t="str">
            <v/>
          </cell>
          <cell r="F167" t="str">
            <v>Pcs</v>
          </cell>
          <cell r="G167">
            <v>0</v>
          </cell>
          <cell r="H167" t="str">
            <v/>
          </cell>
          <cell r="I167">
            <v>0</v>
          </cell>
          <cell r="J167">
            <v>0</v>
          </cell>
          <cell r="K167">
            <v>0</v>
          </cell>
          <cell r="L167">
            <v>225.04</v>
          </cell>
          <cell r="M167">
            <v>0</v>
          </cell>
        </row>
        <row r="168">
          <cell r="A168">
            <v>2399</v>
          </cell>
          <cell r="B168" t="str">
            <v/>
          </cell>
          <cell r="C168" t="str">
            <v>MANYATTA CAN PINEAPPLE &amp; MINT 330ML</v>
          </cell>
          <cell r="D168" t="str">
            <v/>
          </cell>
          <cell r="E168" t="str">
            <v/>
          </cell>
          <cell r="F168" t="str">
            <v>Pcs</v>
          </cell>
          <cell r="G168">
            <v>864</v>
          </cell>
          <cell r="H168" t="str">
            <v/>
          </cell>
          <cell r="I168">
            <v>2472</v>
          </cell>
          <cell r="J168">
            <v>2304</v>
          </cell>
          <cell r="K168">
            <v>1032</v>
          </cell>
          <cell r="L168">
            <v>240.28</v>
          </cell>
          <cell r="M168">
            <v>247968.96</v>
          </cell>
        </row>
        <row r="169">
          <cell r="A169">
            <v>1384</v>
          </cell>
          <cell r="B169" t="str">
            <v/>
          </cell>
          <cell r="C169" t="str">
            <v>MANYATTA CIDER 330ML</v>
          </cell>
          <cell r="D169" t="str">
            <v/>
          </cell>
          <cell r="E169" t="str">
            <v/>
          </cell>
          <cell r="F169" t="str">
            <v>Pcs</v>
          </cell>
          <cell r="G169">
            <v>0</v>
          </cell>
          <cell r="H169" t="str">
            <v/>
          </cell>
          <cell r="I169">
            <v>0</v>
          </cell>
          <cell r="J169">
            <v>0</v>
          </cell>
          <cell r="K169">
            <v>0</v>
          </cell>
          <cell r="L169">
            <v>220</v>
          </cell>
          <cell r="M169">
            <v>0</v>
          </cell>
        </row>
        <row r="170">
          <cell r="A170">
            <v>1385</v>
          </cell>
          <cell r="B170" t="str">
            <v/>
          </cell>
          <cell r="C170" t="str">
            <v>MANYATTA LEMON &amp; GINGER CIDER 330ML</v>
          </cell>
          <cell r="D170" t="str">
            <v/>
          </cell>
          <cell r="E170" t="str">
            <v/>
          </cell>
          <cell r="F170" t="str">
            <v>Pcs</v>
          </cell>
          <cell r="G170">
            <v>0</v>
          </cell>
          <cell r="H170" t="str">
            <v/>
          </cell>
          <cell r="I170">
            <v>0</v>
          </cell>
          <cell r="J170">
            <v>0</v>
          </cell>
          <cell r="K170">
            <v>0</v>
          </cell>
          <cell r="L170">
            <v>220</v>
          </cell>
          <cell r="M170">
            <v>0</v>
          </cell>
        </row>
        <row r="171">
          <cell r="A171">
            <v>1383</v>
          </cell>
          <cell r="B171" t="str">
            <v/>
          </cell>
          <cell r="C171" t="str">
            <v>MANYATTA  MANGO &amp; GINGER 330ML</v>
          </cell>
          <cell r="D171" t="str">
            <v/>
          </cell>
          <cell r="E171" t="str">
            <v/>
          </cell>
          <cell r="F171" t="str">
            <v>Pcs</v>
          </cell>
          <cell r="G171">
            <v>0</v>
          </cell>
          <cell r="H171" t="str">
            <v/>
          </cell>
          <cell r="I171">
            <v>0</v>
          </cell>
          <cell r="J171">
            <v>0</v>
          </cell>
          <cell r="K171">
            <v>0</v>
          </cell>
          <cell r="L171">
            <v>220</v>
          </cell>
          <cell r="M171">
            <v>0</v>
          </cell>
        </row>
        <row r="172">
          <cell r="A172">
            <v>1386</v>
          </cell>
          <cell r="B172" t="str">
            <v/>
          </cell>
          <cell r="C172" t="str">
            <v>MANYATTA PINEAPPLE MINT 330ML</v>
          </cell>
          <cell r="D172" t="str">
            <v/>
          </cell>
          <cell r="E172" t="str">
            <v/>
          </cell>
          <cell r="F172" t="str">
            <v>Pcs</v>
          </cell>
          <cell r="G172">
            <v>0</v>
          </cell>
          <cell r="H172" t="str">
            <v/>
          </cell>
          <cell r="I172">
            <v>0</v>
          </cell>
          <cell r="J172">
            <v>0</v>
          </cell>
          <cell r="K172">
            <v>0</v>
          </cell>
          <cell r="L172">
            <v>225</v>
          </cell>
          <cell r="M172">
            <v>0</v>
          </cell>
        </row>
        <row r="173">
          <cell r="A173">
            <v>1685</v>
          </cell>
          <cell r="B173" t="str">
            <v/>
          </cell>
          <cell r="C173" t="str">
            <v>ROLLER PREMIUM CRISP APPLE 330ml</v>
          </cell>
          <cell r="D173" t="str">
            <v/>
          </cell>
          <cell r="E173" t="str">
            <v/>
          </cell>
          <cell r="F173" t="str">
            <v>Pcs</v>
          </cell>
          <cell r="G173">
            <v>0</v>
          </cell>
          <cell r="H173" t="str">
            <v/>
          </cell>
          <cell r="I173">
            <v>0</v>
          </cell>
          <cell r="J173">
            <v>0</v>
          </cell>
          <cell r="K173">
            <v>0</v>
          </cell>
          <cell r="L173">
            <v>156.4</v>
          </cell>
          <cell r="M173">
            <v>0</v>
          </cell>
        </row>
        <row r="174">
          <cell r="A174">
            <v>1765</v>
          </cell>
          <cell r="B174" t="str">
            <v/>
          </cell>
          <cell r="C174" t="str">
            <v>SAVANNA ANGRY LEMON 330ML</v>
          </cell>
          <cell r="D174" t="str">
            <v/>
          </cell>
          <cell r="E174" t="str">
            <v/>
          </cell>
          <cell r="F174" t="str">
            <v>Pcs</v>
          </cell>
          <cell r="G174">
            <v>264</v>
          </cell>
          <cell r="H174" t="str">
            <v/>
          </cell>
          <cell r="I174">
            <v>552</v>
          </cell>
          <cell r="J174">
            <v>552</v>
          </cell>
          <cell r="K174">
            <v>264</v>
          </cell>
          <cell r="L174">
            <v>245</v>
          </cell>
          <cell r="M174">
            <v>64680</v>
          </cell>
        </row>
        <row r="175">
          <cell r="A175">
            <v>1764</v>
          </cell>
          <cell r="B175" t="str">
            <v/>
          </cell>
          <cell r="C175" t="str">
            <v>SAVANNA DRY BOTTLE 330ML</v>
          </cell>
          <cell r="D175" t="str">
            <v/>
          </cell>
          <cell r="E175" t="str">
            <v/>
          </cell>
          <cell r="F175" t="str">
            <v>Pcs</v>
          </cell>
          <cell r="G175">
            <v>816</v>
          </cell>
          <cell r="H175" t="str">
            <v/>
          </cell>
          <cell r="I175">
            <v>3528</v>
          </cell>
          <cell r="J175">
            <v>3864</v>
          </cell>
          <cell r="K175">
            <v>480</v>
          </cell>
          <cell r="L175">
            <v>230</v>
          </cell>
          <cell r="M175">
            <v>110400</v>
          </cell>
        </row>
        <row r="176">
          <cell r="A176">
            <v>2986</v>
          </cell>
          <cell r="B176" t="str">
            <v/>
          </cell>
          <cell r="C176" t="str">
            <v>SAVANNA DRY  PREMIUM CAN</v>
          </cell>
          <cell r="D176" t="str">
            <v/>
          </cell>
          <cell r="E176" t="str">
            <v/>
          </cell>
          <cell r="F176" t="str">
            <v>Pcs</v>
          </cell>
          <cell r="G176">
            <v>0</v>
          </cell>
          <cell r="H176" t="str">
            <v/>
          </cell>
          <cell r="I176">
            <v>480</v>
          </cell>
          <cell r="J176">
            <v>432</v>
          </cell>
          <cell r="K176">
            <v>48</v>
          </cell>
          <cell r="L176">
            <v>269</v>
          </cell>
          <cell r="M176">
            <v>12912</v>
          </cell>
        </row>
        <row r="177">
          <cell r="A177">
            <v>1846</v>
          </cell>
          <cell r="B177" t="str">
            <v/>
          </cell>
          <cell r="C177" t="str">
            <v>SNAPP APPLE CAN 330ML</v>
          </cell>
          <cell r="D177" t="str">
            <v/>
          </cell>
          <cell r="E177" t="str">
            <v/>
          </cell>
          <cell r="F177" t="str">
            <v>Pcs</v>
          </cell>
          <cell r="G177">
            <v>576</v>
          </cell>
          <cell r="H177" t="str">
            <v/>
          </cell>
          <cell r="I177">
            <v>0</v>
          </cell>
          <cell r="J177">
            <v>312</v>
          </cell>
          <cell r="K177">
            <v>264</v>
          </cell>
          <cell r="L177">
            <v>172.7</v>
          </cell>
          <cell r="M177">
            <v>45592.8</v>
          </cell>
        </row>
        <row r="178">
          <cell r="A178">
            <v>2329</v>
          </cell>
          <cell r="B178" t="str">
            <v/>
          </cell>
          <cell r="C178" t="str">
            <v>Snapp Dry Cider 330ml</v>
          </cell>
          <cell r="D178" t="str">
            <v/>
          </cell>
          <cell r="E178" t="str">
            <v/>
          </cell>
          <cell r="F178" t="str">
            <v>Pcs</v>
          </cell>
          <cell r="G178">
            <v>0</v>
          </cell>
          <cell r="H178" t="str">
            <v/>
          </cell>
          <cell r="I178">
            <v>0</v>
          </cell>
          <cell r="J178">
            <v>0</v>
          </cell>
          <cell r="K178">
            <v>0</v>
          </cell>
          <cell r="L178">
            <v>238.26</v>
          </cell>
          <cell r="M178">
            <v>0</v>
          </cell>
        </row>
        <row r="179">
          <cell r="A179">
            <v>2026</v>
          </cell>
          <cell r="B179" t="str">
            <v/>
          </cell>
          <cell r="C179" t="str">
            <v>TUSKER CIDER CAN 500ML</v>
          </cell>
          <cell r="D179" t="str">
            <v/>
          </cell>
          <cell r="E179" t="str">
            <v/>
          </cell>
          <cell r="F179" t="str">
            <v>Pcs</v>
          </cell>
          <cell r="G179">
            <v>1488</v>
          </cell>
          <cell r="H179" t="str">
            <v/>
          </cell>
          <cell r="I179">
            <v>0</v>
          </cell>
          <cell r="J179">
            <v>504</v>
          </cell>
          <cell r="K179">
            <v>984</v>
          </cell>
          <cell r="L179">
            <v>233.1</v>
          </cell>
          <cell r="M179">
            <v>229370.4</v>
          </cell>
        </row>
        <row r="180">
          <cell r="B180" t="str">
            <v/>
          </cell>
          <cell r="C180" t="str">
            <v/>
          </cell>
          <cell r="D180" t="str">
            <v>CIDER</v>
          </cell>
          <cell r="E180" t="str">
            <v/>
          </cell>
          <cell r="F180" t="str">
            <v/>
          </cell>
          <cell r="G180">
            <v>9432</v>
          </cell>
          <cell r="H180" t="str">
            <v/>
          </cell>
          <cell r="I180">
            <v>9432</v>
          </cell>
          <cell r="J180">
            <v>11542</v>
          </cell>
          <cell r="K180">
            <v>7322</v>
          </cell>
          <cell r="L180" t="str">
            <v/>
          </cell>
          <cell r="M180">
            <v>1605868.66</v>
          </cell>
        </row>
        <row r="181">
          <cell r="A181" t="str">
            <v>Class :</v>
          </cell>
          <cell r="B181" t="str">
            <v>CIGARETTE</v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</row>
        <row r="182">
          <cell r="A182">
            <v>2368</v>
          </cell>
          <cell r="B182" t="str">
            <v/>
          </cell>
          <cell r="C182" t="str">
            <v>DUNHILL SINGLE SWITCH</v>
          </cell>
          <cell r="D182" t="str">
            <v/>
          </cell>
          <cell r="E182" t="str">
            <v/>
          </cell>
          <cell r="F182" t="str">
            <v>Pcs</v>
          </cell>
          <cell r="G182">
            <v>0</v>
          </cell>
          <cell r="H182" t="str">
            <v/>
          </cell>
          <cell r="I182">
            <v>0</v>
          </cell>
          <cell r="J182">
            <v>0</v>
          </cell>
          <cell r="K182">
            <v>0</v>
          </cell>
          <cell r="L182">
            <v>514.6</v>
          </cell>
          <cell r="M182">
            <v>0</v>
          </cell>
        </row>
        <row r="183">
          <cell r="B183" t="str">
            <v/>
          </cell>
          <cell r="C183" t="str">
            <v/>
          </cell>
          <cell r="D183" t="str">
            <v>CIGARETTE</v>
          </cell>
          <cell r="E183" t="str">
            <v/>
          </cell>
          <cell r="F183" t="str">
            <v/>
          </cell>
          <cell r="G183">
            <v>0</v>
          </cell>
          <cell r="H183" t="str">
            <v/>
          </cell>
          <cell r="I183">
            <v>0</v>
          </cell>
          <cell r="J183">
            <v>0</v>
          </cell>
          <cell r="K183">
            <v>0</v>
          </cell>
          <cell r="L183" t="str">
            <v/>
          </cell>
          <cell r="M183">
            <v>0</v>
          </cell>
        </row>
        <row r="184">
          <cell r="A184" t="str">
            <v>Class :</v>
          </cell>
          <cell r="B184" t="str">
            <v>COGNAC</v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</row>
        <row r="185">
          <cell r="A185">
            <v>359</v>
          </cell>
          <cell r="B185" t="str">
            <v/>
          </cell>
          <cell r="C185" t="str">
            <v>CAMUS VS COGNAC 1LTR</v>
          </cell>
          <cell r="D185" t="str">
            <v/>
          </cell>
          <cell r="E185" t="str">
            <v/>
          </cell>
          <cell r="F185" t="str">
            <v>Pcs</v>
          </cell>
          <cell r="G185">
            <v>0</v>
          </cell>
          <cell r="H185" t="str">
            <v/>
          </cell>
          <cell r="I185">
            <v>0</v>
          </cell>
          <cell r="J185">
            <v>0</v>
          </cell>
          <cell r="K185">
            <v>0</v>
          </cell>
          <cell r="L185">
            <v>4700</v>
          </cell>
          <cell r="M185">
            <v>0</v>
          </cell>
        </row>
        <row r="186">
          <cell r="A186">
            <v>360</v>
          </cell>
          <cell r="B186" t="str">
            <v/>
          </cell>
          <cell r="C186" t="str">
            <v>CAMUS VS COGNAC 700ML</v>
          </cell>
          <cell r="D186" t="str">
            <v/>
          </cell>
          <cell r="E186" t="str">
            <v/>
          </cell>
          <cell r="F186" t="str">
            <v>Pcs</v>
          </cell>
          <cell r="G186">
            <v>0</v>
          </cell>
          <cell r="H186" t="str">
            <v/>
          </cell>
          <cell r="I186">
            <v>0</v>
          </cell>
          <cell r="J186">
            <v>0</v>
          </cell>
          <cell r="K186">
            <v>0</v>
          </cell>
          <cell r="L186">
            <v>3500</v>
          </cell>
          <cell r="M186">
            <v>0</v>
          </cell>
        </row>
        <row r="187">
          <cell r="A187">
            <v>361</v>
          </cell>
          <cell r="B187" t="str">
            <v/>
          </cell>
          <cell r="C187" t="str">
            <v>CAMUS VSOP COGNAC 1LTR</v>
          </cell>
          <cell r="D187" t="str">
            <v/>
          </cell>
          <cell r="E187" t="str">
            <v/>
          </cell>
          <cell r="F187" t="str">
            <v>Pcs</v>
          </cell>
          <cell r="G187">
            <v>0</v>
          </cell>
          <cell r="H187" t="str">
            <v/>
          </cell>
          <cell r="I187">
            <v>0</v>
          </cell>
          <cell r="J187">
            <v>0</v>
          </cell>
          <cell r="K187">
            <v>0</v>
          </cell>
          <cell r="L187">
            <v>5300</v>
          </cell>
          <cell r="M187">
            <v>0</v>
          </cell>
        </row>
        <row r="188">
          <cell r="A188">
            <v>362</v>
          </cell>
          <cell r="B188" t="str">
            <v/>
          </cell>
          <cell r="C188" t="str">
            <v>CAMUS VSOP COGNAC 700ML</v>
          </cell>
          <cell r="D188" t="str">
            <v/>
          </cell>
          <cell r="E188" t="str">
            <v/>
          </cell>
          <cell r="F188" t="str">
            <v>Pcs</v>
          </cell>
          <cell r="G188">
            <v>0</v>
          </cell>
          <cell r="H188" t="str">
            <v/>
          </cell>
          <cell r="I188">
            <v>0</v>
          </cell>
          <cell r="J188">
            <v>0</v>
          </cell>
          <cell r="K188">
            <v>0</v>
          </cell>
          <cell r="L188">
            <v>4380</v>
          </cell>
          <cell r="M188">
            <v>0</v>
          </cell>
        </row>
        <row r="189">
          <cell r="A189">
            <v>2268</v>
          </cell>
          <cell r="B189" t="str">
            <v/>
          </cell>
          <cell r="C189" t="str">
            <v>CAMUS XO 1LTR</v>
          </cell>
          <cell r="D189" t="str">
            <v/>
          </cell>
          <cell r="E189" t="str">
            <v/>
          </cell>
          <cell r="F189" t="str">
            <v>Pcs</v>
          </cell>
          <cell r="G189">
            <v>3</v>
          </cell>
          <cell r="H189" t="str">
            <v/>
          </cell>
          <cell r="I189">
            <v>0</v>
          </cell>
          <cell r="J189">
            <v>0</v>
          </cell>
          <cell r="K189">
            <v>3</v>
          </cell>
          <cell r="L189">
            <v>29000</v>
          </cell>
          <cell r="M189">
            <v>87000</v>
          </cell>
        </row>
        <row r="190">
          <cell r="A190">
            <v>363</v>
          </cell>
          <cell r="B190" t="str">
            <v/>
          </cell>
          <cell r="C190" t="str">
            <v>CAMUS XO COGNAC 750ML</v>
          </cell>
          <cell r="D190" t="str">
            <v/>
          </cell>
          <cell r="E190" t="str">
            <v/>
          </cell>
          <cell r="F190" t="str">
            <v>Pcs</v>
          </cell>
          <cell r="G190">
            <v>0</v>
          </cell>
          <cell r="H190" t="str">
            <v/>
          </cell>
          <cell r="I190">
            <v>0</v>
          </cell>
          <cell r="J190">
            <v>0</v>
          </cell>
          <cell r="K190">
            <v>0</v>
          </cell>
          <cell r="L190">
            <v>17480</v>
          </cell>
          <cell r="M190">
            <v>0</v>
          </cell>
        </row>
        <row r="191">
          <cell r="A191">
            <v>2846</v>
          </cell>
          <cell r="B191" t="str">
            <v/>
          </cell>
          <cell r="C191" t="str">
            <v>CHATEAU MONTIFAUD VSOP 700ML</v>
          </cell>
          <cell r="D191" t="str">
            <v/>
          </cell>
          <cell r="E191" t="str">
            <v/>
          </cell>
          <cell r="F191" t="str">
            <v>Pcs</v>
          </cell>
          <cell r="G191">
            <v>0</v>
          </cell>
          <cell r="H191" t="str">
            <v/>
          </cell>
          <cell r="I191">
            <v>0</v>
          </cell>
          <cell r="J191">
            <v>0</v>
          </cell>
          <cell r="K191">
            <v>0</v>
          </cell>
          <cell r="L191">
            <v>4500</v>
          </cell>
          <cell r="M191">
            <v>0</v>
          </cell>
        </row>
        <row r="192">
          <cell r="A192">
            <v>2848</v>
          </cell>
          <cell r="B192" t="str">
            <v/>
          </cell>
          <cell r="C192" t="str">
            <v>GLENMORANGIE 18YRS THE INFINITA 700ML</v>
          </cell>
          <cell r="D192" t="str">
            <v/>
          </cell>
          <cell r="E192" t="str">
            <v/>
          </cell>
          <cell r="F192" t="str">
            <v>Pcs</v>
          </cell>
          <cell r="G192">
            <v>12</v>
          </cell>
          <cell r="H192" t="str">
            <v/>
          </cell>
          <cell r="I192">
            <v>0</v>
          </cell>
          <cell r="J192">
            <v>0</v>
          </cell>
          <cell r="K192">
            <v>12</v>
          </cell>
          <cell r="L192">
            <v>11500</v>
          </cell>
          <cell r="M192">
            <v>138000</v>
          </cell>
        </row>
        <row r="193">
          <cell r="A193">
            <v>959</v>
          </cell>
          <cell r="B193" t="str">
            <v/>
          </cell>
          <cell r="C193" t="str">
            <v>HENNESSY MASTER BLENDER'S  500ml</v>
          </cell>
          <cell r="D193" t="str">
            <v/>
          </cell>
          <cell r="E193" t="str">
            <v/>
          </cell>
          <cell r="F193" t="str">
            <v>Pcs</v>
          </cell>
          <cell r="G193">
            <v>0</v>
          </cell>
          <cell r="H193" t="str">
            <v/>
          </cell>
          <cell r="I193">
            <v>0</v>
          </cell>
          <cell r="J193">
            <v>0</v>
          </cell>
          <cell r="K193">
            <v>0</v>
          </cell>
          <cell r="L193">
            <v>3900</v>
          </cell>
          <cell r="M193">
            <v>0</v>
          </cell>
        </row>
        <row r="194">
          <cell r="A194">
            <v>2804</v>
          </cell>
          <cell r="B194" t="str">
            <v/>
          </cell>
          <cell r="C194" t="str">
            <v>HENNESSY PURE WHITE 700ML</v>
          </cell>
          <cell r="D194" t="str">
            <v/>
          </cell>
          <cell r="E194" t="str">
            <v/>
          </cell>
          <cell r="F194" t="str">
            <v>Pcs</v>
          </cell>
          <cell r="G194">
            <v>177</v>
          </cell>
          <cell r="H194" t="str">
            <v/>
          </cell>
          <cell r="I194">
            <v>0</v>
          </cell>
          <cell r="J194">
            <v>0</v>
          </cell>
          <cell r="K194">
            <v>177</v>
          </cell>
          <cell r="L194">
            <v>5200</v>
          </cell>
          <cell r="M194">
            <v>920400</v>
          </cell>
        </row>
        <row r="195">
          <cell r="A195">
            <v>960</v>
          </cell>
          <cell r="B195" t="str">
            <v/>
          </cell>
          <cell r="C195" t="str">
            <v>HENNESSY VS COGNAC 1LTR</v>
          </cell>
          <cell r="D195" t="str">
            <v/>
          </cell>
          <cell r="E195" t="str">
            <v/>
          </cell>
          <cell r="F195" t="str">
            <v>Pcs</v>
          </cell>
          <cell r="G195">
            <v>1075</v>
          </cell>
          <cell r="H195" t="str">
            <v/>
          </cell>
          <cell r="I195">
            <v>0</v>
          </cell>
          <cell r="J195">
            <v>148</v>
          </cell>
          <cell r="K195">
            <v>927</v>
          </cell>
          <cell r="L195">
            <v>6000</v>
          </cell>
          <cell r="M195">
            <v>5562000</v>
          </cell>
        </row>
        <row r="196">
          <cell r="A196">
            <v>961</v>
          </cell>
          <cell r="B196" t="str">
            <v/>
          </cell>
          <cell r="C196" t="str">
            <v>HENNESSY V.S COGNAC 350ML</v>
          </cell>
          <cell r="D196" t="str">
            <v/>
          </cell>
          <cell r="E196" t="str">
            <v/>
          </cell>
          <cell r="F196" t="str">
            <v>Pcs</v>
          </cell>
          <cell r="G196">
            <v>0</v>
          </cell>
          <cell r="H196" t="str">
            <v/>
          </cell>
          <cell r="I196">
            <v>0</v>
          </cell>
          <cell r="J196">
            <v>0</v>
          </cell>
          <cell r="K196">
            <v>0</v>
          </cell>
          <cell r="L196">
            <v>2668</v>
          </cell>
          <cell r="M196">
            <v>0</v>
          </cell>
        </row>
        <row r="197">
          <cell r="A197">
            <v>962</v>
          </cell>
          <cell r="B197" t="str">
            <v/>
          </cell>
          <cell r="C197" t="str">
            <v>HENNESSY V.S COGNAC 700ML</v>
          </cell>
          <cell r="D197" t="str">
            <v/>
          </cell>
          <cell r="E197" t="str">
            <v/>
          </cell>
          <cell r="F197" t="str">
            <v>Pcs</v>
          </cell>
          <cell r="G197">
            <v>324</v>
          </cell>
          <cell r="H197" t="str">
            <v/>
          </cell>
          <cell r="I197">
            <v>0</v>
          </cell>
          <cell r="J197">
            <v>158</v>
          </cell>
          <cell r="K197">
            <v>166</v>
          </cell>
          <cell r="L197">
            <v>4500</v>
          </cell>
          <cell r="M197">
            <v>747000</v>
          </cell>
        </row>
        <row r="198">
          <cell r="A198">
            <v>963</v>
          </cell>
          <cell r="B198" t="str">
            <v/>
          </cell>
          <cell r="C198" t="str">
            <v>HENNESSY VSOP 1LTR</v>
          </cell>
          <cell r="D198" t="str">
            <v/>
          </cell>
          <cell r="E198" t="str">
            <v/>
          </cell>
          <cell r="F198" t="str">
            <v>Pcs</v>
          </cell>
          <cell r="G198">
            <v>0</v>
          </cell>
          <cell r="H198" t="str">
            <v/>
          </cell>
          <cell r="I198">
            <v>0</v>
          </cell>
          <cell r="J198">
            <v>0</v>
          </cell>
          <cell r="K198">
            <v>0</v>
          </cell>
          <cell r="L198">
            <v>11000</v>
          </cell>
          <cell r="M198">
            <v>0</v>
          </cell>
        </row>
        <row r="199">
          <cell r="A199">
            <v>964</v>
          </cell>
          <cell r="B199" t="str">
            <v/>
          </cell>
          <cell r="C199" t="str">
            <v>HENNESSY VSOP 350ML</v>
          </cell>
          <cell r="D199" t="str">
            <v/>
          </cell>
          <cell r="E199" t="str">
            <v/>
          </cell>
          <cell r="F199" t="str">
            <v>Pcs</v>
          </cell>
          <cell r="G199">
            <v>21</v>
          </cell>
          <cell r="H199" t="str">
            <v/>
          </cell>
          <cell r="I199">
            <v>0</v>
          </cell>
          <cell r="J199">
            <v>9</v>
          </cell>
          <cell r="K199">
            <v>12</v>
          </cell>
          <cell r="L199">
            <v>4300</v>
          </cell>
          <cell r="M199">
            <v>51600</v>
          </cell>
        </row>
        <row r="200">
          <cell r="A200">
            <v>965</v>
          </cell>
          <cell r="B200" t="str">
            <v/>
          </cell>
          <cell r="C200" t="str">
            <v>HENNESSY VSOP COGNAC 750ML</v>
          </cell>
          <cell r="D200" t="str">
            <v/>
          </cell>
          <cell r="E200" t="str">
            <v/>
          </cell>
          <cell r="F200" t="str">
            <v>Pcs</v>
          </cell>
          <cell r="G200">
            <v>337</v>
          </cell>
          <cell r="H200" t="str">
            <v/>
          </cell>
          <cell r="I200">
            <v>0</v>
          </cell>
          <cell r="J200">
            <v>116</v>
          </cell>
          <cell r="K200">
            <v>221</v>
          </cell>
          <cell r="L200">
            <v>7208.67</v>
          </cell>
          <cell r="M200">
            <v>1593116.07</v>
          </cell>
        </row>
        <row r="201">
          <cell r="A201">
            <v>2985</v>
          </cell>
          <cell r="B201" t="str">
            <v/>
          </cell>
          <cell r="C201" t="str">
            <v>HENNESSY XO COGNAC 1.5L</v>
          </cell>
          <cell r="D201" t="str">
            <v/>
          </cell>
          <cell r="E201" t="str">
            <v/>
          </cell>
          <cell r="F201" t="str">
            <v>Pcs</v>
          </cell>
          <cell r="G201">
            <v>30</v>
          </cell>
          <cell r="H201" t="str">
            <v/>
          </cell>
          <cell r="I201">
            <v>0</v>
          </cell>
          <cell r="J201">
            <v>0</v>
          </cell>
          <cell r="K201">
            <v>30</v>
          </cell>
          <cell r="L201">
            <v>26000</v>
          </cell>
          <cell r="M201">
            <v>780000</v>
          </cell>
        </row>
        <row r="202">
          <cell r="A202">
            <v>966</v>
          </cell>
          <cell r="B202" t="str">
            <v/>
          </cell>
          <cell r="C202" t="str">
            <v>HENNESSY XO COGNAC 1LTR</v>
          </cell>
          <cell r="D202" t="str">
            <v/>
          </cell>
          <cell r="E202" t="str">
            <v/>
          </cell>
          <cell r="F202" t="str">
            <v>Pcs</v>
          </cell>
          <cell r="G202">
            <v>38</v>
          </cell>
          <cell r="H202" t="str">
            <v/>
          </cell>
          <cell r="I202">
            <v>0</v>
          </cell>
          <cell r="J202">
            <v>12</v>
          </cell>
          <cell r="K202">
            <v>26</v>
          </cell>
          <cell r="L202">
            <v>31000</v>
          </cell>
          <cell r="M202">
            <v>806000</v>
          </cell>
        </row>
        <row r="203">
          <cell r="A203">
            <v>967</v>
          </cell>
          <cell r="B203" t="str">
            <v/>
          </cell>
          <cell r="C203" t="str">
            <v>HENNESSY XO COGNAC 700ML</v>
          </cell>
          <cell r="D203" t="str">
            <v/>
          </cell>
          <cell r="E203" t="str">
            <v/>
          </cell>
          <cell r="F203" t="str">
            <v>Pcs</v>
          </cell>
          <cell r="G203">
            <v>3</v>
          </cell>
          <cell r="H203" t="str">
            <v/>
          </cell>
          <cell r="I203">
            <v>2</v>
          </cell>
          <cell r="J203">
            <v>3</v>
          </cell>
          <cell r="K203">
            <v>2</v>
          </cell>
          <cell r="L203">
            <v>25000</v>
          </cell>
          <cell r="M203">
            <v>50000</v>
          </cell>
        </row>
        <row r="204">
          <cell r="A204">
            <v>2847</v>
          </cell>
          <cell r="B204" t="str">
            <v/>
          </cell>
          <cell r="C204" t="str">
            <v>JACK DANIEL'S APPLE 350ML</v>
          </cell>
          <cell r="D204" t="str">
            <v/>
          </cell>
          <cell r="E204" t="str">
            <v/>
          </cell>
          <cell r="F204" t="str">
            <v>Pcs</v>
          </cell>
          <cell r="G204">
            <v>119</v>
          </cell>
          <cell r="H204" t="str">
            <v/>
          </cell>
          <cell r="I204">
            <v>0</v>
          </cell>
          <cell r="J204">
            <v>0</v>
          </cell>
          <cell r="K204">
            <v>119</v>
          </cell>
          <cell r="L204">
            <v>1000</v>
          </cell>
          <cell r="M204">
            <v>119000</v>
          </cell>
        </row>
        <row r="205">
          <cell r="A205">
            <v>1390</v>
          </cell>
          <cell r="B205" t="str">
            <v/>
          </cell>
          <cell r="C205" t="str">
            <v>MARTEL BLUE SWIFT COGNAC 700ML</v>
          </cell>
          <cell r="D205" t="str">
            <v/>
          </cell>
          <cell r="E205" t="str">
            <v/>
          </cell>
          <cell r="F205" t="str">
            <v>Pcs</v>
          </cell>
          <cell r="G205">
            <v>0</v>
          </cell>
          <cell r="H205" t="str">
            <v/>
          </cell>
          <cell r="I205">
            <v>0</v>
          </cell>
          <cell r="J205">
            <v>0</v>
          </cell>
          <cell r="K205">
            <v>0</v>
          </cell>
          <cell r="L205">
            <v>7800</v>
          </cell>
          <cell r="M205">
            <v>0</v>
          </cell>
        </row>
        <row r="206">
          <cell r="A206">
            <v>1391</v>
          </cell>
          <cell r="B206" t="str">
            <v/>
          </cell>
          <cell r="C206" t="str">
            <v>MARTEL CORDON BLEU 1LTR</v>
          </cell>
          <cell r="D206" t="str">
            <v/>
          </cell>
          <cell r="E206" t="str">
            <v/>
          </cell>
          <cell r="F206" t="str">
            <v>Pcs</v>
          </cell>
          <cell r="G206">
            <v>15</v>
          </cell>
          <cell r="H206" t="str">
            <v/>
          </cell>
          <cell r="I206">
            <v>0</v>
          </cell>
          <cell r="J206">
            <v>0</v>
          </cell>
          <cell r="K206">
            <v>15</v>
          </cell>
          <cell r="L206">
            <v>24500</v>
          </cell>
          <cell r="M206">
            <v>367500</v>
          </cell>
        </row>
        <row r="207">
          <cell r="A207">
            <v>2851</v>
          </cell>
          <cell r="B207" t="str">
            <v/>
          </cell>
          <cell r="C207" t="str">
            <v>MARTEL NOBLIGE 1 LITRE</v>
          </cell>
          <cell r="D207" t="str">
            <v/>
          </cell>
          <cell r="E207" t="str">
            <v/>
          </cell>
          <cell r="F207" t="str">
            <v>Pcs</v>
          </cell>
          <cell r="G207">
            <v>219</v>
          </cell>
          <cell r="H207" t="str">
            <v/>
          </cell>
          <cell r="I207">
            <v>0</v>
          </cell>
          <cell r="J207">
            <v>0</v>
          </cell>
          <cell r="K207">
            <v>219</v>
          </cell>
          <cell r="L207">
            <v>10000</v>
          </cell>
          <cell r="M207">
            <v>2190000</v>
          </cell>
        </row>
        <row r="208">
          <cell r="A208">
            <v>1392</v>
          </cell>
          <cell r="B208" t="str">
            <v/>
          </cell>
          <cell r="C208" t="str">
            <v>MARTEL V.S  COGNAC 1LTR</v>
          </cell>
          <cell r="D208" t="str">
            <v/>
          </cell>
          <cell r="E208" t="str">
            <v/>
          </cell>
          <cell r="F208" t="str">
            <v>Pcs</v>
          </cell>
          <cell r="G208">
            <v>0</v>
          </cell>
          <cell r="H208" t="str">
            <v/>
          </cell>
          <cell r="I208">
            <v>0</v>
          </cell>
          <cell r="J208">
            <v>0</v>
          </cell>
          <cell r="K208">
            <v>0</v>
          </cell>
          <cell r="L208">
            <v>4780</v>
          </cell>
          <cell r="M208">
            <v>0</v>
          </cell>
        </row>
        <row r="209">
          <cell r="A209">
            <v>1395</v>
          </cell>
          <cell r="B209" t="str">
            <v/>
          </cell>
          <cell r="C209" t="str">
            <v>MARTEL VS COGNAC 700ML</v>
          </cell>
          <cell r="D209" t="str">
            <v/>
          </cell>
          <cell r="E209" t="str">
            <v/>
          </cell>
          <cell r="F209" t="str">
            <v>Pcs</v>
          </cell>
          <cell r="G209">
            <v>3857</v>
          </cell>
          <cell r="H209" t="str">
            <v/>
          </cell>
          <cell r="I209">
            <v>0</v>
          </cell>
          <cell r="J209">
            <v>228</v>
          </cell>
          <cell r="K209">
            <v>3629</v>
          </cell>
          <cell r="L209">
            <v>3772</v>
          </cell>
          <cell r="M209">
            <v>13688588</v>
          </cell>
        </row>
        <row r="210">
          <cell r="A210">
            <v>1393</v>
          </cell>
          <cell r="B210" t="str">
            <v/>
          </cell>
          <cell r="C210" t="str">
            <v>MARTEL VSOP COGNAC 1LTR</v>
          </cell>
          <cell r="D210" t="str">
            <v/>
          </cell>
          <cell r="E210" t="str">
            <v/>
          </cell>
          <cell r="F210" t="str">
            <v>Pcs</v>
          </cell>
          <cell r="G210">
            <v>2782</v>
          </cell>
          <cell r="H210" t="str">
            <v/>
          </cell>
          <cell r="I210">
            <v>0</v>
          </cell>
          <cell r="J210">
            <v>54</v>
          </cell>
          <cell r="K210">
            <v>2728</v>
          </cell>
          <cell r="L210">
            <v>8500</v>
          </cell>
          <cell r="M210">
            <v>23188000</v>
          </cell>
        </row>
        <row r="211">
          <cell r="A211">
            <v>1396</v>
          </cell>
          <cell r="B211" t="str">
            <v/>
          </cell>
          <cell r="C211" t="str">
            <v>MARTEL VSOP COGNAC 700ML</v>
          </cell>
          <cell r="D211" t="str">
            <v/>
          </cell>
          <cell r="E211" t="str">
            <v/>
          </cell>
          <cell r="F211" t="str">
            <v>Pcs</v>
          </cell>
          <cell r="G211">
            <v>1240</v>
          </cell>
          <cell r="H211" t="str">
            <v/>
          </cell>
          <cell r="I211">
            <v>0</v>
          </cell>
          <cell r="J211">
            <v>12</v>
          </cell>
          <cell r="K211">
            <v>1228</v>
          </cell>
          <cell r="L211">
            <v>4431</v>
          </cell>
          <cell r="M211">
            <v>5441268</v>
          </cell>
        </row>
        <row r="212">
          <cell r="A212">
            <v>2455</v>
          </cell>
          <cell r="B212" t="str">
            <v/>
          </cell>
          <cell r="C212" t="str">
            <v>MARTEL XO 1LTR</v>
          </cell>
          <cell r="D212" t="str">
            <v/>
          </cell>
          <cell r="E212" t="str">
            <v/>
          </cell>
          <cell r="F212" t="str">
            <v>Pcs</v>
          </cell>
          <cell r="G212">
            <v>0</v>
          </cell>
          <cell r="H212" t="str">
            <v/>
          </cell>
          <cell r="I212">
            <v>0</v>
          </cell>
          <cell r="J212">
            <v>0</v>
          </cell>
          <cell r="K212">
            <v>0</v>
          </cell>
          <cell r="L212">
            <v>26000</v>
          </cell>
          <cell r="M212">
            <v>0</v>
          </cell>
        </row>
        <row r="213">
          <cell r="A213">
            <v>1398</v>
          </cell>
          <cell r="B213" t="str">
            <v/>
          </cell>
          <cell r="C213" t="str">
            <v>MARTEL XO COGNAC 700ML</v>
          </cell>
          <cell r="D213" t="str">
            <v/>
          </cell>
          <cell r="E213" t="str">
            <v/>
          </cell>
          <cell r="F213" t="str">
            <v>Pcs</v>
          </cell>
          <cell r="G213">
            <v>432</v>
          </cell>
          <cell r="H213" t="str">
            <v/>
          </cell>
          <cell r="I213">
            <v>3</v>
          </cell>
          <cell r="J213">
            <v>52</v>
          </cell>
          <cell r="K213">
            <v>383</v>
          </cell>
          <cell r="L213">
            <v>21850</v>
          </cell>
          <cell r="M213">
            <v>8368550</v>
          </cell>
        </row>
        <row r="214">
          <cell r="A214">
            <v>2810</v>
          </cell>
          <cell r="B214" t="str">
            <v/>
          </cell>
          <cell r="C214" t="str">
            <v>MENARD VSOP 700ML</v>
          </cell>
          <cell r="D214" t="str">
            <v/>
          </cell>
          <cell r="E214" t="str">
            <v/>
          </cell>
          <cell r="F214" t="str">
            <v>Pcs</v>
          </cell>
          <cell r="G214">
            <v>6</v>
          </cell>
          <cell r="H214" t="str">
            <v/>
          </cell>
          <cell r="I214">
            <v>0</v>
          </cell>
          <cell r="J214">
            <v>0</v>
          </cell>
          <cell r="K214">
            <v>6</v>
          </cell>
          <cell r="L214">
            <v>3531</v>
          </cell>
          <cell r="M214">
            <v>21186</v>
          </cell>
        </row>
        <row r="215">
          <cell r="A215">
            <v>2809</v>
          </cell>
          <cell r="B215" t="str">
            <v/>
          </cell>
          <cell r="C215" t="str">
            <v>MOULLON VSOP 700ML</v>
          </cell>
          <cell r="D215" t="str">
            <v/>
          </cell>
          <cell r="E215" t="str">
            <v/>
          </cell>
          <cell r="F215" t="str">
            <v>Pcs</v>
          </cell>
          <cell r="G215">
            <v>30</v>
          </cell>
          <cell r="H215" t="str">
            <v/>
          </cell>
          <cell r="I215">
            <v>0</v>
          </cell>
          <cell r="J215">
            <v>0</v>
          </cell>
          <cell r="K215">
            <v>30</v>
          </cell>
          <cell r="L215">
            <v>2383</v>
          </cell>
          <cell r="M215">
            <v>71490</v>
          </cell>
        </row>
        <row r="216">
          <cell r="A216">
            <v>1655</v>
          </cell>
          <cell r="B216" t="str">
            <v/>
          </cell>
          <cell r="C216" t="str">
            <v>REMY MARTIN 1738 ACCORD ROYAL COGNAC 700ML</v>
          </cell>
          <cell r="D216" t="str">
            <v/>
          </cell>
          <cell r="E216" t="str">
            <v/>
          </cell>
          <cell r="F216" t="str">
            <v>Pcs</v>
          </cell>
          <cell r="G216">
            <v>0</v>
          </cell>
          <cell r="H216" t="str">
            <v/>
          </cell>
          <cell r="I216">
            <v>0</v>
          </cell>
          <cell r="J216">
            <v>0</v>
          </cell>
          <cell r="K216">
            <v>0</v>
          </cell>
          <cell r="L216">
            <v>6900</v>
          </cell>
          <cell r="M216">
            <v>0</v>
          </cell>
        </row>
        <row r="217">
          <cell r="A217">
            <v>1652</v>
          </cell>
          <cell r="B217" t="str">
            <v/>
          </cell>
          <cell r="C217" t="str">
            <v>REMY MARTIN - VSOP 1LTR</v>
          </cell>
          <cell r="D217" t="str">
            <v/>
          </cell>
          <cell r="E217" t="str">
            <v/>
          </cell>
          <cell r="F217" t="str">
            <v>Pcs</v>
          </cell>
          <cell r="G217">
            <v>391</v>
          </cell>
          <cell r="H217" t="str">
            <v/>
          </cell>
          <cell r="I217">
            <v>0</v>
          </cell>
          <cell r="J217">
            <v>18</v>
          </cell>
          <cell r="K217">
            <v>373</v>
          </cell>
          <cell r="L217">
            <v>7000</v>
          </cell>
          <cell r="M217">
            <v>2611000</v>
          </cell>
        </row>
        <row r="218">
          <cell r="A218">
            <v>1653</v>
          </cell>
          <cell r="B218" t="str">
            <v/>
          </cell>
          <cell r="C218" t="str">
            <v>REMY MARTIN - VSOP 700 ML</v>
          </cell>
          <cell r="D218" t="str">
            <v/>
          </cell>
          <cell r="E218" t="str">
            <v/>
          </cell>
          <cell r="F218" t="str">
            <v>Pcs</v>
          </cell>
          <cell r="G218">
            <v>6</v>
          </cell>
          <cell r="H218" t="str">
            <v/>
          </cell>
          <cell r="I218">
            <v>0</v>
          </cell>
          <cell r="J218">
            <v>6</v>
          </cell>
          <cell r="K218">
            <v>0</v>
          </cell>
          <cell r="L218">
            <v>3580</v>
          </cell>
          <cell r="M218">
            <v>0</v>
          </cell>
        </row>
        <row r="219">
          <cell r="A219">
            <v>1658</v>
          </cell>
          <cell r="B219" t="str">
            <v/>
          </cell>
          <cell r="C219" t="str">
            <v>REMY MARTIN VSOP GIFT PACK COGNAC 700ML</v>
          </cell>
          <cell r="D219" t="str">
            <v/>
          </cell>
          <cell r="E219" t="str">
            <v/>
          </cell>
          <cell r="F219" t="str">
            <v>Pcs</v>
          </cell>
          <cell r="G219">
            <v>0</v>
          </cell>
          <cell r="H219" t="str">
            <v/>
          </cell>
          <cell r="I219">
            <v>0</v>
          </cell>
          <cell r="J219">
            <v>0</v>
          </cell>
          <cell r="K219">
            <v>0</v>
          </cell>
          <cell r="L219">
            <v>6624</v>
          </cell>
          <cell r="M219">
            <v>0</v>
          </cell>
        </row>
        <row r="220">
          <cell r="A220">
            <v>1659</v>
          </cell>
          <cell r="B220" t="str">
            <v/>
          </cell>
          <cell r="C220" t="str">
            <v>REMY MARTIN XO 1LT</v>
          </cell>
          <cell r="D220" t="str">
            <v/>
          </cell>
          <cell r="E220" t="str">
            <v/>
          </cell>
          <cell r="F220" t="str">
            <v>Pcs</v>
          </cell>
          <cell r="G220">
            <v>25</v>
          </cell>
          <cell r="H220" t="str">
            <v/>
          </cell>
          <cell r="I220">
            <v>0</v>
          </cell>
          <cell r="J220">
            <v>1</v>
          </cell>
          <cell r="K220">
            <v>24</v>
          </cell>
          <cell r="L220">
            <v>27600</v>
          </cell>
          <cell r="M220">
            <v>662400</v>
          </cell>
        </row>
        <row r="221">
          <cell r="A221">
            <v>1654</v>
          </cell>
          <cell r="B221" t="str">
            <v/>
          </cell>
          <cell r="C221" t="str">
            <v>REMY MARTIN - XO 75OML</v>
          </cell>
          <cell r="D221" t="str">
            <v/>
          </cell>
          <cell r="E221" t="str">
            <v/>
          </cell>
          <cell r="F221" t="str">
            <v>Pcs</v>
          </cell>
          <cell r="G221">
            <v>124</v>
          </cell>
          <cell r="H221" t="str">
            <v/>
          </cell>
          <cell r="I221">
            <v>1</v>
          </cell>
          <cell r="J221">
            <v>0</v>
          </cell>
          <cell r="K221">
            <v>125</v>
          </cell>
          <cell r="L221">
            <v>25000</v>
          </cell>
          <cell r="M221">
            <v>3125000</v>
          </cell>
        </row>
        <row r="222">
          <cell r="B222" t="str">
            <v/>
          </cell>
          <cell r="C222" t="str">
            <v/>
          </cell>
          <cell r="D222" t="str">
            <v>COGNAC</v>
          </cell>
          <cell r="E222" t="str">
            <v/>
          </cell>
          <cell r="F222" t="str">
            <v/>
          </cell>
          <cell r="G222">
            <v>11266</v>
          </cell>
          <cell r="H222" t="str">
            <v/>
          </cell>
          <cell r="I222">
            <v>6</v>
          </cell>
          <cell r="J222">
            <v>817</v>
          </cell>
          <cell r="K222">
            <v>10455</v>
          </cell>
          <cell r="L222" t="str">
            <v/>
          </cell>
          <cell r="M222">
            <v>70589098.07</v>
          </cell>
        </row>
        <row r="223">
          <cell r="A223" t="str">
            <v>Class :</v>
          </cell>
          <cell r="B223" t="str">
            <v>CREAM</v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</row>
        <row r="224">
          <cell r="A224">
            <v>90</v>
          </cell>
          <cell r="B224" t="str">
            <v/>
          </cell>
          <cell r="C224" t="str">
            <v>AMARULA 1LTR</v>
          </cell>
          <cell r="D224" t="str">
            <v/>
          </cell>
          <cell r="E224" t="str">
            <v/>
          </cell>
          <cell r="F224" t="str">
            <v>Pcs</v>
          </cell>
          <cell r="G224">
            <v>0</v>
          </cell>
          <cell r="H224" t="str">
            <v/>
          </cell>
          <cell r="I224">
            <v>0</v>
          </cell>
          <cell r="J224">
            <v>0</v>
          </cell>
          <cell r="K224">
            <v>0</v>
          </cell>
          <cell r="L224">
            <v>1700</v>
          </cell>
          <cell r="M224">
            <v>0</v>
          </cell>
        </row>
        <row r="225">
          <cell r="A225">
            <v>91</v>
          </cell>
          <cell r="B225" t="str">
            <v/>
          </cell>
          <cell r="C225" t="str">
            <v>AMARULA 375ML</v>
          </cell>
          <cell r="D225" t="str">
            <v/>
          </cell>
          <cell r="E225" t="str">
            <v/>
          </cell>
          <cell r="F225" t="str">
            <v>Pcs</v>
          </cell>
          <cell r="G225">
            <v>0</v>
          </cell>
          <cell r="H225" t="str">
            <v/>
          </cell>
          <cell r="I225">
            <v>0</v>
          </cell>
          <cell r="J225">
            <v>0</v>
          </cell>
          <cell r="K225">
            <v>0</v>
          </cell>
          <cell r="L225">
            <v>590</v>
          </cell>
          <cell r="M225">
            <v>0</v>
          </cell>
        </row>
        <row r="226">
          <cell r="A226">
            <v>92</v>
          </cell>
          <cell r="B226" t="str">
            <v/>
          </cell>
          <cell r="C226" t="str">
            <v>AMARULA 750ML</v>
          </cell>
          <cell r="D226" t="str">
            <v/>
          </cell>
          <cell r="E226" t="str">
            <v/>
          </cell>
          <cell r="F226" t="str">
            <v>Pcs</v>
          </cell>
          <cell r="G226">
            <v>0</v>
          </cell>
          <cell r="H226" t="str">
            <v/>
          </cell>
          <cell r="I226">
            <v>6</v>
          </cell>
          <cell r="J226">
            <v>6</v>
          </cell>
          <cell r="K226">
            <v>0</v>
          </cell>
          <cell r="L226">
            <v>1800</v>
          </cell>
          <cell r="M226">
            <v>0</v>
          </cell>
        </row>
        <row r="227">
          <cell r="A227">
            <v>93</v>
          </cell>
          <cell r="B227" t="str">
            <v/>
          </cell>
          <cell r="C227" t="str">
            <v>AMARULA ETHIOPIAN COFFFE 750ML</v>
          </cell>
          <cell r="D227" t="str">
            <v/>
          </cell>
          <cell r="E227" t="str">
            <v/>
          </cell>
          <cell r="F227" t="str">
            <v>Pcs</v>
          </cell>
          <cell r="G227">
            <v>85</v>
          </cell>
          <cell r="H227" t="str">
            <v/>
          </cell>
          <cell r="I227">
            <v>0</v>
          </cell>
          <cell r="J227">
            <v>0</v>
          </cell>
          <cell r="K227">
            <v>85</v>
          </cell>
          <cell r="L227">
            <v>1564</v>
          </cell>
          <cell r="M227">
            <v>132940</v>
          </cell>
        </row>
        <row r="228">
          <cell r="A228">
            <v>94</v>
          </cell>
          <cell r="B228" t="str">
            <v/>
          </cell>
          <cell r="C228" t="str">
            <v>AMARULA RASPBERRY CHOCOLATE 1LTR</v>
          </cell>
          <cell r="D228" t="str">
            <v/>
          </cell>
          <cell r="E228" t="str">
            <v/>
          </cell>
          <cell r="F228" t="str">
            <v>Pcs</v>
          </cell>
          <cell r="G228">
            <v>32</v>
          </cell>
          <cell r="H228" t="str">
            <v/>
          </cell>
          <cell r="I228">
            <v>0</v>
          </cell>
          <cell r="J228">
            <v>12</v>
          </cell>
          <cell r="K228">
            <v>20</v>
          </cell>
          <cell r="L228">
            <v>1748</v>
          </cell>
          <cell r="M228">
            <v>34960</v>
          </cell>
        </row>
        <row r="229">
          <cell r="A229">
            <v>2843</v>
          </cell>
          <cell r="B229" t="str">
            <v/>
          </cell>
          <cell r="C229" t="str">
            <v>AMARULA RASPBERRY CHOCOLATE 750ML  </v>
          </cell>
          <cell r="D229" t="str">
            <v/>
          </cell>
          <cell r="E229" t="str">
            <v/>
          </cell>
          <cell r="F229" t="str">
            <v>Pcs</v>
          </cell>
          <cell r="G229">
            <v>90</v>
          </cell>
          <cell r="H229" t="str">
            <v/>
          </cell>
          <cell r="I229">
            <v>0</v>
          </cell>
          <cell r="J229">
            <v>0</v>
          </cell>
          <cell r="K229">
            <v>90</v>
          </cell>
          <cell r="L229">
            <v>1650</v>
          </cell>
          <cell r="M229">
            <v>148500</v>
          </cell>
        </row>
        <row r="230">
          <cell r="A230">
            <v>148</v>
          </cell>
          <cell r="B230" t="str">
            <v/>
          </cell>
          <cell r="C230" t="str">
            <v>BAILEYS CREAM 1LTR</v>
          </cell>
          <cell r="D230" t="str">
            <v/>
          </cell>
          <cell r="E230" t="str">
            <v/>
          </cell>
          <cell r="F230" t="str">
            <v>Pcs</v>
          </cell>
          <cell r="G230">
            <v>0</v>
          </cell>
          <cell r="H230" t="str">
            <v/>
          </cell>
          <cell r="I230">
            <v>0</v>
          </cell>
          <cell r="J230">
            <v>0</v>
          </cell>
          <cell r="K230">
            <v>0</v>
          </cell>
          <cell r="L230">
            <v>2500</v>
          </cell>
          <cell r="M230">
            <v>0</v>
          </cell>
        </row>
        <row r="231">
          <cell r="A231">
            <v>150</v>
          </cell>
          <cell r="B231" t="str">
            <v/>
          </cell>
          <cell r="C231" t="str">
            <v>BAILEYS CREAM 750ML</v>
          </cell>
          <cell r="D231" t="str">
            <v/>
          </cell>
          <cell r="E231" t="str">
            <v/>
          </cell>
          <cell r="F231" t="str">
            <v>Pcs</v>
          </cell>
          <cell r="G231">
            <v>0</v>
          </cell>
          <cell r="H231" t="str">
            <v/>
          </cell>
          <cell r="I231">
            <v>0</v>
          </cell>
          <cell r="J231">
            <v>0</v>
          </cell>
          <cell r="K231">
            <v>0</v>
          </cell>
          <cell r="L231">
            <v>1700</v>
          </cell>
          <cell r="M231">
            <v>0</v>
          </cell>
        </row>
        <row r="232">
          <cell r="A232">
            <v>151</v>
          </cell>
          <cell r="B232" t="str">
            <v/>
          </cell>
          <cell r="C232" t="str">
            <v>BAILEYS DELIGHT 750ML</v>
          </cell>
          <cell r="D232" t="str">
            <v/>
          </cell>
          <cell r="E232" t="str">
            <v/>
          </cell>
          <cell r="F232" t="str">
            <v>Pcs</v>
          </cell>
          <cell r="G232">
            <v>0</v>
          </cell>
          <cell r="H232" t="str">
            <v/>
          </cell>
          <cell r="I232">
            <v>0</v>
          </cell>
          <cell r="J232">
            <v>0</v>
          </cell>
          <cell r="K232">
            <v>0</v>
          </cell>
          <cell r="L232">
            <v>769.12</v>
          </cell>
          <cell r="M232">
            <v>0</v>
          </cell>
        </row>
        <row r="233">
          <cell r="A233">
            <v>153</v>
          </cell>
          <cell r="B233" t="str">
            <v/>
          </cell>
          <cell r="C233" t="str">
            <v>BAILEYS EXPRESSO CRÈME 1LTR</v>
          </cell>
          <cell r="D233" t="str">
            <v/>
          </cell>
          <cell r="E233" t="str">
            <v/>
          </cell>
          <cell r="F233" t="str">
            <v>Pcs</v>
          </cell>
          <cell r="G233">
            <v>0</v>
          </cell>
          <cell r="H233" t="str">
            <v/>
          </cell>
          <cell r="I233">
            <v>0</v>
          </cell>
          <cell r="J233">
            <v>0</v>
          </cell>
          <cell r="K233">
            <v>0</v>
          </cell>
          <cell r="L233">
            <v>2484</v>
          </cell>
          <cell r="M233">
            <v>0</v>
          </cell>
        </row>
        <row r="234">
          <cell r="A234">
            <v>2936</v>
          </cell>
          <cell r="B234" t="str">
            <v/>
          </cell>
          <cell r="C234" t="str">
            <v>BAILEYS MINT CHOCOLATE 1L</v>
          </cell>
          <cell r="D234" t="str">
            <v/>
          </cell>
          <cell r="E234" t="str">
            <v/>
          </cell>
          <cell r="F234" t="str">
            <v>Pcs</v>
          </cell>
          <cell r="G234">
            <v>11</v>
          </cell>
          <cell r="H234" t="str">
            <v/>
          </cell>
          <cell r="I234">
            <v>0</v>
          </cell>
          <cell r="J234">
            <v>11</v>
          </cell>
          <cell r="K234">
            <v>0</v>
          </cell>
          <cell r="L234">
            <v>2700</v>
          </cell>
          <cell r="M234">
            <v>0</v>
          </cell>
        </row>
        <row r="235">
          <cell r="A235">
            <v>154</v>
          </cell>
          <cell r="B235" t="str">
            <v/>
          </cell>
          <cell r="C235" t="str">
            <v>BAILEYS RED VELVET 700ML</v>
          </cell>
          <cell r="D235" t="str">
            <v/>
          </cell>
          <cell r="E235" t="str">
            <v/>
          </cell>
          <cell r="F235" t="str">
            <v>Pcs</v>
          </cell>
          <cell r="G235">
            <v>0</v>
          </cell>
          <cell r="H235" t="str">
            <v/>
          </cell>
          <cell r="I235">
            <v>0</v>
          </cell>
          <cell r="J235">
            <v>0</v>
          </cell>
          <cell r="K235">
            <v>0</v>
          </cell>
          <cell r="L235">
            <v>2116</v>
          </cell>
          <cell r="M235">
            <v>0</v>
          </cell>
        </row>
        <row r="236">
          <cell r="A236">
            <v>155</v>
          </cell>
          <cell r="B236" t="str">
            <v/>
          </cell>
          <cell r="C236" t="str">
            <v>BAILEYS SALTED CARAMEL 700ML</v>
          </cell>
          <cell r="D236" t="str">
            <v/>
          </cell>
          <cell r="E236" t="str">
            <v/>
          </cell>
          <cell r="F236" t="str">
            <v>Pcs</v>
          </cell>
          <cell r="G236">
            <v>0</v>
          </cell>
          <cell r="H236" t="str">
            <v/>
          </cell>
          <cell r="I236">
            <v>0</v>
          </cell>
          <cell r="J236">
            <v>0</v>
          </cell>
          <cell r="K236">
            <v>0</v>
          </cell>
          <cell r="L236">
            <v>2208</v>
          </cell>
          <cell r="M236">
            <v>0</v>
          </cell>
        </row>
        <row r="237">
          <cell r="A237">
            <v>156</v>
          </cell>
          <cell r="B237" t="str">
            <v/>
          </cell>
          <cell r="C237" t="str">
            <v>BAILEYS STRAWBERRY CREAM 700ML</v>
          </cell>
          <cell r="D237" t="str">
            <v/>
          </cell>
          <cell r="E237" t="str">
            <v/>
          </cell>
          <cell r="F237" t="str">
            <v>Pcs</v>
          </cell>
          <cell r="G237">
            <v>0</v>
          </cell>
          <cell r="H237" t="str">
            <v/>
          </cell>
          <cell r="I237">
            <v>0</v>
          </cell>
          <cell r="J237">
            <v>0</v>
          </cell>
          <cell r="K237">
            <v>0</v>
          </cell>
          <cell r="L237">
            <v>2208</v>
          </cell>
          <cell r="M237">
            <v>0</v>
          </cell>
        </row>
        <row r="238">
          <cell r="A238">
            <v>157</v>
          </cell>
          <cell r="B238" t="str">
            <v/>
          </cell>
          <cell r="C238" t="str">
            <v>BAILEYS VANILLA 1LTR</v>
          </cell>
          <cell r="D238" t="str">
            <v/>
          </cell>
          <cell r="E238" t="str">
            <v/>
          </cell>
          <cell r="F238" t="str">
            <v>Pcs</v>
          </cell>
          <cell r="G238">
            <v>0</v>
          </cell>
          <cell r="H238" t="str">
            <v/>
          </cell>
          <cell r="I238">
            <v>0</v>
          </cell>
          <cell r="J238">
            <v>0</v>
          </cell>
          <cell r="K238">
            <v>0</v>
          </cell>
          <cell r="L238">
            <v>2484</v>
          </cell>
          <cell r="M238">
            <v>0</v>
          </cell>
        </row>
        <row r="239">
          <cell r="A239">
            <v>217</v>
          </cell>
          <cell r="B239" t="str">
            <v/>
          </cell>
          <cell r="C239" t="str">
            <v>BEST CREAM 750ML</v>
          </cell>
          <cell r="D239" t="str">
            <v/>
          </cell>
          <cell r="E239" t="str">
            <v/>
          </cell>
          <cell r="F239" t="str">
            <v>Pcs</v>
          </cell>
          <cell r="G239">
            <v>156</v>
          </cell>
          <cell r="H239" t="str">
            <v/>
          </cell>
          <cell r="I239">
            <v>120</v>
          </cell>
          <cell r="J239">
            <v>72</v>
          </cell>
          <cell r="K239">
            <v>204</v>
          </cell>
          <cell r="L239">
            <v>901.6</v>
          </cell>
          <cell r="M239">
            <v>183926.4</v>
          </cell>
        </row>
        <row r="240">
          <cell r="A240">
            <v>749</v>
          </cell>
          <cell r="B240" t="str">
            <v/>
          </cell>
          <cell r="C240" t="str">
            <v>FOUR COUSINS MARULA CREAM 500ML </v>
          </cell>
          <cell r="D240" t="str">
            <v/>
          </cell>
          <cell r="E240" t="str">
            <v/>
          </cell>
          <cell r="F240" t="str">
            <v>Pcs</v>
          </cell>
          <cell r="G240">
            <v>0</v>
          </cell>
          <cell r="H240" t="str">
            <v/>
          </cell>
          <cell r="I240">
            <v>0</v>
          </cell>
          <cell r="J240">
            <v>0</v>
          </cell>
          <cell r="K240">
            <v>0</v>
          </cell>
          <cell r="L240">
            <v>1702</v>
          </cell>
          <cell r="M240">
            <v>0</v>
          </cell>
        </row>
        <row r="241">
          <cell r="A241">
            <v>939</v>
          </cell>
          <cell r="B241" t="str">
            <v/>
          </cell>
          <cell r="C241" t="str">
            <v>HARVEYS BRISTOL CREAM 1LTR</v>
          </cell>
          <cell r="D241" t="str">
            <v/>
          </cell>
          <cell r="E241" t="str">
            <v/>
          </cell>
          <cell r="F241" t="str">
            <v>Pcs</v>
          </cell>
          <cell r="G241">
            <v>64</v>
          </cell>
          <cell r="H241" t="str">
            <v/>
          </cell>
          <cell r="I241">
            <v>0</v>
          </cell>
          <cell r="J241">
            <v>0</v>
          </cell>
          <cell r="K241">
            <v>64</v>
          </cell>
          <cell r="L241">
            <v>2300</v>
          </cell>
          <cell r="M241">
            <v>147200</v>
          </cell>
        </row>
        <row r="242">
          <cell r="A242">
            <v>940</v>
          </cell>
          <cell r="B242" t="str">
            <v/>
          </cell>
          <cell r="C242" t="str">
            <v>HARVEYS BRISTOL CREAM 750ML</v>
          </cell>
          <cell r="D242" t="str">
            <v/>
          </cell>
          <cell r="E242" t="str">
            <v/>
          </cell>
          <cell r="F242" t="str">
            <v>Pcs</v>
          </cell>
          <cell r="G242">
            <v>0</v>
          </cell>
          <cell r="H242" t="str">
            <v/>
          </cell>
          <cell r="I242">
            <v>0</v>
          </cell>
          <cell r="J242">
            <v>0</v>
          </cell>
          <cell r="K242">
            <v>0</v>
          </cell>
          <cell r="L242">
            <v>2024</v>
          </cell>
          <cell r="M242">
            <v>0</v>
          </cell>
        </row>
        <row r="243">
          <cell r="A243">
            <v>1712</v>
          </cell>
          <cell r="B243" t="str">
            <v/>
          </cell>
          <cell r="C243" t="str">
            <v>ROYAL RHINO CREAM 750ml</v>
          </cell>
          <cell r="D243" t="str">
            <v/>
          </cell>
          <cell r="E243" t="str">
            <v/>
          </cell>
          <cell r="F243" t="str">
            <v>Pcs</v>
          </cell>
          <cell r="G243">
            <v>0</v>
          </cell>
          <cell r="H243" t="str">
            <v/>
          </cell>
          <cell r="I243">
            <v>0</v>
          </cell>
          <cell r="J243">
            <v>0</v>
          </cell>
          <cell r="K243">
            <v>0</v>
          </cell>
          <cell r="L243">
            <v>1472</v>
          </cell>
          <cell r="M243">
            <v>0</v>
          </cell>
        </row>
        <row r="244">
          <cell r="A244">
            <v>2041</v>
          </cell>
          <cell r="B244" t="str">
            <v/>
          </cell>
          <cell r="C244" t="str">
            <v>V &amp; A 250ML</v>
          </cell>
          <cell r="D244" t="str">
            <v/>
          </cell>
          <cell r="E244" t="str">
            <v/>
          </cell>
          <cell r="F244" t="str">
            <v>Pcs</v>
          </cell>
          <cell r="G244">
            <v>280</v>
          </cell>
          <cell r="H244" t="str">
            <v/>
          </cell>
          <cell r="I244">
            <v>0</v>
          </cell>
          <cell r="J244">
            <v>40</v>
          </cell>
          <cell r="K244">
            <v>240</v>
          </cell>
          <cell r="L244">
            <v>292.52</v>
          </cell>
          <cell r="M244">
            <v>70204.8</v>
          </cell>
        </row>
        <row r="245">
          <cell r="A245">
            <v>2042</v>
          </cell>
          <cell r="B245" t="str">
            <v/>
          </cell>
          <cell r="C245" t="str">
            <v>V &amp; A 750ML</v>
          </cell>
          <cell r="D245" t="str">
            <v/>
          </cell>
          <cell r="E245" t="str">
            <v/>
          </cell>
          <cell r="F245" t="str">
            <v>Pcs</v>
          </cell>
          <cell r="G245">
            <v>180</v>
          </cell>
          <cell r="H245" t="str">
            <v/>
          </cell>
          <cell r="I245">
            <v>0</v>
          </cell>
          <cell r="J245">
            <v>48</v>
          </cell>
          <cell r="K245">
            <v>132</v>
          </cell>
          <cell r="L245">
            <v>760.07</v>
          </cell>
          <cell r="M245">
            <v>100329.24</v>
          </cell>
        </row>
        <row r="246">
          <cell r="B246" t="str">
            <v/>
          </cell>
          <cell r="C246" t="str">
            <v/>
          </cell>
          <cell r="D246" t="str">
            <v>CREAM</v>
          </cell>
          <cell r="E246" t="str">
            <v/>
          </cell>
          <cell r="F246" t="str">
            <v/>
          </cell>
          <cell r="G246">
            <v>898</v>
          </cell>
          <cell r="H246" t="str">
            <v/>
          </cell>
          <cell r="I246">
            <v>126</v>
          </cell>
          <cell r="J246">
            <v>189</v>
          </cell>
          <cell r="K246">
            <v>835</v>
          </cell>
          <cell r="L246" t="str">
            <v/>
          </cell>
          <cell r="M246">
            <v>818060.44</v>
          </cell>
        </row>
        <row r="247">
          <cell r="A247" t="str">
            <v>Class :</v>
          </cell>
          <cell r="B247" t="str">
            <v>GIN</v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</row>
        <row r="248">
          <cell r="A248">
            <v>21</v>
          </cell>
          <cell r="B248" t="str">
            <v/>
          </cell>
          <cell r="C248" t="str">
            <v>58 CLASSIC GIN 750ML</v>
          </cell>
          <cell r="D248" t="str">
            <v/>
          </cell>
          <cell r="E248" t="str">
            <v/>
          </cell>
          <cell r="F248" t="str">
            <v>Pcs</v>
          </cell>
          <cell r="G248">
            <v>28</v>
          </cell>
          <cell r="H248" t="str">
            <v/>
          </cell>
          <cell r="I248">
            <v>0</v>
          </cell>
          <cell r="J248">
            <v>0</v>
          </cell>
          <cell r="K248">
            <v>28</v>
          </cell>
          <cell r="L248">
            <v>1242</v>
          </cell>
          <cell r="M248">
            <v>34776</v>
          </cell>
        </row>
        <row r="249">
          <cell r="A249">
            <v>22</v>
          </cell>
          <cell r="B249" t="str">
            <v/>
          </cell>
          <cell r="C249" t="str">
            <v>58 GIN 350ml</v>
          </cell>
          <cell r="D249" t="str">
            <v/>
          </cell>
          <cell r="E249" t="str">
            <v/>
          </cell>
          <cell r="F249" t="str">
            <v>Pcs</v>
          </cell>
          <cell r="G249">
            <v>0</v>
          </cell>
          <cell r="H249" t="str">
            <v/>
          </cell>
          <cell r="I249">
            <v>0</v>
          </cell>
          <cell r="J249">
            <v>0</v>
          </cell>
          <cell r="K249">
            <v>0</v>
          </cell>
          <cell r="L249">
            <v>506</v>
          </cell>
          <cell r="M249">
            <v>0</v>
          </cell>
        </row>
        <row r="250">
          <cell r="A250">
            <v>2165</v>
          </cell>
          <cell r="B250" t="str">
            <v/>
          </cell>
          <cell r="C250" t="str">
            <v>58 SPICED ORANGE 750ML</v>
          </cell>
          <cell r="D250" t="str">
            <v/>
          </cell>
          <cell r="E250" t="str">
            <v/>
          </cell>
          <cell r="F250" t="str">
            <v>Pcs</v>
          </cell>
          <cell r="G250">
            <v>36</v>
          </cell>
          <cell r="H250" t="str">
            <v/>
          </cell>
          <cell r="I250">
            <v>0</v>
          </cell>
          <cell r="J250">
            <v>0</v>
          </cell>
          <cell r="K250">
            <v>36</v>
          </cell>
          <cell r="L250">
            <v>1278</v>
          </cell>
          <cell r="M250">
            <v>46008</v>
          </cell>
        </row>
        <row r="251">
          <cell r="A251">
            <v>2874</v>
          </cell>
          <cell r="B251" t="str">
            <v/>
          </cell>
          <cell r="C251" t="str">
            <v>AVALON GIN 250ML</v>
          </cell>
          <cell r="D251" t="str">
            <v/>
          </cell>
          <cell r="E251" t="str">
            <v/>
          </cell>
          <cell r="F251" t="str">
            <v>Pcs</v>
          </cell>
          <cell r="G251">
            <v>0</v>
          </cell>
          <cell r="H251" t="str">
            <v/>
          </cell>
          <cell r="I251">
            <v>600</v>
          </cell>
          <cell r="J251">
            <v>60</v>
          </cell>
          <cell r="K251">
            <v>540</v>
          </cell>
          <cell r="L251">
            <v>200</v>
          </cell>
          <cell r="M251">
            <v>108000</v>
          </cell>
        </row>
        <row r="252">
          <cell r="A252">
            <v>2876</v>
          </cell>
          <cell r="B252" t="str">
            <v/>
          </cell>
          <cell r="C252" t="str">
            <v>AVALON GIN 750ML</v>
          </cell>
          <cell r="D252" t="str">
            <v/>
          </cell>
          <cell r="E252" t="str">
            <v/>
          </cell>
          <cell r="F252" t="str">
            <v>Pcs</v>
          </cell>
          <cell r="G252">
            <v>0</v>
          </cell>
          <cell r="H252" t="str">
            <v/>
          </cell>
          <cell r="I252">
            <v>60</v>
          </cell>
          <cell r="J252">
            <v>24</v>
          </cell>
          <cell r="K252">
            <v>36</v>
          </cell>
          <cell r="L252">
            <v>541.67</v>
          </cell>
          <cell r="M252">
            <v>19500.12</v>
          </cell>
        </row>
        <row r="253">
          <cell r="A253">
            <v>2261</v>
          </cell>
          <cell r="B253" t="str">
            <v/>
          </cell>
          <cell r="C253" t="str">
            <v>BEEFEATER BLOOD ORANGE 750ML</v>
          </cell>
          <cell r="D253" t="str">
            <v/>
          </cell>
          <cell r="E253" t="str">
            <v/>
          </cell>
          <cell r="F253" t="str">
            <v>Pcs</v>
          </cell>
          <cell r="G253">
            <v>24</v>
          </cell>
          <cell r="H253" t="str">
            <v/>
          </cell>
          <cell r="I253">
            <v>0</v>
          </cell>
          <cell r="J253">
            <v>0</v>
          </cell>
          <cell r="K253">
            <v>24</v>
          </cell>
          <cell r="L253">
            <v>2000</v>
          </cell>
          <cell r="M253">
            <v>48000</v>
          </cell>
        </row>
        <row r="254">
          <cell r="A254">
            <v>187</v>
          </cell>
          <cell r="B254" t="str">
            <v/>
          </cell>
          <cell r="C254" t="str">
            <v>BEEFEATER CLEAR LONDON DRY GIN 1LTR</v>
          </cell>
          <cell r="D254" t="str">
            <v/>
          </cell>
          <cell r="E254" t="str">
            <v/>
          </cell>
          <cell r="F254" t="str">
            <v>Pcs</v>
          </cell>
          <cell r="G254">
            <v>72</v>
          </cell>
          <cell r="H254" t="str">
            <v/>
          </cell>
          <cell r="I254">
            <v>0</v>
          </cell>
          <cell r="J254">
            <v>0</v>
          </cell>
          <cell r="K254">
            <v>72</v>
          </cell>
          <cell r="L254">
            <v>2116</v>
          </cell>
          <cell r="M254">
            <v>152352</v>
          </cell>
        </row>
        <row r="255">
          <cell r="A255">
            <v>188</v>
          </cell>
          <cell r="B255" t="str">
            <v/>
          </cell>
          <cell r="C255" t="str">
            <v>BEEFEATER CLEAR LONDON DRY GIN 750ML</v>
          </cell>
          <cell r="D255" t="str">
            <v/>
          </cell>
          <cell r="E255" t="str">
            <v/>
          </cell>
          <cell r="F255" t="str">
            <v>Pcs</v>
          </cell>
          <cell r="G255">
            <v>480</v>
          </cell>
          <cell r="H255" t="str">
            <v/>
          </cell>
          <cell r="I255">
            <v>0</v>
          </cell>
          <cell r="J255">
            <v>0</v>
          </cell>
          <cell r="K255">
            <v>480</v>
          </cell>
          <cell r="L255">
            <v>1932</v>
          </cell>
          <cell r="M255">
            <v>927360</v>
          </cell>
        </row>
        <row r="256">
          <cell r="A256">
            <v>189</v>
          </cell>
          <cell r="B256" t="str">
            <v/>
          </cell>
          <cell r="C256" t="str">
            <v>BEEFEATER LONDON DRY GIN 350ML</v>
          </cell>
          <cell r="D256" t="str">
            <v/>
          </cell>
          <cell r="E256" t="str">
            <v/>
          </cell>
          <cell r="F256" t="str">
            <v>Pcs</v>
          </cell>
          <cell r="G256">
            <v>35</v>
          </cell>
          <cell r="H256" t="str">
            <v/>
          </cell>
          <cell r="I256">
            <v>0</v>
          </cell>
          <cell r="J256">
            <v>0</v>
          </cell>
          <cell r="K256">
            <v>35</v>
          </cell>
          <cell r="L256">
            <v>920</v>
          </cell>
          <cell r="M256">
            <v>32200</v>
          </cell>
        </row>
        <row r="257">
          <cell r="A257">
            <v>190</v>
          </cell>
          <cell r="B257" t="str">
            <v/>
          </cell>
          <cell r="C257" t="str">
            <v>BEEFEATER PINK GIN 1LTR</v>
          </cell>
          <cell r="D257" t="str">
            <v/>
          </cell>
          <cell r="E257" t="str">
            <v/>
          </cell>
          <cell r="F257" t="str">
            <v>Pcs</v>
          </cell>
          <cell r="G257">
            <v>136</v>
          </cell>
          <cell r="H257" t="str">
            <v/>
          </cell>
          <cell r="I257">
            <v>0</v>
          </cell>
          <cell r="J257">
            <v>0</v>
          </cell>
          <cell r="K257">
            <v>136</v>
          </cell>
          <cell r="L257">
            <v>1932</v>
          </cell>
          <cell r="M257">
            <v>262752</v>
          </cell>
        </row>
        <row r="258">
          <cell r="A258">
            <v>191</v>
          </cell>
          <cell r="B258" t="str">
            <v/>
          </cell>
          <cell r="C258" t="str">
            <v>BEEFEATER PINK LONDON DRY GIN 750ML</v>
          </cell>
          <cell r="D258" t="str">
            <v/>
          </cell>
          <cell r="E258" t="str">
            <v/>
          </cell>
          <cell r="F258" t="str">
            <v>Pcs</v>
          </cell>
          <cell r="G258">
            <v>757</v>
          </cell>
          <cell r="H258" t="str">
            <v/>
          </cell>
          <cell r="I258">
            <v>0</v>
          </cell>
          <cell r="J258">
            <v>0</v>
          </cell>
          <cell r="K258">
            <v>757</v>
          </cell>
          <cell r="L258">
            <v>1840</v>
          </cell>
          <cell r="M258">
            <v>1392880</v>
          </cell>
        </row>
        <row r="259">
          <cell r="A259">
            <v>218</v>
          </cell>
          <cell r="B259" t="str">
            <v/>
          </cell>
          <cell r="C259" t="str">
            <v>BEST GIN 250ML</v>
          </cell>
          <cell r="D259" t="str">
            <v/>
          </cell>
          <cell r="E259" t="str">
            <v/>
          </cell>
          <cell r="F259" t="str">
            <v>Pcs</v>
          </cell>
          <cell r="G259">
            <v>0</v>
          </cell>
          <cell r="H259" t="str">
            <v/>
          </cell>
          <cell r="I259">
            <v>0</v>
          </cell>
          <cell r="J259">
            <v>0</v>
          </cell>
          <cell r="K259">
            <v>0</v>
          </cell>
          <cell r="L259">
            <v>252.9</v>
          </cell>
          <cell r="M259">
            <v>0</v>
          </cell>
        </row>
        <row r="260">
          <cell r="A260">
            <v>219</v>
          </cell>
          <cell r="B260" t="str">
            <v/>
          </cell>
          <cell r="C260" t="str">
            <v>BEST GIN 750ML</v>
          </cell>
          <cell r="D260" t="str">
            <v/>
          </cell>
          <cell r="E260" t="str">
            <v/>
          </cell>
          <cell r="F260" t="str">
            <v>Pcs</v>
          </cell>
          <cell r="G260">
            <v>2916</v>
          </cell>
          <cell r="H260" t="str">
            <v/>
          </cell>
          <cell r="I260">
            <v>8652</v>
          </cell>
          <cell r="J260">
            <v>51</v>
          </cell>
          <cell r="K260">
            <v>11517</v>
          </cell>
          <cell r="L260">
            <v>711.28</v>
          </cell>
          <cell r="M260">
            <v>8191811.76</v>
          </cell>
        </row>
        <row r="261">
          <cell r="A261">
            <v>242</v>
          </cell>
          <cell r="B261" t="str">
            <v/>
          </cell>
          <cell r="C261" t="str">
            <v>BLOOM JASMINE &amp; ROSE GIN 700ML</v>
          </cell>
          <cell r="D261" t="str">
            <v/>
          </cell>
          <cell r="E261" t="str">
            <v/>
          </cell>
          <cell r="F261" t="str">
            <v>Pcs</v>
          </cell>
          <cell r="G261">
            <v>24</v>
          </cell>
          <cell r="H261" t="str">
            <v/>
          </cell>
          <cell r="I261">
            <v>0</v>
          </cell>
          <cell r="J261">
            <v>0</v>
          </cell>
          <cell r="K261">
            <v>24</v>
          </cell>
          <cell r="L261">
            <v>3312</v>
          </cell>
          <cell r="M261">
            <v>79488</v>
          </cell>
        </row>
        <row r="262">
          <cell r="A262">
            <v>243</v>
          </cell>
          <cell r="B262" t="str">
            <v/>
          </cell>
          <cell r="C262" t="str">
            <v>BLOOM LONDON DRY GIN 1LTR</v>
          </cell>
          <cell r="D262" t="str">
            <v/>
          </cell>
          <cell r="E262" t="str">
            <v/>
          </cell>
          <cell r="F262" t="str">
            <v>Pcs</v>
          </cell>
          <cell r="G262">
            <v>24</v>
          </cell>
          <cell r="H262" t="str">
            <v/>
          </cell>
          <cell r="I262">
            <v>0</v>
          </cell>
          <cell r="J262">
            <v>0</v>
          </cell>
          <cell r="K262">
            <v>24</v>
          </cell>
          <cell r="L262">
            <v>3864</v>
          </cell>
          <cell r="M262">
            <v>92736</v>
          </cell>
        </row>
        <row r="263">
          <cell r="A263">
            <v>260</v>
          </cell>
          <cell r="B263" t="str">
            <v/>
          </cell>
          <cell r="C263" t="str">
            <v>BOMBAY BRAMBLE 1LTR</v>
          </cell>
          <cell r="D263" t="str">
            <v/>
          </cell>
          <cell r="E263" t="str">
            <v/>
          </cell>
          <cell r="F263" t="str">
            <v>Pcs</v>
          </cell>
          <cell r="G263">
            <v>204</v>
          </cell>
          <cell r="H263" t="str">
            <v/>
          </cell>
          <cell r="I263">
            <v>0</v>
          </cell>
          <cell r="J263">
            <v>0</v>
          </cell>
          <cell r="K263">
            <v>204</v>
          </cell>
          <cell r="L263">
            <v>2760</v>
          </cell>
          <cell r="M263">
            <v>563040</v>
          </cell>
        </row>
        <row r="264">
          <cell r="A264">
            <v>261</v>
          </cell>
          <cell r="B264" t="str">
            <v/>
          </cell>
          <cell r="C264" t="str">
            <v>BOMBAY DRY GIN 1LTR</v>
          </cell>
          <cell r="D264" t="str">
            <v/>
          </cell>
          <cell r="E264" t="str">
            <v/>
          </cell>
          <cell r="F264" t="str">
            <v>Pcs</v>
          </cell>
          <cell r="G264">
            <v>0</v>
          </cell>
          <cell r="H264" t="str">
            <v/>
          </cell>
          <cell r="I264">
            <v>0</v>
          </cell>
          <cell r="J264">
            <v>0</v>
          </cell>
          <cell r="K264">
            <v>0</v>
          </cell>
          <cell r="L264">
            <v>1800</v>
          </cell>
          <cell r="M264">
            <v>0</v>
          </cell>
        </row>
        <row r="265">
          <cell r="A265">
            <v>262</v>
          </cell>
          <cell r="B265" t="str">
            <v/>
          </cell>
          <cell r="C265" t="str">
            <v>BOMBAY DRY GIN 750ML</v>
          </cell>
          <cell r="D265" t="str">
            <v/>
          </cell>
          <cell r="E265" t="str">
            <v/>
          </cell>
          <cell r="F265" t="str">
            <v>Pcs</v>
          </cell>
          <cell r="G265">
            <v>0</v>
          </cell>
          <cell r="H265" t="str">
            <v/>
          </cell>
          <cell r="I265">
            <v>0</v>
          </cell>
          <cell r="J265">
            <v>0</v>
          </cell>
          <cell r="K265">
            <v>0</v>
          </cell>
          <cell r="L265">
            <v>1380</v>
          </cell>
          <cell r="M265">
            <v>0</v>
          </cell>
        </row>
        <row r="266">
          <cell r="A266">
            <v>264</v>
          </cell>
          <cell r="B266" t="str">
            <v/>
          </cell>
          <cell r="C266" t="str">
            <v>BOMBAY SAPPHIRE DRY GIN 375ML</v>
          </cell>
          <cell r="D266" t="str">
            <v/>
          </cell>
          <cell r="E266" t="str">
            <v/>
          </cell>
          <cell r="F266" t="str">
            <v>Pcs</v>
          </cell>
          <cell r="G266">
            <v>0</v>
          </cell>
          <cell r="H266" t="str">
            <v/>
          </cell>
          <cell r="I266">
            <v>0</v>
          </cell>
          <cell r="J266">
            <v>0</v>
          </cell>
          <cell r="K266">
            <v>0</v>
          </cell>
          <cell r="L266">
            <v>920</v>
          </cell>
          <cell r="M266">
            <v>0</v>
          </cell>
        </row>
        <row r="267">
          <cell r="A267">
            <v>265</v>
          </cell>
          <cell r="B267" t="str">
            <v/>
          </cell>
          <cell r="C267" t="str">
            <v>BOMBAY SAPPHIRE LONDON DRY GIN 1LTR</v>
          </cell>
          <cell r="D267" t="str">
            <v/>
          </cell>
          <cell r="E267" t="str">
            <v/>
          </cell>
          <cell r="F267" t="str">
            <v>Pcs</v>
          </cell>
          <cell r="G267">
            <v>886</v>
          </cell>
          <cell r="H267" t="str">
            <v/>
          </cell>
          <cell r="I267">
            <v>0</v>
          </cell>
          <cell r="J267">
            <v>76</v>
          </cell>
          <cell r="K267">
            <v>810</v>
          </cell>
          <cell r="L267">
            <v>2400</v>
          </cell>
          <cell r="M267">
            <v>1944000</v>
          </cell>
        </row>
        <row r="268">
          <cell r="A268">
            <v>266</v>
          </cell>
          <cell r="B268" t="str">
            <v/>
          </cell>
          <cell r="C268" t="str">
            <v>BOMBAY SAPPHIRE LONDON DRY GIN 750ML</v>
          </cell>
          <cell r="D268" t="str">
            <v/>
          </cell>
          <cell r="E268" t="str">
            <v/>
          </cell>
          <cell r="F268" t="str">
            <v>Pcs</v>
          </cell>
          <cell r="G268">
            <v>223</v>
          </cell>
          <cell r="H268" t="str">
            <v/>
          </cell>
          <cell r="I268">
            <v>0</v>
          </cell>
          <cell r="J268">
            <v>6</v>
          </cell>
          <cell r="K268">
            <v>217</v>
          </cell>
          <cell r="L268">
            <v>2200</v>
          </cell>
          <cell r="M268">
            <v>477400</v>
          </cell>
        </row>
        <row r="269">
          <cell r="A269">
            <v>2811</v>
          </cell>
          <cell r="B269" t="str">
            <v/>
          </cell>
          <cell r="C269" t="str">
            <v>BOMBAY SAPPHIRE PREMIER CRU 700ML</v>
          </cell>
          <cell r="D269" t="str">
            <v/>
          </cell>
          <cell r="E269" t="str">
            <v/>
          </cell>
          <cell r="F269" t="str">
            <v>Pcs</v>
          </cell>
          <cell r="G269">
            <v>12</v>
          </cell>
          <cell r="H269" t="str">
            <v/>
          </cell>
          <cell r="I269">
            <v>0</v>
          </cell>
          <cell r="J269">
            <v>0</v>
          </cell>
          <cell r="K269">
            <v>12</v>
          </cell>
          <cell r="L269">
            <v>3100</v>
          </cell>
          <cell r="M269">
            <v>37200</v>
          </cell>
        </row>
        <row r="270">
          <cell r="A270">
            <v>2812</v>
          </cell>
          <cell r="B270" t="str">
            <v/>
          </cell>
          <cell r="C270" t="str">
            <v>BOMBAY SAPPHIRE SUNSET SPERCIAL 500ML</v>
          </cell>
          <cell r="D270" t="str">
            <v/>
          </cell>
          <cell r="E270" t="str">
            <v/>
          </cell>
          <cell r="F270" t="str">
            <v>Pcs</v>
          </cell>
          <cell r="G270">
            <v>9</v>
          </cell>
          <cell r="H270" t="str">
            <v/>
          </cell>
          <cell r="I270">
            <v>0</v>
          </cell>
          <cell r="J270">
            <v>0</v>
          </cell>
          <cell r="K270">
            <v>9</v>
          </cell>
          <cell r="L270">
            <v>1540</v>
          </cell>
          <cell r="M270">
            <v>13860</v>
          </cell>
        </row>
        <row r="271">
          <cell r="A271">
            <v>279</v>
          </cell>
          <cell r="B271" t="str">
            <v/>
          </cell>
          <cell r="C271" t="str">
            <v>BROKER'S GIN 1ltr</v>
          </cell>
          <cell r="D271" t="str">
            <v/>
          </cell>
          <cell r="E271" t="str">
            <v/>
          </cell>
          <cell r="F271" t="str">
            <v>Pcs</v>
          </cell>
          <cell r="G271">
            <v>6</v>
          </cell>
          <cell r="H271" t="str">
            <v/>
          </cell>
          <cell r="I271">
            <v>0</v>
          </cell>
          <cell r="J271">
            <v>0</v>
          </cell>
          <cell r="K271">
            <v>6</v>
          </cell>
          <cell r="L271">
            <v>2208</v>
          </cell>
          <cell r="M271">
            <v>13248</v>
          </cell>
        </row>
        <row r="272">
          <cell r="A272">
            <v>281</v>
          </cell>
          <cell r="B272" t="str">
            <v/>
          </cell>
          <cell r="C272" t="str">
            <v>BROKERS GIN 700ml</v>
          </cell>
          <cell r="D272" t="str">
            <v/>
          </cell>
          <cell r="E272" t="str">
            <v/>
          </cell>
          <cell r="F272" t="str">
            <v>Pcs</v>
          </cell>
          <cell r="G272">
            <v>6</v>
          </cell>
          <cell r="H272" t="str">
            <v/>
          </cell>
          <cell r="I272">
            <v>0</v>
          </cell>
          <cell r="J272">
            <v>0</v>
          </cell>
          <cell r="K272">
            <v>6</v>
          </cell>
          <cell r="L272">
            <v>2024</v>
          </cell>
          <cell r="M272">
            <v>12144</v>
          </cell>
        </row>
        <row r="273">
          <cell r="A273">
            <v>280</v>
          </cell>
          <cell r="B273" t="str">
            <v/>
          </cell>
          <cell r="C273" t="str">
            <v>BROKER'S PINK GIN 750ML</v>
          </cell>
          <cell r="D273" t="str">
            <v/>
          </cell>
          <cell r="E273" t="str">
            <v/>
          </cell>
          <cell r="F273" t="str">
            <v>Pcs</v>
          </cell>
          <cell r="G273">
            <v>18</v>
          </cell>
          <cell r="H273" t="str">
            <v/>
          </cell>
          <cell r="I273">
            <v>0</v>
          </cell>
          <cell r="J273">
            <v>0</v>
          </cell>
          <cell r="K273">
            <v>18</v>
          </cell>
          <cell r="L273">
            <v>2024</v>
          </cell>
          <cell r="M273">
            <v>36432</v>
          </cell>
        </row>
        <row r="274">
          <cell r="A274">
            <v>282</v>
          </cell>
          <cell r="B274" t="str">
            <v/>
          </cell>
          <cell r="C274" t="str">
            <v>BROOKLYN GIN 750ML</v>
          </cell>
          <cell r="D274" t="str">
            <v/>
          </cell>
          <cell r="E274" t="str">
            <v/>
          </cell>
          <cell r="F274" t="str">
            <v>Pcs</v>
          </cell>
          <cell r="G274">
            <v>0</v>
          </cell>
          <cell r="H274" t="str">
            <v/>
          </cell>
          <cell r="I274">
            <v>0</v>
          </cell>
          <cell r="J274">
            <v>0</v>
          </cell>
          <cell r="K274">
            <v>0</v>
          </cell>
          <cell r="L274">
            <v>4784</v>
          </cell>
          <cell r="M274">
            <v>0</v>
          </cell>
        </row>
        <row r="275">
          <cell r="A275">
            <v>2713</v>
          </cell>
          <cell r="B275" t="str">
            <v/>
          </cell>
          <cell r="C275" t="str">
            <v>CARIBIA GIN 250ML</v>
          </cell>
          <cell r="D275" t="str">
            <v/>
          </cell>
          <cell r="E275" t="str">
            <v/>
          </cell>
          <cell r="F275" t="str">
            <v>Pcs</v>
          </cell>
          <cell r="G275">
            <v>276</v>
          </cell>
          <cell r="H275" t="str">
            <v/>
          </cell>
          <cell r="I275">
            <v>0</v>
          </cell>
          <cell r="J275">
            <v>156</v>
          </cell>
          <cell r="K275">
            <v>120</v>
          </cell>
          <cell r="L275">
            <v>236.64</v>
          </cell>
          <cell r="M275">
            <v>28396.8</v>
          </cell>
        </row>
        <row r="276">
          <cell r="A276">
            <v>388</v>
          </cell>
          <cell r="B276" t="str">
            <v/>
          </cell>
          <cell r="C276" t="str">
            <v>CARIBIA GIN 375ML</v>
          </cell>
          <cell r="D276" t="str">
            <v/>
          </cell>
          <cell r="E276" t="str">
            <v/>
          </cell>
          <cell r="F276" t="str">
            <v>Pcs</v>
          </cell>
          <cell r="G276">
            <v>288</v>
          </cell>
          <cell r="H276" t="str">
            <v/>
          </cell>
          <cell r="I276">
            <v>0</v>
          </cell>
          <cell r="J276">
            <v>132</v>
          </cell>
          <cell r="K276">
            <v>156</v>
          </cell>
          <cell r="L276">
            <v>347.07</v>
          </cell>
          <cell r="M276">
            <v>54142.92</v>
          </cell>
        </row>
        <row r="277">
          <cell r="A277">
            <v>2714</v>
          </cell>
          <cell r="B277" t="str">
            <v/>
          </cell>
          <cell r="C277" t="str">
            <v>CARIBIA GIN 750ML</v>
          </cell>
          <cell r="D277" t="str">
            <v/>
          </cell>
          <cell r="E277" t="str">
            <v/>
          </cell>
          <cell r="F277" t="str">
            <v>Pcs</v>
          </cell>
          <cell r="G277">
            <v>134</v>
          </cell>
          <cell r="H277" t="str">
            <v/>
          </cell>
          <cell r="I277">
            <v>180</v>
          </cell>
          <cell r="J277">
            <v>108</v>
          </cell>
          <cell r="K277">
            <v>206</v>
          </cell>
          <cell r="L277">
            <v>695.9</v>
          </cell>
          <cell r="M277">
            <v>143355.4</v>
          </cell>
        </row>
        <row r="278">
          <cell r="A278">
            <v>2419</v>
          </cell>
          <cell r="B278" t="str">
            <v/>
          </cell>
          <cell r="C278" t="str">
            <v>CHROME GIN 250ML</v>
          </cell>
          <cell r="D278" t="str">
            <v/>
          </cell>
          <cell r="E278" t="str">
            <v/>
          </cell>
          <cell r="F278" t="str">
            <v>Pcs</v>
          </cell>
          <cell r="G278">
            <v>800</v>
          </cell>
          <cell r="H278" t="str">
            <v/>
          </cell>
          <cell r="I278">
            <v>600</v>
          </cell>
          <cell r="J278">
            <v>680</v>
          </cell>
          <cell r="K278">
            <v>720</v>
          </cell>
          <cell r="L278">
            <v>205.5</v>
          </cell>
          <cell r="M278">
            <v>147960</v>
          </cell>
        </row>
        <row r="279">
          <cell r="A279">
            <v>471</v>
          </cell>
          <cell r="B279" t="str">
            <v/>
          </cell>
          <cell r="C279" t="str">
            <v>CHROME GIN 750ML</v>
          </cell>
          <cell r="D279" t="str">
            <v/>
          </cell>
          <cell r="E279" t="str">
            <v/>
          </cell>
          <cell r="F279" t="str">
            <v>Pcs</v>
          </cell>
          <cell r="G279">
            <v>36</v>
          </cell>
          <cell r="H279" t="str">
            <v/>
          </cell>
          <cell r="I279">
            <v>180</v>
          </cell>
          <cell r="J279">
            <v>72</v>
          </cell>
          <cell r="K279">
            <v>144</v>
          </cell>
          <cell r="L279">
            <v>558.1</v>
          </cell>
          <cell r="M279">
            <v>80366.4</v>
          </cell>
        </row>
        <row r="280">
          <cell r="A280">
            <v>2404</v>
          </cell>
          <cell r="B280" t="str">
            <v/>
          </cell>
          <cell r="C280" t="str">
            <v>CRUXLAND TUFFLE GIN 750ML</v>
          </cell>
          <cell r="D280" t="str">
            <v/>
          </cell>
          <cell r="E280" t="str">
            <v/>
          </cell>
          <cell r="F280" t="str">
            <v>Pcs</v>
          </cell>
          <cell r="G280">
            <v>0</v>
          </cell>
          <cell r="H280" t="str">
            <v/>
          </cell>
          <cell r="I280">
            <v>0</v>
          </cell>
          <cell r="J280">
            <v>0</v>
          </cell>
          <cell r="K280">
            <v>0</v>
          </cell>
          <cell r="L280">
            <v>2600</v>
          </cell>
          <cell r="M280">
            <v>0</v>
          </cell>
        </row>
        <row r="281">
          <cell r="A281">
            <v>2840</v>
          </cell>
          <cell r="B281" t="str">
            <v/>
          </cell>
          <cell r="C281" t="str">
            <v>DRUMSHANBO GUN POWDER ORANGE CITRUS 700ML</v>
          </cell>
          <cell r="D281" t="str">
            <v/>
          </cell>
          <cell r="E281" t="str">
            <v/>
          </cell>
          <cell r="F281" t="str">
            <v>Pcs</v>
          </cell>
          <cell r="G281">
            <v>0</v>
          </cell>
          <cell r="H281" t="str">
            <v/>
          </cell>
          <cell r="I281">
            <v>0</v>
          </cell>
          <cell r="J281">
            <v>0</v>
          </cell>
          <cell r="K281">
            <v>0</v>
          </cell>
          <cell r="L281">
            <v>3500</v>
          </cell>
          <cell r="M281">
            <v>0</v>
          </cell>
        </row>
        <row r="282">
          <cell r="A282">
            <v>2841</v>
          </cell>
          <cell r="B282" t="str">
            <v/>
          </cell>
          <cell r="C282" t="str">
            <v>DRUMSHANBO GUN POWDER ORIENTAL BOTANICAL 700ML</v>
          </cell>
          <cell r="D282" t="str">
            <v/>
          </cell>
          <cell r="E282" t="str">
            <v/>
          </cell>
          <cell r="F282" t="str">
            <v>Pcs</v>
          </cell>
          <cell r="G282">
            <v>12</v>
          </cell>
          <cell r="H282" t="str">
            <v/>
          </cell>
          <cell r="I282">
            <v>0</v>
          </cell>
          <cell r="J282">
            <v>0</v>
          </cell>
          <cell r="K282">
            <v>12</v>
          </cell>
          <cell r="L282">
            <v>3500</v>
          </cell>
          <cell r="M282">
            <v>42000</v>
          </cell>
        </row>
        <row r="283">
          <cell r="A283">
            <v>2839</v>
          </cell>
          <cell r="B283" t="str">
            <v/>
          </cell>
          <cell r="C283" t="str">
            <v>DRUMSHANBO GUN POWDER SARDINIAN CITRUS 700ML</v>
          </cell>
          <cell r="D283" t="str">
            <v/>
          </cell>
          <cell r="E283" t="str">
            <v/>
          </cell>
          <cell r="F283" t="str">
            <v>Pcs</v>
          </cell>
          <cell r="G283">
            <v>0</v>
          </cell>
          <cell r="H283" t="str">
            <v/>
          </cell>
          <cell r="I283">
            <v>0</v>
          </cell>
          <cell r="J283">
            <v>0</v>
          </cell>
          <cell r="K283">
            <v>0</v>
          </cell>
          <cell r="L283">
            <v>3500</v>
          </cell>
          <cell r="M283">
            <v>0</v>
          </cell>
        </row>
        <row r="284">
          <cell r="A284">
            <v>2957</v>
          </cell>
          <cell r="B284" t="str">
            <v/>
          </cell>
          <cell r="C284" t="str">
            <v>FIRE STARTER GIN 700ML</v>
          </cell>
          <cell r="D284" t="str">
            <v/>
          </cell>
          <cell r="E284" t="str">
            <v/>
          </cell>
          <cell r="F284" t="str">
            <v>Pcs</v>
          </cell>
          <cell r="G284">
            <v>0</v>
          </cell>
          <cell r="H284" t="str">
            <v/>
          </cell>
          <cell r="I284">
            <v>0</v>
          </cell>
          <cell r="J284">
            <v>0</v>
          </cell>
          <cell r="K284">
            <v>0</v>
          </cell>
          <cell r="L284">
            <v>1650</v>
          </cell>
          <cell r="M284">
            <v>0</v>
          </cell>
        </row>
        <row r="285">
          <cell r="A285">
            <v>760</v>
          </cell>
          <cell r="B285" t="str">
            <v/>
          </cell>
          <cell r="C285" t="str">
            <v>FOUR PILLARS BLOODY GIN 700ML</v>
          </cell>
          <cell r="D285" t="str">
            <v/>
          </cell>
          <cell r="E285" t="str">
            <v/>
          </cell>
          <cell r="F285" t="str">
            <v>Pcs</v>
          </cell>
          <cell r="G285">
            <v>12</v>
          </cell>
          <cell r="H285" t="str">
            <v/>
          </cell>
          <cell r="I285">
            <v>0</v>
          </cell>
          <cell r="J285">
            <v>3</v>
          </cell>
          <cell r="K285">
            <v>9</v>
          </cell>
          <cell r="L285">
            <v>4140</v>
          </cell>
          <cell r="M285">
            <v>37260</v>
          </cell>
        </row>
        <row r="286">
          <cell r="A286">
            <v>761</v>
          </cell>
          <cell r="B286" t="str">
            <v/>
          </cell>
          <cell r="C286" t="str">
            <v>FOUR PILLARS NAVY STRENGTH GIN 700ML</v>
          </cell>
          <cell r="D286" t="str">
            <v/>
          </cell>
          <cell r="E286" t="str">
            <v/>
          </cell>
          <cell r="F286" t="str">
            <v>Pcs</v>
          </cell>
          <cell r="G286">
            <v>0</v>
          </cell>
          <cell r="H286" t="str">
            <v/>
          </cell>
          <cell r="I286">
            <v>0</v>
          </cell>
          <cell r="J286">
            <v>0</v>
          </cell>
          <cell r="K286">
            <v>0</v>
          </cell>
          <cell r="L286">
            <v>4462</v>
          </cell>
          <cell r="M286">
            <v>0</v>
          </cell>
        </row>
        <row r="287">
          <cell r="A287">
            <v>762</v>
          </cell>
          <cell r="B287" t="str">
            <v/>
          </cell>
          <cell r="C287" t="str">
            <v>FOUR PILLARS OLIVE LEAF GIN 700ML</v>
          </cell>
          <cell r="D287" t="str">
            <v/>
          </cell>
          <cell r="E287" t="str">
            <v/>
          </cell>
          <cell r="F287" t="str">
            <v>Pcs</v>
          </cell>
          <cell r="G287">
            <v>12</v>
          </cell>
          <cell r="H287" t="str">
            <v/>
          </cell>
          <cell r="I287">
            <v>0</v>
          </cell>
          <cell r="J287">
            <v>3</v>
          </cell>
          <cell r="K287">
            <v>9</v>
          </cell>
          <cell r="L287">
            <v>4140</v>
          </cell>
          <cell r="M287">
            <v>37260</v>
          </cell>
        </row>
        <row r="288">
          <cell r="A288">
            <v>763</v>
          </cell>
          <cell r="B288" t="str">
            <v/>
          </cell>
          <cell r="C288" t="str">
            <v>FOUR PILLARS RARE DRY GIN 700ML</v>
          </cell>
          <cell r="D288" t="str">
            <v/>
          </cell>
          <cell r="E288" t="str">
            <v/>
          </cell>
          <cell r="F288" t="str">
            <v>Pcs</v>
          </cell>
          <cell r="G288">
            <v>24</v>
          </cell>
          <cell r="H288" t="str">
            <v/>
          </cell>
          <cell r="I288">
            <v>0</v>
          </cell>
          <cell r="J288">
            <v>3</v>
          </cell>
          <cell r="K288">
            <v>21</v>
          </cell>
          <cell r="L288">
            <v>3496</v>
          </cell>
          <cell r="M288">
            <v>73416</v>
          </cell>
        </row>
        <row r="289">
          <cell r="A289">
            <v>764</v>
          </cell>
          <cell r="B289" t="str">
            <v/>
          </cell>
          <cell r="C289" t="str">
            <v>FOUR PILLARS SPICED NEGRONI GIN 700ML</v>
          </cell>
          <cell r="D289" t="str">
            <v/>
          </cell>
          <cell r="E289" t="str">
            <v/>
          </cell>
          <cell r="F289" t="str">
            <v>Pcs</v>
          </cell>
          <cell r="G289">
            <v>11</v>
          </cell>
          <cell r="H289" t="str">
            <v/>
          </cell>
          <cell r="I289">
            <v>0</v>
          </cell>
          <cell r="J289">
            <v>2</v>
          </cell>
          <cell r="K289">
            <v>9</v>
          </cell>
          <cell r="L289">
            <v>4140</v>
          </cell>
          <cell r="M289">
            <v>37260</v>
          </cell>
        </row>
        <row r="290">
          <cell r="A290">
            <v>819</v>
          </cell>
          <cell r="B290" t="str">
            <v/>
          </cell>
          <cell r="C290" t="str">
            <v>GIBSON ORANGE 700ml</v>
          </cell>
          <cell r="D290" t="str">
            <v/>
          </cell>
          <cell r="E290" t="str">
            <v/>
          </cell>
          <cell r="F290" t="str">
            <v>Pcs</v>
          </cell>
          <cell r="G290">
            <v>30</v>
          </cell>
          <cell r="H290" t="str">
            <v/>
          </cell>
          <cell r="I290">
            <v>0</v>
          </cell>
          <cell r="J290">
            <v>0</v>
          </cell>
          <cell r="K290">
            <v>30</v>
          </cell>
          <cell r="L290">
            <v>1320</v>
          </cell>
          <cell r="M290">
            <v>39600</v>
          </cell>
        </row>
        <row r="291">
          <cell r="A291">
            <v>821</v>
          </cell>
          <cell r="B291" t="str">
            <v/>
          </cell>
          <cell r="C291" t="str">
            <v>GIBSON'S GIN 700ML</v>
          </cell>
          <cell r="D291" t="str">
            <v/>
          </cell>
          <cell r="E291" t="str">
            <v/>
          </cell>
          <cell r="F291" t="str">
            <v>Pcs</v>
          </cell>
          <cell r="G291">
            <v>20</v>
          </cell>
          <cell r="H291" t="str">
            <v/>
          </cell>
          <cell r="I291">
            <v>0</v>
          </cell>
          <cell r="J291">
            <v>6</v>
          </cell>
          <cell r="K291">
            <v>14</v>
          </cell>
          <cell r="L291">
            <v>1245</v>
          </cell>
          <cell r="M291">
            <v>17430</v>
          </cell>
        </row>
        <row r="292">
          <cell r="A292">
            <v>822</v>
          </cell>
          <cell r="B292" t="str">
            <v/>
          </cell>
          <cell r="C292" t="str">
            <v>GIBSON'S PINK 700ML</v>
          </cell>
          <cell r="D292" t="str">
            <v/>
          </cell>
          <cell r="E292" t="str">
            <v/>
          </cell>
          <cell r="F292" t="str">
            <v>Pcs</v>
          </cell>
          <cell r="G292">
            <v>42</v>
          </cell>
          <cell r="H292" t="str">
            <v/>
          </cell>
          <cell r="I292">
            <v>0</v>
          </cell>
          <cell r="J292">
            <v>6</v>
          </cell>
          <cell r="K292">
            <v>36</v>
          </cell>
          <cell r="L292">
            <v>1320</v>
          </cell>
          <cell r="M292">
            <v>47520</v>
          </cell>
        </row>
        <row r="293">
          <cell r="A293">
            <v>2867</v>
          </cell>
          <cell r="B293" t="str">
            <v/>
          </cell>
          <cell r="C293" t="str">
            <v>GILBEYS BERRY BRAMBLE COCKTAIL 750ML</v>
          </cell>
          <cell r="D293" t="str">
            <v/>
          </cell>
          <cell r="E293" t="str">
            <v/>
          </cell>
          <cell r="F293" t="str">
            <v>Pcs</v>
          </cell>
          <cell r="G293">
            <v>0</v>
          </cell>
          <cell r="H293" t="str">
            <v/>
          </cell>
          <cell r="I293">
            <v>120</v>
          </cell>
          <cell r="J293">
            <v>84</v>
          </cell>
          <cell r="K293">
            <v>36</v>
          </cell>
          <cell r="L293">
            <v>764.42</v>
          </cell>
          <cell r="M293">
            <v>27519.12</v>
          </cell>
        </row>
        <row r="294">
          <cell r="A294">
            <v>2326</v>
          </cell>
          <cell r="B294" t="str">
            <v/>
          </cell>
          <cell r="C294" t="str">
            <v>GILBEYS GIN 250ML</v>
          </cell>
          <cell r="D294" t="str">
            <v/>
          </cell>
          <cell r="E294" t="str">
            <v/>
          </cell>
          <cell r="F294" t="str">
            <v>Pcs</v>
          </cell>
          <cell r="G294">
            <v>1005</v>
          </cell>
          <cell r="H294" t="str">
            <v/>
          </cell>
          <cell r="I294">
            <v>0</v>
          </cell>
          <cell r="J294">
            <v>120</v>
          </cell>
          <cell r="K294">
            <v>885</v>
          </cell>
          <cell r="L294">
            <v>410.8</v>
          </cell>
          <cell r="M294">
            <v>363558</v>
          </cell>
        </row>
        <row r="295">
          <cell r="A295">
            <v>2422</v>
          </cell>
          <cell r="B295" t="str">
            <v/>
          </cell>
          <cell r="C295" t="str">
            <v>GILBEYS GIN 350ML</v>
          </cell>
          <cell r="D295" t="str">
            <v/>
          </cell>
          <cell r="E295" t="str">
            <v/>
          </cell>
          <cell r="F295" t="str">
            <v>Pcs</v>
          </cell>
          <cell r="G295">
            <v>168</v>
          </cell>
          <cell r="H295" t="str">
            <v/>
          </cell>
          <cell r="I295">
            <v>720</v>
          </cell>
          <cell r="J295">
            <v>469</v>
          </cell>
          <cell r="K295">
            <v>419</v>
          </cell>
          <cell r="L295">
            <v>551</v>
          </cell>
          <cell r="M295">
            <v>230869</v>
          </cell>
        </row>
        <row r="296">
          <cell r="A296">
            <v>2423</v>
          </cell>
          <cell r="B296" t="str">
            <v/>
          </cell>
          <cell r="C296" t="str">
            <v>GILBEYS GIN 750ML</v>
          </cell>
          <cell r="D296" t="str">
            <v/>
          </cell>
          <cell r="E296" t="str">
            <v/>
          </cell>
          <cell r="F296" t="str">
            <v>Pcs</v>
          </cell>
          <cell r="G296">
            <v>757</v>
          </cell>
          <cell r="H296" t="str">
            <v/>
          </cell>
          <cell r="I296">
            <v>0</v>
          </cell>
          <cell r="J296">
            <v>372</v>
          </cell>
          <cell r="K296">
            <v>385</v>
          </cell>
          <cell r="L296">
            <v>1223.98</v>
          </cell>
          <cell r="M296">
            <v>471232.3</v>
          </cell>
        </row>
        <row r="297">
          <cell r="A297">
            <v>828</v>
          </cell>
          <cell r="B297" t="str">
            <v/>
          </cell>
          <cell r="C297" t="str">
            <v>GILBEYS MIXED BERRIES 250ML</v>
          </cell>
          <cell r="D297" t="str">
            <v/>
          </cell>
          <cell r="E297" t="str">
            <v/>
          </cell>
          <cell r="F297" t="str">
            <v>Pcs</v>
          </cell>
          <cell r="G297">
            <v>0</v>
          </cell>
          <cell r="H297" t="str">
            <v/>
          </cell>
          <cell r="I297">
            <v>0</v>
          </cell>
          <cell r="J297">
            <v>0</v>
          </cell>
          <cell r="K297">
            <v>0</v>
          </cell>
          <cell r="L297">
            <v>382.72</v>
          </cell>
          <cell r="M297">
            <v>0</v>
          </cell>
        </row>
        <row r="298">
          <cell r="A298">
            <v>2223</v>
          </cell>
          <cell r="B298" t="str">
            <v/>
          </cell>
          <cell r="C298" t="str">
            <v>GILBEYS PINK 250ML</v>
          </cell>
          <cell r="D298" t="str">
            <v/>
          </cell>
          <cell r="E298" t="str">
            <v/>
          </cell>
          <cell r="F298" t="str">
            <v>Pcs</v>
          </cell>
          <cell r="G298">
            <v>28</v>
          </cell>
          <cell r="H298" t="str">
            <v/>
          </cell>
          <cell r="I298">
            <v>0</v>
          </cell>
          <cell r="J298">
            <v>15</v>
          </cell>
          <cell r="K298">
            <v>13</v>
          </cell>
          <cell r="L298">
            <v>390</v>
          </cell>
          <cell r="M298">
            <v>5070</v>
          </cell>
        </row>
        <row r="299">
          <cell r="A299">
            <v>832</v>
          </cell>
          <cell r="B299" t="str">
            <v/>
          </cell>
          <cell r="C299" t="str">
            <v>GIN MARE 1LTR</v>
          </cell>
          <cell r="D299" t="str">
            <v/>
          </cell>
          <cell r="E299" t="str">
            <v/>
          </cell>
          <cell r="F299" t="str">
            <v>Pcs</v>
          </cell>
          <cell r="G299">
            <v>30</v>
          </cell>
          <cell r="H299" t="str">
            <v/>
          </cell>
          <cell r="I299">
            <v>0</v>
          </cell>
          <cell r="J299">
            <v>0</v>
          </cell>
          <cell r="K299">
            <v>30</v>
          </cell>
          <cell r="L299">
            <v>4600</v>
          </cell>
          <cell r="M299">
            <v>138000</v>
          </cell>
        </row>
        <row r="300">
          <cell r="A300">
            <v>833</v>
          </cell>
          <cell r="B300" t="str">
            <v/>
          </cell>
          <cell r="C300" t="str">
            <v>GIN MARE 700ML</v>
          </cell>
          <cell r="D300" t="str">
            <v/>
          </cell>
          <cell r="E300" t="str">
            <v/>
          </cell>
          <cell r="F300" t="str">
            <v>Pcs</v>
          </cell>
          <cell r="G300">
            <v>0</v>
          </cell>
          <cell r="H300" t="str">
            <v/>
          </cell>
          <cell r="I300">
            <v>0</v>
          </cell>
          <cell r="J300">
            <v>0</v>
          </cell>
          <cell r="K300">
            <v>0</v>
          </cell>
          <cell r="L300">
            <v>3450</v>
          </cell>
          <cell r="M300">
            <v>0</v>
          </cell>
        </row>
        <row r="301">
          <cell r="A301">
            <v>835</v>
          </cell>
          <cell r="B301" t="str">
            <v/>
          </cell>
          <cell r="C301" t="str">
            <v>GLEN'S GIN 1LTR</v>
          </cell>
          <cell r="D301" t="str">
            <v/>
          </cell>
          <cell r="E301" t="str">
            <v/>
          </cell>
          <cell r="F301" t="str">
            <v>Pcs</v>
          </cell>
          <cell r="G301">
            <v>12</v>
          </cell>
          <cell r="H301" t="str">
            <v/>
          </cell>
          <cell r="I301">
            <v>0</v>
          </cell>
          <cell r="J301">
            <v>0</v>
          </cell>
          <cell r="K301">
            <v>12</v>
          </cell>
          <cell r="L301">
            <v>1304.56</v>
          </cell>
          <cell r="M301">
            <v>15654.72</v>
          </cell>
        </row>
        <row r="302">
          <cell r="A302">
            <v>882</v>
          </cell>
          <cell r="B302" t="str">
            <v/>
          </cell>
          <cell r="C302" t="str">
            <v>GORDON PINK 700ML</v>
          </cell>
          <cell r="D302" t="str">
            <v/>
          </cell>
          <cell r="E302" t="str">
            <v/>
          </cell>
          <cell r="F302" t="str">
            <v>Pcs</v>
          </cell>
          <cell r="G302">
            <v>0</v>
          </cell>
          <cell r="H302" t="str">
            <v/>
          </cell>
          <cell r="I302">
            <v>0</v>
          </cell>
          <cell r="J302">
            <v>0</v>
          </cell>
          <cell r="K302">
            <v>0</v>
          </cell>
          <cell r="L302">
            <v>1965</v>
          </cell>
          <cell r="M302">
            <v>0</v>
          </cell>
        </row>
        <row r="303">
          <cell r="A303">
            <v>883</v>
          </cell>
          <cell r="B303" t="str">
            <v/>
          </cell>
          <cell r="C303" t="str">
            <v>GORDON PINK GIN 1LTR</v>
          </cell>
          <cell r="D303" t="str">
            <v/>
          </cell>
          <cell r="E303" t="str">
            <v/>
          </cell>
          <cell r="F303" t="str">
            <v>Pcs</v>
          </cell>
          <cell r="G303">
            <v>0</v>
          </cell>
          <cell r="H303" t="str">
            <v/>
          </cell>
          <cell r="I303">
            <v>0</v>
          </cell>
          <cell r="J303">
            <v>0</v>
          </cell>
          <cell r="K303">
            <v>0</v>
          </cell>
          <cell r="L303">
            <v>2000</v>
          </cell>
          <cell r="M303">
            <v>0</v>
          </cell>
        </row>
        <row r="304">
          <cell r="A304">
            <v>892</v>
          </cell>
          <cell r="B304" t="str">
            <v/>
          </cell>
          <cell r="C304" t="str">
            <v>GORDONS 375ML</v>
          </cell>
          <cell r="D304" t="str">
            <v/>
          </cell>
          <cell r="E304" t="str">
            <v/>
          </cell>
          <cell r="F304" t="str">
            <v>Pcs</v>
          </cell>
          <cell r="G304">
            <v>0</v>
          </cell>
          <cell r="H304" t="str">
            <v/>
          </cell>
          <cell r="I304">
            <v>0</v>
          </cell>
          <cell r="J304">
            <v>0</v>
          </cell>
          <cell r="K304">
            <v>0</v>
          </cell>
          <cell r="L304">
            <v>736</v>
          </cell>
          <cell r="M304">
            <v>0</v>
          </cell>
        </row>
        <row r="305">
          <cell r="A305">
            <v>885</v>
          </cell>
          <cell r="B305" t="str">
            <v/>
          </cell>
          <cell r="C305" t="str">
            <v>GORDON'S GIN 750ML</v>
          </cell>
          <cell r="D305" t="str">
            <v/>
          </cell>
          <cell r="E305" t="str">
            <v/>
          </cell>
          <cell r="F305" t="str">
            <v>Pcs</v>
          </cell>
          <cell r="G305">
            <v>72</v>
          </cell>
          <cell r="H305" t="str">
            <v/>
          </cell>
          <cell r="I305">
            <v>0</v>
          </cell>
          <cell r="J305">
            <v>72</v>
          </cell>
          <cell r="K305">
            <v>0</v>
          </cell>
          <cell r="L305">
            <v>1600</v>
          </cell>
          <cell r="M305">
            <v>0</v>
          </cell>
        </row>
        <row r="306">
          <cell r="A306">
            <v>2192</v>
          </cell>
          <cell r="B306" t="str">
            <v/>
          </cell>
          <cell r="C306" t="str">
            <v>GORDONS LEMON 1LTR</v>
          </cell>
          <cell r="D306" t="str">
            <v/>
          </cell>
          <cell r="E306" t="str">
            <v/>
          </cell>
          <cell r="F306" t="str">
            <v>Pcs</v>
          </cell>
          <cell r="G306">
            <v>0</v>
          </cell>
          <cell r="H306" t="str">
            <v/>
          </cell>
          <cell r="I306">
            <v>0</v>
          </cell>
          <cell r="J306">
            <v>0</v>
          </cell>
          <cell r="K306">
            <v>0</v>
          </cell>
          <cell r="L306">
            <v>2100</v>
          </cell>
          <cell r="M306">
            <v>0</v>
          </cell>
        </row>
        <row r="307">
          <cell r="A307">
            <v>887</v>
          </cell>
          <cell r="B307" t="str">
            <v/>
          </cell>
          <cell r="C307" t="str">
            <v>GORDON'S MEDITERANEAN ORANGE GIN 700ML</v>
          </cell>
          <cell r="D307" t="str">
            <v/>
          </cell>
          <cell r="E307" t="str">
            <v/>
          </cell>
          <cell r="F307" t="str">
            <v>Pcs</v>
          </cell>
          <cell r="G307">
            <v>0</v>
          </cell>
          <cell r="H307" t="str">
            <v/>
          </cell>
          <cell r="I307">
            <v>0</v>
          </cell>
          <cell r="J307">
            <v>0</v>
          </cell>
          <cell r="K307">
            <v>0</v>
          </cell>
          <cell r="L307">
            <v>1748</v>
          </cell>
          <cell r="M307">
            <v>0</v>
          </cell>
        </row>
        <row r="308">
          <cell r="A308">
            <v>888</v>
          </cell>
          <cell r="B308" t="str">
            <v/>
          </cell>
          <cell r="C308" t="str">
            <v>GORDON'S ORIGINAL 1LTR</v>
          </cell>
          <cell r="D308" t="str">
            <v/>
          </cell>
          <cell r="E308" t="str">
            <v/>
          </cell>
          <cell r="F308" t="str">
            <v>Pcs</v>
          </cell>
          <cell r="G308">
            <v>602</v>
          </cell>
          <cell r="H308" t="str">
            <v/>
          </cell>
          <cell r="I308">
            <v>180</v>
          </cell>
          <cell r="J308">
            <v>180</v>
          </cell>
          <cell r="K308">
            <v>602</v>
          </cell>
          <cell r="L308">
            <v>1600</v>
          </cell>
          <cell r="M308">
            <v>963200</v>
          </cell>
        </row>
        <row r="309">
          <cell r="A309">
            <v>891</v>
          </cell>
          <cell r="B309" t="str">
            <v/>
          </cell>
          <cell r="C309" t="str">
            <v>GORDON`S SICILIAN LEMON 700ML</v>
          </cell>
          <cell r="D309" t="str">
            <v/>
          </cell>
          <cell r="E309" t="str">
            <v/>
          </cell>
          <cell r="F309" t="str">
            <v>Pcs</v>
          </cell>
          <cell r="G309">
            <v>0</v>
          </cell>
          <cell r="H309" t="str">
            <v/>
          </cell>
          <cell r="I309">
            <v>0</v>
          </cell>
          <cell r="J309">
            <v>0</v>
          </cell>
          <cell r="K309">
            <v>0</v>
          </cell>
          <cell r="L309">
            <v>1790</v>
          </cell>
          <cell r="M309">
            <v>0</v>
          </cell>
        </row>
        <row r="310">
          <cell r="A310">
            <v>915</v>
          </cell>
          <cell r="B310" t="str">
            <v/>
          </cell>
          <cell r="C310" t="str">
            <v>GREENALL ORIGINAL 1LTR</v>
          </cell>
          <cell r="D310" t="str">
            <v/>
          </cell>
          <cell r="E310" t="str">
            <v/>
          </cell>
          <cell r="F310" t="str">
            <v>Pcs</v>
          </cell>
          <cell r="G310">
            <v>0</v>
          </cell>
          <cell r="H310" t="str">
            <v/>
          </cell>
          <cell r="I310">
            <v>0</v>
          </cell>
          <cell r="J310">
            <v>0</v>
          </cell>
          <cell r="K310">
            <v>0</v>
          </cell>
          <cell r="L310">
            <v>1748</v>
          </cell>
          <cell r="M310">
            <v>0</v>
          </cell>
        </row>
        <row r="311">
          <cell r="A311">
            <v>2198</v>
          </cell>
          <cell r="B311" t="str">
            <v/>
          </cell>
          <cell r="C311" t="str">
            <v>GREENALLS RASPBERRY 700ML</v>
          </cell>
          <cell r="D311" t="str">
            <v/>
          </cell>
          <cell r="E311" t="str">
            <v/>
          </cell>
          <cell r="F311" t="str">
            <v>Pcs</v>
          </cell>
          <cell r="G311">
            <v>0</v>
          </cell>
          <cell r="H311" t="str">
            <v/>
          </cell>
          <cell r="I311">
            <v>0</v>
          </cell>
          <cell r="J311">
            <v>0</v>
          </cell>
          <cell r="K311">
            <v>0</v>
          </cell>
          <cell r="L311">
            <v>1700</v>
          </cell>
          <cell r="M311">
            <v>0</v>
          </cell>
        </row>
        <row r="312">
          <cell r="A312">
            <v>920</v>
          </cell>
          <cell r="B312" t="str">
            <v/>
          </cell>
          <cell r="C312" t="str">
            <v>GREENALLS SLOE GIN 700ML</v>
          </cell>
          <cell r="D312" t="str">
            <v/>
          </cell>
          <cell r="E312" t="str">
            <v/>
          </cell>
          <cell r="F312" t="str">
            <v>Pcs</v>
          </cell>
          <cell r="G312">
            <v>0</v>
          </cell>
          <cell r="H312" t="str">
            <v/>
          </cell>
          <cell r="I312">
            <v>0</v>
          </cell>
          <cell r="J312">
            <v>0</v>
          </cell>
          <cell r="K312">
            <v>0</v>
          </cell>
          <cell r="L312">
            <v>1380</v>
          </cell>
          <cell r="M312">
            <v>0</v>
          </cell>
        </row>
        <row r="313">
          <cell r="A313">
            <v>2197</v>
          </cell>
          <cell r="B313" t="str">
            <v/>
          </cell>
          <cell r="C313" t="str">
            <v>GREENALLS WILDBERRIES ROSEA 1LTR</v>
          </cell>
          <cell r="D313" t="str">
            <v/>
          </cell>
          <cell r="E313" t="str">
            <v/>
          </cell>
          <cell r="F313" t="str">
            <v>Pcs</v>
          </cell>
          <cell r="G313">
            <v>0</v>
          </cell>
          <cell r="H313" t="str">
            <v/>
          </cell>
          <cell r="I313">
            <v>0</v>
          </cell>
          <cell r="J313">
            <v>0</v>
          </cell>
          <cell r="K313">
            <v>0</v>
          </cell>
          <cell r="L313">
            <v>1800</v>
          </cell>
          <cell r="M313">
            <v>0</v>
          </cell>
        </row>
        <row r="314">
          <cell r="A314">
            <v>921</v>
          </cell>
          <cell r="B314" t="str">
            <v/>
          </cell>
          <cell r="C314" t="str">
            <v>GREENALLS WILD BERRY PINK 700ML</v>
          </cell>
          <cell r="D314" t="str">
            <v/>
          </cell>
          <cell r="E314" t="str">
            <v/>
          </cell>
          <cell r="F314" t="str">
            <v>Pcs</v>
          </cell>
          <cell r="G314">
            <v>103</v>
          </cell>
          <cell r="H314" t="str">
            <v/>
          </cell>
          <cell r="I314">
            <v>0</v>
          </cell>
          <cell r="J314">
            <v>0</v>
          </cell>
          <cell r="K314">
            <v>103</v>
          </cell>
          <cell r="L314">
            <v>1380</v>
          </cell>
          <cell r="M314">
            <v>142140</v>
          </cell>
        </row>
        <row r="315">
          <cell r="A315">
            <v>916</v>
          </cell>
          <cell r="B315" t="str">
            <v/>
          </cell>
          <cell r="C315" t="str">
            <v>GREENALL WILDBERRY  1LTR</v>
          </cell>
          <cell r="D315" t="str">
            <v/>
          </cell>
          <cell r="E315" t="str">
            <v/>
          </cell>
          <cell r="F315" t="str">
            <v>Pcs</v>
          </cell>
          <cell r="G315">
            <v>0</v>
          </cell>
          <cell r="H315" t="str">
            <v/>
          </cell>
          <cell r="I315">
            <v>0</v>
          </cell>
          <cell r="J315">
            <v>0</v>
          </cell>
          <cell r="K315">
            <v>0</v>
          </cell>
          <cell r="L315">
            <v>1748</v>
          </cell>
          <cell r="M315">
            <v>0</v>
          </cell>
        </row>
        <row r="316">
          <cell r="A316">
            <v>931</v>
          </cell>
          <cell r="B316" t="str">
            <v/>
          </cell>
          <cell r="C316" t="str">
            <v>GUNPOWDER IRISH GIN 750ML</v>
          </cell>
          <cell r="D316" t="str">
            <v/>
          </cell>
          <cell r="E316" t="str">
            <v/>
          </cell>
          <cell r="F316" t="str">
            <v>Pcs</v>
          </cell>
          <cell r="G316">
            <v>0</v>
          </cell>
          <cell r="H316" t="str">
            <v/>
          </cell>
          <cell r="I316">
            <v>0</v>
          </cell>
          <cell r="J316">
            <v>0</v>
          </cell>
          <cell r="K316">
            <v>0</v>
          </cell>
          <cell r="L316">
            <v>3680</v>
          </cell>
          <cell r="M316">
            <v>0</v>
          </cell>
        </row>
        <row r="317">
          <cell r="A317">
            <v>946</v>
          </cell>
          <cell r="B317" t="str">
            <v/>
          </cell>
          <cell r="C317" t="str">
            <v>HAYMANS GIN 750ML</v>
          </cell>
          <cell r="D317" t="str">
            <v/>
          </cell>
          <cell r="E317" t="str">
            <v/>
          </cell>
          <cell r="F317" t="str">
            <v>Pcs</v>
          </cell>
          <cell r="G317">
            <v>0</v>
          </cell>
          <cell r="H317" t="str">
            <v/>
          </cell>
          <cell r="I317">
            <v>0</v>
          </cell>
          <cell r="J317">
            <v>0</v>
          </cell>
          <cell r="K317">
            <v>0</v>
          </cell>
          <cell r="L317">
            <v>2024</v>
          </cell>
          <cell r="M317">
            <v>0</v>
          </cell>
        </row>
        <row r="318">
          <cell r="A318">
            <v>2817</v>
          </cell>
          <cell r="B318" t="str">
            <v/>
          </cell>
          <cell r="C318" t="str">
            <v>HAYMAN'S LONDON DRY GIN 700ML</v>
          </cell>
          <cell r="D318" t="str">
            <v/>
          </cell>
          <cell r="E318" t="str">
            <v/>
          </cell>
          <cell r="F318" t="str">
            <v>Pcs</v>
          </cell>
          <cell r="G318">
            <v>0</v>
          </cell>
          <cell r="H318" t="str">
            <v/>
          </cell>
          <cell r="I318">
            <v>0</v>
          </cell>
          <cell r="J318">
            <v>0</v>
          </cell>
          <cell r="K318">
            <v>0</v>
          </cell>
          <cell r="L318">
            <v>2210</v>
          </cell>
          <cell r="M318">
            <v>0</v>
          </cell>
        </row>
        <row r="319">
          <cell r="A319">
            <v>2818</v>
          </cell>
          <cell r="B319" t="str">
            <v/>
          </cell>
          <cell r="C319" t="str">
            <v>HAYMAN'S OLD TOM 700ML</v>
          </cell>
          <cell r="D319" t="str">
            <v/>
          </cell>
          <cell r="E319" t="str">
            <v/>
          </cell>
          <cell r="F319" t="str">
            <v>Pcs</v>
          </cell>
          <cell r="G319">
            <v>18</v>
          </cell>
          <cell r="H319" t="str">
            <v/>
          </cell>
          <cell r="I319">
            <v>0</v>
          </cell>
          <cell r="J319">
            <v>0</v>
          </cell>
          <cell r="K319">
            <v>18</v>
          </cell>
          <cell r="L319">
            <v>2275</v>
          </cell>
          <cell r="M319">
            <v>40950</v>
          </cell>
        </row>
        <row r="320">
          <cell r="A320">
            <v>2819</v>
          </cell>
          <cell r="B320" t="str">
            <v/>
          </cell>
          <cell r="C320" t="str">
            <v>HAYMAN'S SLOE GIN 700ML</v>
          </cell>
          <cell r="D320" t="str">
            <v/>
          </cell>
          <cell r="E320" t="str">
            <v/>
          </cell>
          <cell r="F320" t="str">
            <v>Pcs</v>
          </cell>
          <cell r="G320">
            <v>12</v>
          </cell>
          <cell r="H320" t="str">
            <v/>
          </cell>
          <cell r="I320">
            <v>0</v>
          </cell>
          <cell r="J320">
            <v>0</v>
          </cell>
          <cell r="K320">
            <v>12</v>
          </cell>
          <cell r="L320">
            <v>2426</v>
          </cell>
          <cell r="M320">
            <v>29112</v>
          </cell>
        </row>
        <row r="321">
          <cell r="A321">
            <v>955</v>
          </cell>
          <cell r="B321" t="str">
            <v/>
          </cell>
          <cell r="C321" t="str">
            <v>HENDRICKS 350ML</v>
          </cell>
          <cell r="D321" t="str">
            <v/>
          </cell>
          <cell r="E321" t="str">
            <v/>
          </cell>
          <cell r="F321" t="str">
            <v>Pcs</v>
          </cell>
          <cell r="G321">
            <v>22</v>
          </cell>
          <cell r="H321" t="str">
            <v/>
          </cell>
          <cell r="I321">
            <v>0</v>
          </cell>
          <cell r="J321">
            <v>0</v>
          </cell>
          <cell r="K321">
            <v>22</v>
          </cell>
          <cell r="L321">
            <v>1932</v>
          </cell>
          <cell r="M321">
            <v>42504</v>
          </cell>
        </row>
        <row r="322">
          <cell r="A322">
            <v>951</v>
          </cell>
          <cell r="B322" t="str">
            <v/>
          </cell>
          <cell r="C322" t="str">
            <v>HENDRICK'S AMAZONIA GIN 1LTR</v>
          </cell>
          <cell r="D322" t="str">
            <v/>
          </cell>
          <cell r="E322" t="str">
            <v/>
          </cell>
          <cell r="F322" t="str">
            <v>Pcs</v>
          </cell>
          <cell r="G322">
            <v>18</v>
          </cell>
          <cell r="H322" t="str">
            <v/>
          </cell>
          <cell r="I322">
            <v>0</v>
          </cell>
          <cell r="J322">
            <v>0</v>
          </cell>
          <cell r="K322">
            <v>18</v>
          </cell>
          <cell r="L322">
            <v>5520</v>
          </cell>
          <cell r="M322">
            <v>99360</v>
          </cell>
        </row>
        <row r="323">
          <cell r="A323">
            <v>956</v>
          </cell>
          <cell r="B323" t="str">
            <v/>
          </cell>
          <cell r="C323" t="str">
            <v>HENDRICKS GIN 1LTR</v>
          </cell>
          <cell r="D323" t="str">
            <v/>
          </cell>
          <cell r="E323" t="str">
            <v/>
          </cell>
          <cell r="F323" t="str">
            <v>Pcs</v>
          </cell>
          <cell r="G323">
            <v>27</v>
          </cell>
          <cell r="H323" t="str">
            <v/>
          </cell>
          <cell r="I323">
            <v>0</v>
          </cell>
          <cell r="J323">
            <v>3</v>
          </cell>
          <cell r="K323">
            <v>24</v>
          </cell>
          <cell r="L323">
            <v>5300</v>
          </cell>
          <cell r="M323">
            <v>127200</v>
          </cell>
        </row>
        <row r="324">
          <cell r="A324">
            <v>957</v>
          </cell>
          <cell r="B324" t="str">
            <v/>
          </cell>
          <cell r="C324" t="str">
            <v>HENDRICKS GIN 750ML</v>
          </cell>
          <cell r="D324" t="str">
            <v/>
          </cell>
          <cell r="E324" t="str">
            <v/>
          </cell>
          <cell r="F324" t="str">
            <v>Pcs</v>
          </cell>
          <cell r="G324">
            <v>60</v>
          </cell>
          <cell r="H324" t="str">
            <v/>
          </cell>
          <cell r="I324">
            <v>0</v>
          </cell>
          <cell r="J324">
            <v>0</v>
          </cell>
          <cell r="K324">
            <v>60</v>
          </cell>
          <cell r="L324">
            <v>4462</v>
          </cell>
          <cell r="M324">
            <v>267720</v>
          </cell>
        </row>
        <row r="325">
          <cell r="A325">
            <v>954</v>
          </cell>
          <cell r="B325" t="str">
            <v/>
          </cell>
          <cell r="C325" t="str">
            <v>HENDRICKS LUNAR GIN 750ML</v>
          </cell>
          <cell r="D325" t="str">
            <v/>
          </cell>
          <cell r="E325" t="str">
            <v/>
          </cell>
          <cell r="F325" t="str">
            <v>Pcs</v>
          </cell>
          <cell r="G325">
            <v>66</v>
          </cell>
          <cell r="H325" t="str">
            <v/>
          </cell>
          <cell r="I325">
            <v>0</v>
          </cell>
          <cell r="J325">
            <v>0</v>
          </cell>
          <cell r="K325">
            <v>66</v>
          </cell>
          <cell r="L325">
            <v>4160</v>
          </cell>
          <cell r="M325">
            <v>274560</v>
          </cell>
        </row>
        <row r="326">
          <cell r="A326">
            <v>953</v>
          </cell>
          <cell r="B326" t="str">
            <v/>
          </cell>
          <cell r="C326" t="str">
            <v>HENDRICKS ORBIUM GIN 700ML</v>
          </cell>
          <cell r="D326" t="str">
            <v/>
          </cell>
          <cell r="E326" t="str">
            <v/>
          </cell>
          <cell r="F326" t="str">
            <v>Pcs</v>
          </cell>
          <cell r="G326">
            <v>18</v>
          </cell>
          <cell r="H326" t="str">
            <v/>
          </cell>
          <cell r="I326">
            <v>0</v>
          </cell>
          <cell r="J326">
            <v>0</v>
          </cell>
          <cell r="K326">
            <v>18</v>
          </cell>
          <cell r="L326">
            <v>4416</v>
          </cell>
          <cell r="M326">
            <v>79488</v>
          </cell>
        </row>
        <row r="327">
          <cell r="A327">
            <v>2576</v>
          </cell>
          <cell r="B327" t="str">
            <v/>
          </cell>
          <cell r="C327" t="str">
            <v>HENKES GIN 750ML</v>
          </cell>
          <cell r="D327" t="str">
            <v/>
          </cell>
          <cell r="E327" t="str">
            <v/>
          </cell>
          <cell r="F327" t="str">
            <v>Pcs</v>
          </cell>
          <cell r="G327">
            <v>60</v>
          </cell>
          <cell r="H327" t="str">
            <v/>
          </cell>
          <cell r="I327">
            <v>150</v>
          </cell>
          <cell r="J327">
            <v>78</v>
          </cell>
          <cell r="K327">
            <v>132</v>
          </cell>
          <cell r="L327">
            <v>900</v>
          </cell>
          <cell r="M327">
            <v>118800</v>
          </cell>
        </row>
        <row r="328">
          <cell r="A328">
            <v>2298</v>
          </cell>
          <cell r="B328" t="str">
            <v/>
          </cell>
          <cell r="C328" t="str">
            <v>HOWLING OWL BLUE GIN 750ML</v>
          </cell>
          <cell r="D328" t="str">
            <v/>
          </cell>
          <cell r="E328" t="str">
            <v/>
          </cell>
          <cell r="F328" t="str">
            <v>Pcs</v>
          </cell>
          <cell r="G328">
            <v>0</v>
          </cell>
          <cell r="H328" t="str">
            <v/>
          </cell>
          <cell r="I328">
            <v>0</v>
          </cell>
          <cell r="J328">
            <v>0</v>
          </cell>
          <cell r="K328">
            <v>0</v>
          </cell>
          <cell r="L328">
            <v>2870</v>
          </cell>
          <cell r="M328">
            <v>0</v>
          </cell>
        </row>
        <row r="329">
          <cell r="A329">
            <v>1000</v>
          </cell>
          <cell r="B329" t="str">
            <v/>
          </cell>
          <cell r="C329" t="str">
            <v>HUNTING LODGE GIN 750ML</v>
          </cell>
          <cell r="D329" t="str">
            <v/>
          </cell>
          <cell r="E329" t="str">
            <v/>
          </cell>
          <cell r="F329" t="str">
            <v>Pcs</v>
          </cell>
          <cell r="G329">
            <v>0</v>
          </cell>
          <cell r="H329" t="str">
            <v/>
          </cell>
          <cell r="I329">
            <v>0</v>
          </cell>
          <cell r="J329">
            <v>0</v>
          </cell>
          <cell r="K329">
            <v>0</v>
          </cell>
          <cell r="L329">
            <v>690</v>
          </cell>
          <cell r="M329">
            <v>0</v>
          </cell>
        </row>
        <row r="330">
          <cell r="A330">
            <v>1008</v>
          </cell>
          <cell r="B330" t="str">
            <v/>
          </cell>
          <cell r="C330" t="str">
            <v>INVERROCHE CLASSIC 750ML </v>
          </cell>
          <cell r="D330" t="str">
            <v/>
          </cell>
          <cell r="E330" t="str">
            <v/>
          </cell>
          <cell r="F330" t="str">
            <v>Pcs</v>
          </cell>
          <cell r="G330">
            <v>15</v>
          </cell>
          <cell r="H330" t="str">
            <v/>
          </cell>
          <cell r="I330">
            <v>0</v>
          </cell>
          <cell r="J330">
            <v>0</v>
          </cell>
          <cell r="K330">
            <v>15</v>
          </cell>
          <cell r="L330">
            <v>4140</v>
          </cell>
          <cell r="M330">
            <v>62100</v>
          </cell>
        </row>
        <row r="331">
          <cell r="A331">
            <v>1009</v>
          </cell>
          <cell r="B331" t="str">
            <v/>
          </cell>
          <cell r="C331" t="str">
            <v>INVERROCHE GIN AMBER 750ML</v>
          </cell>
          <cell r="D331" t="str">
            <v/>
          </cell>
          <cell r="E331" t="str">
            <v/>
          </cell>
          <cell r="F331" t="str">
            <v>Pcs</v>
          </cell>
          <cell r="G331">
            <v>0</v>
          </cell>
          <cell r="H331" t="str">
            <v/>
          </cell>
          <cell r="I331">
            <v>0</v>
          </cell>
          <cell r="J331">
            <v>0</v>
          </cell>
          <cell r="K331">
            <v>0</v>
          </cell>
          <cell r="L331">
            <v>4140</v>
          </cell>
          <cell r="M331">
            <v>0</v>
          </cell>
        </row>
        <row r="332">
          <cell r="A332">
            <v>1010</v>
          </cell>
          <cell r="B332" t="str">
            <v/>
          </cell>
          <cell r="C332" t="str">
            <v>INVERROCHE GIN VERDANT 750ML</v>
          </cell>
          <cell r="D332" t="str">
            <v/>
          </cell>
          <cell r="E332" t="str">
            <v/>
          </cell>
          <cell r="F332" t="str">
            <v>Pcs</v>
          </cell>
          <cell r="G332">
            <v>18</v>
          </cell>
          <cell r="H332" t="str">
            <v/>
          </cell>
          <cell r="I332">
            <v>0</v>
          </cell>
          <cell r="J332">
            <v>0</v>
          </cell>
          <cell r="K332">
            <v>18</v>
          </cell>
          <cell r="L332">
            <v>4140</v>
          </cell>
          <cell r="M332">
            <v>74520</v>
          </cell>
        </row>
        <row r="333">
          <cell r="A333">
            <v>1087</v>
          </cell>
          <cell r="B333" t="str">
            <v/>
          </cell>
          <cell r="C333" t="str">
            <v>JJ WHITLEY NEIL LONDON DRY GIN 750ML</v>
          </cell>
          <cell r="D333" t="str">
            <v/>
          </cell>
          <cell r="E333" t="str">
            <v/>
          </cell>
          <cell r="F333" t="str">
            <v>Pcs</v>
          </cell>
          <cell r="G333">
            <v>6</v>
          </cell>
          <cell r="H333" t="str">
            <v/>
          </cell>
          <cell r="I333">
            <v>0</v>
          </cell>
          <cell r="J333">
            <v>0</v>
          </cell>
          <cell r="K333">
            <v>6</v>
          </cell>
          <cell r="L333">
            <v>2576</v>
          </cell>
          <cell r="M333">
            <v>15456</v>
          </cell>
        </row>
        <row r="334">
          <cell r="A334">
            <v>1088</v>
          </cell>
          <cell r="B334" t="str">
            <v/>
          </cell>
          <cell r="C334" t="str">
            <v>JJ WHITLEY NEIL PINK CHERRY GIN 750ML</v>
          </cell>
          <cell r="D334" t="str">
            <v/>
          </cell>
          <cell r="E334" t="str">
            <v/>
          </cell>
          <cell r="F334" t="str">
            <v>Pcs</v>
          </cell>
          <cell r="G334">
            <v>12</v>
          </cell>
          <cell r="H334" t="str">
            <v/>
          </cell>
          <cell r="I334">
            <v>0</v>
          </cell>
          <cell r="J334">
            <v>0</v>
          </cell>
          <cell r="K334">
            <v>12</v>
          </cell>
          <cell r="L334">
            <v>2576</v>
          </cell>
          <cell r="M334">
            <v>30912</v>
          </cell>
        </row>
        <row r="335">
          <cell r="A335">
            <v>1176</v>
          </cell>
          <cell r="B335" t="str">
            <v/>
          </cell>
          <cell r="C335" t="str">
            <v>KENSINGTON LONDON DRY GIN 750ML</v>
          </cell>
          <cell r="D335" t="str">
            <v/>
          </cell>
          <cell r="E335" t="str">
            <v/>
          </cell>
          <cell r="F335" t="str">
            <v>Pcs</v>
          </cell>
          <cell r="G335">
            <v>60</v>
          </cell>
          <cell r="H335" t="str">
            <v/>
          </cell>
          <cell r="I335">
            <v>0</v>
          </cell>
          <cell r="J335">
            <v>0</v>
          </cell>
          <cell r="K335">
            <v>60</v>
          </cell>
          <cell r="L335">
            <v>782</v>
          </cell>
          <cell r="M335">
            <v>46920</v>
          </cell>
        </row>
        <row r="336">
          <cell r="A336">
            <v>1200</v>
          </cell>
          <cell r="B336" t="str">
            <v/>
          </cell>
          <cell r="C336" t="str">
            <v>KIBAO GIN 250ML</v>
          </cell>
          <cell r="D336" t="str">
            <v/>
          </cell>
          <cell r="E336" t="str">
            <v/>
          </cell>
          <cell r="F336" t="str">
            <v>Pcs</v>
          </cell>
          <cell r="G336">
            <v>264</v>
          </cell>
          <cell r="H336" t="str">
            <v/>
          </cell>
          <cell r="I336">
            <v>0</v>
          </cell>
          <cell r="J336">
            <v>0</v>
          </cell>
          <cell r="K336">
            <v>264</v>
          </cell>
          <cell r="L336">
            <v>220.67</v>
          </cell>
          <cell r="M336">
            <v>58256.88</v>
          </cell>
        </row>
        <row r="337">
          <cell r="A337">
            <v>1201</v>
          </cell>
          <cell r="B337" t="str">
            <v/>
          </cell>
          <cell r="C337" t="str">
            <v>KIBAO GIN 350ML</v>
          </cell>
          <cell r="D337" t="str">
            <v/>
          </cell>
          <cell r="E337" t="str">
            <v/>
          </cell>
          <cell r="F337" t="str">
            <v>Pcs</v>
          </cell>
          <cell r="G337">
            <v>408</v>
          </cell>
          <cell r="H337" t="str">
            <v/>
          </cell>
          <cell r="I337">
            <v>0</v>
          </cell>
          <cell r="J337">
            <v>12</v>
          </cell>
          <cell r="K337">
            <v>396</v>
          </cell>
          <cell r="L337">
            <v>332.33</v>
          </cell>
          <cell r="M337">
            <v>131602.68</v>
          </cell>
        </row>
        <row r="338">
          <cell r="A338">
            <v>1202</v>
          </cell>
          <cell r="B338" t="str">
            <v/>
          </cell>
          <cell r="C338" t="str">
            <v>KIBAO GIN 750ML</v>
          </cell>
          <cell r="D338" t="str">
            <v/>
          </cell>
          <cell r="E338" t="str">
            <v/>
          </cell>
          <cell r="F338" t="str">
            <v>Pcs</v>
          </cell>
          <cell r="G338">
            <v>288</v>
          </cell>
          <cell r="H338" t="str">
            <v/>
          </cell>
          <cell r="I338">
            <v>0</v>
          </cell>
          <cell r="J338">
            <v>0</v>
          </cell>
          <cell r="K338">
            <v>288</v>
          </cell>
          <cell r="L338">
            <v>616.8</v>
          </cell>
          <cell r="M338">
            <v>177638.4</v>
          </cell>
        </row>
        <row r="339">
          <cell r="A339">
            <v>1205</v>
          </cell>
          <cell r="B339" t="str">
            <v/>
          </cell>
          <cell r="C339" t="str">
            <v>KING ROBERT GIN 1LTR</v>
          </cell>
          <cell r="D339" t="str">
            <v/>
          </cell>
          <cell r="E339" t="str">
            <v/>
          </cell>
          <cell r="F339" t="str">
            <v>Pcs</v>
          </cell>
          <cell r="G339">
            <v>0</v>
          </cell>
          <cell r="H339" t="str">
            <v/>
          </cell>
          <cell r="I339">
            <v>0</v>
          </cell>
          <cell r="J339">
            <v>0</v>
          </cell>
          <cell r="K339">
            <v>0</v>
          </cell>
          <cell r="L339">
            <v>1104</v>
          </cell>
          <cell r="M339">
            <v>0</v>
          </cell>
        </row>
        <row r="340">
          <cell r="A340">
            <v>2225</v>
          </cell>
          <cell r="B340" t="str">
            <v/>
          </cell>
          <cell r="C340" t="str">
            <v>KINGSTONE GIN 1LTR</v>
          </cell>
          <cell r="D340" t="str">
            <v/>
          </cell>
          <cell r="E340" t="str">
            <v/>
          </cell>
          <cell r="F340" t="str">
            <v>Pcs</v>
          </cell>
          <cell r="G340">
            <v>0</v>
          </cell>
          <cell r="H340" t="str">
            <v/>
          </cell>
          <cell r="I340">
            <v>0</v>
          </cell>
          <cell r="J340">
            <v>0</v>
          </cell>
          <cell r="K340">
            <v>0</v>
          </cell>
          <cell r="L340">
            <v>700</v>
          </cell>
          <cell r="M340">
            <v>0</v>
          </cell>
        </row>
        <row r="341">
          <cell r="A341">
            <v>1219</v>
          </cell>
          <cell r="B341" t="str">
            <v/>
          </cell>
          <cell r="C341" t="str">
            <v>KO CLASSIC GIN 750ML </v>
          </cell>
          <cell r="D341" t="str">
            <v/>
          </cell>
          <cell r="E341" t="str">
            <v/>
          </cell>
          <cell r="F341" t="str">
            <v>Pcs</v>
          </cell>
          <cell r="G341">
            <v>0</v>
          </cell>
          <cell r="H341" t="str">
            <v/>
          </cell>
          <cell r="I341">
            <v>0</v>
          </cell>
          <cell r="J341">
            <v>0</v>
          </cell>
          <cell r="K341">
            <v>0</v>
          </cell>
          <cell r="L341">
            <v>1748</v>
          </cell>
          <cell r="M341">
            <v>0</v>
          </cell>
        </row>
        <row r="342">
          <cell r="A342">
            <v>2835</v>
          </cell>
          <cell r="B342" t="str">
            <v/>
          </cell>
          <cell r="C342" t="str">
            <v>KO LEMON CELLO 10% GIN COCKTAIL 330ML CAN</v>
          </cell>
          <cell r="D342" t="str">
            <v/>
          </cell>
          <cell r="E342" t="str">
            <v/>
          </cell>
          <cell r="F342" t="str">
            <v>Pcs</v>
          </cell>
          <cell r="G342">
            <v>120</v>
          </cell>
          <cell r="H342" t="str">
            <v/>
          </cell>
          <cell r="I342">
            <v>0</v>
          </cell>
          <cell r="J342">
            <v>24</v>
          </cell>
          <cell r="K342">
            <v>96</v>
          </cell>
          <cell r="L342">
            <v>263.32</v>
          </cell>
          <cell r="M342">
            <v>25278.72</v>
          </cell>
        </row>
        <row r="343">
          <cell r="A343">
            <v>1226</v>
          </cell>
          <cell r="B343" t="str">
            <v/>
          </cell>
          <cell r="C343" t="str">
            <v>KO TAMBUZI GIN 750ML</v>
          </cell>
          <cell r="D343" t="str">
            <v/>
          </cell>
          <cell r="E343" t="str">
            <v/>
          </cell>
          <cell r="F343" t="str">
            <v>Pcs</v>
          </cell>
          <cell r="G343">
            <v>11</v>
          </cell>
          <cell r="H343" t="str">
            <v/>
          </cell>
          <cell r="I343">
            <v>0</v>
          </cell>
          <cell r="J343">
            <v>0</v>
          </cell>
          <cell r="K343">
            <v>11</v>
          </cell>
          <cell r="L343">
            <v>1748</v>
          </cell>
          <cell r="M343">
            <v>19228</v>
          </cell>
        </row>
        <row r="344">
          <cell r="A344">
            <v>1299</v>
          </cell>
          <cell r="B344" t="str">
            <v/>
          </cell>
          <cell r="C344" t="str">
            <v>LONDON HILL DRY GIN 1LTR</v>
          </cell>
          <cell r="D344" t="str">
            <v/>
          </cell>
          <cell r="E344" t="str">
            <v/>
          </cell>
          <cell r="F344" t="str">
            <v>Pcs</v>
          </cell>
          <cell r="G344">
            <v>66</v>
          </cell>
          <cell r="H344" t="str">
            <v/>
          </cell>
          <cell r="I344">
            <v>0</v>
          </cell>
          <cell r="J344">
            <v>0</v>
          </cell>
          <cell r="K344">
            <v>66</v>
          </cell>
          <cell r="L344">
            <v>3312</v>
          </cell>
          <cell r="M344">
            <v>218592</v>
          </cell>
        </row>
        <row r="345">
          <cell r="A345">
            <v>1300</v>
          </cell>
          <cell r="B345" t="str">
            <v/>
          </cell>
          <cell r="C345" t="str">
            <v>LORDSON DRY GIN 750ML</v>
          </cell>
          <cell r="D345" t="str">
            <v/>
          </cell>
          <cell r="E345" t="str">
            <v/>
          </cell>
          <cell r="F345" t="str">
            <v>Pcs</v>
          </cell>
          <cell r="G345">
            <v>84</v>
          </cell>
          <cell r="H345" t="str">
            <v/>
          </cell>
          <cell r="I345">
            <v>0</v>
          </cell>
          <cell r="J345">
            <v>0</v>
          </cell>
          <cell r="K345">
            <v>84</v>
          </cell>
          <cell r="L345">
            <v>2200</v>
          </cell>
          <cell r="M345">
            <v>184800</v>
          </cell>
        </row>
        <row r="346">
          <cell r="A346">
            <v>1349</v>
          </cell>
          <cell r="B346" t="str">
            <v/>
          </cell>
          <cell r="C346" t="str">
            <v>MAD CHIMP 1LTR</v>
          </cell>
          <cell r="D346" t="str">
            <v/>
          </cell>
          <cell r="E346" t="str">
            <v/>
          </cell>
          <cell r="F346" t="str">
            <v>Pcs</v>
          </cell>
          <cell r="G346">
            <v>0</v>
          </cell>
          <cell r="H346" t="str">
            <v/>
          </cell>
          <cell r="I346">
            <v>0</v>
          </cell>
          <cell r="J346">
            <v>0</v>
          </cell>
          <cell r="K346">
            <v>0</v>
          </cell>
          <cell r="L346">
            <v>1300</v>
          </cell>
          <cell r="M346">
            <v>0</v>
          </cell>
        </row>
        <row r="347">
          <cell r="A347">
            <v>1370</v>
          </cell>
          <cell r="B347" t="str">
            <v/>
          </cell>
          <cell r="C347" t="str">
            <v>MALFY GIN LEMON 1LTR</v>
          </cell>
          <cell r="D347" t="str">
            <v/>
          </cell>
          <cell r="E347" t="str">
            <v/>
          </cell>
          <cell r="F347" t="str">
            <v>Pcs</v>
          </cell>
          <cell r="G347">
            <v>0</v>
          </cell>
          <cell r="H347" t="str">
            <v/>
          </cell>
          <cell r="I347">
            <v>0</v>
          </cell>
          <cell r="J347">
            <v>0</v>
          </cell>
          <cell r="K347">
            <v>0</v>
          </cell>
          <cell r="L347">
            <v>3000</v>
          </cell>
          <cell r="M347">
            <v>0</v>
          </cell>
        </row>
        <row r="348">
          <cell r="A348">
            <v>1373</v>
          </cell>
          <cell r="B348" t="str">
            <v/>
          </cell>
          <cell r="C348" t="str">
            <v>MALFY GINS BLOOD ORANGE 750ML</v>
          </cell>
          <cell r="D348" t="str">
            <v/>
          </cell>
          <cell r="E348" t="str">
            <v/>
          </cell>
          <cell r="F348" t="str">
            <v>Pcs</v>
          </cell>
          <cell r="G348">
            <v>18</v>
          </cell>
          <cell r="H348" t="str">
            <v/>
          </cell>
          <cell r="I348">
            <v>0</v>
          </cell>
          <cell r="J348">
            <v>0</v>
          </cell>
          <cell r="K348">
            <v>18</v>
          </cell>
          <cell r="L348">
            <v>3588</v>
          </cell>
          <cell r="M348">
            <v>64584</v>
          </cell>
        </row>
        <row r="349">
          <cell r="A349">
            <v>1374</v>
          </cell>
          <cell r="B349" t="str">
            <v/>
          </cell>
          <cell r="C349" t="str">
            <v>MALFY GINS LEMON 750ML</v>
          </cell>
          <cell r="D349" t="str">
            <v/>
          </cell>
          <cell r="E349" t="str">
            <v/>
          </cell>
          <cell r="F349" t="str">
            <v>Pcs</v>
          </cell>
          <cell r="G349">
            <v>0</v>
          </cell>
          <cell r="H349" t="str">
            <v/>
          </cell>
          <cell r="I349">
            <v>0</v>
          </cell>
          <cell r="J349">
            <v>0</v>
          </cell>
          <cell r="K349">
            <v>0</v>
          </cell>
          <cell r="L349">
            <v>2485</v>
          </cell>
          <cell r="M349">
            <v>0</v>
          </cell>
        </row>
        <row r="350">
          <cell r="A350">
            <v>1375</v>
          </cell>
          <cell r="B350" t="str">
            <v/>
          </cell>
          <cell r="C350" t="str">
            <v>MALFY GINS ORIGINAL 750ML</v>
          </cell>
          <cell r="D350" t="str">
            <v/>
          </cell>
          <cell r="E350" t="str">
            <v/>
          </cell>
          <cell r="F350" t="str">
            <v>Pcs</v>
          </cell>
          <cell r="G350">
            <v>12</v>
          </cell>
          <cell r="H350" t="str">
            <v/>
          </cell>
          <cell r="I350">
            <v>0</v>
          </cell>
          <cell r="J350">
            <v>0</v>
          </cell>
          <cell r="K350">
            <v>12</v>
          </cell>
          <cell r="L350">
            <v>2485</v>
          </cell>
          <cell r="M350">
            <v>29820</v>
          </cell>
        </row>
        <row r="351">
          <cell r="A351">
            <v>1376</v>
          </cell>
          <cell r="B351" t="str">
            <v/>
          </cell>
          <cell r="C351" t="str">
            <v>MALFY GINS ROSA 750ML</v>
          </cell>
          <cell r="D351" t="str">
            <v/>
          </cell>
          <cell r="E351" t="str">
            <v/>
          </cell>
          <cell r="F351" t="str">
            <v>Pcs</v>
          </cell>
          <cell r="G351">
            <v>26</v>
          </cell>
          <cell r="H351" t="str">
            <v/>
          </cell>
          <cell r="I351">
            <v>0</v>
          </cell>
          <cell r="J351">
            <v>0</v>
          </cell>
          <cell r="K351">
            <v>26</v>
          </cell>
          <cell r="L351">
            <v>2485</v>
          </cell>
          <cell r="M351">
            <v>64610</v>
          </cell>
        </row>
        <row r="352">
          <cell r="A352">
            <v>1469</v>
          </cell>
          <cell r="B352" t="str">
            <v/>
          </cell>
          <cell r="C352" t="str">
            <v>MONKEY 47 DRY GIN 500ML</v>
          </cell>
          <cell r="D352" t="str">
            <v/>
          </cell>
          <cell r="E352" t="str">
            <v/>
          </cell>
          <cell r="F352" t="str">
            <v>Pcs</v>
          </cell>
          <cell r="G352">
            <v>11</v>
          </cell>
          <cell r="H352" t="str">
            <v/>
          </cell>
          <cell r="I352">
            <v>0</v>
          </cell>
          <cell r="J352">
            <v>0</v>
          </cell>
          <cell r="K352">
            <v>11</v>
          </cell>
          <cell r="L352">
            <v>4416</v>
          </cell>
          <cell r="M352">
            <v>48576</v>
          </cell>
        </row>
        <row r="353">
          <cell r="A353">
            <v>1481</v>
          </cell>
          <cell r="B353" t="str">
            <v/>
          </cell>
          <cell r="C353" t="str">
            <v>MR. BOSTON GIN 1ltr</v>
          </cell>
          <cell r="D353" t="str">
            <v/>
          </cell>
          <cell r="E353" t="str">
            <v/>
          </cell>
          <cell r="F353" t="str">
            <v>Pcs</v>
          </cell>
          <cell r="G353">
            <v>0</v>
          </cell>
          <cell r="H353" t="str">
            <v/>
          </cell>
          <cell r="I353">
            <v>0</v>
          </cell>
          <cell r="J353">
            <v>0</v>
          </cell>
          <cell r="K353">
            <v>0</v>
          </cell>
          <cell r="L353">
            <v>1104</v>
          </cell>
          <cell r="M353">
            <v>0</v>
          </cell>
        </row>
        <row r="354">
          <cell r="A354">
            <v>1482</v>
          </cell>
          <cell r="B354" t="str">
            <v/>
          </cell>
          <cell r="C354" t="str">
            <v>MR. BOSTON GIN 750ml</v>
          </cell>
          <cell r="D354" t="str">
            <v/>
          </cell>
          <cell r="E354" t="str">
            <v/>
          </cell>
          <cell r="F354" t="str">
            <v>Pcs</v>
          </cell>
          <cell r="G354">
            <v>0</v>
          </cell>
          <cell r="H354" t="str">
            <v/>
          </cell>
          <cell r="I354">
            <v>0</v>
          </cell>
          <cell r="J354">
            <v>0</v>
          </cell>
          <cell r="K354">
            <v>0</v>
          </cell>
          <cell r="L354">
            <v>920</v>
          </cell>
          <cell r="M354">
            <v>0</v>
          </cell>
        </row>
        <row r="355">
          <cell r="A355">
            <v>2279</v>
          </cell>
          <cell r="B355" t="str">
            <v/>
          </cell>
          <cell r="C355" t="str">
            <v>MUSGRAVE PINK GIN 750ML</v>
          </cell>
          <cell r="D355" t="str">
            <v/>
          </cell>
          <cell r="E355" t="str">
            <v/>
          </cell>
          <cell r="F355" t="str">
            <v>Pcs</v>
          </cell>
          <cell r="G355">
            <v>0</v>
          </cell>
          <cell r="H355" t="str">
            <v/>
          </cell>
          <cell r="I355">
            <v>0</v>
          </cell>
          <cell r="J355">
            <v>0</v>
          </cell>
          <cell r="K355">
            <v>0</v>
          </cell>
          <cell r="L355">
            <v>5000</v>
          </cell>
          <cell r="M355">
            <v>0</v>
          </cell>
        </row>
        <row r="356">
          <cell r="A356">
            <v>2338</v>
          </cell>
          <cell r="B356" t="str">
            <v/>
          </cell>
          <cell r="C356" t="str">
            <v>OPIHR 1LTR</v>
          </cell>
          <cell r="D356" t="str">
            <v/>
          </cell>
          <cell r="E356" t="str">
            <v/>
          </cell>
          <cell r="F356" t="str">
            <v>Pcs</v>
          </cell>
          <cell r="G356">
            <v>0</v>
          </cell>
          <cell r="H356" t="str">
            <v/>
          </cell>
          <cell r="I356">
            <v>0</v>
          </cell>
          <cell r="J356">
            <v>0</v>
          </cell>
          <cell r="K356">
            <v>0</v>
          </cell>
          <cell r="L356">
            <v>4400</v>
          </cell>
          <cell r="M356">
            <v>0</v>
          </cell>
        </row>
        <row r="357">
          <cell r="A357">
            <v>1565</v>
          </cell>
          <cell r="B357" t="str">
            <v/>
          </cell>
          <cell r="C357" t="str">
            <v>OPIHR ORIENTAL SPICED LONDON GIN 700ML</v>
          </cell>
          <cell r="D357" t="str">
            <v/>
          </cell>
          <cell r="E357" t="str">
            <v/>
          </cell>
          <cell r="F357" t="str">
            <v>Pcs</v>
          </cell>
          <cell r="G357">
            <v>0</v>
          </cell>
          <cell r="H357" t="str">
            <v/>
          </cell>
          <cell r="I357">
            <v>0</v>
          </cell>
          <cell r="J357">
            <v>0</v>
          </cell>
          <cell r="K357">
            <v>0</v>
          </cell>
          <cell r="L357">
            <v>3358</v>
          </cell>
          <cell r="M357">
            <v>0</v>
          </cell>
        </row>
        <row r="358">
          <cell r="A358">
            <v>2549</v>
          </cell>
          <cell r="B358" t="str">
            <v/>
          </cell>
          <cell r="C358" t="str">
            <v>PERIGANS LONDON 700ML</v>
          </cell>
          <cell r="D358" t="str">
            <v/>
          </cell>
          <cell r="E358" t="str">
            <v/>
          </cell>
          <cell r="F358" t="str">
            <v>Pcs</v>
          </cell>
          <cell r="G358">
            <v>0</v>
          </cell>
          <cell r="H358" t="str">
            <v/>
          </cell>
          <cell r="I358">
            <v>0</v>
          </cell>
          <cell r="J358">
            <v>0</v>
          </cell>
          <cell r="K358">
            <v>0</v>
          </cell>
          <cell r="L358">
            <v>1101</v>
          </cell>
          <cell r="M358">
            <v>0</v>
          </cell>
        </row>
        <row r="359">
          <cell r="A359">
            <v>1631</v>
          </cell>
          <cell r="B359" t="str">
            <v/>
          </cell>
          <cell r="C359" t="str">
            <v>PLY MOUTH GIN 1LTR</v>
          </cell>
          <cell r="D359" t="str">
            <v/>
          </cell>
          <cell r="E359" t="str">
            <v/>
          </cell>
          <cell r="F359" t="str">
            <v>Pcs</v>
          </cell>
          <cell r="G359">
            <v>12</v>
          </cell>
          <cell r="H359" t="str">
            <v/>
          </cell>
          <cell r="I359">
            <v>0</v>
          </cell>
          <cell r="J359">
            <v>0</v>
          </cell>
          <cell r="K359">
            <v>12</v>
          </cell>
          <cell r="L359">
            <v>5980</v>
          </cell>
          <cell r="M359">
            <v>71760</v>
          </cell>
        </row>
        <row r="360">
          <cell r="A360">
            <v>2281</v>
          </cell>
          <cell r="B360" t="str">
            <v/>
          </cell>
          <cell r="C360" t="str">
            <v>RIVAGE GIN 1LTR</v>
          </cell>
          <cell r="D360" t="str">
            <v/>
          </cell>
          <cell r="E360" t="str">
            <v/>
          </cell>
          <cell r="F360" t="str">
            <v>Pcs</v>
          </cell>
          <cell r="G360">
            <v>17</v>
          </cell>
          <cell r="H360" t="str">
            <v/>
          </cell>
          <cell r="I360">
            <v>0</v>
          </cell>
          <cell r="J360">
            <v>0</v>
          </cell>
          <cell r="K360">
            <v>17</v>
          </cell>
          <cell r="L360">
            <v>5400</v>
          </cell>
          <cell r="M360">
            <v>91800</v>
          </cell>
        </row>
        <row r="361">
          <cell r="A361">
            <v>1690</v>
          </cell>
          <cell r="B361" t="str">
            <v/>
          </cell>
          <cell r="C361" t="str">
            <v>ROSE D' ARGENT STRAWBERRY GIN 700ML</v>
          </cell>
          <cell r="D361" t="str">
            <v/>
          </cell>
          <cell r="E361" t="str">
            <v/>
          </cell>
          <cell r="F361" t="str">
            <v>Pcs</v>
          </cell>
          <cell r="G361">
            <v>132</v>
          </cell>
          <cell r="H361" t="str">
            <v/>
          </cell>
          <cell r="I361">
            <v>0</v>
          </cell>
          <cell r="J361">
            <v>0</v>
          </cell>
          <cell r="K361">
            <v>132</v>
          </cell>
          <cell r="L361">
            <v>920</v>
          </cell>
          <cell r="M361">
            <v>121440</v>
          </cell>
        </row>
        <row r="362">
          <cell r="A362">
            <v>2284</v>
          </cell>
          <cell r="B362" t="str">
            <v/>
          </cell>
          <cell r="C362" t="str">
            <v>SIPSMITH LONDON DRY GIN 1LTR</v>
          </cell>
          <cell r="D362" t="str">
            <v/>
          </cell>
          <cell r="E362" t="str">
            <v/>
          </cell>
          <cell r="F362" t="str">
            <v>Pcs</v>
          </cell>
          <cell r="G362">
            <v>6</v>
          </cell>
          <cell r="H362" t="str">
            <v/>
          </cell>
          <cell r="I362">
            <v>0</v>
          </cell>
          <cell r="J362">
            <v>0</v>
          </cell>
          <cell r="K362">
            <v>6</v>
          </cell>
          <cell r="L362">
            <v>4800</v>
          </cell>
          <cell r="M362">
            <v>28800</v>
          </cell>
        </row>
        <row r="363">
          <cell r="A363">
            <v>2570</v>
          </cell>
          <cell r="B363" t="str">
            <v/>
          </cell>
          <cell r="C363" t="str">
            <v>SIX  DOGS KAROO 750ML</v>
          </cell>
          <cell r="D363" t="str">
            <v/>
          </cell>
          <cell r="E363" t="str">
            <v/>
          </cell>
          <cell r="F363" t="str">
            <v>Pcs</v>
          </cell>
          <cell r="G363">
            <v>6</v>
          </cell>
          <cell r="H363" t="str">
            <v/>
          </cell>
          <cell r="I363">
            <v>0</v>
          </cell>
          <cell r="J363">
            <v>0</v>
          </cell>
          <cell r="K363">
            <v>6</v>
          </cell>
          <cell r="L363">
            <v>4000</v>
          </cell>
          <cell r="M363">
            <v>24000</v>
          </cell>
        </row>
        <row r="364">
          <cell r="A364">
            <v>1898</v>
          </cell>
          <cell r="B364" t="str">
            <v/>
          </cell>
          <cell r="C364" t="str">
            <v>STRETTON RUBY ORANGE 750ML</v>
          </cell>
          <cell r="D364" t="str">
            <v/>
          </cell>
          <cell r="E364" t="str">
            <v/>
          </cell>
          <cell r="F364" t="str">
            <v>Pcs</v>
          </cell>
          <cell r="G364">
            <v>168</v>
          </cell>
          <cell r="H364" t="str">
            <v/>
          </cell>
          <cell r="I364">
            <v>0</v>
          </cell>
          <cell r="J364">
            <v>0</v>
          </cell>
          <cell r="K364">
            <v>168</v>
          </cell>
          <cell r="L364">
            <v>1472</v>
          </cell>
          <cell r="M364">
            <v>247296</v>
          </cell>
        </row>
        <row r="365">
          <cell r="A365">
            <v>1899</v>
          </cell>
          <cell r="B365" t="str">
            <v/>
          </cell>
          <cell r="C365" t="str">
            <v>STRETTON`S ORIGINAL 750ML</v>
          </cell>
          <cell r="D365" t="str">
            <v/>
          </cell>
          <cell r="E365" t="str">
            <v/>
          </cell>
          <cell r="F365" t="str">
            <v>Pcs</v>
          </cell>
          <cell r="G365">
            <v>0</v>
          </cell>
          <cell r="H365" t="str">
            <v/>
          </cell>
          <cell r="I365">
            <v>0</v>
          </cell>
          <cell r="J365">
            <v>0</v>
          </cell>
          <cell r="K365">
            <v>0</v>
          </cell>
          <cell r="L365">
            <v>1472</v>
          </cell>
          <cell r="M365">
            <v>0</v>
          </cell>
        </row>
        <row r="366">
          <cell r="A366">
            <v>1900</v>
          </cell>
          <cell r="B366" t="str">
            <v/>
          </cell>
          <cell r="C366" t="str">
            <v>STRETTON`S TRIPPLE BERRY 750ML</v>
          </cell>
          <cell r="D366" t="str">
            <v/>
          </cell>
          <cell r="E366" t="str">
            <v/>
          </cell>
          <cell r="F366" t="str">
            <v>Pcs</v>
          </cell>
          <cell r="G366">
            <v>253</v>
          </cell>
          <cell r="H366" t="str">
            <v/>
          </cell>
          <cell r="I366">
            <v>0</v>
          </cell>
          <cell r="J366">
            <v>0</v>
          </cell>
          <cell r="K366">
            <v>253</v>
          </cell>
          <cell r="L366">
            <v>1472</v>
          </cell>
          <cell r="M366">
            <v>372416</v>
          </cell>
        </row>
        <row r="367">
          <cell r="A367">
            <v>1901</v>
          </cell>
          <cell r="B367" t="str">
            <v/>
          </cell>
          <cell r="C367" t="str">
            <v>STRETTON`S WILD BERRIES 750ML</v>
          </cell>
          <cell r="D367" t="str">
            <v/>
          </cell>
          <cell r="E367" t="str">
            <v/>
          </cell>
          <cell r="F367" t="str">
            <v>Pcs</v>
          </cell>
          <cell r="G367">
            <v>156</v>
          </cell>
          <cell r="H367" t="str">
            <v/>
          </cell>
          <cell r="I367">
            <v>119</v>
          </cell>
          <cell r="J367">
            <v>37</v>
          </cell>
          <cell r="K367">
            <v>238</v>
          </cell>
          <cell r="L367">
            <v>1472</v>
          </cell>
          <cell r="M367">
            <v>350336</v>
          </cell>
        </row>
        <row r="368">
          <cell r="A368">
            <v>2963</v>
          </cell>
          <cell r="B368" t="str">
            <v/>
          </cell>
          <cell r="C368" t="str">
            <v>TANQUERAY 0.0 700ML</v>
          </cell>
          <cell r="D368" t="str">
            <v/>
          </cell>
          <cell r="E368" t="str">
            <v/>
          </cell>
          <cell r="F368" t="str">
            <v>Pcs</v>
          </cell>
          <cell r="G368">
            <v>0</v>
          </cell>
          <cell r="H368" t="str">
            <v/>
          </cell>
          <cell r="I368">
            <v>0</v>
          </cell>
          <cell r="J368">
            <v>0</v>
          </cell>
          <cell r="K368">
            <v>0</v>
          </cell>
          <cell r="L368">
            <v>1800</v>
          </cell>
          <cell r="M368">
            <v>0</v>
          </cell>
        </row>
        <row r="369">
          <cell r="A369">
            <v>1933</v>
          </cell>
          <cell r="B369" t="str">
            <v/>
          </cell>
          <cell r="C369" t="str">
            <v>TANQUERAY - IMPORTED 1LT</v>
          </cell>
          <cell r="D369" t="str">
            <v/>
          </cell>
          <cell r="E369" t="str">
            <v/>
          </cell>
          <cell r="F369" t="str">
            <v>Pcs</v>
          </cell>
          <cell r="G369">
            <v>279</v>
          </cell>
          <cell r="H369" t="str">
            <v/>
          </cell>
          <cell r="I369">
            <v>0</v>
          </cell>
          <cell r="J369">
            <v>36</v>
          </cell>
          <cell r="K369">
            <v>243</v>
          </cell>
          <cell r="L369">
            <v>2760</v>
          </cell>
          <cell r="M369">
            <v>670680</v>
          </cell>
        </row>
        <row r="370">
          <cell r="A370">
            <v>1939</v>
          </cell>
          <cell r="B370" t="str">
            <v/>
          </cell>
          <cell r="C370" t="str">
            <v>TANQUERAY MALACCA 1LTR</v>
          </cell>
          <cell r="D370" t="str">
            <v/>
          </cell>
          <cell r="E370" t="str">
            <v/>
          </cell>
          <cell r="F370" t="str">
            <v>Pcs</v>
          </cell>
          <cell r="G370">
            <v>520</v>
          </cell>
          <cell r="H370" t="str">
            <v/>
          </cell>
          <cell r="I370">
            <v>0</v>
          </cell>
          <cell r="J370">
            <v>0</v>
          </cell>
          <cell r="K370">
            <v>520</v>
          </cell>
          <cell r="L370">
            <v>3036</v>
          </cell>
          <cell r="M370">
            <v>1578720</v>
          </cell>
        </row>
        <row r="371">
          <cell r="A371">
            <v>2317</v>
          </cell>
          <cell r="B371" t="str">
            <v/>
          </cell>
          <cell r="C371" t="str">
            <v>TANQUERAY MALACCA 700ML</v>
          </cell>
          <cell r="D371" t="str">
            <v/>
          </cell>
          <cell r="E371" t="str">
            <v/>
          </cell>
          <cell r="F371" t="str">
            <v>Pcs</v>
          </cell>
          <cell r="G371">
            <v>13</v>
          </cell>
          <cell r="H371" t="str">
            <v/>
          </cell>
          <cell r="I371">
            <v>0</v>
          </cell>
          <cell r="J371">
            <v>0</v>
          </cell>
          <cell r="K371">
            <v>13</v>
          </cell>
          <cell r="L371">
            <v>2400</v>
          </cell>
          <cell r="M371">
            <v>31200</v>
          </cell>
        </row>
        <row r="372">
          <cell r="A372">
            <v>1936</v>
          </cell>
          <cell r="B372" t="str">
            <v/>
          </cell>
          <cell r="C372" t="str">
            <v>TANQUERAY  NO. 10 1LTR</v>
          </cell>
          <cell r="D372" t="str">
            <v/>
          </cell>
          <cell r="E372" t="str">
            <v/>
          </cell>
          <cell r="F372" t="str">
            <v>Pcs</v>
          </cell>
          <cell r="G372">
            <v>1013</v>
          </cell>
          <cell r="H372" t="str">
            <v/>
          </cell>
          <cell r="I372">
            <v>0</v>
          </cell>
          <cell r="J372">
            <v>15</v>
          </cell>
          <cell r="K372">
            <v>998</v>
          </cell>
          <cell r="L372">
            <v>4455</v>
          </cell>
          <cell r="M372">
            <v>4446090</v>
          </cell>
        </row>
        <row r="373">
          <cell r="A373">
            <v>1940</v>
          </cell>
          <cell r="B373" t="str">
            <v/>
          </cell>
          <cell r="C373" t="str">
            <v>TANQUERAY RANGPUR GIN 1LTR</v>
          </cell>
          <cell r="D373" t="str">
            <v/>
          </cell>
          <cell r="E373" t="str">
            <v/>
          </cell>
          <cell r="F373" t="str">
            <v>Pcs</v>
          </cell>
          <cell r="G373">
            <v>0</v>
          </cell>
          <cell r="H373" t="str">
            <v/>
          </cell>
          <cell r="I373">
            <v>0</v>
          </cell>
          <cell r="J373">
            <v>0</v>
          </cell>
          <cell r="K373">
            <v>0</v>
          </cell>
          <cell r="L373">
            <v>3036</v>
          </cell>
          <cell r="M373">
            <v>0</v>
          </cell>
        </row>
        <row r="374">
          <cell r="A374">
            <v>1941</v>
          </cell>
          <cell r="B374" t="str">
            <v/>
          </cell>
          <cell r="C374" t="str">
            <v>TANQUERAY RANGPUR GIN 750ML</v>
          </cell>
          <cell r="D374" t="str">
            <v/>
          </cell>
          <cell r="E374" t="str">
            <v/>
          </cell>
          <cell r="F374" t="str">
            <v>Pcs</v>
          </cell>
          <cell r="G374">
            <v>0</v>
          </cell>
          <cell r="H374" t="str">
            <v/>
          </cell>
          <cell r="I374">
            <v>0</v>
          </cell>
          <cell r="J374">
            <v>0</v>
          </cell>
          <cell r="K374">
            <v>0</v>
          </cell>
          <cell r="L374">
            <v>2392</v>
          </cell>
          <cell r="M374">
            <v>0</v>
          </cell>
        </row>
        <row r="375">
          <cell r="A375">
            <v>1942</v>
          </cell>
          <cell r="B375" t="str">
            <v/>
          </cell>
          <cell r="C375" t="str">
            <v>TANQUERAY ROYALE GIN 700ML</v>
          </cell>
          <cell r="D375" t="str">
            <v/>
          </cell>
          <cell r="E375" t="str">
            <v/>
          </cell>
          <cell r="F375" t="str">
            <v>Pcs</v>
          </cell>
          <cell r="G375">
            <v>0</v>
          </cell>
          <cell r="H375" t="str">
            <v/>
          </cell>
          <cell r="I375">
            <v>0</v>
          </cell>
          <cell r="J375">
            <v>0</v>
          </cell>
          <cell r="K375">
            <v>0</v>
          </cell>
          <cell r="L375">
            <v>2500</v>
          </cell>
          <cell r="M375">
            <v>0</v>
          </cell>
        </row>
        <row r="376">
          <cell r="A376">
            <v>1937</v>
          </cell>
          <cell r="B376" t="str">
            <v/>
          </cell>
          <cell r="C376" t="str">
            <v>TANQUERAY - SEVILLA 700ML</v>
          </cell>
          <cell r="D376" t="str">
            <v/>
          </cell>
          <cell r="E376" t="str">
            <v/>
          </cell>
          <cell r="F376" t="str">
            <v>Pcs</v>
          </cell>
          <cell r="G376">
            <v>0</v>
          </cell>
          <cell r="H376" t="str">
            <v/>
          </cell>
          <cell r="I376">
            <v>0</v>
          </cell>
          <cell r="J376">
            <v>0</v>
          </cell>
          <cell r="K376">
            <v>0</v>
          </cell>
          <cell r="L376">
            <v>1800</v>
          </cell>
          <cell r="M376">
            <v>0</v>
          </cell>
        </row>
        <row r="377">
          <cell r="A377">
            <v>1934</v>
          </cell>
          <cell r="B377" t="str">
            <v/>
          </cell>
          <cell r="C377" t="str">
            <v>TANQUERAY SEVILLA GIN 1LTR</v>
          </cell>
          <cell r="D377" t="str">
            <v/>
          </cell>
          <cell r="E377" t="str">
            <v/>
          </cell>
          <cell r="F377" t="str">
            <v>Pcs</v>
          </cell>
          <cell r="G377">
            <v>0</v>
          </cell>
          <cell r="H377" t="str">
            <v/>
          </cell>
          <cell r="I377">
            <v>0</v>
          </cell>
          <cell r="J377">
            <v>0</v>
          </cell>
          <cell r="K377">
            <v>0</v>
          </cell>
          <cell r="L377">
            <v>3036</v>
          </cell>
          <cell r="M377">
            <v>0</v>
          </cell>
        </row>
        <row r="378">
          <cell r="A378">
            <v>1935</v>
          </cell>
          <cell r="B378" t="str">
            <v/>
          </cell>
          <cell r="C378" t="str">
            <v>TANQUERAY STERLING 1LTR</v>
          </cell>
          <cell r="D378" t="str">
            <v/>
          </cell>
          <cell r="E378" t="str">
            <v/>
          </cell>
          <cell r="F378" t="str">
            <v>Pcs</v>
          </cell>
          <cell r="G378">
            <v>0</v>
          </cell>
          <cell r="H378" t="str">
            <v/>
          </cell>
          <cell r="I378">
            <v>0</v>
          </cell>
          <cell r="J378">
            <v>0</v>
          </cell>
          <cell r="K378">
            <v>0</v>
          </cell>
          <cell r="L378">
            <v>3036</v>
          </cell>
          <cell r="M378">
            <v>0</v>
          </cell>
        </row>
        <row r="379">
          <cell r="A379">
            <v>1938</v>
          </cell>
          <cell r="B379" t="str">
            <v/>
          </cell>
          <cell r="C379" t="str">
            <v>TANQUERAY - TEN 750ML</v>
          </cell>
          <cell r="D379" t="str">
            <v/>
          </cell>
          <cell r="E379" t="str">
            <v/>
          </cell>
          <cell r="F379" t="str">
            <v>Pcs</v>
          </cell>
          <cell r="G379">
            <v>76</v>
          </cell>
          <cell r="H379" t="str">
            <v/>
          </cell>
          <cell r="I379">
            <v>0</v>
          </cell>
          <cell r="J379">
            <v>12</v>
          </cell>
          <cell r="K379">
            <v>64</v>
          </cell>
          <cell r="L379">
            <v>3016</v>
          </cell>
          <cell r="M379">
            <v>193024</v>
          </cell>
        </row>
        <row r="380">
          <cell r="A380">
            <v>1944</v>
          </cell>
          <cell r="B380" t="str">
            <v/>
          </cell>
          <cell r="C380" t="str">
            <v>TANQUERY - EXPORT 750ML</v>
          </cell>
          <cell r="D380" t="str">
            <v/>
          </cell>
          <cell r="E380" t="str">
            <v/>
          </cell>
          <cell r="F380" t="str">
            <v>Pcs</v>
          </cell>
          <cell r="G380">
            <v>12</v>
          </cell>
          <cell r="H380" t="str">
            <v/>
          </cell>
          <cell r="I380">
            <v>0</v>
          </cell>
          <cell r="J380">
            <v>0</v>
          </cell>
          <cell r="K380">
            <v>12</v>
          </cell>
          <cell r="L380">
            <v>2208</v>
          </cell>
          <cell r="M380">
            <v>26496</v>
          </cell>
        </row>
        <row r="381">
          <cell r="A381">
            <v>1958</v>
          </cell>
          <cell r="B381" t="str">
            <v/>
          </cell>
          <cell r="C381" t="str">
            <v>THE BOTANIST GIN 1LTR</v>
          </cell>
          <cell r="D381" t="str">
            <v/>
          </cell>
          <cell r="E381" t="str">
            <v/>
          </cell>
          <cell r="F381" t="str">
            <v>Pcs</v>
          </cell>
          <cell r="G381">
            <v>60</v>
          </cell>
          <cell r="H381" t="str">
            <v/>
          </cell>
          <cell r="I381">
            <v>0</v>
          </cell>
          <cell r="J381">
            <v>6</v>
          </cell>
          <cell r="K381">
            <v>54</v>
          </cell>
          <cell r="L381">
            <v>4600</v>
          </cell>
          <cell r="M381">
            <v>248400</v>
          </cell>
        </row>
        <row r="382">
          <cell r="A382">
            <v>1997</v>
          </cell>
          <cell r="B382" t="str">
            <v/>
          </cell>
          <cell r="C382" t="str">
            <v>TOBERMORY GIN 750ML</v>
          </cell>
          <cell r="D382" t="str">
            <v/>
          </cell>
          <cell r="E382" t="str">
            <v/>
          </cell>
          <cell r="F382" t="str">
            <v>Pcs</v>
          </cell>
          <cell r="G382">
            <v>6</v>
          </cell>
          <cell r="H382" t="str">
            <v/>
          </cell>
          <cell r="I382">
            <v>0</v>
          </cell>
          <cell r="J382">
            <v>0</v>
          </cell>
          <cell r="K382">
            <v>6</v>
          </cell>
          <cell r="L382">
            <v>2300</v>
          </cell>
          <cell r="M382">
            <v>13800</v>
          </cell>
        </row>
        <row r="383">
          <cell r="A383">
            <v>2043</v>
          </cell>
          <cell r="B383" t="str">
            <v/>
          </cell>
          <cell r="C383" t="str">
            <v>VALE GIN 750ML</v>
          </cell>
          <cell r="D383" t="str">
            <v/>
          </cell>
          <cell r="E383" t="str">
            <v/>
          </cell>
          <cell r="F383" t="str">
            <v>Pcs</v>
          </cell>
          <cell r="G383">
            <v>0</v>
          </cell>
          <cell r="H383" t="str">
            <v/>
          </cell>
          <cell r="I383">
            <v>0</v>
          </cell>
          <cell r="J383">
            <v>0</v>
          </cell>
          <cell r="K383">
            <v>0</v>
          </cell>
          <cell r="L383">
            <v>4800</v>
          </cell>
          <cell r="M383">
            <v>0</v>
          </cell>
        </row>
        <row r="384">
          <cell r="A384">
            <v>2447</v>
          </cell>
          <cell r="B384" t="str">
            <v/>
          </cell>
          <cell r="C384" t="str">
            <v>VALE PINK GIN 750ML</v>
          </cell>
          <cell r="D384" t="str">
            <v/>
          </cell>
          <cell r="E384" t="str">
            <v/>
          </cell>
          <cell r="F384" t="str">
            <v>Pcs</v>
          </cell>
          <cell r="G384">
            <v>12</v>
          </cell>
          <cell r="H384" t="str">
            <v/>
          </cell>
          <cell r="I384">
            <v>0</v>
          </cell>
          <cell r="J384">
            <v>0</v>
          </cell>
          <cell r="K384">
            <v>12</v>
          </cell>
          <cell r="L384">
            <v>4800</v>
          </cell>
          <cell r="M384">
            <v>57600</v>
          </cell>
        </row>
        <row r="385">
          <cell r="A385">
            <v>2492</v>
          </cell>
          <cell r="B385" t="str">
            <v/>
          </cell>
          <cell r="C385" t="str">
            <v>VICTORIA STAG GIN 750ML</v>
          </cell>
          <cell r="D385" t="str">
            <v/>
          </cell>
          <cell r="E385" t="str">
            <v/>
          </cell>
          <cell r="F385" t="str">
            <v>Pcs</v>
          </cell>
          <cell r="G385">
            <v>12</v>
          </cell>
          <cell r="H385" t="str">
            <v/>
          </cell>
          <cell r="I385">
            <v>0</v>
          </cell>
          <cell r="J385">
            <v>0</v>
          </cell>
          <cell r="K385">
            <v>12</v>
          </cell>
          <cell r="L385">
            <v>3500</v>
          </cell>
          <cell r="M385">
            <v>42000</v>
          </cell>
        </row>
        <row r="386">
          <cell r="A386">
            <v>2093</v>
          </cell>
          <cell r="B386" t="str">
            <v/>
          </cell>
          <cell r="C386" t="str">
            <v>WHITLEY NEIL ALOE &amp; CUCUMBER 1LTR</v>
          </cell>
          <cell r="D386" t="str">
            <v/>
          </cell>
          <cell r="E386" t="str">
            <v/>
          </cell>
          <cell r="F386" t="str">
            <v>Pcs</v>
          </cell>
          <cell r="G386">
            <v>0</v>
          </cell>
          <cell r="H386" t="str">
            <v/>
          </cell>
          <cell r="I386">
            <v>0</v>
          </cell>
          <cell r="J386">
            <v>0</v>
          </cell>
          <cell r="K386">
            <v>0</v>
          </cell>
          <cell r="L386">
            <v>2944</v>
          </cell>
          <cell r="M386">
            <v>0</v>
          </cell>
        </row>
        <row r="387">
          <cell r="A387">
            <v>2095</v>
          </cell>
          <cell r="B387" t="str">
            <v/>
          </cell>
          <cell r="C387" t="str">
            <v>WHITLEY NEIL BLOOD ORANGE GIN 1LTR</v>
          </cell>
          <cell r="D387" t="str">
            <v/>
          </cell>
          <cell r="E387" t="str">
            <v/>
          </cell>
          <cell r="F387" t="str">
            <v>Pcs</v>
          </cell>
          <cell r="G387">
            <v>0</v>
          </cell>
          <cell r="H387" t="str">
            <v/>
          </cell>
          <cell r="I387">
            <v>0</v>
          </cell>
          <cell r="J387">
            <v>0</v>
          </cell>
          <cell r="K387">
            <v>0</v>
          </cell>
          <cell r="L387">
            <v>2944</v>
          </cell>
          <cell r="M387">
            <v>0</v>
          </cell>
        </row>
        <row r="388">
          <cell r="A388">
            <v>2097</v>
          </cell>
          <cell r="B388" t="str">
            <v/>
          </cell>
          <cell r="C388" t="str">
            <v>WHITLEY NEILL BLACK BERRY GIN 1LTR</v>
          </cell>
          <cell r="D388" t="str">
            <v/>
          </cell>
          <cell r="E388" t="str">
            <v/>
          </cell>
          <cell r="F388" t="str">
            <v>Pcs</v>
          </cell>
          <cell r="G388">
            <v>0</v>
          </cell>
          <cell r="H388" t="str">
            <v/>
          </cell>
          <cell r="I388">
            <v>0</v>
          </cell>
          <cell r="J388">
            <v>0</v>
          </cell>
          <cell r="K388">
            <v>0</v>
          </cell>
          <cell r="L388">
            <v>2944</v>
          </cell>
          <cell r="M388">
            <v>0</v>
          </cell>
        </row>
        <row r="389">
          <cell r="A389">
            <v>2098</v>
          </cell>
          <cell r="B389" t="str">
            <v/>
          </cell>
          <cell r="C389" t="str">
            <v>WHITLEY NEILL BLACK BERRY GIN 750ML </v>
          </cell>
          <cell r="D389" t="str">
            <v/>
          </cell>
          <cell r="E389" t="str">
            <v/>
          </cell>
          <cell r="F389" t="str">
            <v>Pcs</v>
          </cell>
          <cell r="G389">
            <v>48</v>
          </cell>
          <cell r="H389" t="str">
            <v/>
          </cell>
          <cell r="I389">
            <v>0</v>
          </cell>
          <cell r="J389">
            <v>0</v>
          </cell>
          <cell r="K389">
            <v>48</v>
          </cell>
          <cell r="L389">
            <v>2576</v>
          </cell>
          <cell r="M389">
            <v>123648</v>
          </cell>
        </row>
        <row r="390">
          <cell r="A390">
            <v>2099</v>
          </cell>
          <cell r="B390" t="str">
            <v/>
          </cell>
          <cell r="C390" t="str">
            <v>WHITLEY NEILL BLOOD ORANGE  GIN 750ML </v>
          </cell>
          <cell r="D390" t="str">
            <v/>
          </cell>
          <cell r="E390" t="str">
            <v/>
          </cell>
          <cell r="F390" t="str">
            <v>Pcs</v>
          </cell>
          <cell r="G390">
            <v>30</v>
          </cell>
          <cell r="H390" t="str">
            <v/>
          </cell>
          <cell r="I390">
            <v>0</v>
          </cell>
          <cell r="J390">
            <v>0</v>
          </cell>
          <cell r="K390">
            <v>30</v>
          </cell>
          <cell r="L390">
            <v>2576</v>
          </cell>
          <cell r="M390">
            <v>77280</v>
          </cell>
        </row>
        <row r="391">
          <cell r="A391">
            <v>2100</v>
          </cell>
          <cell r="B391" t="str">
            <v/>
          </cell>
          <cell r="C391" t="str">
            <v>WHITLEY NEILL LEMON GRASS  GIN 1LTR</v>
          </cell>
          <cell r="D391" t="str">
            <v/>
          </cell>
          <cell r="E391" t="str">
            <v/>
          </cell>
          <cell r="F391" t="str">
            <v>Pcs</v>
          </cell>
          <cell r="G391">
            <v>4</v>
          </cell>
          <cell r="H391" t="str">
            <v/>
          </cell>
          <cell r="I391">
            <v>0</v>
          </cell>
          <cell r="J391">
            <v>4</v>
          </cell>
          <cell r="K391">
            <v>0</v>
          </cell>
          <cell r="L391">
            <v>2944</v>
          </cell>
          <cell r="M391">
            <v>0</v>
          </cell>
        </row>
        <row r="392">
          <cell r="A392">
            <v>2101</v>
          </cell>
          <cell r="B392" t="str">
            <v/>
          </cell>
          <cell r="C392" t="str">
            <v>WHITLEY NEILL LEMON GRASS  GIN 750ML </v>
          </cell>
          <cell r="D392" t="str">
            <v/>
          </cell>
          <cell r="E392" t="str">
            <v/>
          </cell>
          <cell r="F392" t="str">
            <v>Pcs</v>
          </cell>
          <cell r="G392">
            <v>0</v>
          </cell>
          <cell r="H392" t="str">
            <v/>
          </cell>
          <cell r="I392">
            <v>0</v>
          </cell>
          <cell r="J392">
            <v>0</v>
          </cell>
          <cell r="K392">
            <v>0</v>
          </cell>
          <cell r="L392">
            <v>2576</v>
          </cell>
          <cell r="M392">
            <v>0</v>
          </cell>
        </row>
        <row r="393">
          <cell r="A393">
            <v>2102</v>
          </cell>
          <cell r="B393" t="str">
            <v/>
          </cell>
          <cell r="C393" t="str">
            <v>WHITLEY NEILL ORIGINAL  GIN 1LTR</v>
          </cell>
          <cell r="D393" t="str">
            <v/>
          </cell>
          <cell r="E393" t="str">
            <v/>
          </cell>
          <cell r="F393" t="str">
            <v>Pcs</v>
          </cell>
          <cell r="G393">
            <v>0</v>
          </cell>
          <cell r="H393" t="str">
            <v/>
          </cell>
          <cell r="I393">
            <v>0</v>
          </cell>
          <cell r="J393">
            <v>0</v>
          </cell>
          <cell r="K393">
            <v>0</v>
          </cell>
          <cell r="L393">
            <v>2944</v>
          </cell>
          <cell r="M393">
            <v>0</v>
          </cell>
        </row>
        <row r="394">
          <cell r="A394">
            <v>2103</v>
          </cell>
          <cell r="B394" t="str">
            <v/>
          </cell>
          <cell r="C394" t="str">
            <v>WHITLEY NEILL ORIGINAL  GIN 750ML </v>
          </cell>
          <cell r="D394" t="str">
            <v/>
          </cell>
          <cell r="E394" t="str">
            <v/>
          </cell>
          <cell r="F394" t="str">
            <v>Pcs</v>
          </cell>
          <cell r="G394">
            <v>0</v>
          </cell>
          <cell r="H394" t="str">
            <v/>
          </cell>
          <cell r="I394">
            <v>0</v>
          </cell>
          <cell r="J394">
            <v>0</v>
          </cell>
          <cell r="K394">
            <v>0</v>
          </cell>
          <cell r="L394">
            <v>2576</v>
          </cell>
          <cell r="M394">
            <v>0</v>
          </cell>
        </row>
        <row r="395">
          <cell r="A395">
            <v>2104</v>
          </cell>
          <cell r="B395" t="str">
            <v/>
          </cell>
          <cell r="C395" t="str">
            <v>WHITLEY NEILL PROTEA &amp; HIBISCUS GIN 750ML </v>
          </cell>
          <cell r="D395" t="str">
            <v/>
          </cell>
          <cell r="E395" t="str">
            <v/>
          </cell>
          <cell r="F395" t="str">
            <v>Pcs</v>
          </cell>
          <cell r="G395">
            <v>12</v>
          </cell>
          <cell r="H395" t="str">
            <v/>
          </cell>
          <cell r="I395">
            <v>0</v>
          </cell>
          <cell r="J395">
            <v>0</v>
          </cell>
          <cell r="K395">
            <v>12</v>
          </cell>
          <cell r="L395">
            <v>2576</v>
          </cell>
          <cell r="M395">
            <v>30912</v>
          </cell>
        </row>
        <row r="396">
          <cell r="A396">
            <v>2106</v>
          </cell>
          <cell r="B396" t="str">
            <v/>
          </cell>
          <cell r="C396" t="str">
            <v>WHITLEY NEILL RASPBERRY GIN 1LTR</v>
          </cell>
          <cell r="D396" t="str">
            <v/>
          </cell>
          <cell r="E396" t="str">
            <v/>
          </cell>
          <cell r="F396" t="str">
            <v>Pcs</v>
          </cell>
          <cell r="G396">
            <v>0</v>
          </cell>
          <cell r="H396" t="str">
            <v/>
          </cell>
          <cell r="I396">
            <v>0</v>
          </cell>
          <cell r="J396">
            <v>0</v>
          </cell>
          <cell r="K396">
            <v>0</v>
          </cell>
          <cell r="L396">
            <v>2944</v>
          </cell>
          <cell r="M396">
            <v>0</v>
          </cell>
        </row>
        <row r="397">
          <cell r="A397">
            <v>2107</v>
          </cell>
          <cell r="B397" t="str">
            <v/>
          </cell>
          <cell r="C397" t="str">
            <v>WHITLEY NEILL RASPBERRY GIN 750ML </v>
          </cell>
          <cell r="D397" t="str">
            <v/>
          </cell>
          <cell r="E397" t="str">
            <v/>
          </cell>
          <cell r="F397" t="str">
            <v>Pcs</v>
          </cell>
          <cell r="G397">
            <v>0</v>
          </cell>
          <cell r="H397" t="str">
            <v/>
          </cell>
          <cell r="I397">
            <v>0</v>
          </cell>
          <cell r="J397">
            <v>0</v>
          </cell>
          <cell r="K397">
            <v>0</v>
          </cell>
          <cell r="L397">
            <v>2576</v>
          </cell>
          <cell r="M397">
            <v>0</v>
          </cell>
        </row>
        <row r="398">
          <cell r="A398">
            <v>2108</v>
          </cell>
          <cell r="B398" t="str">
            <v/>
          </cell>
          <cell r="C398" t="str">
            <v>WHITLEY NEILL RHUBARB &amp; GINGER GIN 1LTR</v>
          </cell>
          <cell r="D398" t="str">
            <v/>
          </cell>
          <cell r="E398" t="str">
            <v/>
          </cell>
          <cell r="F398" t="str">
            <v>Pcs</v>
          </cell>
          <cell r="G398">
            <v>0</v>
          </cell>
          <cell r="H398" t="str">
            <v/>
          </cell>
          <cell r="I398">
            <v>0</v>
          </cell>
          <cell r="J398">
            <v>0</v>
          </cell>
          <cell r="K398">
            <v>0</v>
          </cell>
          <cell r="L398">
            <v>2944</v>
          </cell>
          <cell r="M398">
            <v>0</v>
          </cell>
        </row>
        <row r="399">
          <cell r="A399">
            <v>2109</v>
          </cell>
          <cell r="B399" t="str">
            <v/>
          </cell>
          <cell r="C399" t="str">
            <v>WHITLEY NEILL RHUBARB &amp; GINGER GIN 750ML</v>
          </cell>
          <cell r="D399" t="str">
            <v/>
          </cell>
          <cell r="E399" t="str">
            <v/>
          </cell>
          <cell r="F399" t="str">
            <v>Pcs</v>
          </cell>
          <cell r="G399">
            <v>0</v>
          </cell>
          <cell r="H399" t="str">
            <v/>
          </cell>
          <cell r="I399">
            <v>0</v>
          </cell>
          <cell r="J399">
            <v>0</v>
          </cell>
          <cell r="K399">
            <v>0</v>
          </cell>
          <cell r="L399">
            <v>2576</v>
          </cell>
          <cell r="M399">
            <v>0</v>
          </cell>
        </row>
        <row r="400">
          <cell r="A400">
            <v>2318</v>
          </cell>
          <cell r="B400" t="str">
            <v/>
          </cell>
          <cell r="C400" t="str">
            <v>WHITLEY NEIL PARMA VIOLET 1LTR</v>
          </cell>
          <cell r="D400" t="str">
            <v/>
          </cell>
          <cell r="E400" t="str">
            <v/>
          </cell>
          <cell r="F400" t="str">
            <v>Pcs</v>
          </cell>
          <cell r="G400">
            <v>0</v>
          </cell>
          <cell r="H400" t="str">
            <v/>
          </cell>
          <cell r="I400">
            <v>0</v>
          </cell>
          <cell r="J400">
            <v>0</v>
          </cell>
          <cell r="K400">
            <v>0</v>
          </cell>
          <cell r="L400">
            <v>3000</v>
          </cell>
          <cell r="M400">
            <v>0</v>
          </cell>
        </row>
        <row r="401">
          <cell r="A401">
            <v>2319</v>
          </cell>
          <cell r="B401" t="str">
            <v/>
          </cell>
          <cell r="C401" t="str">
            <v>WHITLEY NEIL PARMA VIOLET 700ML</v>
          </cell>
          <cell r="D401" t="str">
            <v/>
          </cell>
          <cell r="E401" t="str">
            <v/>
          </cell>
          <cell r="F401" t="str">
            <v>Pcs</v>
          </cell>
          <cell r="G401">
            <v>2</v>
          </cell>
          <cell r="H401" t="str">
            <v/>
          </cell>
          <cell r="I401">
            <v>0</v>
          </cell>
          <cell r="J401">
            <v>2</v>
          </cell>
          <cell r="K401">
            <v>0</v>
          </cell>
          <cell r="L401">
            <v>2600</v>
          </cell>
          <cell r="M401">
            <v>0</v>
          </cell>
        </row>
        <row r="402">
          <cell r="A402">
            <v>2096</v>
          </cell>
          <cell r="B402" t="str">
            <v/>
          </cell>
          <cell r="C402" t="str">
            <v>WHITLEY NEIL PROTEA &amp; HIBISCUS 750ML</v>
          </cell>
          <cell r="D402" t="str">
            <v/>
          </cell>
          <cell r="E402" t="str">
            <v/>
          </cell>
          <cell r="F402" t="str">
            <v>Pcs</v>
          </cell>
          <cell r="G402">
            <v>0</v>
          </cell>
          <cell r="H402" t="str">
            <v/>
          </cell>
          <cell r="I402">
            <v>0</v>
          </cell>
          <cell r="J402">
            <v>0</v>
          </cell>
          <cell r="K402">
            <v>0</v>
          </cell>
          <cell r="L402">
            <v>2576</v>
          </cell>
          <cell r="M402">
            <v>0</v>
          </cell>
        </row>
        <row r="403">
          <cell r="A403">
            <v>2128</v>
          </cell>
          <cell r="B403" t="str">
            <v/>
          </cell>
          <cell r="C403" t="str">
            <v>WINDSOR GIN 1ltr</v>
          </cell>
          <cell r="D403" t="str">
            <v/>
          </cell>
          <cell r="E403" t="str">
            <v/>
          </cell>
          <cell r="F403" t="str">
            <v>Pcs</v>
          </cell>
          <cell r="G403">
            <v>0</v>
          </cell>
          <cell r="H403" t="str">
            <v/>
          </cell>
          <cell r="I403">
            <v>0</v>
          </cell>
          <cell r="J403">
            <v>0</v>
          </cell>
          <cell r="K403">
            <v>0</v>
          </cell>
          <cell r="L403">
            <v>1656</v>
          </cell>
          <cell r="M403">
            <v>0</v>
          </cell>
        </row>
        <row r="404">
          <cell r="A404">
            <v>2141</v>
          </cell>
          <cell r="B404" t="str">
            <v/>
          </cell>
          <cell r="C404" t="str">
            <v>ZAFIRO CLEAR 1LTR</v>
          </cell>
          <cell r="D404" t="str">
            <v/>
          </cell>
          <cell r="E404" t="str">
            <v/>
          </cell>
          <cell r="F404" t="str">
            <v>Pcs</v>
          </cell>
          <cell r="G404">
            <v>0</v>
          </cell>
          <cell r="H404" t="str">
            <v/>
          </cell>
          <cell r="I404">
            <v>0</v>
          </cell>
          <cell r="J404">
            <v>0</v>
          </cell>
          <cell r="K404">
            <v>0</v>
          </cell>
          <cell r="L404">
            <v>1250</v>
          </cell>
          <cell r="M404">
            <v>0</v>
          </cell>
        </row>
        <row r="405">
          <cell r="A405">
            <v>2343</v>
          </cell>
          <cell r="B405" t="str">
            <v/>
          </cell>
          <cell r="C405" t="str">
            <v>ZAFIRO ORANGE 1LTR</v>
          </cell>
          <cell r="D405" t="str">
            <v/>
          </cell>
          <cell r="E405" t="str">
            <v/>
          </cell>
          <cell r="F405" t="str">
            <v>Pcs</v>
          </cell>
          <cell r="G405">
            <v>0</v>
          </cell>
          <cell r="H405" t="str">
            <v/>
          </cell>
          <cell r="I405">
            <v>0</v>
          </cell>
          <cell r="J405">
            <v>0</v>
          </cell>
          <cell r="K405">
            <v>0</v>
          </cell>
          <cell r="L405">
            <v>1250</v>
          </cell>
          <cell r="M405">
            <v>0</v>
          </cell>
        </row>
        <row r="406">
          <cell r="A406">
            <v>2142</v>
          </cell>
          <cell r="B406" t="str">
            <v/>
          </cell>
          <cell r="C406" t="str">
            <v>ZAFIRO PINK 1LTR</v>
          </cell>
          <cell r="D406" t="str">
            <v/>
          </cell>
          <cell r="E406" t="str">
            <v/>
          </cell>
          <cell r="F406" t="str">
            <v>Pcs</v>
          </cell>
          <cell r="G406">
            <v>12</v>
          </cell>
          <cell r="H406" t="str">
            <v/>
          </cell>
          <cell r="I406">
            <v>0</v>
          </cell>
          <cell r="J406">
            <v>12</v>
          </cell>
          <cell r="K406">
            <v>0</v>
          </cell>
          <cell r="L406">
            <v>1250</v>
          </cell>
          <cell r="M406">
            <v>0</v>
          </cell>
        </row>
        <row r="407">
          <cell r="B407" t="str">
            <v/>
          </cell>
          <cell r="C407" t="str">
            <v/>
          </cell>
          <cell r="D407" t="str">
            <v>GIN</v>
          </cell>
          <cell r="E407" t="str">
            <v/>
          </cell>
          <cell r="F407" t="str">
            <v/>
          </cell>
          <cell r="G407">
            <v>14951</v>
          </cell>
          <cell r="H407" t="str">
            <v/>
          </cell>
          <cell r="I407">
            <v>11561</v>
          </cell>
          <cell r="J407">
            <v>2941</v>
          </cell>
          <cell r="K407">
            <v>23571</v>
          </cell>
          <cell r="L407" t="str">
            <v/>
          </cell>
          <cell r="M407">
            <v>28808685.22</v>
          </cell>
        </row>
        <row r="408">
          <cell r="A408" t="str">
            <v>Class :</v>
          </cell>
          <cell r="B408" t="str">
            <v>LIQUEUR</v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</row>
        <row r="409">
          <cell r="A409">
            <v>2955</v>
          </cell>
          <cell r="B409" t="str">
            <v/>
          </cell>
          <cell r="C409" t="str">
            <v>AMSTERDAM CANNABIS SATIVA RUM 700ML</v>
          </cell>
          <cell r="D409" t="str">
            <v/>
          </cell>
          <cell r="E409" t="str">
            <v/>
          </cell>
          <cell r="F409" t="str">
            <v>Pcs</v>
          </cell>
          <cell r="G409">
            <v>0</v>
          </cell>
          <cell r="H409" t="str">
            <v/>
          </cell>
          <cell r="I409">
            <v>0</v>
          </cell>
          <cell r="J409">
            <v>0</v>
          </cell>
          <cell r="K409">
            <v>0</v>
          </cell>
          <cell r="L409">
            <v>1650</v>
          </cell>
          <cell r="M409">
            <v>0</v>
          </cell>
        </row>
        <row r="410">
          <cell r="A410">
            <v>99</v>
          </cell>
          <cell r="B410" t="str">
            <v/>
          </cell>
          <cell r="C410" t="str">
            <v>ANGOSTURA 200ML</v>
          </cell>
          <cell r="D410" t="str">
            <v/>
          </cell>
          <cell r="E410" t="str">
            <v/>
          </cell>
          <cell r="F410" t="str">
            <v>Pcs</v>
          </cell>
          <cell r="G410">
            <v>0</v>
          </cell>
          <cell r="H410" t="str">
            <v/>
          </cell>
          <cell r="I410">
            <v>0</v>
          </cell>
          <cell r="J410">
            <v>0</v>
          </cell>
          <cell r="K410">
            <v>0</v>
          </cell>
          <cell r="L410">
            <v>1130</v>
          </cell>
          <cell r="M410">
            <v>0</v>
          </cell>
        </row>
        <row r="411">
          <cell r="A411">
            <v>2353</v>
          </cell>
          <cell r="B411" t="str">
            <v/>
          </cell>
          <cell r="C411" t="str">
            <v>BARDINET BLUE CURACAO 750ML</v>
          </cell>
          <cell r="D411" t="str">
            <v/>
          </cell>
          <cell r="E411" t="str">
            <v/>
          </cell>
          <cell r="F411" t="str">
            <v>Pcs</v>
          </cell>
          <cell r="G411">
            <v>1</v>
          </cell>
          <cell r="H411" t="str">
            <v/>
          </cell>
          <cell r="I411">
            <v>0</v>
          </cell>
          <cell r="J411">
            <v>0</v>
          </cell>
          <cell r="K411">
            <v>1</v>
          </cell>
          <cell r="L411">
            <v>1200</v>
          </cell>
          <cell r="M411">
            <v>1200</v>
          </cell>
        </row>
        <row r="412">
          <cell r="A412">
            <v>2352</v>
          </cell>
          <cell r="B412" t="str">
            <v/>
          </cell>
          <cell r="C412" t="str">
            <v>BARDINET CHERRY 750ML</v>
          </cell>
          <cell r="D412" t="str">
            <v/>
          </cell>
          <cell r="E412" t="str">
            <v/>
          </cell>
          <cell r="F412" t="str">
            <v>Pcs</v>
          </cell>
          <cell r="G412">
            <v>1</v>
          </cell>
          <cell r="H412" t="str">
            <v/>
          </cell>
          <cell r="I412">
            <v>0</v>
          </cell>
          <cell r="J412">
            <v>0</v>
          </cell>
          <cell r="K412">
            <v>1</v>
          </cell>
          <cell r="L412">
            <v>1200</v>
          </cell>
          <cell r="M412">
            <v>1200</v>
          </cell>
        </row>
        <row r="413">
          <cell r="A413">
            <v>2350</v>
          </cell>
          <cell r="B413" t="str">
            <v/>
          </cell>
          <cell r="C413" t="str">
            <v>BARDINET CREME DE BANANA 750ML</v>
          </cell>
          <cell r="D413" t="str">
            <v/>
          </cell>
          <cell r="E413" t="str">
            <v/>
          </cell>
          <cell r="F413" t="str">
            <v>Pcs</v>
          </cell>
          <cell r="G413">
            <v>1</v>
          </cell>
          <cell r="H413" t="str">
            <v/>
          </cell>
          <cell r="I413">
            <v>0</v>
          </cell>
          <cell r="J413">
            <v>0</v>
          </cell>
          <cell r="K413">
            <v>1</v>
          </cell>
          <cell r="L413">
            <v>1200</v>
          </cell>
          <cell r="M413">
            <v>1200</v>
          </cell>
        </row>
        <row r="414">
          <cell r="A414">
            <v>2440</v>
          </cell>
          <cell r="B414" t="str">
            <v/>
          </cell>
          <cell r="C414" t="str">
            <v>BARDINET CREME DE CAFE 750ML</v>
          </cell>
          <cell r="D414" t="str">
            <v/>
          </cell>
          <cell r="E414" t="str">
            <v/>
          </cell>
          <cell r="F414" t="str">
            <v>Pcs</v>
          </cell>
          <cell r="G414">
            <v>1</v>
          </cell>
          <cell r="H414" t="str">
            <v/>
          </cell>
          <cell r="I414">
            <v>0</v>
          </cell>
          <cell r="J414">
            <v>0</v>
          </cell>
          <cell r="K414">
            <v>1</v>
          </cell>
          <cell r="L414">
            <v>1200</v>
          </cell>
          <cell r="M414">
            <v>1200</v>
          </cell>
        </row>
        <row r="415">
          <cell r="A415">
            <v>2351</v>
          </cell>
          <cell r="B415" t="str">
            <v/>
          </cell>
          <cell r="C415" t="str">
            <v>BARDINET TRIPLE SEC 750ML</v>
          </cell>
          <cell r="D415" t="str">
            <v/>
          </cell>
          <cell r="E415" t="str">
            <v/>
          </cell>
          <cell r="F415" t="str">
            <v>Pcs</v>
          </cell>
          <cell r="G415">
            <v>0</v>
          </cell>
          <cell r="H415" t="str">
            <v/>
          </cell>
          <cell r="I415">
            <v>0</v>
          </cell>
          <cell r="J415">
            <v>0</v>
          </cell>
          <cell r="K415">
            <v>0</v>
          </cell>
          <cell r="L415">
            <v>1200</v>
          </cell>
          <cell r="M415">
            <v>0</v>
          </cell>
        </row>
        <row r="416">
          <cell r="A416">
            <v>250</v>
          </cell>
          <cell r="B416" t="str">
            <v/>
          </cell>
          <cell r="C416" t="str">
            <v>BLUE CURACAO LIQUEUR 750ML</v>
          </cell>
          <cell r="D416" t="str">
            <v/>
          </cell>
          <cell r="E416" t="str">
            <v/>
          </cell>
          <cell r="F416" t="str">
            <v>Pcs</v>
          </cell>
          <cell r="G416">
            <v>0</v>
          </cell>
          <cell r="H416" t="str">
            <v/>
          </cell>
          <cell r="I416">
            <v>0</v>
          </cell>
          <cell r="J416">
            <v>0</v>
          </cell>
          <cell r="K416">
            <v>0</v>
          </cell>
          <cell r="L416">
            <v>1472</v>
          </cell>
          <cell r="M416">
            <v>0</v>
          </cell>
        </row>
        <row r="417">
          <cell r="A417">
            <v>256</v>
          </cell>
          <cell r="B417" t="str">
            <v/>
          </cell>
          <cell r="C417" t="str">
            <v>BOLS BLUE CURACAO 750ML</v>
          </cell>
          <cell r="D417" t="str">
            <v/>
          </cell>
          <cell r="E417" t="str">
            <v/>
          </cell>
          <cell r="F417" t="str">
            <v>Pcs</v>
          </cell>
          <cell r="G417">
            <v>172</v>
          </cell>
          <cell r="H417" t="str">
            <v/>
          </cell>
          <cell r="I417">
            <v>0</v>
          </cell>
          <cell r="J417">
            <v>0</v>
          </cell>
          <cell r="K417">
            <v>172</v>
          </cell>
          <cell r="L417">
            <v>1564</v>
          </cell>
          <cell r="M417">
            <v>269008</v>
          </cell>
        </row>
        <row r="418">
          <cell r="A418">
            <v>257</v>
          </cell>
          <cell r="B418" t="str">
            <v/>
          </cell>
          <cell r="C418" t="str">
            <v>BOLS DRY ORANGE 750ML</v>
          </cell>
          <cell r="D418" t="str">
            <v/>
          </cell>
          <cell r="E418" t="str">
            <v/>
          </cell>
          <cell r="F418" t="str">
            <v>Pcs</v>
          </cell>
          <cell r="G418">
            <v>48</v>
          </cell>
          <cell r="H418" t="str">
            <v/>
          </cell>
          <cell r="I418">
            <v>0</v>
          </cell>
          <cell r="J418">
            <v>0</v>
          </cell>
          <cell r="K418">
            <v>48</v>
          </cell>
          <cell r="L418">
            <v>1564</v>
          </cell>
          <cell r="M418">
            <v>75072</v>
          </cell>
        </row>
        <row r="419">
          <cell r="A419">
            <v>259</v>
          </cell>
          <cell r="B419" t="str">
            <v/>
          </cell>
          <cell r="C419" t="str">
            <v>BOLS TRIPLE SEC LIQUEUR 700ML</v>
          </cell>
          <cell r="D419" t="str">
            <v/>
          </cell>
          <cell r="E419" t="str">
            <v/>
          </cell>
          <cell r="F419" t="str">
            <v>Pcs</v>
          </cell>
          <cell r="G419">
            <v>0</v>
          </cell>
          <cell r="H419" t="str">
            <v/>
          </cell>
          <cell r="I419">
            <v>0</v>
          </cell>
          <cell r="J419">
            <v>0</v>
          </cell>
          <cell r="K419">
            <v>0</v>
          </cell>
          <cell r="L419">
            <v>1070</v>
          </cell>
          <cell r="M419">
            <v>0</v>
          </cell>
        </row>
        <row r="420">
          <cell r="A420">
            <v>317</v>
          </cell>
          <cell r="B420" t="str">
            <v/>
          </cell>
          <cell r="C420" t="str">
            <v>BUTLERS BLUE CURACAO 750ML</v>
          </cell>
          <cell r="D420" t="str">
            <v/>
          </cell>
          <cell r="E420" t="str">
            <v/>
          </cell>
          <cell r="F420" t="str">
            <v>Pcs</v>
          </cell>
          <cell r="G420">
            <v>25</v>
          </cell>
          <cell r="H420" t="str">
            <v/>
          </cell>
          <cell r="I420">
            <v>0</v>
          </cell>
          <cell r="J420">
            <v>0</v>
          </cell>
          <cell r="K420">
            <v>25</v>
          </cell>
          <cell r="L420">
            <v>1472</v>
          </cell>
          <cell r="M420">
            <v>36800</v>
          </cell>
        </row>
        <row r="421">
          <cell r="A421">
            <v>318</v>
          </cell>
          <cell r="B421" t="str">
            <v/>
          </cell>
          <cell r="C421" t="str">
            <v>BUTLERS CHERRY KIRSCH 700ML</v>
          </cell>
          <cell r="D421" t="str">
            <v/>
          </cell>
          <cell r="E421" t="str">
            <v/>
          </cell>
          <cell r="F421" t="str">
            <v>Pcs</v>
          </cell>
          <cell r="G421">
            <v>0</v>
          </cell>
          <cell r="H421" t="str">
            <v/>
          </cell>
          <cell r="I421">
            <v>0</v>
          </cell>
          <cell r="J421">
            <v>0</v>
          </cell>
          <cell r="K421">
            <v>0</v>
          </cell>
          <cell r="L421">
            <v>1472</v>
          </cell>
          <cell r="M421">
            <v>0</v>
          </cell>
        </row>
        <row r="422">
          <cell r="A422">
            <v>319</v>
          </cell>
          <cell r="B422" t="str">
            <v/>
          </cell>
          <cell r="C422" t="str">
            <v>BUTLERS CHERRY KIRSCH 750ML</v>
          </cell>
          <cell r="D422" t="str">
            <v/>
          </cell>
          <cell r="E422" t="str">
            <v/>
          </cell>
          <cell r="F422" t="str">
            <v>Pcs</v>
          </cell>
          <cell r="G422">
            <v>204</v>
          </cell>
          <cell r="H422" t="str">
            <v/>
          </cell>
          <cell r="I422">
            <v>0</v>
          </cell>
          <cell r="J422">
            <v>0</v>
          </cell>
          <cell r="K422">
            <v>204</v>
          </cell>
          <cell r="L422">
            <v>1472</v>
          </cell>
          <cell r="M422">
            <v>300288</v>
          </cell>
        </row>
        <row r="423">
          <cell r="A423">
            <v>315</v>
          </cell>
          <cell r="B423" t="str">
            <v/>
          </cell>
          <cell r="C423" t="str">
            <v>BUTLERS  CRÈME DE BANANA 750ML</v>
          </cell>
          <cell r="D423" t="str">
            <v/>
          </cell>
          <cell r="E423" t="str">
            <v/>
          </cell>
          <cell r="F423" t="str">
            <v>Pcs</v>
          </cell>
          <cell r="G423">
            <v>41</v>
          </cell>
          <cell r="H423" t="str">
            <v/>
          </cell>
          <cell r="I423">
            <v>0</v>
          </cell>
          <cell r="J423">
            <v>0</v>
          </cell>
          <cell r="K423">
            <v>41</v>
          </cell>
          <cell r="L423">
            <v>1472</v>
          </cell>
          <cell r="M423">
            <v>60352</v>
          </cell>
        </row>
        <row r="424">
          <cell r="A424">
            <v>320</v>
          </cell>
          <cell r="B424" t="str">
            <v/>
          </cell>
          <cell r="C424" t="str">
            <v>BUTLERS ESPRESSO 750ML</v>
          </cell>
          <cell r="D424" t="str">
            <v/>
          </cell>
          <cell r="E424" t="str">
            <v/>
          </cell>
          <cell r="F424" t="str">
            <v>Pcs</v>
          </cell>
          <cell r="G424">
            <v>0</v>
          </cell>
          <cell r="H424" t="str">
            <v/>
          </cell>
          <cell r="I424">
            <v>0</v>
          </cell>
          <cell r="J424">
            <v>0</v>
          </cell>
          <cell r="K424">
            <v>0</v>
          </cell>
          <cell r="L424">
            <v>1472</v>
          </cell>
          <cell r="M424">
            <v>0</v>
          </cell>
        </row>
        <row r="425">
          <cell r="A425">
            <v>321</v>
          </cell>
          <cell r="B425" t="str">
            <v/>
          </cell>
          <cell r="C425" t="str">
            <v>BUTLERS ESPRESSO LIQUEUR  750ML</v>
          </cell>
          <cell r="D425" t="str">
            <v/>
          </cell>
          <cell r="E425" t="str">
            <v/>
          </cell>
          <cell r="F425" t="str">
            <v>Pcs</v>
          </cell>
          <cell r="G425">
            <v>69</v>
          </cell>
          <cell r="H425" t="str">
            <v/>
          </cell>
          <cell r="I425">
            <v>0</v>
          </cell>
          <cell r="J425">
            <v>0</v>
          </cell>
          <cell r="K425">
            <v>69</v>
          </cell>
          <cell r="L425">
            <v>1472</v>
          </cell>
          <cell r="M425">
            <v>101568</v>
          </cell>
        </row>
        <row r="426">
          <cell r="A426">
            <v>322</v>
          </cell>
          <cell r="B426" t="str">
            <v/>
          </cell>
          <cell r="C426" t="str">
            <v>BUTLERS GINGER 750ML</v>
          </cell>
          <cell r="D426" t="str">
            <v/>
          </cell>
          <cell r="E426" t="str">
            <v/>
          </cell>
          <cell r="F426" t="str">
            <v>Pcs</v>
          </cell>
          <cell r="G426">
            <v>48</v>
          </cell>
          <cell r="H426" t="str">
            <v/>
          </cell>
          <cell r="I426">
            <v>0</v>
          </cell>
          <cell r="J426">
            <v>0</v>
          </cell>
          <cell r="K426">
            <v>48</v>
          </cell>
          <cell r="L426">
            <v>1472</v>
          </cell>
          <cell r="M426">
            <v>70656</v>
          </cell>
        </row>
        <row r="427">
          <cell r="A427">
            <v>323</v>
          </cell>
          <cell r="B427" t="str">
            <v/>
          </cell>
          <cell r="C427" t="str">
            <v>BUTLERS PEPPERMINT 750ML</v>
          </cell>
          <cell r="D427" t="str">
            <v/>
          </cell>
          <cell r="E427" t="str">
            <v/>
          </cell>
          <cell r="F427" t="str">
            <v>Pcs</v>
          </cell>
          <cell r="G427">
            <v>1</v>
          </cell>
          <cell r="H427" t="str">
            <v/>
          </cell>
          <cell r="I427">
            <v>0</v>
          </cell>
          <cell r="J427">
            <v>0</v>
          </cell>
          <cell r="K427">
            <v>1</v>
          </cell>
          <cell r="L427">
            <v>1472</v>
          </cell>
          <cell r="M427">
            <v>1472</v>
          </cell>
        </row>
        <row r="428">
          <cell r="A428">
            <v>325</v>
          </cell>
          <cell r="B428" t="str">
            <v/>
          </cell>
          <cell r="C428" t="str">
            <v>BUTLERS TRIPLE SEC LIQUEUR 750ML</v>
          </cell>
          <cell r="D428" t="str">
            <v/>
          </cell>
          <cell r="E428" t="str">
            <v/>
          </cell>
          <cell r="F428" t="str">
            <v>Pcs</v>
          </cell>
          <cell r="G428">
            <v>0</v>
          </cell>
          <cell r="H428" t="str">
            <v/>
          </cell>
          <cell r="I428">
            <v>0</v>
          </cell>
          <cell r="J428">
            <v>0</v>
          </cell>
          <cell r="K428">
            <v>0</v>
          </cell>
          <cell r="L428">
            <v>1500</v>
          </cell>
          <cell r="M428">
            <v>0</v>
          </cell>
        </row>
        <row r="429">
          <cell r="A429">
            <v>504</v>
          </cell>
          <cell r="B429" t="str">
            <v/>
          </cell>
          <cell r="C429" t="str">
            <v>COINTREAU LIQUEUR 1LTR</v>
          </cell>
          <cell r="D429" t="str">
            <v/>
          </cell>
          <cell r="E429" t="str">
            <v/>
          </cell>
          <cell r="F429" t="str">
            <v>Pcs</v>
          </cell>
          <cell r="G429">
            <v>60</v>
          </cell>
          <cell r="H429" t="str">
            <v/>
          </cell>
          <cell r="I429">
            <v>0</v>
          </cell>
          <cell r="J429">
            <v>12</v>
          </cell>
          <cell r="K429">
            <v>48</v>
          </cell>
          <cell r="L429">
            <v>2653</v>
          </cell>
          <cell r="M429">
            <v>127344</v>
          </cell>
        </row>
        <row r="430">
          <cell r="A430">
            <v>505</v>
          </cell>
          <cell r="B430" t="str">
            <v/>
          </cell>
          <cell r="C430" t="str">
            <v>COINTREAU LIQUEUR 700ML</v>
          </cell>
          <cell r="D430" t="str">
            <v/>
          </cell>
          <cell r="E430" t="str">
            <v/>
          </cell>
          <cell r="F430" t="str">
            <v>Pcs</v>
          </cell>
          <cell r="G430">
            <v>0</v>
          </cell>
          <cell r="H430" t="str">
            <v/>
          </cell>
          <cell r="I430">
            <v>0</v>
          </cell>
          <cell r="J430">
            <v>0</v>
          </cell>
          <cell r="K430">
            <v>0</v>
          </cell>
          <cell r="L430">
            <v>2450</v>
          </cell>
          <cell r="M430">
            <v>0</v>
          </cell>
        </row>
        <row r="431">
          <cell r="A431">
            <v>610</v>
          </cell>
          <cell r="B431" t="str">
            <v/>
          </cell>
          <cell r="C431" t="str">
            <v>DISARONNO LIQUEUR 1ltr</v>
          </cell>
          <cell r="D431" t="str">
            <v/>
          </cell>
          <cell r="E431" t="str">
            <v/>
          </cell>
          <cell r="F431" t="str">
            <v>Pcs</v>
          </cell>
          <cell r="G431">
            <v>1</v>
          </cell>
          <cell r="H431" t="str">
            <v/>
          </cell>
          <cell r="I431">
            <v>0</v>
          </cell>
          <cell r="J431">
            <v>0</v>
          </cell>
          <cell r="K431">
            <v>1</v>
          </cell>
          <cell r="L431">
            <v>2760</v>
          </cell>
          <cell r="M431">
            <v>2760</v>
          </cell>
        </row>
        <row r="432">
          <cell r="A432">
            <v>611</v>
          </cell>
          <cell r="B432" t="str">
            <v/>
          </cell>
          <cell r="C432" t="str">
            <v>DISARONNO VELVET 700ML</v>
          </cell>
          <cell r="D432" t="str">
            <v/>
          </cell>
          <cell r="E432" t="str">
            <v/>
          </cell>
          <cell r="F432" t="str">
            <v>Pcs</v>
          </cell>
          <cell r="G432">
            <v>0</v>
          </cell>
          <cell r="H432" t="str">
            <v/>
          </cell>
          <cell r="I432">
            <v>0</v>
          </cell>
          <cell r="J432">
            <v>0</v>
          </cell>
          <cell r="K432">
            <v>0</v>
          </cell>
          <cell r="L432">
            <v>3220</v>
          </cell>
          <cell r="M432">
            <v>0</v>
          </cell>
        </row>
        <row r="433">
          <cell r="A433">
            <v>684</v>
          </cell>
          <cell r="B433" t="str">
            <v/>
          </cell>
          <cell r="C433" t="str">
            <v>FERNET BRANCA LIQUEUR 1LTR</v>
          </cell>
          <cell r="D433" t="str">
            <v/>
          </cell>
          <cell r="E433" t="str">
            <v/>
          </cell>
          <cell r="F433" t="str">
            <v>Pcs</v>
          </cell>
          <cell r="G433">
            <v>0</v>
          </cell>
          <cell r="H433" t="str">
            <v/>
          </cell>
          <cell r="I433">
            <v>0</v>
          </cell>
          <cell r="J433">
            <v>0</v>
          </cell>
          <cell r="K433">
            <v>0</v>
          </cell>
          <cell r="L433">
            <v>3082</v>
          </cell>
          <cell r="M433">
            <v>0</v>
          </cell>
        </row>
        <row r="434">
          <cell r="A434">
            <v>685</v>
          </cell>
          <cell r="B434" t="str">
            <v/>
          </cell>
          <cell r="C434" t="str">
            <v>FERNET BRANCA LIQUEUR 700ML</v>
          </cell>
          <cell r="D434" t="str">
            <v/>
          </cell>
          <cell r="E434" t="str">
            <v/>
          </cell>
          <cell r="F434" t="str">
            <v>Pcs</v>
          </cell>
          <cell r="G434">
            <v>24</v>
          </cell>
          <cell r="H434" t="str">
            <v/>
          </cell>
          <cell r="I434">
            <v>0</v>
          </cell>
          <cell r="J434">
            <v>0</v>
          </cell>
          <cell r="K434">
            <v>24</v>
          </cell>
          <cell r="L434">
            <v>2500</v>
          </cell>
          <cell r="M434">
            <v>60000</v>
          </cell>
        </row>
        <row r="435">
          <cell r="A435">
            <v>768</v>
          </cell>
          <cell r="B435" t="str">
            <v/>
          </cell>
          <cell r="C435" t="str">
            <v>FRANGELICO 1LTR</v>
          </cell>
          <cell r="D435" t="str">
            <v/>
          </cell>
          <cell r="E435" t="str">
            <v/>
          </cell>
          <cell r="F435" t="str">
            <v>Pcs</v>
          </cell>
          <cell r="G435">
            <v>132</v>
          </cell>
          <cell r="H435" t="str">
            <v/>
          </cell>
          <cell r="I435">
            <v>0</v>
          </cell>
          <cell r="J435">
            <v>0</v>
          </cell>
          <cell r="K435">
            <v>132</v>
          </cell>
          <cell r="L435">
            <v>2300</v>
          </cell>
          <cell r="M435">
            <v>303600</v>
          </cell>
        </row>
        <row r="436">
          <cell r="A436">
            <v>769</v>
          </cell>
          <cell r="B436" t="str">
            <v/>
          </cell>
          <cell r="C436" t="str">
            <v>FRANGELICO LIQUEUR 750ML</v>
          </cell>
          <cell r="D436" t="str">
            <v/>
          </cell>
          <cell r="E436" t="str">
            <v/>
          </cell>
          <cell r="F436" t="str">
            <v>Pcs</v>
          </cell>
          <cell r="G436">
            <v>6</v>
          </cell>
          <cell r="H436" t="str">
            <v/>
          </cell>
          <cell r="I436">
            <v>0</v>
          </cell>
          <cell r="J436">
            <v>0</v>
          </cell>
          <cell r="K436">
            <v>6</v>
          </cell>
          <cell r="L436">
            <v>1840</v>
          </cell>
          <cell r="M436">
            <v>11040</v>
          </cell>
        </row>
        <row r="437">
          <cell r="A437">
            <v>901</v>
          </cell>
          <cell r="B437" t="str">
            <v/>
          </cell>
          <cell r="C437" t="str">
            <v>GRAND MANIER LIQUEUR 750ML</v>
          </cell>
          <cell r="D437" t="str">
            <v/>
          </cell>
          <cell r="E437" t="str">
            <v/>
          </cell>
          <cell r="F437" t="str">
            <v>Pcs</v>
          </cell>
          <cell r="G437">
            <v>0</v>
          </cell>
          <cell r="H437" t="str">
            <v/>
          </cell>
          <cell r="I437">
            <v>0</v>
          </cell>
          <cell r="J437">
            <v>0</v>
          </cell>
          <cell r="K437">
            <v>0</v>
          </cell>
          <cell r="L437">
            <v>3220</v>
          </cell>
          <cell r="M437">
            <v>0</v>
          </cell>
        </row>
        <row r="438">
          <cell r="A438">
            <v>902</v>
          </cell>
          <cell r="B438" t="str">
            <v/>
          </cell>
          <cell r="C438" t="str">
            <v>GRAND MARNIER 350ML</v>
          </cell>
          <cell r="D438" t="str">
            <v/>
          </cell>
          <cell r="E438" t="str">
            <v/>
          </cell>
          <cell r="F438" t="str">
            <v>Pcs</v>
          </cell>
          <cell r="G438">
            <v>12</v>
          </cell>
          <cell r="H438" t="str">
            <v/>
          </cell>
          <cell r="I438">
            <v>0</v>
          </cell>
          <cell r="J438">
            <v>0</v>
          </cell>
          <cell r="K438">
            <v>12</v>
          </cell>
          <cell r="L438">
            <v>1840</v>
          </cell>
          <cell r="M438">
            <v>22080</v>
          </cell>
        </row>
        <row r="439">
          <cell r="A439">
            <v>903</v>
          </cell>
          <cell r="B439" t="str">
            <v/>
          </cell>
          <cell r="C439" t="str">
            <v>GRAND MARNIER LIQUEUR 1LTR</v>
          </cell>
          <cell r="D439" t="str">
            <v/>
          </cell>
          <cell r="E439" t="str">
            <v/>
          </cell>
          <cell r="F439" t="str">
            <v>Pcs</v>
          </cell>
          <cell r="G439">
            <v>0</v>
          </cell>
          <cell r="H439" t="str">
            <v/>
          </cell>
          <cell r="I439">
            <v>0</v>
          </cell>
          <cell r="J439">
            <v>0</v>
          </cell>
          <cell r="K439">
            <v>0</v>
          </cell>
          <cell r="L439">
            <v>3680</v>
          </cell>
          <cell r="M439">
            <v>0</v>
          </cell>
        </row>
        <row r="440">
          <cell r="A440">
            <v>2959</v>
          </cell>
          <cell r="B440" t="str">
            <v/>
          </cell>
          <cell r="C440" t="str">
            <v>HEERING CHERRY LIQUEUR 700ML</v>
          </cell>
          <cell r="D440" t="str">
            <v/>
          </cell>
          <cell r="E440" t="str">
            <v/>
          </cell>
          <cell r="F440" t="str">
            <v>Pcs</v>
          </cell>
          <cell r="G440">
            <v>0</v>
          </cell>
          <cell r="H440" t="str">
            <v/>
          </cell>
          <cell r="I440">
            <v>0</v>
          </cell>
          <cell r="J440">
            <v>0</v>
          </cell>
          <cell r="K440">
            <v>0</v>
          </cell>
          <cell r="L440">
            <v>1900</v>
          </cell>
          <cell r="M440">
            <v>0</v>
          </cell>
        </row>
        <row r="441">
          <cell r="A441">
            <v>2960</v>
          </cell>
          <cell r="B441" t="str">
            <v/>
          </cell>
          <cell r="C441" t="str">
            <v>ICE TROPEZ 275ML</v>
          </cell>
          <cell r="D441" t="str">
            <v/>
          </cell>
          <cell r="E441" t="str">
            <v/>
          </cell>
          <cell r="F441" t="str">
            <v>Pcs</v>
          </cell>
          <cell r="G441">
            <v>12</v>
          </cell>
          <cell r="H441" t="str">
            <v/>
          </cell>
          <cell r="I441">
            <v>0</v>
          </cell>
          <cell r="J441">
            <v>0</v>
          </cell>
          <cell r="K441">
            <v>12</v>
          </cell>
          <cell r="L441">
            <v>300</v>
          </cell>
          <cell r="M441">
            <v>3600</v>
          </cell>
        </row>
        <row r="442">
          <cell r="A442">
            <v>2824</v>
          </cell>
          <cell r="B442" t="str">
            <v/>
          </cell>
          <cell r="C442" t="str">
            <v>JAGERMEISTER 1.75L</v>
          </cell>
          <cell r="D442" t="str">
            <v/>
          </cell>
          <cell r="E442" t="str">
            <v/>
          </cell>
          <cell r="F442" t="str">
            <v>Pcs</v>
          </cell>
          <cell r="G442">
            <v>0</v>
          </cell>
          <cell r="H442" t="str">
            <v/>
          </cell>
          <cell r="I442">
            <v>0</v>
          </cell>
          <cell r="J442">
            <v>0</v>
          </cell>
          <cell r="K442">
            <v>0</v>
          </cell>
          <cell r="L442">
            <v>3000</v>
          </cell>
          <cell r="M442">
            <v>0</v>
          </cell>
        </row>
        <row r="443">
          <cell r="A443">
            <v>1046</v>
          </cell>
          <cell r="B443" t="str">
            <v/>
          </cell>
          <cell r="C443" t="str">
            <v>JAGERMEISTER 1LTR</v>
          </cell>
          <cell r="D443" t="str">
            <v/>
          </cell>
          <cell r="E443" t="str">
            <v/>
          </cell>
          <cell r="F443" t="str">
            <v>Pcs</v>
          </cell>
          <cell r="G443">
            <v>0</v>
          </cell>
          <cell r="H443" t="str">
            <v/>
          </cell>
          <cell r="I443">
            <v>0</v>
          </cell>
          <cell r="J443">
            <v>0</v>
          </cell>
          <cell r="K443">
            <v>0</v>
          </cell>
          <cell r="L443">
            <v>2580</v>
          </cell>
          <cell r="M443">
            <v>0</v>
          </cell>
        </row>
        <row r="444">
          <cell r="A444">
            <v>1047</v>
          </cell>
          <cell r="B444" t="str">
            <v/>
          </cell>
          <cell r="C444" t="str">
            <v>JAGERMEISTER 350ML</v>
          </cell>
          <cell r="D444" t="str">
            <v/>
          </cell>
          <cell r="E444" t="str">
            <v/>
          </cell>
          <cell r="F444" t="str">
            <v>Pcs</v>
          </cell>
          <cell r="G444">
            <v>186</v>
          </cell>
          <cell r="H444" t="str">
            <v/>
          </cell>
          <cell r="I444">
            <v>0</v>
          </cell>
          <cell r="J444">
            <v>78</v>
          </cell>
          <cell r="K444">
            <v>108</v>
          </cell>
          <cell r="L444">
            <v>1288</v>
          </cell>
          <cell r="M444">
            <v>139104</v>
          </cell>
        </row>
        <row r="445">
          <cell r="A445">
            <v>2937</v>
          </cell>
          <cell r="B445" t="str">
            <v/>
          </cell>
          <cell r="C445" t="str">
            <v>JAGERMEISTER 3L</v>
          </cell>
          <cell r="D445" t="str">
            <v/>
          </cell>
          <cell r="E445" t="str">
            <v/>
          </cell>
          <cell r="F445" t="str">
            <v>Pcs</v>
          </cell>
          <cell r="G445">
            <v>2</v>
          </cell>
          <cell r="H445" t="str">
            <v/>
          </cell>
          <cell r="I445">
            <v>0</v>
          </cell>
          <cell r="J445">
            <v>0</v>
          </cell>
          <cell r="K445">
            <v>2</v>
          </cell>
          <cell r="L445">
            <v>8000</v>
          </cell>
          <cell r="M445">
            <v>16000</v>
          </cell>
        </row>
        <row r="446">
          <cell r="A446">
            <v>1048</v>
          </cell>
          <cell r="B446" t="str">
            <v/>
          </cell>
          <cell r="C446" t="str">
            <v>JAGERMEISTER 750ML</v>
          </cell>
          <cell r="D446" t="str">
            <v/>
          </cell>
          <cell r="E446" t="str">
            <v/>
          </cell>
          <cell r="F446" t="str">
            <v>Pcs</v>
          </cell>
          <cell r="G446">
            <v>386</v>
          </cell>
          <cell r="H446" t="str">
            <v/>
          </cell>
          <cell r="I446">
            <v>0</v>
          </cell>
          <cell r="J446">
            <v>0</v>
          </cell>
          <cell r="K446">
            <v>386</v>
          </cell>
          <cell r="L446">
            <v>2024</v>
          </cell>
          <cell r="M446">
            <v>781264</v>
          </cell>
        </row>
        <row r="447">
          <cell r="A447">
            <v>2398</v>
          </cell>
          <cell r="B447" t="str">
            <v/>
          </cell>
          <cell r="C447" t="str">
            <v>JAGERMEISTER COLD BREW 1LTR</v>
          </cell>
          <cell r="D447" t="str">
            <v/>
          </cell>
          <cell r="E447" t="str">
            <v/>
          </cell>
          <cell r="F447" t="str">
            <v>Pcs</v>
          </cell>
          <cell r="G447">
            <v>0</v>
          </cell>
          <cell r="H447" t="str">
            <v/>
          </cell>
          <cell r="I447">
            <v>0</v>
          </cell>
          <cell r="J447">
            <v>0</v>
          </cell>
          <cell r="K447">
            <v>0</v>
          </cell>
          <cell r="L447">
            <v>2352</v>
          </cell>
          <cell r="M447">
            <v>0</v>
          </cell>
        </row>
        <row r="448">
          <cell r="A448">
            <v>2939</v>
          </cell>
          <cell r="B448" t="str">
            <v/>
          </cell>
          <cell r="C448" t="str">
            <v>JAGERMEISTER ORANGE 1L</v>
          </cell>
          <cell r="D448" t="str">
            <v/>
          </cell>
          <cell r="E448" t="str">
            <v/>
          </cell>
          <cell r="F448" t="str">
            <v>Pcs</v>
          </cell>
          <cell r="G448">
            <v>0</v>
          </cell>
          <cell r="H448" t="str">
            <v/>
          </cell>
          <cell r="I448">
            <v>2</v>
          </cell>
          <cell r="J448">
            <v>2</v>
          </cell>
          <cell r="K448">
            <v>0</v>
          </cell>
          <cell r="L448">
            <v>2800</v>
          </cell>
          <cell r="M448">
            <v>0</v>
          </cell>
        </row>
        <row r="449">
          <cell r="A449">
            <v>2938</v>
          </cell>
          <cell r="B449" t="str">
            <v/>
          </cell>
          <cell r="C449" t="str">
            <v>JAGERMEISTER ORANGE 700ML</v>
          </cell>
          <cell r="D449" t="str">
            <v/>
          </cell>
          <cell r="E449" t="str">
            <v/>
          </cell>
          <cell r="F449" t="str">
            <v>Pcs</v>
          </cell>
          <cell r="G449">
            <v>0</v>
          </cell>
          <cell r="H449" t="str">
            <v/>
          </cell>
          <cell r="I449">
            <v>0</v>
          </cell>
          <cell r="J449">
            <v>0</v>
          </cell>
          <cell r="K449">
            <v>0</v>
          </cell>
          <cell r="L449">
            <v>2200</v>
          </cell>
          <cell r="M449">
            <v>0</v>
          </cell>
        </row>
        <row r="450">
          <cell r="A450">
            <v>1050</v>
          </cell>
          <cell r="B450" t="str">
            <v/>
          </cell>
          <cell r="C450" t="str">
            <v>JAGERMEISTER WITH CORK  1LTR </v>
          </cell>
          <cell r="D450" t="str">
            <v/>
          </cell>
          <cell r="E450" t="str">
            <v/>
          </cell>
          <cell r="F450" t="str">
            <v>Pcs</v>
          </cell>
          <cell r="G450">
            <v>1805</v>
          </cell>
          <cell r="H450" t="str">
            <v/>
          </cell>
          <cell r="I450">
            <v>0</v>
          </cell>
          <cell r="J450">
            <v>398</v>
          </cell>
          <cell r="K450">
            <v>1407</v>
          </cell>
          <cell r="L450">
            <v>2580</v>
          </cell>
          <cell r="M450">
            <v>3630060</v>
          </cell>
        </row>
        <row r="451">
          <cell r="A451">
            <v>1051</v>
          </cell>
          <cell r="B451" t="str">
            <v/>
          </cell>
          <cell r="C451" t="str">
            <v>JAGERMEISTER WITH CORK  750ML </v>
          </cell>
          <cell r="D451" t="str">
            <v/>
          </cell>
          <cell r="E451" t="str">
            <v/>
          </cell>
          <cell r="F451" t="str">
            <v>Pcs</v>
          </cell>
          <cell r="G451">
            <v>5</v>
          </cell>
          <cell r="H451" t="str">
            <v/>
          </cell>
          <cell r="I451">
            <v>30</v>
          </cell>
          <cell r="J451">
            <v>35</v>
          </cell>
          <cell r="K451">
            <v>0</v>
          </cell>
          <cell r="L451">
            <v>2100</v>
          </cell>
          <cell r="M451">
            <v>0</v>
          </cell>
        </row>
        <row r="452">
          <cell r="A452">
            <v>1167</v>
          </cell>
          <cell r="B452" t="str">
            <v/>
          </cell>
          <cell r="C452" t="str">
            <v>KAHLUA  1LTR</v>
          </cell>
          <cell r="D452" t="str">
            <v/>
          </cell>
          <cell r="E452" t="str">
            <v/>
          </cell>
          <cell r="F452" t="str">
            <v>Pcs</v>
          </cell>
          <cell r="G452">
            <v>722</v>
          </cell>
          <cell r="H452" t="str">
            <v/>
          </cell>
          <cell r="I452">
            <v>0</v>
          </cell>
          <cell r="J452">
            <v>36</v>
          </cell>
          <cell r="K452">
            <v>686</v>
          </cell>
          <cell r="L452">
            <v>2060</v>
          </cell>
          <cell r="M452">
            <v>1413160</v>
          </cell>
        </row>
        <row r="453">
          <cell r="A453">
            <v>1168</v>
          </cell>
          <cell r="B453" t="str">
            <v/>
          </cell>
          <cell r="C453" t="str">
            <v>KAHLUA 700ML</v>
          </cell>
          <cell r="D453" t="str">
            <v/>
          </cell>
          <cell r="E453" t="str">
            <v/>
          </cell>
          <cell r="F453" t="str">
            <v>Pcs</v>
          </cell>
          <cell r="G453">
            <v>0</v>
          </cell>
          <cell r="H453" t="str">
            <v/>
          </cell>
          <cell r="I453">
            <v>0</v>
          </cell>
          <cell r="J453">
            <v>0</v>
          </cell>
          <cell r="K453">
            <v>0</v>
          </cell>
          <cell r="L453">
            <v>1228</v>
          </cell>
          <cell r="M453">
            <v>0</v>
          </cell>
        </row>
        <row r="454">
          <cell r="A454">
            <v>1169</v>
          </cell>
          <cell r="B454" t="str">
            <v/>
          </cell>
          <cell r="C454" t="str">
            <v>KAHLUA COFFEE LIQUEUR 750ML</v>
          </cell>
          <cell r="D454" t="str">
            <v/>
          </cell>
          <cell r="E454" t="str">
            <v/>
          </cell>
          <cell r="F454" t="str">
            <v>Pcs</v>
          </cell>
          <cell r="G454">
            <v>627</v>
          </cell>
          <cell r="H454" t="str">
            <v/>
          </cell>
          <cell r="I454">
            <v>0</v>
          </cell>
          <cell r="J454">
            <v>0</v>
          </cell>
          <cell r="K454">
            <v>627</v>
          </cell>
          <cell r="L454">
            <v>1228</v>
          </cell>
          <cell r="M454">
            <v>769956</v>
          </cell>
        </row>
        <row r="455">
          <cell r="A455">
            <v>2619</v>
          </cell>
          <cell r="B455" t="str">
            <v/>
          </cell>
          <cell r="C455" t="str">
            <v>ORIJIN BITTERS 250ML</v>
          </cell>
          <cell r="D455" t="str">
            <v/>
          </cell>
          <cell r="E455" t="str">
            <v/>
          </cell>
          <cell r="F455" t="str">
            <v>Pcs</v>
          </cell>
          <cell r="G455">
            <v>480</v>
          </cell>
          <cell r="H455" t="str">
            <v/>
          </cell>
          <cell r="I455">
            <v>40</v>
          </cell>
          <cell r="J455">
            <v>80</v>
          </cell>
          <cell r="K455">
            <v>440</v>
          </cell>
          <cell r="L455">
            <v>232</v>
          </cell>
          <cell r="M455">
            <v>102080</v>
          </cell>
        </row>
        <row r="456">
          <cell r="A456">
            <v>2855</v>
          </cell>
          <cell r="B456" t="str">
            <v/>
          </cell>
          <cell r="C456" t="str">
            <v>ORIJIN BITTERS 750ml</v>
          </cell>
          <cell r="D456" t="str">
            <v/>
          </cell>
          <cell r="E456" t="str">
            <v/>
          </cell>
          <cell r="F456" t="str">
            <v>Pcs</v>
          </cell>
          <cell r="G456">
            <v>108</v>
          </cell>
          <cell r="H456" t="str">
            <v/>
          </cell>
          <cell r="I456">
            <v>0</v>
          </cell>
          <cell r="J456">
            <v>36</v>
          </cell>
          <cell r="K456">
            <v>72</v>
          </cell>
          <cell r="L456">
            <v>603</v>
          </cell>
          <cell r="M456">
            <v>43416</v>
          </cell>
        </row>
        <row r="457">
          <cell r="A457">
            <v>1616</v>
          </cell>
          <cell r="B457" t="str">
            <v/>
          </cell>
          <cell r="C457" t="str">
            <v>PERNOD 1LTR</v>
          </cell>
          <cell r="D457" t="str">
            <v/>
          </cell>
          <cell r="E457" t="str">
            <v/>
          </cell>
          <cell r="F457" t="str">
            <v>Pcs</v>
          </cell>
          <cell r="G457">
            <v>48</v>
          </cell>
          <cell r="H457" t="str">
            <v/>
          </cell>
          <cell r="I457">
            <v>0</v>
          </cell>
          <cell r="J457">
            <v>0</v>
          </cell>
          <cell r="K457">
            <v>48</v>
          </cell>
          <cell r="L457">
            <v>2300</v>
          </cell>
          <cell r="M457">
            <v>110400</v>
          </cell>
        </row>
        <row r="458">
          <cell r="A458">
            <v>1617</v>
          </cell>
          <cell r="B458" t="str">
            <v/>
          </cell>
          <cell r="C458" t="str">
            <v>PERNOD LIQUEUR 700ML</v>
          </cell>
          <cell r="D458" t="str">
            <v/>
          </cell>
          <cell r="E458" t="str">
            <v/>
          </cell>
          <cell r="F458" t="str">
            <v>Pcs</v>
          </cell>
          <cell r="G458">
            <v>0</v>
          </cell>
          <cell r="H458" t="str">
            <v/>
          </cell>
          <cell r="I458">
            <v>0</v>
          </cell>
          <cell r="J458">
            <v>0</v>
          </cell>
          <cell r="K458">
            <v>0</v>
          </cell>
          <cell r="L458">
            <v>1840</v>
          </cell>
          <cell r="M458">
            <v>0</v>
          </cell>
        </row>
        <row r="459">
          <cell r="A459">
            <v>1627</v>
          </cell>
          <cell r="B459" t="str">
            <v/>
          </cell>
          <cell r="C459" t="str">
            <v>PIMMS LIQUEUR 1LTR</v>
          </cell>
          <cell r="D459" t="str">
            <v/>
          </cell>
          <cell r="E459" t="str">
            <v/>
          </cell>
          <cell r="F459" t="str">
            <v>Pcs</v>
          </cell>
          <cell r="G459">
            <v>5</v>
          </cell>
          <cell r="H459" t="str">
            <v/>
          </cell>
          <cell r="I459">
            <v>0</v>
          </cell>
          <cell r="J459">
            <v>0</v>
          </cell>
          <cell r="K459">
            <v>5</v>
          </cell>
          <cell r="L459">
            <v>2116</v>
          </cell>
          <cell r="M459">
            <v>10580</v>
          </cell>
        </row>
        <row r="460">
          <cell r="A460">
            <v>1628</v>
          </cell>
          <cell r="B460" t="str">
            <v/>
          </cell>
          <cell r="C460" t="str">
            <v>PIMMS NO. 1 750ML</v>
          </cell>
          <cell r="D460" t="str">
            <v/>
          </cell>
          <cell r="E460" t="str">
            <v/>
          </cell>
          <cell r="F460" t="str">
            <v>Pcs</v>
          </cell>
          <cell r="G460">
            <v>108</v>
          </cell>
          <cell r="H460" t="str">
            <v/>
          </cell>
          <cell r="I460">
            <v>0</v>
          </cell>
          <cell r="J460">
            <v>0</v>
          </cell>
          <cell r="K460">
            <v>108</v>
          </cell>
          <cell r="L460">
            <v>1472</v>
          </cell>
          <cell r="M460">
            <v>158976</v>
          </cell>
        </row>
        <row r="461">
          <cell r="A461">
            <v>2964</v>
          </cell>
          <cell r="B461" t="str">
            <v/>
          </cell>
          <cell r="C461" t="str">
            <v>SALMARI PREMIUM LIQOUR 3L</v>
          </cell>
          <cell r="D461" t="str">
            <v/>
          </cell>
          <cell r="E461" t="str">
            <v/>
          </cell>
          <cell r="F461" t="str">
            <v>Pcs</v>
          </cell>
          <cell r="G461">
            <v>2</v>
          </cell>
          <cell r="H461" t="str">
            <v/>
          </cell>
          <cell r="I461">
            <v>0</v>
          </cell>
          <cell r="J461">
            <v>0</v>
          </cell>
          <cell r="K461">
            <v>2</v>
          </cell>
          <cell r="L461">
            <v>8650</v>
          </cell>
          <cell r="M461">
            <v>17300</v>
          </cell>
        </row>
        <row r="462">
          <cell r="A462">
            <v>1781</v>
          </cell>
          <cell r="B462" t="str">
            <v/>
          </cell>
          <cell r="C462" t="str">
            <v>SHERIDAN'S LIQUEUR 1LTR</v>
          </cell>
          <cell r="D462" t="str">
            <v/>
          </cell>
          <cell r="E462" t="str">
            <v/>
          </cell>
          <cell r="F462" t="str">
            <v>Pcs</v>
          </cell>
          <cell r="G462">
            <v>0</v>
          </cell>
          <cell r="H462" t="str">
            <v/>
          </cell>
          <cell r="I462">
            <v>0</v>
          </cell>
          <cell r="J462">
            <v>0</v>
          </cell>
          <cell r="K462">
            <v>0</v>
          </cell>
          <cell r="L462">
            <v>3800</v>
          </cell>
          <cell r="M462">
            <v>0</v>
          </cell>
        </row>
        <row r="463">
          <cell r="A463">
            <v>1782</v>
          </cell>
          <cell r="B463" t="str">
            <v/>
          </cell>
          <cell r="C463" t="str">
            <v>SHERIDANS LIQUEUR 750ML</v>
          </cell>
          <cell r="D463" t="str">
            <v/>
          </cell>
          <cell r="E463" t="str">
            <v/>
          </cell>
          <cell r="F463" t="str">
            <v>Pcs</v>
          </cell>
          <cell r="G463">
            <v>0</v>
          </cell>
          <cell r="H463" t="str">
            <v/>
          </cell>
          <cell r="I463">
            <v>0</v>
          </cell>
          <cell r="J463">
            <v>0</v>
          </cell>
          <cell r="K463">
            <v>0</v>
          </cell>
          <cell r="L463">
            <v>3220</v>
          </cell>
          <cell r="M463">
            <v>0</v>
          </cell>
        </row>
        <row r="464">
          <cell r="A464">
            <v>1897</v>
          </cell>
          <cell r="B464" t="str">
            <v/>
          </cell>
          <cell r="C464" t="str">
            <v>STRAWBERRY LIPS LIQUEUR 750ML</v>
          </cell>
          <cell r="D464" t="str">
            <v/>
          </cell>
          <cell r="E464" t="str">
            <v/>
          </cell>
          <cell r="F464" t="str">
            <v>Pcs</v>
          </cell>
          <cell r="G464">
            <v>0</v>
          </cell>
          <cell r="H464" t="str">
            <v/>
          </cell>
          <cell r="I464">
            <v>0</v>
          </cell>
          <cell r="J464">
            <v>0</v>
          </cell>
          <cell r="K464">
            <v>0</v>
          </cell>
          <cell r="L464">
            <v>1840</v>
          </cell>
          <cell r="M464">
            <v>0</v>
          </cell>
        </row>
        <row r="465">
          <cell r="A465">
            <v>1931</v>
          </cell>
          <cell r="B465" t="str">
            <v/>
          </cell>
          <cell r="C465" t="str">
            <v>TANG SOUR  - APPLE 750ML</v>
          </cell>
          <cell r="D465" t="str">
            <v/>
          </cell>
          <cell r="E465" t="str">
            <v/>
          </cell>
          <cell r="F465" t="str">
            <v>Pcs</v>
          </cell>
          <cell r="G465">
            <v>0</v>
          </cell>
          <cell r="H465" t="str">
            <v/>
          </cell>
          <cell r="I465">
            <v>0</v>
          </cell>
          <cell r="J465">
            <v>0</v>
          </cell>
          <cell r="K465">
            <v>0</v>
          </cell>
          <cell r="L465">
            <v>1380</v>
          </cell>
          <cell r="M465">
            <v>0</v>
          </cell>
        </row>
        <row r="466">
          <cell r="A466">
            <v>1932</v>
          </cell>
          <cell r="B466" t="str">
            <v/>
          </cell>
          <cell r="C466" t="str">
            <v>TANG SOUR CHERRY 750ML</v>
          </cell>
          <cell r="D466" t="str">
            <v/>
          </cell>
          <cell r="E466" t="str">
            <v/>
          </cell>
          <cell r="F466" t="str">
            <v>Pcs</v>
          </cell>
          <cell r="G466">
            <v>24</v>
          </cell>
          <cell r="H466" t="str">
            <v/>
          </cell>
          <cell r="I466">
            <v>0</v>
          </cell>
          <cell r="J466">
            <v>0</v>
          </cell>
          <cell r="K466">
            <v>24</v>
          </cell>
          <cell r="L466">
            <v>2100</v>
          </cell>
          <cell r="M466">
            <v>50400</v>
          </cell>
        </row>
        <row r="467">
          <cell r="A467">
            <v>1990</v>
          </cell>
          <cell r="B467" t="str">
            <v/>
          </cell>
          <cell r="C467" t="str">
            <v>TIA MARIA COFFEE LIQUOR 1LT</v>
          </cell>
          <cell r="D467" t="str">
            <v/>
          </cell>
          <cell r="E467" t="str">
            <v/>
          </cell>
          <cell r="F467" t="str">
            <v>Pcs</v>
          </cell>
          <cell r="G467">
            <v>12</v>
          </cell>
          <cell r="H467" t="str">
            <v/>
          </cell>
          <cell r="I467">
            <v>0</v>
          </cell>
          <cell r="J467">
            <v>2</v>
          </cell>
          <cell r="K467">
            <v>10</v>
          </cell>
          <cell r="L467">
            <v>2760</v>
          </cell>
          <cell r="M467">
            <v>27600</v>
          </cell>
        </row>
        <row r="468">
          <cell r="A468">
            <v>1991</v>
          </cell>
          <cell r="B468" t="str">
            <v/>
          </cell>
          <cell r="C468" t="str">
            <v>TIA MARIA DARK LIQOUR 1LT</v>
          </cell>
          <cell r="D468" t="str">
            <v/>
          </cell>
          <cell r="E468" t="str">
            <v/>
          </cell>
          <cell r="F468" t="str">
            <v>Pcs</v>
          </cell>
          <cell r="G468">
            <v>0</v>
          </cell>
          <cell r="H468" t="str">
            <v/>
          </cell>
          <cell r="I468">
            <v>0</v>
          </cell>
          <cell r="J468">
            <v>0</v>
          </cell>
          <cell r="K468">
            <v>0</v>
          </cell>
          <cell r="L468">
            <v>2760</v>
          </cell>
          <cell r="M468">
            <v>0</v>
          </cell>
        </row>
        <row r="469">
          <cell r="A469">
            <v>2854</v>
          </cell>
          <cell r="B469" t="str">
            <v/>
          </cell>
          <cell r="C469" t="str">
            <v>TORRERO 700ML</v>
          </cell>
          <cell r="D469" t="str">
            <v/>
          </cell>
          <cell r="E469" t="str">
            <v/>
          </cell>
          <cell r="F469" t="str">
            <v>Pcs</v>
          </cell>
          <cell r="G469">
            <v>0</v>
          </cell>
          <cell r="H469" t="str">
            <v/>
          </cell>
          <cell r="I469">
            <v>0</v>
          </cell>
          <cell r="J469">
            <v>0</v>
          </cell>
          <cell r="K469">
            <v>0</v>
          </cell>
          <cell r="L469">
            <v>670</v>
          </cell>
          <cell r="M469">
            <v>0</v>
          </cell>
        </row>
        <row r="470">
          <cell r="A470">
            <v>2953</v>
          </cell>
          <cell r="B470" t="str">
            <v/>
          </cell>
          <cell r="C470" t="str">
            <v>UNDERBERG NATURAL HERBAL BITTER 20ML</v>
          </cell>
          <cell r="D470" t="str">
            <v/>
          </cell>
          <cell r="E470" t="str">
            <v/>
          </cell>
          <cell r="F470" t="str">
            <v>Pcs</v>
          </cell>
          <cell r="G470">
            <v>2020</v>
          </cell>
          <cell r="H470" t="str">
            <v/>
          </cell>
          <cell r="I470">
            <v>0</v>
          </cell>
          <cell r="J470">
            <v>0</v>
          </cell>
          <cell r="K470">
            <v>2020</v>
          </cell>
          <cell r="L470">
            <v>120</v>
          </cell>
          <cell r="M470">
            <v>242400</v>
          </cell>
        </row>
        <row r="471">
          <cell r="A471">
            <v>2049</v>
          </cell>
          <cell r="B471" t="str">
            <v/>
          </cell>
          <cell r="C471" t="str">
            <v>VELVET CREAM LIQUEUR 750ml</v>
          </cell>
          <cell r="D471" t="str">
            <v/>
          </cell>
          <cell r="E471" t="str">
            <v/>
          </cell>
          <cell r="F471" t="str">
            <v>Pcs</v>
          </cell>
          <cell r="G471">
            <v>1</v>
          </cell>
          <cell r="H471" t="str">
            <v/>
          </cell>
          <cell r="I471">
            <v>0</v>
          </cell>
          <cell r="J471">
            <v>0</v>
          </cell>
          <cell r="K471">
            <v>1</v>
          </cell>
          <cell r="L471">
            <v>736</v>
          </cell>
          <cell r="M471">
            <v>736</v>
          </cell>
        </row>
        <row r="472">
          <cell r="A472">
            <v>2145</v>
          </cell>
          <cell r="B472" t="str">
            <v/>
          </cell>
          <cell r="C472" t="str">
            <v>ZAPPA - BLACK 750ML</v>
          </cell>
          <cell r="D472" t="str">
            <v/>
          </cell>
          <cell r="E472" t="str">
            <v/>
          </cell>
          <cell r="F472" t="str">
            <v>Pcs</v>
          </cell>
          <cell r="G472">
            <v>0</v>
          </cell>
          <cell r="H472" t="str">
            <v/>
          </cell>
          <cell r="I472">
            <v>0</v>
          </cell>
          <cell r="J472">
            <v>0</v>
          </cell>
          <cell r="K472">
            <v>0</v>
          </cell>
          <cell r="L472">
            <v>1334</v>
          </cell>
          <cell r="M472">
            <v>0</v>
          </cell>
        </row>
        <row r="473">
          <cell r="A473">
            <v>2146</v>
          </cell>
          <cell r="B473" t="str">
            <v/>
          </cell>
          <cell r="C473" t="str">
            <v>ZAPPA - BLUE 750ML</v>
          </cell>
          <cell r="D473" t="str">
            <v/>
          </cell>
          <cell r="E473" t="str">
            <v/>
          </cell>
          <cell r="F473" t="str">
            <v>Pcs</v>
          </cell>
          <cell r="G473">
            <v>50</v>
          </cell>
          <cell r="H473" t="str">
            <v/>
          </cell>
          <cell r="I473">
            <v>0</v>
          </cell>
          <cell r="J473">
            <v>12</v>
          </cell>
          <cell r="K473">
            <v>38</v>
          </cell>
          <cell r="L473">
            <v>1334</v>
          </cell>
          <cell r="M473">
            <v>50692</v>
          </cell>
        </row>
        <row r="474">
          <cell r="A474">
            <v>2147</v>
          </cell>
          <cell r="B474" t="str">
            <v/>
          </cell>
          <cell r="C474" t="str">
            <v>ZAPPA - CLEAR 750ML</v>
          </cell>
          <cell r="D474" t="str">
            <v/>
          </cell>
          <cell r="E474" t="str">
            <v/>
          </cell>
          <cell r="F474" t="str">
            <v>Pcs</v>
          </cell>
          <cell r="G474">
            <v>226</v>
          </cell>
          <cell r="H474" t="str">
            <v/>
          </cell>
          <cell r="I474">
            <v>0</v>
          </cell>
          <cell r="J474">
            <v>0</v>
          </cell>
          <cell r="K474">
            <v>226</v>
          </cell>
          <cell r="L474">
            <v>1334</v>
          </cell>
          <cell r="M474">
            <v>301484</v>
          </cell>
        </row>
        <row r="475">
          <cell r="A475">
            <v>2148</v>
          </cell>
          <cell r="B475" t="str">
            <v/>
          </cell>
          <cell r="C475" t="str">
            <v>ZAPPA - GREEN 750ML</v>
          </cell>
          <cell r="D475" t="str">
            <v/>
          </cell>
          <cell r="E475" t="str">
            <v/>
          </cell>
          <cell r="F475" t="str">
            <v>Pcs</v>
          </cell>
          <cell r="G475">
            <v>78</v>
          </cell>
          <cell r="H475" t="str">
            <v/>
          </cell>
          <cell r="I475">
            <v>0</v>
          </cell>
          <cell r="J475">
            <v>0</v>
          </cell>
          <cell r="K475">
            <v>78</v>
          </cell>
          <cell r="L475">
            <v>1334</v>
          </cell>
          <cell r="M475">
            <v>104052</v>
          </cell>
        </row>
        <row r="476">
          <cell r="A476">
            <v>2149</v>
          </cell>
          <cell r="B476" t="str">
            <v/>
          </cell>
          <cell r="C476" t="str">
            <v>ZAPPA - RED 750ML</v>
          </cell>
          <cell r="D476" t="str">
            <v/>
          </cell>
          <cell r="E476" t="str">
            <v/>
          </cell>
          <cell r="F476" t="str">
            <v>Pcs</v>
          </cell>
          <cell r="G476">
            <v>1</v>
          </cell>
          <cell r="H476" t="str">
            <v/>
          </cell>
          <cell r="I476">
            <v>0</v>
          </cell>
          <cell r="J476">
            <v>1</v>
          </cell>
          <cell r="K476">
            <v>0</v>
          </cell>
          <cell r="L476">
            <v>1334</v>
          </cell>
          <cell r="M476">
            <v>0</v>
          </cell>
        </row>
        <row r="477">
          <cell r="B477" t="str">
            <v/>
          </cell>
          <cell r="C477" t="str">
            <v/>
          </cell>
          <cell r="D477" t="str">
            <v>LIQUEUR</v>
          </cell>
          <cell r="E477" t="str">
            <v/>
          </cell>
          <cell r="F477" t="str">
            <v/>
          </cell>
          <cell r="G477">
            <v>7755</v>
          </cell>
          <cell r="H477" t="str">
            <v/>
          </cell>
          <cell r="I477">
            <v>72</v>
          </cell>
          <cell r="J477">
            <v>692</v>
          </cell>
          <cell r="K477">
            <v>7135</v>
          </cell>
          <cell r="L477" t="str">
            <v/>
          </cell>
          <cell r="M477">
            <v>9420100</v>
          </cell>
        </row>
        <row r="478">
          <cell r="A478" t="str">
            <v>Class :</v>
          </cell>
          <cell r="B478" t="str">
            <v>MEZCAL</v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</row>
        <row r="479">
          <cell r="A479">
            <v>494</v>
          </cell>
          <cell r="B479" t="str">
            <v/>
          </cell>
          <cell r="C479" t="str">
            <v>CLASE AZUL MEZCAL DURANGO 750ml</v>
          </cell>
          <cell r="D479" t="str">
            <v/>
          </cell>
          <cell r="E479" t="str">
            <v/>
          </cell>
          <cell r="F479" t="str">
            <v>Pcs</v>
          </cell>
          <cell r="G479">
            <v>1</v>
          </cell>
          <cell r="H479" t="str">
            <v/>
          </cell>
          <cell r="I479">
            <v>0</v>
          </cell>
          <cell r="J479">
            <v>0</v>
          </cell>
          <cell r="K479">
            <v>1</v>
          </cell>
          <cell r="L479">
            <v>55200</v>
          </cell>
          <cell r="M479">
            <v>55200</v>
          </cell>
        </row>
        <row r="480">
          <cell r="B480" t="str">
            <v/>
          </cell>
          <cell r="C480" t="str">
            <v/>
          </cell>
          <cell r="D480" t="str">
            <v>MEZCAL</v>
          </cell>
          <cell r="E480" t="str">
            <v/>
          </cell>
          <cell r="F480" t="str">
            <v/>
          </cell>
          <cell r="G480">
            <v>1</v>
          </cell>
          <cell r="H480" t="str">
            <v/>
          </cell>
          <cell r="I480">
            <v>0</v>
          </cell>
          <cell r="J480">
            <v>0</v>
          </cell>
          <cell r="K480">
            <v>1</v>
          </cell>
          <cell r="L480" t="str">
            <v/>
          </cell>
          <cell r="M480">
            <v>55200</v>
          </cell>
        </row>
        <row r="481">
          <cell r="A481" t="str">
            <v>Class :</v>
          </cell>
          <cell r="B481" t="str">
            <v>MIXER</v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</row>
        <row r="482">
          <cell r="A482">
            <v>709</v>
          </cell>
          <cell r="B482" t="str">
            <v/>
          </cell>
          <cell r="C482" t="str">
            <v>FITCH &amp; LEEDES GINGER ALE CAN 200ML</v>
          </cell>
          <cell r="D482" t="str">
            <v/>
          </cell>
          <cell r="E482" t="str">
            <v/>
          </cell>
          <cell r="F482" t="str">
            <v>Pcs</v>
          </cell>
          <cell r="G482">
            <v>0</v>
          </cell>
          <cell r="H482" t="str">
            <v/>
          </cell>
          <cell r="I482">
            <v>0</v>
          </cell>
          <cell r="J482">
            <v>0</v>
          </cell>
          <cell r="K482">
            <v>0</v>
          </cell>
          <cell r="L482">
            <v>115</v>
          </cell>
          <cell r="M482">
            <v>0</v>
          </cell>
        </row>
        <row r="483">
          <cell r="A483">
            <v>711</v>
          </cell>
          <cell r="B483" t="str">
            <v/>
          </cell>
          <cell r="C483" t="str">
            <v>FITCH &amp; LEEDES INDIAN TONIC CAN 200ML</v>
          </cell>
          <cell r="D483" t="str">
            <v/>
          </cell>
          <cell r="E483" t="str">
            <v/>
          </cell>
          <cell r="F483" t="str">
            <v>Pcs</v>
          </cell>
          <cell r="G483">
            <v>0</v>
          </cell>
          <cell r="H483" t="str">
            <v/>
          </cell>
          <cell r="I483">
            <v>0</v>
          </cell>
          <cell r="J483">
            <v>0</v>
          </cell>
          <cell r="K483">
            <v>0</v>
          </cell>
          <cell r="L483">
            <v>115</v>
          </cell>
          <cell r="M483">
            <v>0</v>
          </cell>
        </row>
        <row r="484">
          <cell r="A484">
            <v>712</v>
          </cell>
          <cell r="B484" t="str">
            <v/>
          </cell>
          <cell r="C484" t="str">
            <v>FITCH &amp; LEEDES INDIAN TONIC SUGAR FREE CAN 200ML</v>
          </cell>
          <cell r="D484" t="str">
            <v/>
          </cell>
          <cell r="E484" t="str">
            <v/>
          </cell>
          <cell r="F484" t="str">
            <v>Pcs</v>
          </cell>
          <cell r="G484">
            <v>0</v>
          </cell>
          <cell r="H484" t="str">
            <v/>
          </cell>
          <cell r="I484">
            <v>0</v>
          </cell>
          <cell r="J484">
            <v>0</v>
          </cell>
          <cell r="K484">
            <v>0</v>
          </cell>
          <cell r="L484">
            <v>110.4</v>
          </cell>
          <cell r="M484">
            <v>0</v>
          </cell>
        </row>
        <row r="485">
          <cell r="A485">
            <v>713</v>
          </cell>
          <cell r="B485" t="str">
            <v/>
          </cell>
          <cell r="C485" t="str">
            <v>FITCH &amp; LEEDES LEMONADE CAN 200ML</v>
          </cell>
          <cell r="D485" t="str">
            <v/>
          </cell>
          <cell r="E485" t="str">
            <v/>
          </cell>
          <cell r="F485" t="str">
            <v>Pcs</v>
          </cell>
          <cell r="G485">
            <v>0</v>
          </cell>
          <cell r="H485" t="str">
            <v/>
          </cell>
          <cell r="I485">
            <v>0</v>
          </cell>
          <cell r="J485">
            <v>0</v>
          </cell>
          <cell r="K485">
            <v>0</v>
          </cell>
          <cell r="L485">
            <v>115</v>
          </cell>
          <cell r="M485">
            <v>0</v>
          </cell>
        </row>
        <row r="486">
          <cell r="A486">
            <v>718</v>
          </cell>
          <cell r="B486" t="str">
            <v/>
          </cell>
          <cell r="C486" t="str">
            <v>FITCH &amp; LEEDES PINK TONIC CAN 200ML</v>
          </cell>
          <cell r="D486" t="str">
            <v/>
          </cell>
          <cell r="E486" t="str">
            <v/>
          </cell>
          <cell r="F486" t="str">
            <v>Pcs</v>
          </cell>
          <cell r="G486">
            <v>0</v>
          </cell>
          <cell r="H486" t="str">
            <v/>
          </cell>
          <cell r="I486">
            <v>0</v>
          </cell>
          <cell r="J486">
            <v>0</v>
          </cell>
          <cell r="K486">
            <v>0</v>
          </cell>
          <cell r="L486">
            <v>115</v>
          </cell>
          <cell r="M486">
            <v>0</v>
          </cell>
        </row>
        <row r="487">
          <cell r="A487">
            <v>719</v>
          </cell>
          <cell r="B487" t="str">
            <v/>
          </cell>
          <cell r="C487" t="str">
            <v>FITCH &amp; LEEDES PINK TONIC SUGAR FREE CAN 200ML</v>
          </cell>
          <cell r="D487" t="str">
            <v/>
          </cell>
          <cell r="E487" t="str">
            <v/>
          </cell>
          <cell r="F487" t="str">
            <v>Pcs</v>
          </cell>
          <cell r="G487">
            <v>0</v>
          </cell>
          <cell r="H487" t="str">
            <v/>
          </cell>
          <cell r="I487">
            <v>0</v>
          </cell>
          <cell r="J487">
            <v>0</v>
          </cell>
          <cell r="K487">
            <v>0</v>
          </cell>
          <cell r="L487">
            <v>110.4</v>
          </cell>
          <cell r="M487">
            <v>0</v>
          </cell>
        </row>
        <row r="488">
          <cell r="A488">
            <v>2831</v>
          </cell>
          <cell r="B488" t="str">
            <v/>
          </cell>
          <cell r="C488" t="str">
            <v>KO MUKHOMBERO 10% GIN COCTAIL 330ML CAN</v>
          </cell>
          <cell r="D488" t="str">
            <v/>
          </cell>
          <cell r="E488" t="str">
            <v/>
          </cell>
          <cell r="F488" t="str">
            <v>Pcs</v>
          </cell>
          <cell r="G488">
            <v>144</v>
          </cell>
          <cell r="H488" t="str">
            <v/>
          </cell>
          <cell r="I488">
            <v>0</v>
          </cell>
          <cell r="J488">
            <v>24</v>
          </cell>
          <cell r="K488">
            <v>120</v>
          </cell>
          <cell r="L488">
            <v>263.32</v>
          </cell>
          <cell r="M488">
            <v>31598.4</v>
          </cell>
        </row>
        <row r="489">
          <cell r="B489" t="str">
            <v/>
          </cell>
          <cell r="C489" t="str">
            <v/>
          </cell>
          <cell r="D489" t="str">
            <v>MIXER</v>
          </cell>
          <cell r="E489" t="str">
            <v/>
          </cell>
          <cell r="F489" t="str">
            <v/>
          </cell>
          <cell r="G489">
            <v>144</v>
          </cell>
          <cell r="H489" t="str">
            <v/>
          </cell>
          <cell r="I489">
            <v>0</v>
          </cell>
          <cell r="J489">
            <v>24</v>
          </cell>
          <cell r="K489">
            <v>120</v>
          </cell>
          <cell r="L489" t="str">
            <v/>
          </cell>
          <cell r="M489">
            <v>31598.4</v>
          </cell>
        </row>
        <row r="490">
          <cell r="A490" t="str">
            <v>Class :</v>
          </cell>
          <cell r="B490" t="str">
            <v>NON BEVERAGE</v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</row>
        <row r="491">
          <cell r="A491">
            <v>995</v>
          </cell>
          <cell r="B491" t="str">
            <v/>
          </cell>
          <cell r="C491" t="str">
            <v> BOTTLES DEPOSIT</v>
          </cell>
          <cell r="D491" t="str">
            <v/>
          </cell>
          <cell r="E491" t="str">
            <v/>
          </cell>
          <cell r="F491" t="str">
            <v>Pcs</v>
          </cell>
          <cell r="G491">
            <v>1681</v>
          </cell>
          <cell r="H491" t="str">
            <v/>
          </cell>
          <cell r="I491">
            <v>0</v>
          </cell>
          <cell r="J491">
            <v>0</v>
          </cell>
          <cell r="K491">
            <v>1681</v>
          </cell>
          <cell r="L491">
            <v>15.4</v>
          </cell>
          <cell r="M491">
            <v>25887.4</v>
          </cell>
        </row>
        <row r="492">
          <cell r="A492">
            <v>996</v>
          </cell>
          <cell r="B492" t="str">
            <v/>
          </cell>
          <cell r="C492" t="str">
            <v> CRATES DEPOSIT</v>
          </cell>
          <cell r="D492" t="str">
            <v/>
          </cell>
          <cell r="E492" t="str">
            <v/>
          </cell>
          <cell r="F492" t="str">
            <v>Pcs</v>
          </cell>
          <cell r="G492">
            <v>96</v>
          </cell>
          <cell r="H492" t="str">
            <v/>
          </cell>
          <cell r="I492">
            <v>0</v>
          </cell>
          <cell r="J492">
            <v>0</v>
          </cell>
          <cell r="K492">
            <v>96</v>
          </cell>
          <cell r="L492">
            <v>143</v>
          </cell>
          <cell r="M492">
            <v>13728</v>
          </cell>
        </row>
        <row r="493">
          <cell r="A493">
            <v>2910</v>
          </cell>
          <cell r="B493" t="str">
            <v/>
          </cell>
          <cell r="C493" t="str">
            <v>SPORTMAN KING SIZE</v>
          </cell>
          <cell r="D493" t="str">
            <v/>
          </cell>
          <cell r="E493" t="str">
            <v/>
          </cell>
          <cell r="F493" t="str">
            <v>Pcs</v>
          </cell>
          <cell r="G493">
            <v>0</v>
          </cell>
          <cell r="H493" t="str">
            <v/>
          </cell>
          <cell r="I493">
            <v>0</v>
          </cell>
          <cell r="J493">
            <v>0</v>
          </cell>
          <cell r="K493">
            <v>0</v>
          </cell>
          <cell r="L493">
            <v>348.4</v>
          </cell>
          <cell r="M493">
            <v>0</v>
          </cell>
        </row>
        <row r="494">
          <cell r="A494">
            <v>2908</v>
          </cell>
          <cell r="B494" t="str">
            <v/>
          </cell>
          <cell r="C494" t="str">
            <v>VELO 5 DOT</v>
          </cell>
          <cell r="D494" t="str">
            <v/>
          </cell>
          <cell r="E494" t="str">
            <v/>
          </cell>
          <cell r="F494" t="str">
            <v>Pcs</v>
          </cell>
          <cell r="G494">
            <v>0</v>
          </cell>
          <cell r="H494" t="str">
            <v/>
          </cell>
          <cell r="I494">
            <v>70</v>
          </cell>
          <cell r="J494">
            <v>70</v>
          </cell>
          <cell r="K494">
            <v>0</v>
          </cell>
          <cell r="L494">
            <v>409</v>
          </cell>
          <cell r="M494">
            <v>0</v>
          </cell>
        </row>
        <row r="495">
          <cell r="B495" t="str">
            <v/>
          </cell>
          <cell r="C495" t="str">
            <v/>
          </cell>
          <cell r="D495" t="str">
            <v>NON BEVERAGE</v>
          </cell>
          <cell r="E495" t="str">
            <v/>
          </cell>
          <cell r="F495" t="str">
            <v/>
          </cell>
          <cell r="G495">
            <v>1777</v>
          </cell>
          <cell r="H495" t="str">
            <v/>
          </cell>
          <cell r="I495">
            <v>70</v>
          </cell>
          <cell r="J495">
            <v>70</v>
          </cell>
          <cell r="K495">
            <v>1777</v>
          </cell>
          <cell r="L495" t="str">
            <v/>
          </cell>
          <cell r="M495">
            <v>39615.4</v>
          </cell>
        </row>
        <row r="496">
          <cell r="A496" t="str">
            <v>Class :</v>
          </cell>
          <cell r="B496" t="str">
            <v>RUM</v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</row>
        <row r="497">
          <cell r="A497">
            <v>2820</v>
          </cell>
          <cell r="B497" t="str">
            <v/>
          </cell>
          <cell r="C497" t="str">
            <v>APPLETON ESTATE 12 YEARS LITRE</v>
          </cell>
          <cell r="D497" t="str">
            <v/>
          </cell>
          <cell r="E497" t="str">
            <v/>
          </cell>
          <cell r="F497" t="str">
            <v>Pcs</v>
          </cell>
          <cell r="G497">
            <v>126</v>
          </cell>
          <cell r="H497" t="str">
            <v/>
          </cell>
          <cell r="I497">
            <v>0</v>
          </cell>
          <cell r="J497">
            <v>0</v>
          </cell>
          <cell r="K497">
            <v>126</v>
          </cell>
          <cell r="L497">
            <v>3233</v>
          </cell>
          <cell r="M497">
            <v>407358</v>
          </cell>
        </row>
        <row r="498">
          <cell r="A498">
            <v>136</v>
          </cell>
          <cell r="B498" t="str">
            <v/>
          </cell>
          <cell r="C498" t="str">
            <v>BACARDI BLACK 1LTR</v>
          </cell>
          <cell r="D498" t="str">
            <v/>
          </cell>
          <cell r="E498" t="str">
            <v/>
          </cell>
          <cell r="F498" t="str">
            <v>Pcs</v>
          </cell>
          <cell r="G498">
            <v>0</v>
          </cell>
          <cell r="H498" t="str">
            <v/>
          </cell>
          <cell r="I498">
            <v>0</v>
          </cell>
          <cell r="J498">
            <v>0</v>
          </cell>
          <cell r="K498">
            <v>0</v>
          </cell>
          <cell r="L498">
            <v>2024</v>
          </cell>
          <cell r="M498">
            <v>0</v>
          </cell>
        </row>
        <row r="499">
          <cell r="A499">
            <v>137</v>
          </cell>
          <cell r="B499" t="str">
            <v/>
          </cell>
          <cell r="C499" t="str">
            <v>BACARDI BLACK 750ML</v>
          </cell>
          <cell r="D499" t="str">
            <v/>
          </cell>
          <cell r="E499" t="str">
            <v/>
          </cell>
          <cell r="F499" t="str">
            <v>Pcs</v>
          </cell>
          <cell r="G499">
            <v>0</v>
          </cell>
          <cell r="H499" t="str">
            <v/>
          </cell>
          <cell r="I499">
            <v>0</v>
          </cell>
          <cell r="J499">
            <v>0</v>
          </cell>
          <cell r="K499">
            <v>0</v>
          </cell>
          <cell r="L499">
            <v>1840</v>
          </cell>
          <cell r="M499">
            <v>0</v>
          </cell>
        </row>
        <row r="500">
          <cell r="A500">
            <v>138</v>
          </cell>
          <cell r="B500" t="str">
            <v/>
          </cell>
          <cell r="C500" t="str">
            <v>BACARDI CARTA BLANCA 700 ML</v>
          </cell>
          <cell r="D500" t="str">
            <v/>
          </cell>
          <cell r="E500" t="str">
            <v/>
          </cell>
          <cell r="F500" t="str">
            <v>Pcs</v>
          </cell>
          <cell r="G500">
            <v>159</v>
          </cell>
          <cell r="H500" t="str">
            <v/>
          </cell>
          <cell r="I500">
            <v>0</v>
          </cell>
          <cell r="J500">
            <v>159</v>
          </cell>
          <cell r="K500">
            <v>0</v>
          </cell>
          <cell r="L500">
            <v>1550</v>
          </cell>
          <cell r="M500">
            <v>0</v>
          </cell>
        </row>
        <row r="501">
          <cell r="A501">
            <v>139</v>
          </cell>
          <cell r="B501" t="str">
            <v/>
          </cell>
          <cell r="C501" t="str">
            <v>BACARDI CARTA BLANCA WHITE 1LTR</v>
          </cell>
          <cell r="D501" t="str">
            <v/>
          </cell>
          <cell r="E501" t="str">
            <v/>
          </cell>
          <cell r="F501" t="str">
            <v>Pcs</v>
          </cell>
          <cell r="G501">
            <v>1594</v>
          </cell>
          <cell r="H501" t="str">
            <v/>
          </cell>
          <cell r="I501">
            <v>12</v>
          </cell>
          <cell r="J501">
            <v>16</v>
          </cell>
          <cell r="K501">
            <v>1590</v>
          </cell>
          <cell r="L501">
            <v>1932</v>
          </cell>
          <cell r="M501">
            <v>3071880</v>
          </cell>
        </row>
        <row r="502">
          <cell r="A502">
            <v>140</v>
          </cell>
          <cell r="B502" t="str">
            <v/>
          </cell>
          <cell r="C502" t="str">
            <v>BACARDI CARTA NEGRA 1ltr</v>
          </cell>
          <cell r="D502" t="str">
            <v/>
          </cell>
          <cell r="E502" t="str">
            <v/>
          </cell>
          <cell r="F502" t="str">
            <v>Pcs</v>
          </cell>
          <cell r="G502">
            <v>108</v>
          </cell>
          <cell r="H502" t="str">
            <v/>
          </cell>
          <cell r="I502">
            <v>0</v>
          </cell>
          <cell r="J502">
            <v>0</v>
          </cell>
          <cell r="K502">
            <v>108</v>
          </cell>
          <cell r="L502">
            <v>2300</v>
          </cell>
          <cell r="M502">
            <v>248400</v>
          </cell>
        </row>
        <row r="503">
          <cell r="A503">
            <v>141</v>
          </cell>
          <cell r="B503" t="str">
            <v/>
          </cell>
          <cell r="C503" t="str">
            <v>BACARDI CARTA NEGRA 750ML</v>
          </cell>
          <cell r="D503" t="str">
            <v/>
          </cell>
          <cell r="E503" t="str">
            <v/>
          </cell>
          <cell r="F503" t="str">
            <v>Pcs</v>
          </cell>
          <cell r="G503">
            <v>0</v>
          </cell>
          <cell r="H503" t="str">
            <v/>
          </cell>
          <cell r="I503">
            <v>0</v>
          </cell>
          <cell r="J503">
            <v>0</v>
          </cell>
          <cell r="K503">
            <v>0</v>
          </cell>
          <cell r="L503">
            <v>1840</v>
          </cell>
          <cell r="M503">
            <v>0</v>
          </cell>
        </row>
        <row r="504">
          <cell r="A504">
            <v>142</v>
          </cell>
          <cell r="B504" t="str">
            <v/>
          </cell>
          <cell r="C504" t="str">
            <v>BACARDI CARTA ORO GOLD 1LTR</v>
          </cell>
          <cell r="D504" t="str">
            <v/>
          </cell>
          <cell r="E504" t="str">
            <v/>
          </cell>
          <cell r="F504" t="str">
            <v>Pcs</v>
          </cell>
          <cell r="G504">
            <v>73</v>
          </cell>
          <cell r="H504" t="str">
            <v/>
          </cell>
          <cell r="I504">
            <v>0</v>
          </cell>
          <cell r="J504">
            <v>12</v>
          </cell>
          <cell r="K504">
            <v>61</v>
          </cell>
          <cell r="L504">
            <v>2024</v>
          </cell>
          <cell r="M504">
            <v>123464</v>
          </cell>
        </row>
        <row r="505">
          <cell r="A505">
            <v>143</v>
          </cell>
          <cell r="B505" t="str">
            <v/>
          </cell>
          <cell r="C505" t="str">
            <v>BACARDI CARTA ORO GOLD 750ML</v>
          </cell>
          <cell r="D505" t="str">
            <v/>
          </cell>
          <cell r="E505" t="str">
            <v/>
          </cell>
          <cell r="F505" t="str">
            <v>Pcs</v>
          </cell>
          <cell r="G505">
            <v>60</v>
          </cell>
          <cell r="H505" t="str">
            <v/>
          </cell>
          <cell r="I505">
            <v>0</v>
          </cell>
          <cell r="J505">
            <v>18</v>
          </cell>
          <cell r="K505">
            <v>42</v>
          </cell>
          <cell r="L505">
            <v>1840</v>
          </cell>
          <cell r="M505">
            <v>77280</v>
          </cell>
        </row>
        <row r="506">
          <cell r="A506">
            <v>2975</v>
          </cell>
          <cell r="B506" t="str">
            <v/>
          </cell>
          <cell r="C506" t="str">
            <v>BACARDI LIMON 750ML</v>
          </cell>
          <cell r="D506" t="str">
            <v/>
          </cell>
          <cell r="E506" t="str">
            <v/>
          </cell>
          <cell r="F506" t="str">
            <v>Pcs</v>
          </cell>
          <cell r="G506">
            <v>42</v>
          </cell>
          <cell r="H506" t="str">
            <v/>
          </cell>
          <cell r="I506">
            <v>0</v>
          </cell>
          <cell r="J506">
            <v>18</v>
          </cell>
          <cell r="K506">
            <v>24</v>
          </cell>
          <cell r="L506">
            <v>1500</v>
          </cell>
          <cell r="M506">
            <v>36000</v>
          </cell>
        </row>
        <row r="507">
          <cell r="A507">
            <v>144</v>
          </cell>
          <cell r="B507" t="str">
            <v/>
          </cell>
          <cell r="C507" t="str">
            <v>BACARDI RAZZ 1LTR</v>
          </cell>
          <cell r="D507" t="str">
            <v/>
          </cell>
          <cell r="E507" t="str">
            <v/>
          </cell>
          <cell r="F507" t="str">
            <v>Pcs</v>
          </cell>
          <cell r="G507">
            <v>0</v>
          </cell>
          <cell r="H507" t="str">
            <v/>
          </cell>
          <cell r="I507">
            <v>0</v>
          </cell>
          <cell r="J507">
            <v>0</v>
          </cell>
          <cell r="K507">
            <v>0</v>
          </cell>
          <cell r="L507">
            <v>2024</v>
          </cell>
          <cell r="M507">
            <v>0</v>
          </cell>
        </row>
        <row r="508">
          <cell r="A508">
            <v>145</v>
          </cell>
          <cell r="B508" t="str">
            <v/>
          </cell>
          <cell r="C508" t="str">
            <v>BACARDI RUM SPICED 700ML</v>
          </cell>
          <cell r="D508" t="str">
            <v/>
          </cell>
          <cell r="E508" t="str">
            <v/>
          </cell>
          <cell r="F508" t="str">
            <v>Pcs</v>
          </cell>
          <cell r="G508">
            <v>0</v>
          </cell>
          <cell r="H508" t="str">
            <v/>
          </cell>
          <cell r="I508">
            <v>0</v>
          </cell>
          <cell r="J508">
            <v>0</v>
          </cell>
          <cell r="K508">
            <v>0</v>
          </cell>
          <cell r="L508">
            <v>1840</v>
          </cell>
          <cell r="M508">
            <v>0</v>
          </cell>
        </row>
        <row r="509">
          <cell r="A509">
            <v>146</v>
          </cell>
          <cell r="B509" t="str">
            <v/>
          </cell>
          <cell r="C509" t="str">
            <v>BACARDI SUPERIOR  350ML</v>
          </cell>
          <cell r="D509" t="str">
            <v/>
          </cell>
          <cell r="E509" t="str">
            <v/>
          </cell>
          <cell r="F509" t="str">
            <v>Pcs</v>
          </cell>
          <cell r="G509">
            <v>8</v>
          </cell>
          <cell r="H509" t="str">
            <v/>
          </cell>
          <cell r="I509">
            <v>0</v>
          </cell>
          <cell r="J509">
            <v>0</v>
          </cell>
          <cell r="K509">
            <v>8</v>
          </cell>
          <cell r="L509">
            <v>644</v>
          </cell>
          <cell r="M509">
            <v>5152</v>
          </cell>
        </row>
        <row r="510">
          <cell r="A510">
            <v>2240</v>
          </cell>
          <cell r="B510" t="str">
            <v/>
          </cell>
          <cell r="C510" t="str">
            <v>BARCADI OAKHEART 700ML</v>
          </cell>
          <cell r="D510" t="str">
            <v/>
          </cell>
          <cell r="E510" t="str">
            <v/>
          </cell>
          <cell r="F510" t="str">
            <v>Pcs</v>
          </cell>
          <cell r="G510">
            <v>0</v>
          </cell>
          <cell r="H510" t="str">
            <v/>
          </cell>
          <cell r="I510">
            <v>0</v>
          </cell>
          <cell r="J510">
            <v>0</v>
          </cell>
          <cell r="K510">
            <v>0</v>
          </cell>
          <cell r="L510">
            <v>1900</v>
          </cell>
          <cell r="M510">
            <v>0</v>
          </cell>
        </row>
        <row r="511">
          <cell r="A511">
            <v>172</v>
          </cell>
          <cell r="B511" t="str">
            <v/>
          </cell>
          <cell r="C511" t="str">
            <v>BARCARDI OAKHEART RUM 1LTR</v>
          </cell>
          <cell r="D511" t="str">
            <v/>
          </cell>
          <cell r="E511" t="str">
            <v/>
          </cell>
          <cell r="F511" t="str">
            <v>Pcs</v>
          </cell>
          <cell r="G511">
            <v>0</v>
          </cell>
          <cell r="H511" t="str">
            <v/>
          </cell>
          <cell r="I511">
            <v>0</v>
          </cell>
          <cell r="J511">
            <v>0</v>
          </cell>
          <cell r="K511">
            <v>0</v>
          </cell>
          <cell r="L511">
            <v>1840</v>
          </cell>
          <cell r="M511">
            <v>0</v>
          </cell>
        </row>
        <row r="512">
          <cell r="A512">
            <v>306</v>
          </cell>
          <cell r="B512" t="str">
            <v/>
          </cell>
          <cell r="C512" t="str">
            <v>BUMBU RUM 700ML</v>
          </cell>
          <cell r="D512" t="str">
            <v/>
          </cell>
          <cell r="E512" t="str">
            <v/>
          </cell>
          <cell r="F512" t="str">
            <v>Pcs</v>
          </cell>
          <cell r="G512">
            <v>0</v>
          </cell>
          <cell r="H512" t="str">
            <v/>
          </cell>
          <cell r="I512">
            <v>0</v>
          </cell>
          <cell r="J512">
            <v>0</v>
          </cell>
          <cell r="K512">
            <v>0</v>
          </cell>
          <cell r="L512">
            <v>4324</v>
          </cell>
          <cell r="M512">
            <v>0</v>
          </cell>
        </row>
        <row r="513">
          <cell r="A513">
            <v>2380</v>
          </cell>
          <cell r="B513" t="str">
            <v/>
          </cell>
          <cell r="C513" t="str">
            <v>BUMBU XO 700ML</v>
          </cell>
          <cell r="D513" t="str">
            <v/>
          </cell>
          <cell r="E513" t="str">
            <v/>
          </cell>
          <cell r="F513" t="str">
            <v>Pcs</v>
          </cell>
          <cell r="G513">
            <v>0</v>
          </cell>
          <cell r="H513" t="str">
            <v/>
          </cell>
          <cell r="I513">
            <v>0</v>
          </cell>
          <cell r="J513">
            <v>0</v>
          </cell>
          <cell r="K513">
            <v>0</v>
          </cell>
          <cell r="L513">
            <v>5500</v>
          </cell>
          <cell r="M513">
            <v>0</v>
          </cell>
        </row>
        <row r="514">
          <cell r="A514">
            <v>377</v>
          </cell>
          <cell r="B514" t="str">
            <v/>
          </cell>
          <cell r="C514" t="str">
            <v>CAPTAIN MORGAN BLACK SPICED 1LTR</v>
          </cell>
          <cell r="D514" t="str">
            <v/>
          </cell>
          <cell r="E514" t="str">
            <v/>
          </cell>
          <cell r="F514" t="str">
            <v>Pcs</v>
          </cell>
          <cell r="G514">
            <v>174</v>
          </cell>
          <cell r="H514" t="str">
            <v/>
          </cell>
          <cell r="I514">
            <v>0</v>
          </cell>
          <cell r="J514">
            <v>0</v>
          </cell>
          <cell r="K514">
            <v>174</v>
          </cell>
          <cell r="L514">
            <v>1350</v>
          </cell>
          <cell r="M514">
            <v>234900</v>
          </cell>
        </row>
        <row r="515">
          <cell r="A515">
            <v>376</v>
          </cell>
          <cell r="B515" t="str">
            <v/>
          </cell>
          <cell r="C515" t="str">
            <v>CAPTAIN MORGAN DARK 1LTR</v>
          </cell>
          <cell r="D515" t="str">
            <v/>
          </cell>
          <cell r="E515" t="str">
            <v/>
          </cell>
          <cell r="F515" t="str">
            <v>Pcs</v>
          </cell>
          <cell r="G515">
            <v>453</v>
          </cell>
          <cell r="H515" t="str">
            <v/>
          </cell>
          <cell r="I515">
            <v>0</v>
          </cell>
          <cell r="J515">
            <v>0</v>
          </cell>
          <cell r="K515">
            <v>453</v>
          </cell>
          <cell r="L515">
            <v>1748</v>
          </cell>
          <cell r="M515">
            <v>791844</v>
          </cell>
        </row>
        <row r="516">
          <cell r="A516">
            <v>373</v>
          </cell>
          <cell r="B516" t="str">
            <v/>
          </cell>
          <cell r="C516" t="str">
            <v>CAPTAIN MORGAN DARK 750ML</v>
          </cell>
          <cell r="D516" t="str">
            <v/>
          </cell>
          <cell r="E516" t="str">
            <v/>
          </cell>
          <cell r="F516" t="str">
            <v>Pcs</v>
          </cell>
          <cell r="G516">
            <v>0</v>
          </cell>
          <cell r="H516" t="str">
            <v/>
          </cell>
          <cell r="I516">
            <v>0</v>
          </cell>
          <cell r="J516">
            <v>0</v>
          </cell>
          <cell r="K516">
            <v>0</v>
          </cell>
          <cell r="L516">
            <v>775.86</v>
          </cell>
          <cell r="M516">
            <v>0</v>
          </cell>
        </row>
        <row r="517">
          <cell r="A517">
            <v>2418</v>
          </cell>
          <cell r="B517" t="str">
            <v/>
          </cell>
          <cell r="C517" t="str">
            <v>CAPTAIN MORGAN GOLD 250ML</v>
          </cell>
          <cell r="D517" t="str">
            <v/>
          </cell>
          <cell r="E517" t="str">
            <v/>
          </cell>
          <cell r="F517" t="str">
            <v>Pcs</v>
          </cell>
          <cell r="G517">
            <v>1320</v>
          </cell>
          <cell r="H517" t="str">
            <v/>
          </cell>
          <cell r="I517">
            <v>1600</v>
          </cell>
          <cell r="J517">
            <v>1290</v>
          </cell>
          <cell r="K517">
            <v>1630</v>
          </cell>
          <cell r="L517">
            <v>331.8</v>
          </cell>
          <cell r="M517">
            <v>540834</v>
          </cell>
        </row>
        <row r="518">
          <cell r="A518">
            <v>2417</v>
          </cell>
          <cell r="B518" t="str">
            <v/>
          </cell>
          <cell r="C518" t="str">
            <v>CAPTAIN MORGAN GOLD 750ML</v>
          </cell>
          <cell r="D518" t="str">
            <v/>
          </cell>
          <cell r="E518" t="str">
            <v/>
          </cell>
          <cell r="F518" t="str">
            <v>Pcs</v>
          </cell>
          <cell r="G518">
            <v>96</v>
          </cell>
          <cell r="H518" t="str">
            <v/>
          </cell>
          <cell r="I518">
            <v>1080</v>
          </cell>
          <cell r="J518">
            <v>1056</v>
          </cell>
          <cell r="K518">
            <v>120</v>
          </cell>
          <cell r="L518">
            <v>947</v>
          </cell>
          <cell r="M518">
            <v>113640</v>
          </cell>
        </row>
        <row r="519">
          <cell r="A519">
            <v>2652</v>
          </cell>
          <cell r="B519" t="str">
            <v/>
          </cell>
          <cell r="C519" t="str">
            <v>CAPTAIN MORGAN MUCK PIT 250ML</v>
          </cell>
          <cell r="D519" t="str">
            <v/>
          </cell>
          <cell r="E519" t="str">
            <v/>
          </cell>
          <cell r="F519" t="str">
            <v>Pcs</v>
          </cell>
          <cell r="G519">
            <v>160</v>
          </cell>
          <cell r="H519" t="str">
            <v/>
          </cell>
          <cell r="I519">
            <v>0</v>
          </cell>
          <cell r="J519">
            <v>40</v>
          </cell>
          <cell r="K519">
            <v>120</v>
          </cell>
          <cell r="L519">
            <v>370</v>
          </cell>
          <cell r="M519">
            <v>44400</v>
          </cell>
        </row>
        <row r="520">
          <cell r="A520">
            <v>2651</v>
          </cell>
          <cell r="B520" t="str">
            <v/>
          </cell>
          <cell r="C520" t="str">
            <v>CAPTAIN MORGAN MUCK PIT 750ML</v>
          </cell>
          <cell r="D520" t="str">
            <v/>
          </cell>
          <cell r="E520" t="str">
            <v/>
          </cell>
          <cell r="F520" t="str">
            <v>Pcs</v>
          </cell>
          <cell r="G520">
            <v>48</v>
          </cell>
          <cell r="H520" t="str">
            <v/>
          </cell>
          <cell r="I520">
            <v>120</v>
          </cell>
          <cell r="J520">
            <v>24</v>
          </cell>
          <cell r="K520">
            <v>144</v>
          </cell>
          <cell r="L520">
            <v>960</v>
          </cell>
          <cell r="M520">
            <v>138240</v>
          </cell>
        </row>
        <row r="521">
          <cell r="A521">
            <v>375</v>
          </cell>
          <cell r="B521" t="str">
            <v/>
          </cell>
          <cell r="C521" t="str">
            <v>CAPTAIN MORGAN SPICED 1LTR</v>
          </cell>
          <cell r="D521" t="str">
            <v/>
          </cell>
          <cell r="E521" t="str">
            <v/>
          </cell>
          <cell r="F521" t="str">
            <v>Pcs</v>
          </cell>
          <cell r="G521">
            <v>1138</v>
          </cell>
          <cell r="H521" t="str">
            <v/>
          </cell>
          <cell r="I521">
            <v>0</v>
          </cell>
          <cell r="J521">
            <v>34</v>
          </cell>
          <cell r="K521">
            <v>1104</v>
          </cell>
          <cell r="L521">
            <v>1748</v>
          </cell>
          <cell r="M521">
            <v>1929792</v>
          </cell>
        </row>
        <row r="522">
          <cell r="A522">
            <v>374</v>
          </cell>
          <cell r="B522" t="str">
            <v/>
          </cell>
          <cell r="C522" t="str">
            <v>CAPTAIN MORGAN SPICED GOLD 750ML</v>
          </cell>
          <cell r="D522" t="str">
            <v/>
          </cell>
          <cell r="E522" t="str">
            <v/>
          </cell>
          <cell r="F522" t="str">
            <v>Pcs</v>
          </cell>
          <cell r="G522">
            <v>0</v>
          </cell>
          <cell r="H522" t="str">
            <v/>
          </cell>
          <cell r="I522">
            <v>0</v>
          </cell>
          <cell r="J522">
            <v>0</v>
          </cell>
          <cell r="K522">
            <v>0</v>
          </cell>
          <cell r="L522">
            <v>1564</v>
          </cell>
          <cell r="M522">
            <v>0</v>
          </cell>
        </row>
        <row r="523">
          <cell r="A523">
            <v>2961</v>
          </cell>
          <cell r="B523" t="str">
            <v/>
          </cell>
          <cell r="C523" t="str">
            <v>CAPTAIN MORGAN TIKI MANGO &amp; PINEAPPLE 700ML</v>
          </cell>
          <cell r="D523" t="str">
            <v/>
          </cell>
          <cell r="E523" t="str">
            <v/>
          </cell>
          <cell r="F523" t="str">
            <v>Pcs</v>
          </cell>
          <cell r="G523">
            <v>0</v>
          </cell>
          <cell r="H523" t="str">
            <v/>
          </cell>
          <cell r="I523">
            <v>0</v>
          </cell>
          <cell r="J523">
            <v>0</v>
          </cell>
          <cell r="K523">
            <v>0</v>
          </cell>
          <cell r="L523">
            <v>1470</v>
          </cell>
          <cell r="M523">
            <v>0</v>
          </cell>
        </row>
        <row r="524">
          <cell r="A524">
            <v>380</v>
          </cell>
          <cell r="B524" t="str">
            <v/>
          </cell>
          <cell r="C524" t="str">
            <v>CAPTAIN MORGAN WHITE RUM 1LTR</v>
          </cell>
          <cell r="D524" t="str">
            <v/>
          </cell>
          <cell r="E524" t="str">
            <v/>
          </cell>
          <cell r="F524" t="str">
            <v>Pcs</v>
          </cell>
          <cell r="G524">
            <v>12</v>
          </cell>
          <cell r="H524" t="str">
            <v/>
          </cell>
          <cell r="I524">
            <v>0</v>
          </cell>
          <cell r="J524">
            <v>0</v>
          </cell>
          <cell r="K524">
            <v>12</v>
          </cell>
          <cell r="L524">
            <v>1748</v>
          </cell>
          <cell r="M524">
            <v>20976</v>
          </cell>
        </row>
        <row r="525">
          <cell r="A525">
            <v>2813</v>
          </cell>
          <cell r="B525" t="str">
            <v/>
          </cell>
          <cell r="C525" t="str">
            <v>DON PAPA SINGLE ISLAND RUM 700ML</v>
          </cell>
          <cell r="D525" t="str">
            <v/>
          </cell>
          <cell r="E525" t="str">
            <v/>
          </cell>
          <cell r="F525" t="str">
            <v>Pcs</v>
          </cell>
          <cell r="G525">
            <v>0</v>
          </cell>
          <cell r="H525" t="str">
            <v/>
          </cell>
          <cell r="I525">
            <v>0</v>
          </cell>
          <cell r="J525">
            <v>0</v>
          </cell>
          <cell r="K525">
            <v>0</v>
          </cell>
          <cell r="L525">
            <v>3770</v>
          </cell>
          <cell r="M525">
            <v>0</v>
          </cell>
        </row>
        <row r="526">
          <cell r="A526">
            <v>2475</v>
          </cell>
          <cell r="B526" t="str">
            <v/>
          </cell>
          <cell r="C526" t="str">
            <v>HAVANA CLUB RHUM ANEJO 3YRS LITRE</v>
          </cell>
          <cell r="D526" t="str">
            <v/>
          </cell>
          <cell r="E526" t="str">
            <v/>
          </cell>
          <cell r="F526" t="str">
            <v>Pcs</v>
          </cell>
          <cell r="G526">
            <v>6</v>
          </cell>
          <cell r="H526" t="str">
            <v/>
          </cell>
          <cell r="I526">
            <v>0</v>
          </cell>
          <cell r="J526">
            <v>0</v>
          </cell>
          <cell r="K526">
            <v>6</v>
          </cell>
          <cell r="L526">
            <v>2250</v>
          </cell>
          <cell r="M526">
            <v>13500</v>
          </cell>
        </row>
        <row r="527">
          <cell r="A527">
            <v>2476</v>
          </cell>
          <cell r="B527" t="str">
            <v/>
          </cell>
          <cell r="C527" t="str">
            <v>HAVANA CLUB RHUM ESPECIA LITRE</v>
          </cell>
          <cell r="D527" t="str">
            <v/>
          </cell>
          <cell r="E527" t="str">
            <v/>
          </cell>
          <cell r="F527" t="str">
            <v>Pcs</v>
          </cell>
          <cell r="G527">
            <v>6</v>
          </cell>
          <cell r="H527" t="str">
            <v/>
          </cell>
          <cell r="I527">
            <v>0</v>
          </cell>
          <cell r="J527">
            <v>0</v>
          </cell>
          <cell r="K527">
            <v>6</v>
          </cell>
          <cell r="L527">
            <v>2350</v>
          </cell>
          <cell r="M527">
            <v>14100</v>
          </cell>
        </row>
        <row r="528">
          <cell r="A528">
            <v>1204</v>
          </cell>
          <cell r="B528" t="str">
            <v/>
          </cell>
          <cell r="C528" t="str">
            <v>KING ROBERT DARK RUM 1LTR</v>
          </cell>
          <cell r="D528" t="str">
            <v/>
          </cell>
          <cell r="E528" t="str">
            <v/>
          </cell>
          <cell r="F528" t="str">
            <v>Pcs</v>
          </cell>
          <cell r="G528">
            <v>83</v>
          </cell>
          <cell r="H528" t="str">
            <v/>
          </cell>
          <cell r="I528">
            <v>0</v>
          </cell>
          <cell r="J528">
            <v>0</v>
          </cell>
          <cell r="K528">
            <v>83</v>
          </cell>
          <cell r="L528">
            <v>1288</v>
          </cell>
          <cell r="M528">
            <v>106904</v>
          </cell>
        </row>
        <row r="529">
          <cell r="A529">
            <v>1208</v>
          </cell>
          <cell r="B529" t="str">
            <v/>
          </cell>
          <cell r="C529" t="str">
            <v>KING ROBERT RUM 750ML</v>
          </cell>
          <cell r="D529" t="str">
            <v/>
          </cell>
          <cell r="E529" t="str">
            <v/>
          </cell>
          <cell r="F529" t="str">
            <v>Pcs</v>
          </cell>
          <cell r="G529">
            <v>0</v>
          </cell>
          <cell r="H529" t="str">
            <v/>
          </cell>
          <cell r="I529">
            <v>0</v>
          </cell>
          <cell r="J529">
            <v>0</v>
          </cell>
          <cell r="K529">
            <v>0</v>
          </cell>
          <cell r="L529">
            <v>920</v>
          </cell>
          <cell r="M529">
            <v>0</v>
          </cell>
        </row>
        <row r="530">
          <cell r="A530">
            <v>1377</v>
          </cell>
          <cell r="B530" t="str">
            <v/>
          </cell>
          <cell r="C530" t="str">
            <v>MALIBU RUM 1LTR</v>
          </cell>
          <cell r="D530" t="str">
            <v/>
          </cell>
          <cell r="E530" t="str">
            <v/>
          </cell>
          <cell r="F530" t="str">
            <v>Pcs</v>
          </cell>
          <cell r="G530">
            <v>120</v>
          </cell>
          <cell r="H530" t="str">
            <v/>
          </cell>
          <cell r="I530">
            <v>4</v>
          </cell>
          <cell r="J530">
            <v>94</v>
          </cell>
          <cell r="K530">
            <v>30</v>
          </cell>
          <cell r="L530">
            <v>1481</v>
          </cell>
          <cell r="M530">
            <v>44430</v>
          </cell>
        </row>
        <row r="531">
          <cell r="A531">
            <v>1380</v>
          </cell>
          <cell r="B531" t="str">
            <v/>
          </cell>
          <cell r="C531" t="str">
            <v>MALIBU RUM COCONUT 21% 750ML</v>
          </cell>
          <cell r="D531" t="str">
            <v/>
          </cell>
          <cell r="E531" t="str">
            <v/>
          </cell>
          <cell r="F531" t="str">
            <v>Pcs</v>
          </cell>
          <cell r="G531">
            <v>0</v>
          </cell>
          <cell r="H531" t="str">
            <v/>
          </cell>
          <cell r="I531">
            <v>0</v>
          </cell>
          <cell r="J531">
            <v>0</v>
          </cell>
          <cell r="K531">
            <v>0</v>
          </cell>
          <cell r="L531">
            <v>1196</v>
          </cell>
          <cell r="M531">
            <v>0</v>
          </cell>
        </row>
        <row r="532">
          <cell r="A532">
            <v>1493</v>
          </cell>
          <cell r="B532" t="str">
            <v/>
          </cell>
          <cell r="C532" t="str">
            <v>MYERS RUM 1LT</v>
          </cell>
          <cell r="D532" t="str">
            <v/>
          </cell>
          <cell r="E532" t="str">
            <v/>
          </cell>
          <cell r="F532" t="str">
            <v>Pcs</v>
          </cell>
          <cell r="G532">
            <v>0</v>
          </cell>
          <cell r="H532" t="str">
            <v/>
          </cell>
          <cell r="I532">
            <v>0</v>
          </cell>
          <cell r="J532">
            <v>0</v>
          </cell>
          <cell r="K532">
            <v>0</v>
          </cell>
          <cell r="L532">
            <v>1800</v>
          </cell>
          <cell r="M532">
            <v>0</v>
          </cell>
        </row>
        <row r="533">
          <cell r="A533">
            <v>1492</v>
          </cell>
          <cell r="B533" t="str">
            <v/>
          </cell>
          <cell r="C533" t="str">
            <v>MYER'S RUM 375ML</v>
          </cell>
          <cell r="D533" t="str">
            <v/>
          </cell>
          <cell r="E533" t="str">
            <v/>
          </cell>
          <cell r="F533" t="str">
            <v>Pcs</v>
          </cell>
          <cell r="G533">
            <v>72</v>
          </cell>
          <cell r="H533" t="str">
            <v/>
          </cell>
          <cell r="I533">
            <v>0</v>
          </cell>
          <cell r="J533">
            <v>0</v>
          </cell>
          <cell r="K533">
            <v>72</v>
          </cell>
          <cell r="L533">
            <v>630</v>
          </cell>
          <cell r="M533">
            <v>45360</v>
          </cell>
        </row>
        <row r="534">
          <cell r="A534">
            <v>1494</v>
          </cell>
          <cell r="B534" t="str">
            <v/>
          </cell>
          <cell r="C534" t="str">
            <v>MYERS RUM 750ML</v>
          </cell>
          <cell r="D534" t="str">
            <v/>
          </cell>
          <cell r="E534" t="str">
            <v/>
          </cell>
          <cell r="F534" t="str">
            <v>Pcs</v>
          </cell>
          <cell r="G534">
            <v>0</v>
          </cell>
          <cell r="H534" t="str">
            <v/>
          </cell>
          <cell r="I534">
            <v>21</v>
          </cell>
          <cell r="J534">
            <v>12</v>
          </cell>
          <cell r="K534">
            <v>9</v>
          </cell>
          <cell r="L534">
            <v>1702</v>
          </cell>
          <cell r="M534">
            <v>15318</v>
          </cell>
        </row>
        <row r="535">
          <cell r="A535">
            <v>2322</v>
          </cell>
          <cell r="B535" t="str">
            <v/>
          </cell>
          <cell r="C535" t="str">
            <v>NEGRITA BARDINET 1LTR</v>
          </cell>
          <cell r="D535" t="str">
            <v/>
          </cell>
          <cell r="E535" t="str">
            <v/>
          </cell>
          <cell r="F535" t="str">
            <v>Pcs</v>
          </cell>
          <cell r="G535">
            <v>1</v>
          </cell>
          <cell r="H535" t="str">
            <v/>
          </cell>
          <cell r="I535">
            <v>0</v>
          </cell>
          <cell r="J535">
            <v>0</v>
          </cell>
          <cell r="K535">
            <v>1</v>
          </cell>
          <cell r="L535">
            <v>1400</v>
          </cell>
          <cell r="M535">
            <v>1400</v>
          </cell>
        </row>
        <row r="536">
          <cell r="A536">
            <v>2323</v>
          </cell>
          <cell r="B536" t="str">
            <v/>
          </cell>
          <cell r="C536" t="str">
            <v>NEGRITA BARDINET ORIGINAL CARIBEAN RUM 1LTR</v>
          </cell>
          <cell r="D536" t="str">
            <v/>
          </cell>
          <cell r="E536" t="str">
            <v/>
          </cell>
          <cell r="F536" t="str">
            <v>Pcs</v>
          </cell>
          <cell r="G536">
            <v>5</v>
          </cell>
          <cell r="H536" t="str">
            <v/>
          </cell>
          <cell r="I536">
            <v>0</v>
          </cell>
          <cell r="J536">
            <v>0</v>
          </cell>
          <cell r="K536">
            <v>5</v>
          </cell>
          <cell r="L536">
            <v>1400</v>
          </cell>
          <cell r="M536">
            <v>7000</v>
          </cell>
        </row>
        <row r="537">
          <cell r="A537">
            <v>2324</v>
          </cell>
          <cell r="B537" t="str">
            <v/>
          </cell>
          <cell r="C537" t="str">
            <v>NEGRITA BARDINET WHITE 700ML</v>
          </cell>
          <cell r="D537" t="str">
            <v/>
          </cell>
          <cell r="E537" t="str">
            <v/>
          </cell>
          <cell r="F537" t="str">
            <v>Pcs</v>
          </cell>
          <cell r="G537">
            <v>12</v>
          </cell>
          <cell r="H537" t="str">
            <v/>
          </cell>
          <cell r="I537">
            <v>0</v>
          </cell>
          <cell r="J537">
            <v>0</v>
          </cell>
          <cell r="K537">
            <v>12</v>
          </cell>
          <cell r="L537">
            <v>1200</v>
          </cell>
          <cell r="M537">
            <v>14400</v>
          </cell>
        </row>
        <row r="538">
          <cell r="A538">
            <v>2311</v>
          </cell>
          <cell r="B538" t="str">
            <v/>
          </cell>
          <cell r="C538" t="str">
            <v>OLD MONK 1LTR</v>
          </cell>
          <cell r="D538" t="str">
            <v/>
          </cell>
          <cell r="E538" t="str">
            <v/>
          </cell>
          <cell r="F538" t="str">
            <v>Pcs</v>
          </cell>
          <cell r="G538">
            <v>0</v>
          </cell>
          <cell r="H538" t="str">
            <v/>
          </cell>
          <cell r="I538">
            <v>0</v>
          </cell>
          <cell r="J538">
            <v>0</v>
          </cell>
          <cell r="K538">
            <v>0</v>
          </cell>
          <cell r="L538">
            <v>1000</v>
          </cell>
          <cell r="M538">
            <v>0</v>
          </cell>
        </row>
        <row r="539">
          <cell r="A539">
            <v>1551</v>
          </cell>
          <cell r="B539" t="str">
            <v/>
          </cell>
          <cell r="C539" t="str">
            <v>OLD MONK 750ML</v>
          </cell>
          <cell r="D539" t="str">
            <v/>
          </cell>
          <cell r="E539" t="str">
            <v/>
          </cell>
          <cell r="F539" t="str">
            <v>Pcs</v>
          </cell>
          <cell r="G539">
            <v>104</v>
          </cell>
          <cell r="H539" t="str">
            <v/>
          </cell>
          <cell r="I539">
            <v>0</v>
          </cell>
          <cell r="J539">
            <v>36</v>
          </cell>
          <cell r="K539">
            <v>68</v>
          </cell>
          <cell r="L539">
            <v>800</v>
          </cell>
          <cell r="M539">
            <v>54400</v>
          </cell>
        </row>
        <row r="540">
          <cell r="A540">
            <v>1648</v>
          </cell>
          <cell r="B540" t="str">
            <v/>
          </cell>
          <cell r="C540" t="str">
            <v>RED HEART 750ML</v>
          </cell>
          <cell r="D540" t="str">
            <v/>
          </cell>
          <cell r="E540" t="str">
            <v/>
          </cell>
          <cell r="F540" t="str">
            <v>Pcs</v>
          </cell>
          <cell r="G540">
            <v>18</v>
          </cell>
          <cell r="H540" t="str">
            <v/>
          </cell>
          <cell r="I540">
            <v>0</v>
          </cell>
          <cell r="J540">
            <v>6</v>
          </cell>
          <cell r="K540">
            <v>12</v>
          </cell>
          <cell r="L540">
            <v>1300</v>
          </cell>
          <cell r="M540">
            <v>15600</v>
          </cell>
        </row>
        <row r="541">
          <cell r="A541">
            <v>1987</v>
          </cell>
          <cell r="B541" t="str">
            <v/>
          </cell>
          <cell r="C541" t="str">
            <v>THREE MONKEYS RED 750ML</v>
          </cell>
          <cell r="D541" t="str">
            <v/>
          </cell>
          <cell r="E541" t="str">
            <v/>
          </cell>
          <cell r="F541" t="str">
            <v>Pcs</v>
          </cell>
          <cell r="G541">
            <v>0</v>
          </cell>
          <cell r="H541" t="str">
            <v/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0</v>
          </cell>
        </row>
        <row r="542">
          <cell r="A542">
            <v>2321</v>
          </cell>
          <cell r="B542" t="str">
            <v/>
          </cell>
          <cell r="C542" t="str">
            <v>WILD TIGER SPICED RESERVE 750ML</v>
          </cell>
          <cell r="D542" t="str">
            <v/>
          </cell>
          <cell r="E542" t="str">
            <v/>
          </cell>
          <cell r="F542" t="str">
            <v>Pcs</v>
          </cell>
          <cell r="G542">
            <v>1</v>
          </cell>
          <cell r="H542" t="str">
            <v/>
          </cell>
          <cell r="I542">
            <v>0</v>
          </cell>
          <cell r="J542">
            <v>0</v>
          </cell>
          <cell r="K542">
            <v>1</v>
          </cell>
          <cell r="L542">
            <v>800</v>
          </cell>
          <cell r="M542">
            <v>800</v>
          </cell>
        </row>
        <row r="543">
          <cell r="B543" t="str">
            <v/>
          </cell>
          <cell r="C543" t="str">
            <v/>
          </cell>
          <cell r="D543" t="str">
            <v>RUM</v>
          </cell>
          <cell r="E543" t="str">
            <v/>
          </cell>
          <cell r="F543" t="str">
            <v/>
          </cell>
          <cell r="G543">
            <v>5999</v>
          </cell>
          <cell r="H543" t="str">
            <v/>
          </cell>
          <cell r="I543">
            <v>2837</v>
          </cell>
          <cell r="J543">
            <v>2815</v>
          </cell>
          <cell r="K543">
            <v>6021</v>
          </cell>
          <cell r="L543" t="str">
            <v/>
          </cell>
          <cell r="M543">
            <v>8117372</v>
          </cell>
        </row>
        <row r="544">
          <cell r="A544" t="str">
            <v>Class :</v>
          </cell>
          <cell r="B544" t="str">
            <v>SOFT DRINKS</v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</row>
        <row r="545">
          <cell r="A545">
            <v>3004</v>
          </cell>
          <cell r="B545" t="str">
            <v/>
          </cell>
          <cell r="C545" t="str">
            <v>CHARGED ELECTRIC PINEAPPLE ENERGY DRINK 330ML</v>
          </cell>
          <cell r="D545" t="str">
            <v/>
          </cell>
          <cell r="E545" t="str">
            <v/>
          </cell>
          <cell r="F545" t="str">
            <v>Pcs</v>
          </cell>
          <cell r="G545">
            <v>0</v>
          </cell>
          <cell r="H545" t="str">
            <v/>
          </cell>
          <cell r="I545">
            <v>120</v>
          </cell>
          <cell r="J545">
            <v>108</v>
          </cell>
          <cell r="K545">
            <v>12</v>
          </cell>
          <cell r="L545">
            <v>41.67</v>
          </cell>
          <cell r="M545">
            <v>500.04</v>
          </cell>
        </row>
        <row r="546">
          <cell r="A546">
            <v>3005</v>
          </cell>
          <cell r="B546" t="str">
            <v/>
          </cell>
          <cell r="C546" t="str">
            <v>CHARGED LEMON BURST ENERGY DRINK 330ML</v>
          </cell>
          <cell r="D546" t="str">
            <v/>
          </cell>
          <cell r="E546" t="str">
            <v/>
          </cell>
          <cell r="F546" t="str">
            <v>Pcs</v>
          </cell>
          <cell r="G546">
            <v>0</v>
          </cell>
          <cell r="H546" t="str">
            <v/>
          </cell>
          <cell r="I546">
            <v>96</v>
          </cell>
          <cell r="J546">
            <v>60</v>
          </cell>
          <cell r="K546">
            <v>36</v>
          </cell>
          <cell r="L546">
            <v>41.67</v>
          </cell>
          <cell r="M546">
            <v>1500.12</v>
          </cell>
        </row>
        <row r="547">
          <cell r="A547">
            <v>506</v>
          </cell>
          <cell r="B547" t="str">
            <v/>
          </cell>
          <cell r="C547" t="str">
            <v>COKE 1.25LTR</v>
          </cell>
          <cell r="D547" t="str">
            <v/>
          </cell>
          <cell r="E547" t="str">
            <v/>
          </cell>
          <cell r="F547" t="str">
            <v>Pcs</v>
          </cell>
          <cell r="G547">
            <v>0</v>
          </cell>
          <cell r="H547" t="str">
            <v/>
          </cell>
          <cell r="I547">
            <v>0</v>
          </cell>
          <cell r="J547">
            <v>0</v>
          </cell>
          <cell r="K547">
            <v>0</v>
          </cell>
          <cell r="L547">
            <v>125</v>
          </cell>
          <cell r="M547">
            <v>0</v>
          </cell>
        </row>
        <row r="548">
          <cell r="A548">
            <v>2836</v>
          </cell>
          <cell r="B548" t="str">
            <v/>
          </cell>
          <cell r="C548" t="str">
            <v>COKE 1LITRE</v>
          </cell>
          <cell r="D548" t="str">
            <v/>
          </cell>
          <cell r="E548" t="str">
            <v/>
          </cell>
          <cell r="F548" t="str">
            <v>Pcs</v>
          </cell>
          <cell r="G548">
            <v>0</v>
          </cell>
          <cell r="H548" t="str">
            <v/>
          </cell>
          <cell r="I548">
            <v>732</v>
          </cell>
          <cell r="J548">
            <v>648</v>
          </cell>
          <cell r="K548">
            <v>84</v>
          </cell>
          <cell r="L548">
            <v>87.08</v>
          </cell>
          <cell r="M548">
            <v>7314.72</v>
          </cell>
        </row>
        <row r="549">
          <cell r="A549">
            <v>507</v>
          </cell>
          <cell r="B549" t="str">
            <v/>
          </cell>
          <cell r="C549" t="str">
            <v>COKE 2LTR</v>
          </cell>
          <cell r="D549" t="str">
            <v/>
          </cell>
          <cell r="E549" t="str">
            <v/>
          </cell>
          <cell r="F549" t="str">
            <v>Pcs</v>
          </cell>
          <cell r="G549">
            <v>6</v>
          </cell>
          <cell r="H549" t="str">
            <v/>
          </cell>
          <cell r="I549">
            <v>348</v>
          </cell>
          <cell r="J549">
            <v>312</v>
          </cell>
          <cell r="K549">
            <v>42</v>
          </cell>
          <cell r="L549">
            <v>175</v>
          </cell>
          <cell r="M549">
            <v>7350</v>
          </cell>
        </row>
        <row r="550">
          <cell r="A550">
            <v>508</v>
          </cell>
          <cell r="B550" t="str">
            <v/>
          </cell>
          <cell r="C550" t="str">
            <v>COKE 350ML</v>
          </cell>
          <cell r="D550" t="str">
            <v/>
          </cell>
          <cell r="E550" t="str">
            <v/>
          </cell>
          <cell r="F550" t="str">
            <v>Pcs</v>
          </cell>
          <cell r="G550">
            <v>216</v>
          </cell>
          <cell r="H550" t="str">
            <v/>
          </cell>
          <cell r="I550">
            <v>240</v>
          </cell>
          <cell r="J550">
            <v>288</v>
          </cell>
          <cell r="K550">
            <v>168</v>
          </cell>
          <cell r="L550">
            <v>41.67</v>
          </cell>
          <cell r="M550">
            <v>7000.56</v>
          </cell>
        </row>
        <row r="551">
          <cell r="A551">
            <v>509</v>
          </cell>
          <cell r="B551" t="str">
            <v/>
          </cell>
          <cell r="C551" t="str">
            <v>COKE 500ML</v>
          </cell>
          <cell r="D551" t="str">
            <v/>
          </cell>
          <cell r="E551" t="str">
            <v/>
          </cell>
          <cell r="F551" t="str">
            <v>Pcs</v>
          </cell>
          <cell r="G551">
            <v>816</v>
          </cell>
          <cell r="H551" t="str">
            <v/>
          </cell>
          <cell r="I551">
            <v>480</v>
          </cell>
          <cell r="J551">
            <v>864</v>
          </cell>
          <cell r="K551">
            <v>432</v>
          </cell>
          <cell r="L551">
            <v>65.83</v>
          </cell>
          <cell r="M551">
            <v>28438.56</v>
          </cell>
        </row>
        <row r="552">
          <cell r="A552">
            <v>2493</v>
          </cell>
          <cell r="B552" t="str">
            <v/>
          </cell>
          <cell r="C552" t="str">
            <v>DAWA DRINK 500ML</v>
          </cell>
          <cell r="D552" t="str">
            <v/>
          </cell>
          <cell r="E552" t="str">
            <v/>
          </cell>
          <cell r="F552" t="str">
            <v>Pcs</v>
          </cell>
          <cell r="G552">
            <v>0</v>
          </cell>
          <cell r="H552" t="str">
            <v/>
          </cell>
          <cell r="I552">
            <v>0</v>
          </cell>
          <cell r="J552">
            <v>0</v>
          </cell>
          <cell r="K552">
            <v>0</v>
          </cell>
          <cell r="L552">
            <v>130</v>
          </cell>
          <cell r="M552">
            <v>0</v>
          </cell>
        </row>
        <row r="553">
          <cell r="A553">
            <v>2946</v>
          </cell>
          <cell r="B553" t="str">
            <v/>
          </cell>
          <cell r="C553" t="str">
            <v>DAWA GINGER DRINK 1L</v>
          </cell>
          <cell r="D553" t="str">
            <v/>
          </cell>
          <cell r="E553" t="str">
            <v/>
          </cell>
          <cell r="F553" t="str">
            <v>Pcs</v>
          </cell>
          <cell r="G553">
            <v>0</v>
          </cell>
          <cell r="H553" t="str">
            <v/>
          </cell>
          <cell r="I553">
            <v>0</v>
          </cell>
          <cell r="J553">
            <v>0</v>
          </cell>
          <cell r="K553">
            <v>0</v>
          </cell>
          <cell r="L553">
            <v>303</v>
          </cell>
          <cell r="M553">
            <v>0</v>
          </cell>
        </row>
        <row r="554">
          <cell r="A554">
            <v>586</v>
          </cell>
          <cell r="B554" t="str">
            <v/>
          </cell>
          <cell r="C554" t="str">
            <v>DELMONTE APPLE 1LTR</v>
          </cell>
          <cell r="D554" t="str">
            <v/>
          </cell>
          <cell r="E554" t="str">
            <v/>
          </cell>
          <cell r="F554" t="str">
            <v>Pcs</v>
          </cell>
          <cell r="G554">
            <v>0</v>
          </cell>
          <cell r="H554" t="str">
            <v/>
          </cell>
          <cell r="I554">
            <v>12</v>
          </cell>
          <cell r="J554">
            <v>12</v>
          </cell>
          <cell r="K554">
            <v>0</v>
          </cell>
          <cell r="L554">
            <v>210</v>
          </cell>
          <cell r="M554">
            <v>0</v>
          </cell>
        </row>
        <row r="555">
          <cell r="A555">
            <v>587</v>
          </cell>
          <cell r="B555" t="str">
            <v/>
          </cell>
          <cell r="C555" t="str">
            <v>DELMONTE MANGO 1LTR</v>
          </cell>
          <cell r="D555" t="str">
            <v/>
          </cell>
          <cell r="E555" t="str">
            <v/>
          </cell>
          <cell r="F555" t="str">
            <v>Pcs</v>
          </cell>
          <cell r="G555">
            <v>0</v>
          </cell>
          <cell r="H555" t="str">
            <v/>
          </cell>
          <cell r="I555">
            <v>12</v>
          </cell>
          <cell r="J555">
            <v>12</v>
          </cell>
          <cell r="K555">
            <v>0</v>
          </cell>
          <cell r="L555">
            <v>210</v>
          </cell>
          <cell r="M555">
            <v>0</v>
          </cell>
        </row>
        <row r="556">
          <cell r="A556">
            <v>588</v>
          </cell>
          <cell r="B556" t="str">
            <v/>
          </cell>
          <cell r="C556" t="str">
            <v>DELMONTE MIXED BERRY 1LTR</v>
          </cell>
          <cell r="D556" t="str">
            <v/>
          </cell>
          <cell r="E556" t="str">
            <v/>
          </cell>
          <cell r="F556" t="str">
            <v>Pcs</v>
          </cell>
          <cell r="G556">
            <v>0</v>
          </cell>
          <cell r="H556" t="str">
            <v/>
          </cell>
          <cell r="I556">
            <v>12</v>
          </cell>
          <cell r="J556">
            <v>12</v>
          </cell>
          <cell r="K556">
            <v>0</v>
          </cell>
          <cell r="L556">
            <v>210</v>
          </cell>
          <cell r="M556">
            <v>0</v>
          </cell>
        </row>
        <row r="557">
          <cell r="A557">
            <v>590</v>
          </cell>
          <cell r="B557" t="str">
            <v/>
          </cell>
          <cell r="C557" t="str">
            <v>DELMONTE PASSION 1LTR</v>
          </cell>
          <cell r="D557" t="str">
            <v/>
          </cell>
          <cell r="E557" t="str">
            <v/>
          </cell>
          <cell r="F557" t="str">
            <v>Pcs</v>
          </cell>
          <cell r="G557">
            <v>0</v>
          </cell>
          <cell r="H557" t="str">
            <v/>
          </cell>
          <cell r="I557">
            <v>0</v>
          </cell>
          <cell r="J557">
            <v>0</v>
          </cell>
          <cell r="K557">
            <v>0</v>
          </cell>
          <cell r="L557">
            <v>210</v>
          </cell>
          <cell r="M557">
            <v>0</v>
          </cell>
        </row>
        <row r="558">
          <cell r="A558">
            <v>592</v>
          </cell>
          <cell r="B558" t="str">
            <v/>
          </cell>
          <cell r="C558" t="str">
            <v>DELMONTE PINEAPPLE 1LTR</v>
          </cell>
          <cell r="D558" t="str">
            <v/>
          </cell>
          <cell r="E558" t="str">
            <v/>
          </cell>
          <cell r="F558" t="str">
            <v>Pcs</v>
          </cell>
          <cell r="G558">
            <v>36</v>
          </cell>
          <cell r="H558" t="str">
            <v/>
          </cell>
          <cell r="I558">
            <v>0</v>
          </cell>
          <cell r="J558">
            <v>35</v>
          </cell>
          <cell r="K558">
            <v>1</v>
          </cell>
          <cell r="L558">
            <v>210</v>
          </cell>
          <cell r="M558">
            <v>210</v>
          </cell>
        </row>
        <row r="559">
          <cell r="A559">
            <v>593</v>
          </cell>
          <cell r="B559" t="str">
            <v/>
          </cell>
          <cell r="C559" t="str">
            <v>DELMONTE PINEAPPLE MANGO 1LTR</v>
          </cell>
          <cell r="D559" t="str">
            <v/>
          </cell>
          <cell r="E559" t="str">
            <v/>
          </cell>
          <cell r="F559" t="str">
            <v>Pcs</v>
          </cell>
          <cell r="G559">
            <v>0</v>
          </cell>
          <cell r="H559" t="str">
            <v/>
          </cell>
          <cell r="I559">
            <v>0</v>
          </cell>
          <cell r="J559">
            <v>0</v>
          </cell>
          <cell r="K559">
            <v>0</v>
          </cell>
          <cell r="L559">
            <v>230</v>
          </cell>
          <cell r="M559">
            <v>0</v>
          </cell>
        </row>
        <row r="560">
          <cell r="A560">
            <v>594</v>
          </cell>
          <cell r="B560" t="str">
            <v/>
          </cell>
          <cell r="C560" t="str">
            <v>DELMONTE TROPICAL 1LTR</v>
          </cell>
          <cell r="D560" t="str">
            <v/>
          </cell>
          <cell r="E560" t="str">
            <v/>
          </cell>
          <cell r="F560" t="str">
            <v>Pcs</v>
          </cell>
          <cell r="G560">
            <v>0</v>
          </cell>
          <cell r="H560" t="str">
            <v/>
          </cell>
          <cell r="I560">
            <v>0</v>
          </cell>
          <cell r="J560">
            <v>0</v>
          </cell>
          <cell r="K560">
            <v>0</v>
          </cell>
          <cell r="L560">
            <v>210</v>
          </cell>
          <cell r="M560">
            <v>0</v>
          </cell>
        </row>
        <row r="561">
          <cell r="A561">
            <v>2634</v>
          </cell>
          <cell r="B561" t="str">
            <v/>
          </cell>
          <cell r="C561" t="str">
            <v>FANTA  BLACKCURRANT 1.25L</v>
          </cell>
          <cell r="D561" t="str">
            <v/>
          </cell>
          <cell r="E561" t="str">
            <v/>
          </cell>
          <cell r="F561" t="str">
            <v>Pcs</v>
          </cell>
          <cell r="G561">
            <v>0</v>
          </cell>
          <cell r="H561" t="str">
            <v/>
          </cell>
          <cell r="I561">
            <v>0</v>
          </cell>
          <cell r="J561">
            <v>0</v>
          </cell>
          <cell r="K561">
            <v>0</v>
          </cell>
          <cell r="L561">
            <v>125</v>
          </cell>
          <cell r="M561">
            <v>0</v>
          </cell>
        </row>
        <row r="562">
          <cell r="A562">
            <v>3006</v>
          </cell>
          <cell r="B562" t="str">
            <v/>
          </cell>
          <cell r="C562" t="str">
            <v>FANTA BLACKCURRANT 1L</v>
          </cell>
          <cell r="D562" t="str">
            <v/>
          </cell>
          <cell r="E562" t="str">
            <v/>
          </cell>
          <cell r="F562" t="str">
            <v>Pcs</v>
          </cell>
          <cell r="G562">
            <v>0</v>
          </cell>
          <cell r="H562" t="str">
            <v/>
          </cell>
          <cell r="I562">
            <v>72</v>
          </cell>
          <cell r="J562">
            <v>72</v>
          </cell>
          <cell r="K562">
            <v>0</v>
          </cell>
          <cell r="L562">
            <v>88</v>
          </cell>
          <cell r="M562">
            <v>0</v>
          </cell>
        </row>
        <row r="563">
          <cell r="A563">
            <v>2635</v>
          </cell>
          <cell r="B563" t="str">
            <v/>
          </cell>
          <cell r="C563" t="str">
            <v>FANTA BLACKCURRANT 2L</v>
          </cell>
          <cell r="D563" t="str">
            <v/>
          </cell>
          <cell r="E563" t="str">
            <v/>
          </cell>
          <cell r="F563" t="str">
            <v>Pcs</v>
          </cell>
          <cell r="G563">
            <v>0</v>
          </cell>
          <cell r="H563" t="str">
            <v/>
          </cell>
          <cell r="I563">
            <v>48</v>
          </cell>
          <cell r="J563">
            <v>48</v>
          </cell>
          <cell r="K563">
            <v>0</v>
          </cell>
          <cell r="L563">
            <v>175</v>
          </cell>
          <cell r="M563">
            <v>0</v>
          </cell>
        </row>
        <row r="564">
          <cell r="A564">
            <v>2865</v>
          </cell>
          <cell r="B564" t="str">
            <v/>
          </cell>
          <cell r="C564" t="str">
            <v>FANTA BLACKCURRANT 350ML</v>
          </cell>
          <cell r="D564" t="str">
            <v/>
          </cell>
          <cell r="E564" t="str">
            <v/>
          </cell>
          <cell r="F564" t="str">
            <v>Pcs</v>
          </cell>
          <cell r="G564">
            <v>0</v>
          </cell>
          <cell r="H564" t="str">
            <v/>
          </cell>
          <cell r="I564">
            <v>0</v>
          </cell>
          <cell r="J564">
            <v>0</v>
          </cell>
          <cell r="K564">
            <v>0</v>
          </cell>
          <cell r="L564">
            <v>41.67</v>
          </cell>
          <cell r="M564">
            <v>0</v>
          </cell>
        </row>
        <row r="565">
          <cell r="A565">
            <v>2636</v>
          </cell>
          <cell r="B565" t="str">
            <v/>
          </cell>
          <cell r="C565" t="str">
            <v>FANTA BLACKCURRANT 500ML</v>
          </cell>
          <cell r="D565" t="str">
            <v/>
          </cell>
          <cell r="E565" t="str">
            <v/>
          </cell>
          <cell r="F565" t="str">
            <v>Pcs</v>
          </cell>
          <cell r="G565">
            <v>0</v>
          </cell>
          <cell r="H565" t="str">
            <v/>
          </cell>
          <cell r="I565">
            <v>144</v>
          </cell>
          <cell r="J565">
            <v>144</v>
          </cell>
          <cell r="K565">
            <v>0</v>
          </cell>
          <cell r="L565">
            <v>65.83</v>
          </cell>
          <cell r="M565">
            <v>0</v>
          </cell>
        </row>
        <row r="566">
          <cell r="A566">
            <v>679</v>
          </cell>
          <cell r="B566" t="str">
            <v/>
          </cell>
          <cell r="C566" t="str">
            <v>FANTA ORANGE 1.25L</v>
          </cell>
          <cell r="D566" t="str">
            <v/>
          </cell>
          <cell r="E566" t="str">
            <v/>
          </cell>
          <cell r="F566" t="str">
            <v>Pcs</v>
          </cell>
          <cell r="G566">
            <v>0</v>
          </cell>
          <cell r="H566" t="str">
            <v/>
          </cell>
          <cell r="I566">
            <v>0</v>
          </cell>
          <cell r="J566">
            <v>0</v>
          </cell>
          <cell r="K566">
            <v>0</v>
          </cell>
          <cell r="L566">
            <v>125</v>
          </cell>
          <cell r="M566">
            <v>0</v>
          </cell>
        </row>
        <row r="567">
          <cell r="A567">
            <v>3007</v>
          </cell>
          <cell r="B567" t="str">
            <v/>
          </cell>
          <cell r="C567" t="str">
            <v>FANTA ORANGE 1L</v>
          </cell>
          <cell r="D567" t="str">
            <v/>
          </cell>
          <cell r="E567" t="str">
            <v/>
          </cell>
          <cell r="F567" t="str">
            <v>Pcs</v>
          </cell>
          <cell r="G567">
            <v>0</v>
          </cell>
          <cell r="H567" t="str">
            <v/>
          </cell>
          <cell r="I567">
            <v>36</v>
          </cell>
          <cell r="J567">
            <v>36</v>
          </cell>
          <cell r="K567">
            <v>0</v>
          </cell>
          <cell r="L567">
            <v>87.08</v>
          </cell>
          <cell r="M567">
            <v>0</v>
          </cell>
        </row>
        <row r="568">
          <cell r="A568">
            <v>680</v>
          </cell>
          <cell r="B568" t="str">
            <v/>
          </cell>
          <cell r="C568" t="str">
            <v>FANTA ORANGE 2L</v>
          </cell>
          <cell r="D568" t="str">
            <v/>
          </cell>
          <cell r="E568" t="str">
            <v/>
          </cell>
          <cell r="F568" t="str">
            <v>Pcs</v>
          </cell>
          <cell r="G568">
            <v>18</v>
          </cell>
          <cell r="H568" t="str">
            <v/>
          </cell>
          <cell r="I568">
            <v>0</v>
          </cell>
          <cell r="J568">
            <v>18</v>
          </cell>
          <cell r="K568">
            <v>0</v>
          </cell>
          <cell r="L568">
            <v>175</v>
          </cell>
          <cell r="M568">
            <v>0</v>
          </cell>
        </row>
        <row r="569">
          <cell r="A569">
            <v>2861</v>
          </cell>
          <cell r="B569" t="str">
            <v/>
          </cell>
          <cell r="C569" t="str">
            <v>FANTA ORANGE 350ML</v>
          </cell>
          <cell r="D569" t="str">
            <v/>
          </cell>
          <cell r="E569" t="str">
            <v/>
          </cell>
          <cell r="F569" t="str">
            <v>Pcs</v>
          </cell>
          <cell r="G569">
            <v>0</v>
          </cell>
          <cell r="H569" t="str">
            <v/>
          </cell>
          <cell r="I569">
            <v>0</v>
          </cell>
          <cell r="J569">
            <v>0</v>
          </cell>
          <cell r="K569">
            <v>0</v>
          </cell>
          <cell r="L569">
            <v>41.67</v>
          </cell>
          <cell r="M569">
            <v>0</v>
          </cell>
        </row>
        <row r="570">
          <cell r="A570">
            <v>681</v>
          </cell>
          <cell r="B570" t="str">
            <v/>
          </cell>
          <cell r="C570" t="str">
            <v>FANTA ORANGE 500ML</v>
          </cell>
          <cell r="D570" t="str">
            <v/>
          </cell>
          <cell r="E570" t="str">
            <v/>
          </cell>
          <cell r="F570" t="str">
            <v>Pcs</v>
          </cell>
          <cell r="G570">
            <v>0</v>
          </cell>
          <cell r="H570" t="str">
            <v/>
          </cell>
          <cell r="I570">
            <v>264</v>
          </cell>
          <cell r="J570">
            <v>168</v>
          </cell>
          <cell r="K570">
            <v>96</v>
          </cell>
          <cell r="L570">
            <v>65.83</v>
          </cell>
          <cell r="M570">
            <v>6319.68</v>
          </cell>
        </row>
        <row r="571">
          <cell r="A571">
            <v>2637</v>
          </cell>
          <cell r="B571" t="str">
            <v/>
          </cell>
          <cell r="C571" t="str">
            <v>FANTA PASSION 2L</v>
          </cell>
          <cell r="D571" t="str">
            <v/>
          </cell>
          <cell r="E571" t="str">
            <v/>
          </cell>
          <cell r="F571" t="str">
            <v>Pcs</v>
          </cell>
          <cell r="G571">
            <v>0</v>
          </cell>
          <cell r="H571" t="str">
            <v/>
          </cell>
          <cell r="I571">
            <v>0</v>
          </cell>
          <cell r="J571">
            <v>0</v>
          </cell>
          <cell r="K571">
            <v>0</v>
          </cell>
          <cell r="L571">
            <v>175</v>
          </cell>
          <cell r="M571">
            <v>0</v>
          </cell>
        </row>
        <row r="572">
          <cell r="A572">
            <v>2638</v>
          </cell>
          <cell r="B572" t="str">
            <v/>
          </cell>
          <cell r="C572" t="str">
            <v>FANTA PASSION 500ML</v>
          </cell>
          <cell r="D572" t="str">
            <v/>
          </cell>
          <cell r="E572" t="str">
            <v/>
          </cell>
          <cell r="F572" t="str">
            <v>Pcs</v>
          </cell>
          <cell r="G572">
            <v>0</v>
          </cell>
          <cell r="H572" t="str">
            <v/>
          </cell>
          <cell r="I572">
            <v>72</v>
          </cell>
          <cell r="J572">
            <v>72</v>
          </cell>
          <cell r="K572">
            <v>0</v>
          </cell>
          <cell r="L572">
            <v>65.83</v>
          </cell>
          <cell r="M572">
            <v>0</v>
          </cell>
        </row>
        <row r="573">
          <cell r="A573">
            <v>1232</v>
          </cell>
          <cell r="B573" t="str">
            <v/>
          </cell>
          <cell r="C573" t="str">
            <v>KREST 500ML</v>
          </cell>
          <cell r="D573" t="str">
            <v/>
          </cell>
          <cell r="E573" t="str">
            <v/>
          </cell>
          <cell r="F573" t="str">
            <v>Pcs</v>
          </cell>
          <cell r="G573">
            <v>0</v>
          </cell>
          <cell r="H573" t="str">
            <v/>
          </cell>
          <cell r="I573">
            <v>360</v>
          </cell>
          <cell r="J573">
            <v>192</v>
          </cell>
          <cell r="K573">
            <v>168</v>
          </cell>
          <cell r="L573">
            <v>65.83</v>
          </cell>
          <cell r="M573">
            <v>11059.44</v>
          </cell>
        </row>
        <row r="574">
          <cell r="A574">
            <v>1287</v>
          </cell>
          <cell r="B574" t="str">
            <v/>
          </cell>
          <cell r="C574" t="str">
            <v>LEMONADE 300ML</v>
          </cell>
          <cell r="D574" t="str">
            <v/>
          </cell>
          <cell r="E574" t="str">
            <v/>
          </cell>
          <cell r="F574" t="str">
            <v>Pcs</v>
          </cell>
          <cell r="G574">
            <v>0</v>
          </cell>
          <cell r="H574" t="str">
            <v/>
          </cell>
          <cell r="I574">
            <v>228</v>
          </cell>
          <cell r="J574">
            <v>228</v>
          </cell>
          <cell r="K574">
            <v>0</v>
          </cell>
          <cell r="L574">
            <v>35.83</v>
          </cell>
          <cell r="M574">
            <v>0</v>
          </cell>
        </row>
        <row r="575">
          <cell r="A575">
            <v>1288</v>
          </cell>
          <cell r="B575" t="str">
            <v/>
          </cell>
          <cell r="C575" t="str">
            <v>LIME JUICE 700ML</v>
          </cell>
          <cell r="D575" t="str">
            <v/>
          </cell>
          <cell r="E575" t="str">
            <v/>
          </cell>
          <cell r="F575" t="str">
            <v>Pcs</v>
          </cell>
          <cell r="G575">
            <v>0</v>
          </cell>
          <cell r="H575" t="str">
            <v/>
          </cell>
          <cell r="I575">
            <v>0</v>
          </cell>
          <cell r="J575">
            <v>0</v>
          </cell>
          <cell r="K575">
            <v>0</v>
          </cell>
          <cell r="L575">
            <v>138</v>
          </cell>
          <cell r="M575">
            <v>0</v>
          </cell>
        </row>
        <row r="576">
          <cell r="A576">
            <v>2639</v>
          </cell>
          <cell r="B576" t="str">
            <v/>
          </cell>
          <cell r="C576" t="str">
            <v>MINUTE MAID APPLE 400ML</v>
          </cell>
          <cell r="D576" t="str">
            <v/>
          </cell>
          <cell r="E576" t="str">
            <v/>
          </cell>
          <cell r="F576" t="str">
            <v>Pcs</v>
          </cell>
          <cell r="G576">
            <v>0</v>
          </cell>
          <cell r="H576" t="str">
            <v/>
          </cell>
          <cell r="I576">
            <v>360</v>
          </cell>
          <cell r="J576">
            <v>336</v>
          </cell>
          <cell r="K576">
            <v>24</v>
          </cell>
          <cell r="L576">
            <v>66.67</v>
          </cell>
          <cell r="M576">
            <v>1600.08</v>
          </cell>
        </row>
        <row r="577">
          <cell r="A577">
            <v>2827</v>
          </cell>
          <cell r="B577" t="str">
            <v/>
          </cell>
          <cell r="C577" t="str">
            <v>MINUTE MAID APPPLE 1 LTR</v>
          </cell>
          <cell r="D577" t="str">
            <v/>
          </cell>
          <cell r="E577" t="str">
            <v/>
          </cell>
          <cell r="F577" t="str">
            <v>Pcs</v>
          </cell>
          <cell r="G577">
            <v>36</v>
          </cell>
          <cell r="H577" t="str">
            <v/>
          </cell>
          <cell r="I577">
            <v>240</v>
          </cell>
          <cell r="J577">
            <v>228</v>
          </cell>
          <cell r="K577">
            <v>48</v>
          </cell>
          <cell r="L577">
            <v>133.33</v>
          </cell>
          <cell r="M577">
            <v>6399.84</v>
          </cell>
        </row>
        <row r="578">
          <cell r="A578">
            <v>2826</v>
          </cell>
          <cell r="B578" t="str">
            <v/>
          </cell>
          <cell r="C578" t="str">
            <v>MINUTE MAID MANGO 1 LTR</v>
          </cell>
          <cell r="D578" t="str">
            <v/>
          </cell>
          <cell r="E578" t="str">
            <v/>
          </cell>
          <cell r="F578" t="str">
            <v>Pcs</v>
          </cell>
          <cell r="G578">
            <v>84</v>
          </cell>
          <cell r="H578" t="str">
            <v/>
          </cell>
          <cell r="I578">
            <v>0</v>
          </cell>
          <cell r="J578">
            <v>36</v>
          </cell>
          <cell r="K578">
            <v>48</v>
          </cell>
          <cell r="L578">
            <v>133.33</v>
          </cell>
          <cell r="M578">
            <v>6399.84</v>
          </cell>
        </row>
        <row r="579">
          <cell r="A579">
            <v>2829</v>
          </cell>
          <cell r="B579" t="str">
            <v/>
          </cell>
          <cell r="C579" t="str">
            <v>MINUTE MAID MANGO 400ML</v>
          </cell>
          <cell r="D579" t="str">
            <v/>
          </cell>
          <cell r="E579" t="str">
            <v/>
          </cell>
          <cell r="F579" t="str">
            <v>Pcs</v>
          </cell>
          <cell r="G579">
            <v>60</v>
          </cell>
          <cell r="H579" t="str">
            <v/>
          </cell>
          <cell r="I579">
            <v>120</v>
          </cell>
          <cell r="J579">
            <v>108</v>
          </cell>
          <cell r="K579">
            <v>72</v>
          </cell>
          <cell r="L579">
            <v>66.67</v>
          </cell>
          <cell r="M579">
            <v>4800.24</v>
          </cell>
        </row>
        <row r="580">
          <cell r="A580">
            <v>2641</v>
          </cell>
          <cell r="B580" t="str">
            <v/>
          </cell>
          <cell r="C580" t="str">
            <v>MINUTE MAID TROPICAL 400ML</v>
          </cell>
          <cell r="D580" t="str">
            <v/>
          </cell>
          <cell r="E580" t="str">
            <v/>
          </cell>
          <cell r="F580" t="str">
            <v>Pcs</v>
          </cell>
          <cell r="G580">
            <v>84</v>
          </cell>
          <cell r="H580" t="str">
            <v/>
          </cell>
          <cell r="I580">
            <v>60</v>
          </cell>
          <cell r="J580">
            <v>72</v>
          </cell>
          <cell r="K580">
            <v>72</v>
          </cell>
          <cell r="L580">
            <v>66.67</v>
          </cell>
          <cell r="M580">
            <v>4800.24</v>
          </cell>
        </row>
        <row r="581">
          <cell r="A581">
            <v>2828</v>
          </cell>
          <cell r="B581" t="str">
            <v/>
          </cell>
          <cell r="C581" t="str">
            <v>MINUTE MAID TROPICAL MIXED FRUIT 1 LTR</v>
          </cell>
          <cell r="D581" t="str">
            <v/>
          </cell>
          <cell r="E581" t="str">
            <v/>
          </cell>
          <cell r="F581" t="str">
            <v>Pcs</v>
          </cell>
          <cell r="G581">
            <v>0</v>
          </cell>
          <cell r="H581" t="str">
            <v/>
          </cell>
          <cell r="I581">
            <v>120</v>
          </cell>
          <cell r="J581">
            <v>48</v>
          </cell>
          <cell r="K581">
            <v>72</v>
          </cell>
          <cell r="L581">
            <v>133.33</v>
          </cell>
          <cell r="M581">
            <v>9599.76</v>
          </cell>
        </row>
        <row r="582">
          <cell r="A582">
            <v>1474</v>
          </cell>
          <cell r="B582" t="str">
            <v/>
          </cell>
          <cell r="C582" t="str">
            <v>MONSTER ENERGY 500ML</v>
          </cell>
          <cell r="D582" t="str">
            <v/>
          </cell>
          <cell r="E582" t="str">
            <v/>
          </cell>
          <cell r="F582" t="str">
            <v>Pcs</v>
          </cell>
          <cell r="G582">
            <v>0</v>
          </cell>
          <cell r="H582" t="str">
            <v/>
          </cell>
          <cell r="I582">
            <v>0</v>
          </cell>
          <cell r="J582">
            <v>0</v>
          </cell>
          <cell r="K582">
            <v>0</v>
          </cell>
          <cell r="L582">
            <v>185</v>
          </cell>
          <cell r="M582">
            <v>0</v>
          </cell>
        </row>
        <row r="583">
          <cell r="A583">
            <v>2868</v>
          </cell>
          <cell r="B583" t="str">
            <v/>
          </cell>
          <cell r="C583" t="str">
            <v>NOVIDA 350ML</v>
          </cell>
          <cell r="D583" t="str">
            <v/>
          </cell>
          <cell r="E583" t="str">
            <v/>
          </cell>
          <cell r="F583" t="str">
            <v>Pcs</v>
          </cell>
          <cell r="G583">
            <v>0</v>
          </cell>
          <cell r="H583" t="str">
            <v/>
          </cell>
          <cell r="I583">
            <v>0</v>
          </cell>
          <cell r="J583">
            <v>0</v>
          </cell>
          <cell r="K583">
            <v>0</v>
          </cell>
          <cell r="L583">
            <v>41.67</v>
          </cell>
          <cell r="M583">
            <v>0</v>
          </cell>
        </row>
        <row r="584">
          <cell r="A584">
            <v>1607</v>
          </cell>
          <cell r="B584" t="str">
            <v/>
          </cell>
          <cell r="C584" t="str">
            <v>PEP LIME JUICE 1.5LT</v>
          </cell>
          <cell r="D584" t="str">
            <v/>
          </cell>
          <cell r="E584" t="str">
            <v/>
          </cell>
          <cell r="F584" t="str">
            <v>Pcs</v>
          </cell>
          <cell r="G584">
            <v>78</v>
          </cell>
          <cell r="H584" t="str">
            <v/>
          </cell>
          <cell r="I584">
            <v>198</v>
          </cell>
          <cell r="J584">
            <v>70</v>
          </cell>
          <cell r="K584">
            <v>206</v>
          </cell>
          <cell r="L584">
            <v>219.84</v>
          </cell>
          <cell r="M584">
            <v>45287.04</v>
          </cell>
        </row>
        <row r="585">
          <cell r="A585">
            <v>1608</v>
          </cell>
          <cell r="B585" t="str">
            <v/>
          </cell>
          <cell r="C585" t="str">
            <v>PEP LIME JUICE 700ML</v>
          </cell>
          <cell r="D585" t="str">
            <v/>
          </cell>
          <cell r="E585" t="str">
            <v/>
          </cell>
          <cell r="F585" t="str">
            <v>Pcs</v>
          </cell>
          <cell r="G585">
            <v>1</v>
          </cell>
          <cell r="H585" t="str">
            <v/>
          </cell>
          <cell r="I585">
            <v>396</v>
          </cell>
          <cell r="J585">
            <v>60</v>
          </cell>
          <cell r="K585">
            <v>337</v>
          </cell>
          <cell r="L585">
            <v>121.48</v>
          </cell>
          <cell r="M585">
            <v>40938.76</v>
          </cell>
        </row>
        <row r="586">
          <cell r="A586">
            <v>1618</v>
          </cell>
          <cell r="B586" t="str">
            <v/>
          </cell>
          <cell r="C586" t="str">
            <v>PET SODA 500ML</v>
          </cell>
          <cell r="D586" t="str">
            <v/>
          </cell>
          <cell r="E586" t="str">
            <v/>
          </cell>
          <cell r="F586" t="str">
            <v>Pcs</v>
          </cell>
          <cell r="G586">
            <v>0</v>
          </cell>
          <cell r="H586" t="str">
            <v/>
          </cell>
          <cell r="I586">
            <v>0</v>
          </cell>
          <cell r="J586">
            <v>0</v>
          </cell>
          <cell r="K586">
            <v>0</v>
          </cell>
          <cell r="L586">
            <v>73.6</v>
          </cell>
          <cell r="M586">
            <v>0</v>
          </cell>
        </row>
        <row r="587">
          <cell r="A587">
            <v>2615</v>
          </cell>
          <cell r="B587" t="str">
            <v/>
          </cell>
          <cell r="C587" t="str">
            <v>POWER PLAY</v>
          </cell>
          <cell r="D587" t="str">
            <v/>
          </cell>
          <cell r="E587" t="str">
            <v/>
          </cell>
          <cell r="F587" t="str">
            <v>Pcs</v>
          </cell>
          <cell r="G587">
            <v>120</v>
          </cell>
          <cell r="H587" t="str">
            <v/>
          </cell>
          <cell r="I587">
            <v>0</v>
          </cell>
          <cell r="J587">
            <v>96</v>
          </cell>
          <cell r="K587">
            <v>24</v>
          </cell>
          <cell r="L587">
            <v>54.17</v>
          </cell>
          <cell r="M587">
            <v>1300.08</v>
          </cell>
        </row>
        <row r="588">
          <cell r="A588">
            <v>2616</v>
          </cell>
          <cell r="B588" t="str">
            <v/>
          </cell>
          <cell r="C588" t="str">
            <v>PREDATOR ENERGY</v>
          </cell>
          <cell r="D588" t="str">
            <v/>
          </cell>
          <cell r="E588" t="str">
            <v/>
          </cell>
          <cell r="F588" t="str">
            <v>Pcs</v>
          </cell>
          <cell r="G588">
            <v>0</v>
          </cell>
          <cell r="H588" t="str">
            <v/>
          </cell>
          <cell r="I588">
            <v>780</v>
          </cell>
          <cell r="J588">
            <v>600</v>
          </cell>
          <cell r="K588">
            <v>180</v>
          </cell>
          <cell r="L588">
            <v>54.17</v>
          </cell>
          <cell r="M588">
            <v>9750.6</v>
          </cell>
        </row>
        <row r="589">
          <cell r="A589">
            <v>2242</v>
          </cell>
          <cell r="B589" t="str">
            <v/>
          </cell>
          <cell r="C589" t="str">
            <v>RED BLAZE 150ML</v>
          </cell>
          <cell r="D589" t="str">
            <v/>
          </cell>
          <cell r="E589" t="str">
            <v/>
          </cell>
          <cell r="F589" t="str">
            <v>Pcs</v>
          </cell>
          <cell r="G589">
            <v>0</v>
          </cell>
          <cell r="H589" t="str">
            <v/>
          </cell>
          <cell r="I589">
            <v>0</v>
          </cell>
          <cell r="J589">
            <v>0</v>
          </cell>
          <cell r="K589">
            <v>0</v>
          </cell>
          <cell r="L589">
            <v>400</v>
          </cell>
          <cell r="M589">
            <v>0</v>
          </cell>
        </row>
        <row r="590">
          <cell r="A590">
            <v>1646</v>
          </cell>
          <cell r="B590" t="str">
            <v/>
          </cell>
          <cell r="C590" t="str">
            <v>RED BULL 0.0 250ML</v>
          </cell>
          <cell r="D590" t="str">
            <v/>
          </cell>
          <cell r="E590" t="str">
            <v/>
          </cell>
          <cell r="F590" t="str">
            <v>Pcs</v>
          </cell>
          <cell r="G590">
            <v>0</v>
          </cell>
          <cell r="H590" t="str">
            <v/>
          </cell>
          <cell r="I590">
            <v>0</v>
          </cell>
          <cell r="J590">
            <v>0</v>
          </cell>
          <cell r="K590">
            <v>0</v>
          </cell>
          <cell r="L590">
            <v>167.44</v>
          </cell>
          <cell r="M590">
            <v>0</v>
          </cell>
        </row>
        <row r="591">
          <cell r="A591">
            <v>1647</v>
          </cell>
          <cell r="B591" t="str">
            <v/>
          </cell>
          <cell r="C591" t="str">
            <v>RED BULL ENERGY DRINK 250ML</v>
          </cell>
          <cell r="D591" t="str">
            <v/>
          </cell>
          <cell r="E591" t="str">
            <v/>
          </cell>
          <cell r="F591" t="str">
            <v>Pcs</v>
          </cell>
          <cell r="G591">
            <v>0</v>
          </cell>
          <cell r="H591" t="str">
            <v/>
          </cell>
          <cell r="I591">
            <v>120</v>
          </cell>
          <cell r="J591">
            <v>120</v>
          </cell>
          <cell r="K591">
            <v>0</v>
          </cell>
          <cell r="L591">
            <v>179</v>
          </cell>
          <cell r="M591">
            <v>0</v>
          </cell>
        </row>
        <row r="592">
          <cell r="A592">
            <v>2456</v>
          </cell>
          <cell r="B592" t="str">
            <v/>
          </cell>
          <cell r="C592" t="str">
            <v>SCHWEEPES BITTER LEMON 500ML</v>
          </cell>
          <cell r="D592" t="str">
            <v/>
          </cell>
          <cell r="E592" t="str">
            <v/>
          </cell>
          <cell r="F592" t="str">
            <v>Pcs</v>
          </cell>
          <cell r="G592">
            <v>0</v>
          </cell>
          <cell r="H592" t="str">
            <v/>
          </cell>
          <cell r="I592">
            <v>0</v>
          </cell>
          <cell r="J592">
            <v>0</v>
          </cell>
          <cell r="K592">
            <v>0</v>
          </cell>
          <cell r="L592">
            <v>61.46</v>
          </cell>
          <cell r="M592">
            <v>0</v>
          </cell>
        </row>
        <row r="593">
          <cell r="A593">
            <v>1865</v>
          </cell>
          <cell r="B593" t="str">
            <v/>
          </cell>
          <cell r="C593" t="str">
            <v>SPRITE 1.25L</v>
          </cell>
          <cell r="D593" t="str">
            <v/>
          </cell>
          <cell r="E593" t="str">
            <v/>
          </cell>
          <cell r="F593" t="str">
            <v>Pcs</v>
          </cell>
          <cell r="G593">
            <v>48</v>
          </cell>
          <cell r="H593" t="str">
            <v/>
          </cell>
          <cell r="I593">
            <v>180</v>
          </cell>
          <cell r="J593">
            <v>180</v>
          </cell>
          <cell r="K593">
            <v>48</v>
          </cell>
          <cell r="L593">
            <v>125</v>
          </cell>
          <cell r="M593">
            <v>6000</v>
          </cell>
        </row>
        <row r="594">
          <cell r="A594">
            <v>2838</v>
          </cell>
          <cell r="B594" t="str">
            <v/>
          </cell>
          <cell r="C594" t="str">
            <v>SPRITE 1 LITRE</v>
          </cell>
          <cell r="D594" t="str">
            <v/>
          </cell>
          <cell r="E594" t="str">
            <v/>
          </cell>
          <cell r="F594" t="str">
            <v>Pcs</v>
          </cell>
          <cell r="G594">
            <v>0</v>
          </cell>
          <cell r="H594" t="str">
            <v/>
          </cell>
          <cell r="I594">
            <v>0</v>
          </cell>
          <cell r="J594">
            <v>0</v>
          </cell>
          <cell r="K594">
            <v>0</v>
          </cell>
          <cell r="L594">
            <v>87.5</v>
          </cell>
          <cell r="M594">
            <v>0</v>
          </cell>
        </row>
        <row r="595">
          <cell r="A595">
            <v>2248</v>
          </cell>
          <cell r="B595" t="str">
            <v/>
          </cell>
          <cell r="C595" t="str">
            <v>SPRITE 2L</v>
          </cell>
          <cell r="D595" t="str">
            <v/>
          </cell>
          <cell r="E595" t="str">
            <v/>
          </cell>
          <cell r="F595" t="str">
            <v>Pcs</v>
          </cell>
          <cell r="G595">
            <v>30</v>
          </cell>
          <cell r="H595" t="str">
            <v/>
          </cell>
          <cell r="I595">
            <v>60</v>
          </cell>
          <cell r="J595">
            <v>78</v>
          </cell>
          <cell r="K595">
            <v>12</v>
          </cell>
          <cell r="L595">
            <v>175</v>
          </cell>
          <cell r="M595">
            <v>2100</v>
          </cell>
        </row>
        <row r="596">
          <cell r="A596">
            <v>2862</v>
          </cell>
          <cell r="B596" t="str">
            <v/>
          </cell>
          <cell r="C596" t="str">
            <v>Sprite 350ml</v>
          </cell>
          <cell r="D596" t="str">
            <v/>
          </cell>
          <cell r="E596" t="str">
            <v/>
          </cell>
          <cell r="F596" t="str">
            <v>Pcs</v>
          </cell>
          <cell r="G596">
            <v>0</v>
          </cell>
          <cell r="H596" t="str">
            <v/>
          </cell>
          <cell r="I596">
            <v>0</v>
          </cell>
          <cell r="J596">
            <v>0</v>
          </cell>
          <cell r="K596">
            <v>0</v>
          </cell>
          <cell r="L596">
            <v>41.67</v>
          </cell>
          <cell r="M596">
            <v>0</v>
          </cell>
        </row>
        <row r="597">
          <cell r="A597">
            <v>1866</v>
          </cell>
          <cell r="B597" t="str">
            <v/>
          </cell>
          <cell r="C597" t="str">
            <v>SPRITE 500ML</v>
          </cell>
          <cell r="D597" t="str">
            <v/>
          </cell>
          <cell r="E597" t="str">
            <v/>
          </cell>
          <cell r="F597" t="str">
            <v>Pcs</v>
          </cell>
          <cell r="G597">
            <v>168</v>
          </cell>
          <cell r="H597" t="str">
            <v/>
          </cell>
          <cell r="I597">
            <v>216</v>
          </cell>
          <cell r="J597">
            <v>360</v>
          </cell>
          <cell r="K597">
            <v>24</v>
          </cell>
          <cell r="L597">
            <v>65.83</v>
          </cell>
          <cell r="M597">
            <v>1579.92</v>
          </cell>
        </row>
        <row r="598">
          <cell r="A598">
            <v>2863</v>
          </cell>
          <cell r="B598" t="str">
            <v/>
          </cell>
          <cell r="C598" t="str">
            <v>Stoney 350ml</v>
          </cell>
          <cell r="D598" t="str">
            <v/>
          </cell>
          <cell r="E598" t="str">
            <v/>
          </cell>
          <cell r="F598" t="str">
            <v>Pcs</v>
          </cell>
          <cell r="G598">
            <v>0</v>
          </cell>
          <cell r="H598" t="str">
            <v/>
          </cell>
          <cell r="I598">
            <v>120</v>
          </cell>
          <cell r="J598">
            <v>48</v>
          </cell>
          <cell r="K598">
            <v>72</v>
          </cell>
          <cell r="L598">
            <v>41.67</v>
          </cell>
          <cell r="M598">
            <v>3000.24</v>
          </cell>
        </row>
        <row r="599">
          <cell r="A599">
            <v>1892</v>
          </cell>
          <cell r="B599" t="str">
            <v/>
          </cell>
          <cell r="C599" t="str">
            <v>STONEY 500ML</v>
          </cell>
          <cell r="D599" t="str">
            <v/>
          </cell>
          <cell r="E599" t="str">
            <v/>
          </cell>
          <cell r="F599" t="str">
            <v>Pcs</v>
          </cell>
          <cell r="G599">
            <v>0</v>
          </cell>
          <cell r="H599" t="str">
            <v/>
          </cell>
          <cell r="I599">
            <v>0</v>
          </cell>
          <cell r="J599">
            <v>0</v>
          </cell>
          <cell r="K599">
            <v>0</v>
          </cell>
          <cell r="L599">
            <v>65.83</v>
          </cell>
          <cell r="M599">
            <v>0</v>
          </cell>
        </row>
        <row r="600">
          <cell r="B600" t="str">
            <v/>
          </cell>
          <cell r="C600" t="str">
            <v/>
          </cell>
          <cell r="D600" t="str">
            <v>SOFT DRINKS</v>
          </cell>
          <cell r="E600" t="str">
            <v/>
          </cell>
          <cell r="F600" t="str">
            <v/>
          </cell>
          <cell r="G600">
            <v>1801</v>
          </cell>
          <cell r="H600" t="str">
            <v/>
          </cell>
          <cell r="I600">
            <v>6246</v>
          </cell>
          <cell r="J600">
            <v>5769</v>
          </cell>
          <cell r="K600">
            <v>2278</v>
          </cell>
          <cell r="L600" t="str">
            <v/>
          </cell>
          <cell r="M600">
            <v>213249.76</v>
          </cell>
        </row>
        <row r="601">
          <cell r="A601" t="str">
            <v>Class :</v>
          </cell>
          <cell r="B601" t="str">
            <v>SPIRIT</v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</row>
        <row r="602">
          <cell r="A602">
            <v>2873</v>
          </cell>
          <cell r="B602" t="str">
            <v/>
          </cell>
          <cell r="C602" t="str">
            <v>DALLAS BRANDY 250ML</v>
          </cell>
          <cell r="D602" t="str">
            <v/>
          </cell>
          <cell r="E602" t="str">
            <v/>
          </cell>
          <cell r="F602" t="str">
            <v>Pcs</v>
          </cell>
          <cell r="G602">
            <v>0</v>
          </cell>
          <cell r="H602" t="str">
            <v/>
          </cell>
          <cell r="I602">
            <v>3040</v>
          </cell>
          <cell r="J602">
            <v>140</v>
          </cell>
          <cell r="K602">
            <v>2900</v>
          </cell>
          <cell r="L602">
            <v>120</v>
          </cell>
          <cell r="M602">
            <v>348000</v>
          </cell>
        </row>
        <row r="603">
          <cell r="A603">
            <v>2864</v>
          </cell>
          <cell r="B603" t="str">
            <v/>
          </cell>
          <cell r="C603" t="str">
            <v>KANE EXTRA 250ML</v>
          </cell>
          <cell r="D603" t="str">
            <v/>
          </cell>
          <cell r="E603" t="str">
            <v/>
          </cell>
          <cell r="F603" t="str">
            <v>Pcs</v>
          </cell>
          <cell r="G603">
            <v>600</v>
          </cell>
          <cell r="H603" t="str">
            <v/>
          </cell>
          <cell r="I603">
            <v>0</v>
          </cell>
          <cell r="J603">
            <v>520</v>
          </cell>
          <cell r="K603">
            <v>80</v>
          </cell>
          <cell r="L603">
            <v>191.03</v>
          </cell>
          <cell r="M603">
            <v>15282.4</v>
          </cell>
        </row>
        <row r="604">
          <cell r="A604">
            <v>2452</v>
          </cell>
          <cell r="B604" t="str">
            <v/>
          </cell>
          <cell r="C604" t="str">
            <v>KANE EXTRA 750ML</v>
          </cell>
          <cell r="D604" t="str">
            <v/>
          </cell>
          <cell r="E604" t="str">
            <v/>
          </cell>
          <cell r="F604" t="str">
            <v>Pcs</v>
          </cell>
          <cell r="G604">
            <v>72</v>
          </cell>
          <cell r="H604" t="str">
            <v/>
          </cell>
          <cell r="I604">
            <v>120</v>
          </cell>
          <cell r="J604">
            <v>120</v>
          </cell>
          <cell r="K604">
            <v>72</v>
          </cell>
          <cell r="L604">
            <v>543</v>
          </cell>
          <cell r="M604">
            <v>39096</v>
          </cell>
        </row>
        <row r="605">
          <cell r="A605">
            <v>2403</v>
          </cell>
          <cell r="B605" t="str">
            <v/>
          </cell>
          <cell r="C605" t="str">
            <v>KENYA CANE LEMON &amp; GINGER 750ML</v>
          </cell>
          <cell r="D605" t="str">
            <v/>
          </cell>
          <cell r="E605" t="str">
            <v/>
          </cell>
          <cell r="F605" t="str">
            <v>Pcs</v>
          </cell>
          <cell r="G605">
            <v>1080</v>
          </cell>
          <cell r="H605" t="str">
            <v/>
          </cell>
          <cell r="I605">
            <v>1212</v>
          </cell>
          <cell r="J605">
            <v>1452</v>
          </cell>
          <cell r="K605">
            <v>840</v>
          </cell>
          <cell r="L605">
            <v>664</v>
          </cell>
          <cell r="M605">
            <v>557760</v>
          </cell>
        </row>
        <row r="606">
          <cell r="A606">
            <v>1203</v>
          </cell>
          <cell r="B606" t="str">
            <v/>
          </cell>
          <cell r="C606" t="str">
            <v>KING OF ARAK 500ml</v>
          </cell>
          <cell r="D606" t="str">
            <v/>
          </cell>
          <cell r="E606" t="str">
            <v/>
          </cell>
          <cell r="F606" t="str">
            <v>Pcs</v>
          </cell>
          <cell r="G606">
            <v>12</v>
          </cell>
          <cell r="H606" t="str">
            <v/>
          </cell>
          <cell r="I606">
            <v>0</v>
          </cell>
          <cell r="J606">
            <v>12</v>
          </cell>
          <cell r="K606">
            <v>0</v>
          </cell>
          <cell r="L606">
            <v>2300</v>
          </cell>
          <cell r="M606">
            <v>0</v>
          </cell>
        </row>
        <row r="607">
          <cell r="A607">
            <v>1229</v>
          </cell>
          <cell r="B607" t="str">
            <v/>
          </cell>
          <cell r="C607" t="str">
            <v>KONYAGI 250 ML</v>
          </cell>
          <cell r="D607" t="str">
            <v/>
          </cell>
          <cell r="E607" t="str">
            <v/>
          </cell>
          <cell r="F607" t="str">
            <v>Pcs</v>
          </cell>
          <cell r="G607">
            <v>805</v>
          </cell>
          <cell r="H607" t="str">
            <v/>
          </cell>
          <cell r="I607">
            <v>0</v>
          </cell>
          <cell r="J607">
            <v>740</v>
          </cell>
          <cell r="K607">
            <v>65</v>
          </cell>
          <cell r="L607">
            <v>225.02</v>
          </cell>
          <cell r="M607">
            <v>14626.3</v>
          </cell>
        </row>
        <row r="608">
          <cell r="A608">
            <v>1230</v>
          </cell>
          <cell r="B608" t="str">
            <v/>
          </cell>
          <cell r="C608" t="str">
            <v>KONYAGI 500 ML</v>
          </cell>
          <cell r="D608" t="str">
            <v/>
          </cell>
          <cell r="E608" t="str">
            <v/>
          </cell>
          <cell r="F608" t="str">
            <v>Pcs</v>
          </cell>
          <cell r="G608">
            <v>0</v>
          </cell>
          <cell r="H608" t="str">
            <v/>
          </cell>
          <cell r="I608">
            <v>0</v>
          </cell>
          <cell r="J608">
            <v>0</v>
          </cell>
          <cell r="K608">
            <v>0</v>
          </cell>
          <cell r="L608">
            <v>450</v>
          </cell>
          <cell r="M608">
            <v>0</v>
          </cell>
        </row>
        <row r="609">
          <cell r="A609">
            <v>1228</v>
          </cell>
          <cell r="B609" t="str">
            <v/>
          </cell>
          <cell r="C609" t="str">
            <v>KONYAGI 750 ML</v>
          </cell>
          <cell r="D609" t="str">
            <v/>
          </cell>
          <cell r="E609" t="str">
            <v/>
          </cell>
          <cell r="F609" t="str">
            <v>Pcs</v>
          </cell>
          <cell r="G609">
            <v>0</v>
          </cell>
          <cell r="H609" t="str">
            <v/>
          </cell>
          <cell r="I609">
            <v>0</v>
          </cell>
          <cell r="J609">
            <v>0</v>
          </cell>
          <cell r="K609">
            <v>0</v>
          </cell>
          <cell r="L609">
            <v>639.97</v>
          </cell>
          <cell r="M609">
            <v>0</v>
          </cell>
        </row>
        <row r="610">
          <cell r="B610" t="str">
            <v/>
          </cell>
          <cell r="C610" t="str">
            <v/>
          </cell>
          <cell r="D610" t="str">
            <v>SPIRIT</v>
          </cell>
          <cell r="E610" t="str">
            <v/>
          </cell>
          <cell r="F610" t="str">
            <v/>
          </cell>
          <cell r="G610">
            <v>2569</v>
          </cell>
          <cell r="H610" t="str">
            <v/>
          </cell>
          <cell r="I610">
            <v>4372</v>
          </cell>
          <cell r="J610">
            <v>2984</v>
          </cell>
          <cell r="K610">
            <v>3957</v>
          </cell>
          <cell r="L610" t="str">
            <v/>
          </cell>
          <cell r="M610">
            <v>974764.7</v>
          </cell>
        </row>
        <row r="611">
          <cell r="A611" t="str">
            <v>Class :</v>
          </cell>
          <cell r="B611" t="str">
            <v>SPIRITS</v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</row>
        <row r="612">
          <cell r="A612">
            <v>2320</v>
          </cell>
          <cell r="B612" t="str">
            <v/>
          </cell>
          <cell r="C612" t="str">
            <v>WILD TIGER SPICED 750ML</v>
          </cell>
          <cell r="D612" t="str">
            <v/>
          </cell>
          <cell r="E612" t="str">
            <v/>
          </cell>
          <cell r="F612" t="str">
            <v>Pcs</v>
          </cell>
          <cell r="G612">
            <v>13</v>
          </cell>
          <cell r="H612" t="str">
            <v/>
          </cell>
          <cell r="I612">
            <v>0</v>
          </cell>
          <cell r="J612">
            <v>0</v>
          </cell>
          <cell r="K612">
            <v>13</v>
          </cell>
          <cell r="L612">
            <v>800</v>
          </cell>
          <cell r="M612">
            <v>10400</v>
          </cell>
        </row>
        <row r="613">
          <cell r="B613" t="str">
            <v/>
          </cell>
          <cell r="C613" t="str">
            <v/>
          </cell>
          <cell r="D613" t="str">
            <v>SPIRITS</v>
          </cell>
          <cell r="E613" t="str">
            <v/>
          </cell>
          <cell r="F613" t="str">
            <v/>
          </cell>
          <cell r="G613">
            <v>13</v>
          </cell>
          <cell r="H613" t="str">
            <v/>
          </cell>
          <cell r="I613">
            <v>0</v>
          </cell>
          <cell r="J613">
            <v>0</v>
          </cell>
          <cell r="K613">
            <v>13</v>
          </cell>
          <cell r="L613" t="str">
            <v/>
          </cell>
          <cell r="M613">
            <v>10400</v>
          </cell>
        </row>
        <row r="614">
          <cell r="A614" t="str">
            <v>Class :</v>
          </cell>
          <cell r="B614" t="str">
            <v>SYRUP</v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</row>
        <row r="615">
          <cell r="A615">
            <v>922</v>
          </cell>
          <cell r="B615" t="str">
            <v/>
          </cell>
          <cell r="C615" t="str">
            <v>GRENADINE SYRUP 750ML</v>
          </cell>
          <cell r="D615" t="str">
            <v/>
          </cell>
          <cell r="E615" t="str">
            <v/>
          </cell>
          <cell r="F615" t="str">
            <v>Pcs</v>
          </cell>
          <cell r="G615">
            <v>0</v>
          </cell>
          <cell r="H615" t="str">
            <v/>
          </cell>
          <cell r="I615">
            <v>0</v>
          </cell>
          <cell r="J615">
            <v>0</v>
          </cell>
          <cell r="K615">
            <v>0</v>
          </cell>
          <cell r="L615">
            <v>364.72</v>
          </cell>
          <cell r="M615">
            <v>0</v>
          </cell>
        </row>
        <row r="616">
          <cell r="B616" t="str">
            <v/>
          </cell>
          <cell r="C616" t="str">
            <v/>
          </cell>
          <cell r="D616" t="str">
            <v>SYRUP</v>
          </cell>
          <cell r="E616" t="str">
            <v/>
          </cell>
          <cell r="F616" t="str">
            <v/>
          </cell>
          <cell r="G616">
            <v>0</v>
          </cell>
          <cell r="H616" t="str">
            <v/>
          </cell>
          <cell r="I616">
            <v>0</v>
          </cell>
          <cell r="J616">
            <v>0</v>
          </cell>
          <cell r="K616">
            <v>0</v>
          </cell>
          <cell r="L616" t="str">
            <v/>
          </cell>
          <cell r="M616">
            <v>0</v>
          </cell>
        </row>
        <row r="617">
          <cell r="A617" t="str">
            <v>Class :</v>
          </cell>
          <cell r="B617" t="str">
            <v>TEQUILA</v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</row>
        <row r="618">
          <cell r="A618">
            <v>2481</v>
          </cell>
          <cell r="B618" t="str">
            <v/>
          </cell>
          <cell r="C618" t="str">
            <v>1800 REPOSADO RF LITRE</v>
          </cell>
          <cell r="D618" t="str">
            <v/>
          </cell>
          <cell r="E618" t="str">
            <v/>
          </cell>
          <cell r="F618" t="str">
            <v>Pcs</v>
          </cell>
          <cell r="G618">
            <v>78</v>
          </cell>
          <cell r="H618" t="str">
            <v/>
          </cell>
          <cell r="I618">
            <v>0</v>
          </cell>
          <cell r="J618">
            <v>0</v>
          </cell>
          <cell r="K618">
            <v>78</v>
          </cell>
          <cell r="L618">
            <v>4050</v>
          </cell>
          <cell r="M618">
            <v>315900</v>
          </cell>
        </row>
        <row r="619">
          <cell r="A619">
            <v>7</v>
          </cell>
          <cell r="B619" t="str">
            <v/>
          </cell>
          <cell r="C619" t="str">
            <v>1800 TEQUILA ANEJO 700ml</v>
          </cell>
          <cell r="D619" t="str">
            <v/>
          </cell>
          <cell r="E619" t="str">
            <v/>
          </cell>
          <cell r="F619" t="str">
            <v>Pcs</v>
          </cell>
          <cell r="G619">
            <v>0</v>
          </cell>
          <cell r="H619" t="str">
            <v/>
          </cell>
          <cell r="I619">
            <v>0</v>
          </cell>
          <cell r="J619">
            <v>0</v>
          </cell>
          <cell r="K619">
            <v>0</v>
          </cell>
          <cell r="L619">
            <v>3220</v>
          </cell>
          <cell r="M619">
            <v>0</v>
          </cell>
        </row>
        <row r="620">
          <cell r="A620">
            <v>8</v>
          </cell>
          <cell r="B620" t="str">
            <v/>
          </cell>
          <cell r="C620" t="str">
            <v>1800 TEQUILA BLANCO 700ml</v>
          </cell>
          <cell r="D620" t="str">
            <v/>
          </cell>
          <cell r="E620" t="str">
            <v/>
          </cell>
          <cell r="F620" t="str">
            <v>Pcs</v>
          </cell>
          <cell r="G620">
            <v>728</v>
          </cell>
          <cell r="H620" t="str">
            <v/>
          </cell>
          <cell r="I620">
            <v>0</v>
          </cell>
          <cell r="J620">
            <v>30</v>
          </cell>
          <cell r="K620">
            <v>698</v>
          </cell>
          <cell r="L620">
            <v>3220</v>
          </cell>
          <cell r="M620">
            <v>2247560</v>
          </cell>
        </row>
        <row r="621">
          <cell r="A621">
            <v>9</v>
          </cell>
          <cell r="B621" t="str">
            <v/>
          </cell>
          <cell r="C621" t="str">
            <v>1800 TEQUILA REPOSADO 700ML</v>
          </cell>
          <cell r="D621" t="str">
            <v/>
          </cell>
          <cell r="E621" t="str">
            <v/>
          </cell>
          <cell r="F621" t="str">
            <v>Pcs</v>
          </cell>
          <cell r="G621">
            <v>843</v>
          </cell>
          <cell r="H621" t="str">
            <v/>
          </cell>
          <cell r="I621">
            <v>0</v>
          </cell>
          <cell r="J621">
            <v>4</v>
          </cell>
          <cell r="K621">
            <v>839</v>
          </cell>
          <cell r="L621">
            <v>3220</v>
          </cell>
          <cell r="M621">
            <v>2701580</v>
          </cell>
        </row>
        <row r="622">
          <cell r="A622">
            <v>29</v>
          </cell>
          <cell r="B622" t="str">
            <v/>
          </cell>
          <cell r="C622" t="str">
            <v>818 TEQUILA REPOSADO 750ML</v>
          </cell>
          <cell r="D622" t="str">
            <v/>
          </cell>
          <cell r="E622" t="str">
            <v/>
          </cell>
          <cell r="F622" t="str">
            <v>Pcs</v>
          </cell>
          <cell r="G622">
            <v>6</v>
          </cell>
          <cell r="H622" t="str">
            <v/>
          </cell>
          <cell r="I622">
            <v>0</v>
          </cell>
          <cell r="J622">
            <v>6</v>
          </cell>
          <cell r="K622">
            <v>0</v>
          </cell>
          <cell r="L622">
            <v>7360</v>
          </cell>
          <cell r="M622">
            <v>0</v>
          </cell>
        </row>
        <row r="623">
          <cell r="A623">
            <v>2974</v>
          </cell>
          <cell r="B623" t="str">
            <v/>
          </cell>
          <cell r="C623" t="str">
            <v>ALTA AZUL TEQUILA BLANCO 1LTR</v>
          </cell>
          <cell r="D623" t="str">
            <v/>
          </cell>
          <cell r="E623" t="str">
            <v/>
          </cell>
          <cell r="F623" t="str">
            <v>Pcs</v>
          </cell>
          <cell r="G623">
            <v>0</v>
          </cell>
          <cell r="H623" t="str">
            <v/>
          </cell>
          <cell r="I623">
            <v>0</v>
          </cell>
          <cell r="J623">
            <v>0</v>
          </cell>
          <cell r="K623">
            <v>0</v>
          </cell>
          <cell r="L623">
            <v>3500</v>
          </cell>
          <cell r="M623">
            <v>0</v>
          </cell>
        </row>
        <row r="624">
          <cell r="A624">
            <v>2973</v>
          </cell>
          <cell r="B624" t="str">
            <v/>
          </cell>
          <cell r="C624" t="str">
            <v>ALTA AZUL TEQUILA REPOSADO 1LTR</v>
          </cell>
          <cell r="D624" t="str">
            <v/>
          </cell>
          <cell r="E624" t="str">
            <v/>
          </cell>
          <cell r="F624" t="str">
            <v>Pcs</v>
          </cell>
          <cell r="G624">
            <v>0</v>
          </cell>
          <cell r="H624" t="str">
            <v/>
          </cell>
          <cell r="I624">
            <v>0</v>
          </cell>
          <cell r="J624">
            <v>0</v>
          </cell>
          <cell r="K624">
            <v>0</v>
          </cell>
          <cell r="L624">
            <v>3500</v>
          </cell>
          <cell r="M624">
            <v>0</v>
          </cell>
        </row>
        <row r="625">
          <cell r="A625">
            <v>355</v>
          </cell>
          <cell r="B625" t="str">
            <v/>
          </cell>
          <cell r="C625" t="str">
            <v>CAMINO CLEAR 750ML</v>
          </cell>
          <cell r="D625" t="str">
            <v/>
          </cell>
          <cell r="E625" t="str">
            <v/>
          </cell>
          <cell r="F625" t="str">
            <v>Pcs</v>
          </cell>
          <cell r="G625">
            <v>0</v>
          </cell>
          <cell r="H625" t="str">
            <v/>
          </cell>
          <cell r="I625">
            <v>0</v>
          </cell>
          <cell r="J625">
            <v>0</v>
          </cell>
          <cell r="K625">
            <v>0</v>
          </cell>
          <cell r="L625">
            <v>2200</v>
          </cell>
          <cell r="M625">
            <v>0</v>
          </cell>
        </row>
        <row r="626">
          <cell r="A626">
            <v>356</v>
          </cell>
          <cell r="B626" t="str">
            <v/>
          </cell>
          <cell r="C626" t="str">
            <v>CAMINO GOLD 750ML</v>
          </cell>
          <cell r="D626" t="str">
            <v/>
          </cell>
          <cell r="E626" t="str">
            <v/>
          </cell>
          <cell r="F626" t="str">
            <v>Pcs</v>
          </cell>
          <cell r="G626">
            <v>0</v>
          </cell>
          <cell r="H626" t="str">
            <v/>
          </cell>
          <cell r="I626">
            <v>0</v>
          </cell>
          <cell r="J626">
            <v>0</v>
          </cell>
          <cell r="K626">
            <v>0</v>
          </cell>
          <cell r="L626">
            <v>1420</v>
          </cell>
          <cell r="M626">
            <v>0</v>
          </cell>
        </row>
        <row r="627">
          <cell r="A627">
            <v>2468</v>
          </cell>
          <cell r="B627" t="str">
            <v/>
          </cell>
          <cell r="C627" t="str">
            <v>CASA MIGOS ANEJO 700ML</v>
          </cell>
          <cell r="D627" t="str">
            <v/>
          </cell>
          <cell r="E627" t="str">
            <v/>
          </cell>
          <cell r="F627" t="str">
            <v>Pcs</v>
          </cell>
          <cell r="G627">
            <v>0</v>
          </cell>
          <cell r="H627" t="str">
            <v/>
          </cell>
          <cell r="I627">
            <v>0</v>
          </cell>
          <cell r="J627">
            <v>0</v>
          </cell>
          <cell r="K627">
            <v>0</v>
          </cell>
          <cell r="L627">
            <v>6150</v>
          </cell>
          <cell r="M627">
            <v>0</v>
          </cell>
        </row>
        <row r="628">
          <cell r="A628">
            <v>2469</v>
          </cell>
          <cell r="B628" t="str">
            <v/>
          </cell>
          <cell r="C628" t="str">
            <v>CASA MIGOS BLANCO 700ML</v>
          </cell>
          <cell r="D628" t="str">
            <v/>
          </cell>
          <cell r="E628" t="str">
            <v/>
          </cell>
          <cell r="F628" t="str">
            <v>Pcs</v>
          </cell>
          <cell r="G628">
            <v>0</v>
          </cell>
          <cell r="H628" t="str">
            <v/>
          </cell>
          <cell r="I628">
            <v>0</v>
          </cell>
          <cell r="J628">
            <v>0</v>
          </cell>
          <cell r="K628">
            <v>0</v>
          </cell>
          <cell r="L628">
            <v>8540</v>
          </cell>
          <cell r="M628">
            <v>0</v>
          </cell>
        </row>
        <row r="629">
          <cell r="A629">
            <v>493</v>
          </cell>
          <cell r="B629" t="str">
            <v/>
          </cell>
          <cell r="C629" t="str">
            <v>CLASE AZUL ANEJO 700ML </v>
          </cell>
          <cell r="D629" t="str">
            <v/>
          </cell>
          <cell r="E629" t="str">
            <v/>
          </cell>
          <cell r="F629" t="str">
            <v>Pcs</v>
          </cell>
          <cell r="G629">
            <v>0</v>
          </cell>
          <cell r="H629" t="str">
            <v/>
          </cell>
          <cell r="I629">
            <v>0</v>
          </cell>
          <cell r="J629">
            <v>0</v>
          </cell>
          <cell r="K629">
            <v>0</v>
          </cell>
          <cell r="L629">
            <v>92000</v>
          </cell>
          <cell r="M629">
            <v>0</v>
          </cell>
        </row>
        <row r="630">
          <cell r="A630">
            <v>495</v>
          </cell>
          <cell r="B630" t="str">
            <v/>
          </cell>
          <cell r="C630" t="str">
            <v>CLASE AZUL PLATA 700ML</v>
          </cell>
          <cell r="D630" t="str">
            <v/>
          </cell>
          <cell r="E630" t="str">
            <v/>
          </cell>
          <cell r="F630" t="str">
            <v>Pcs</v>
          </cell>
          <cell r="G630">
            <v>18</v>
          </cell>
          <cell r="H630" t="str">
            <v/>
          </cell>
          <cell r="I630">
            <v>0</v>
          </cell>
          <cell r="J630">
            <v>0</v>
          </cell>
          <cell r="K630">
            <v>18</v>
          </cell>
          <cell r="L630">
            <v>22563</v>
          </cell>
          <cell r="M630">
            <v>406134</v>
          </cell>
        </row>
        <row r="631">
          <cell r="A631">
            <v>496</v>
          </cell>
          <cell r="B631" t="str">
            <v/>
          </cell>
          <cell r="C631" t="str">
            <v>CLASE AZUL TEQUILA REPOSADO 750ML</v>
          </cell>
          <cell r="D631" t="str">
            <v/>
          </cell>
          <cell r="E631" t="str">
            <v/>
          </cell>
          <cell r="F631" t="str">
            <v>Pcs</v>
          </cell>
          <cell r="G631">
            <v>281</v>
          </cell>
          <cell r="H631" t="str">
            <v/>
          </cell>
          <cell r="I631">
            <v>0</v>
          </cell>
          <cell r="J631">
            <v>0</v>
          </cell>
          <cell r="K631">
            <v>281</v>
          </cell>
          <cell r="L631">
            <v>26400</v>
          </cell>
          <cell r="M631">
            <v>7418400</v>
          </cell>
        </row>
        <row r="632">
          <cell r="A632">
            <v>621</v>
          </cell>
          <cell r="B632" t="str">
            <v/>
          </cell>
          <cell r="C632" t="str">
            <v>DON JULIO 1942 750ml</v>
          </cell>
          <cell r="D632" t="str">
            <v/>
          </cell>
          <cell r="E632" t="str">
            <v/>
          </cell>
          <cell r="F632" t="str">
            <v>Pcs</v>
          </cell>
          <cell r="G632">
            <v>102</v>
          </cell>
          <cell r="H632" t="str">
            <v/>
          </cell>
          <cell r="I632">
            <v>0</v>
          </cell>
          <cell r="J632">
            <v>4</v>
          </cell>
          <cell r="K632">
            <v>98</v>
          </cell>
          <cell r="L632">
            <v>27000</v>
          </cell>
          <cell r="M632">
            <v>2646000</v>
          </cell>
        </row>
        <row r="633">
          <cell r="A633">
            <v>2952</v>
          </cell>
          <cell r="B633" t="str">
            <v/>
          </cell>
          <cell r="C633" t="str">
            <v>DON JULIO 70 CRISTALINO 700ML</v>
          </cell>
          <cell r="D633" t="str">
            <v/>
          </cell>
          <cell r="E633" t="str">
            <v/>
          </cell>
          <cell r="F633" t="str">
            <v>Pcs</v>
          </cell>
          <cell r="G633">
            <v>0</v>
          </cell>
          <cell r="H633" t="str">
            <v/>
          </cell>
          <cell r="I633">
            <v>0</v>
          </cell>
          <cell r="J633">
            <v>0</v>
          </cell>
          <cell r="K633">
            <v>0</v>
          </cell>
          <cell r="L633">
            <v>7000</v>
          </cell>
          <cell r="M633">
            <v>0</v>
          </cell>
        </row>
        <row r="634">
          <cell r="A634">
            <v>622</v>
          </cell>
          <cell r="B634" t="str">
            <v/>
          </cell>
          <cell r="C634" t="str">
            <v>DON JULIO ANEJO 750ML</v>
          </cell>
          <cell r="D634" t="str">
            <v/>
          </cell>
          <cell r="E634" t="str">
            <v/>
          </cell>
          <cell r="F634" t="str">
            <v>Pcs</v>
          </cell>
          <cell r="G634">
            <v>117</v>
          </cell>
          <cell r="H634" t="str">
            <v/>
          </cell>
          <cell r="I634">
            <v>0</v>
          </cell>
          <cell r="J634">
            <v>6</v>
          </cell>
          <cell r="K634">
            <v>111</v>
          </cell>
          <cell r="L634">
            <v>8103.97</v>
          </cell>
          <cell r="M634">
            <v>899540.67</v>
          </cell>
        </row>
        <row r="635">
          <cell r="A635">
            <v>623</v>
          </cell>
          <cell r="B635" t="str">
            <v/>
          </cell>
          <cell r="C635" t="str">
            <v>DON JULIO BLANCO 750ML</v>
          </cell>
          <cell r="D635" t="str">
            <v/>
          </cell>
          <cell r="E635" t="str">
            <v/>
          </cell>
          <cell r="F635" t="str">
            <v>Pcs</v>
          </cell>
          <cell r="G635">
            <v>200</v>
          </cell>
          <cell r="H635" t="str">
            <v/>
          </cell>
          <cell r="I635">
            <v>0</v>
          </cell>
          <cell r="J635">
            <v>18</v>
          </cell>
          <cell r="K635">
            <v>182</v>
          </cell>
          <cell r="L635">
            <v>4450</v>
          </cell>
          <cell r="M635">
            <v>809900</v>
          </cell>
        </row>
        <row r="636">
          <cell r="A636">
            <v>624</v>
          </cell>
          <cell r="B636" t="str">
            <v/>
          </cell>
          <cell r="C636" t="str">
            <v>DON JULIO REPOSADO 750ML</v>
          </cell>
          <cell r="D636" t="str">
            <v/>
          </cell>
          <cell r="E636" t="str">
            <v/>
          </cell>
          <cell r="F636" t="str">
            <v>Pcs</v>
          </cell>
          <cell r="G636">
            <v>324</v>
          </cell>
          <cell r="H636" t="str">
            <v/>
          </cell>
          <cell r="I636">
            <v>0</v>
          </cell>
          <cell r="J636">
            <v>48</v>
          </cell>
          <cell r="K636">
            <v>276</v>
          </cell>
          <cell r="L636">
            <v>7300</v>
          </cell>
          <cell r="M636">
            <v>2014800</v>
          </cell>
        </row>
        <row r="637">
          <cell r="A637">
            <v>941</v>
          </cell>
          <cell r="B637" t="str">
            <v/>
          </cell>
          <cell r="C637" t="str">
            <v>HAVANA ANEJO ESPECIAL TEQUILA 700ML</v>
          </cell>
          <cell r="D637" t="str">
            <v/>
          </cell>
          <cell r="E637" t="str">
            <v/>
          </cell>
          <cell r="F637" t="str">
            <v>Pcs</v>
          </cell>
          <cell r="G637">
            <v>0</v>
          </cell>
          <cell r="H637" t="str">
            <v/>
          </cell>
          <cell r="I637">
            <v>0</v>
          </cell>
          <cell r="J637">
            <v>0</v>
          </cell>
          <cell r="K637">
            <v>0</v>
          </cell>
          <cell r="L637">
            <v>1518</v>
          </cell>
          <cell r="M637">
            <v>0</v>
          </cell>
        </row>
        <row r="638">
          <cell r="A638">
            <v>942</v>
          </cell>
          <cell r="B638" t="str">
            <v/>
          </cell>
          <cell r="C638" t="str">
            <v>HAVANA CLUB ANEJO 3YRS TEQUILA 700ML</v>
          </cell>
          <cell r="D638" t="str">
            <v/>
          </cell>
          <cell r="E638" t="str">
            <v/>
          </cell>
          <cell r="F638" t="str">
            <v>Pcs</v>
          </cell>
          <cell r="G638">
            <v>0</v>
          </cell>
          <cell r="H638" t="str">
            <v/>
          </cell>
          <cell r="I638">
            <v>0</v>
          </cell>
          <cell r="J638">
            <v>0</v>
          </cell>
          <cell r="K638">
            <v>0</v>
          </cell>
          <cell r="L638">
            <v>1334</v>
          </cell>
          <cell r="M638">
            <v>0</v>
          </cell>
        </row>
        <row r="639">
          <cell r="A639">
            <v>1130</v>
          </cell>
          <cell r="B639" t="str">
            <v/>
          </cell>
          <cell r="C639" t="str">
            <v>JOSE CUERVO CLEAR 1LTR</v>
          </cell>
          <cell r="D639" t="str">
            <v/>
          </cell>
          <cell r="E639" t="str">
            <v/>
          </cell>
          <cell r="F639" t="str">
            <v>Pcs</v>
          </cell>
          <cell r="G639">
            <v>60</v>
          </cell>
          <cell r="H639" t="str">
            <v/>
          </cell>
          <cell r="I639">
            <v>0</v>
          </cell>
          <cell r="J639">
            <v>60</v>
          </cell>
          <cell r="K639">
            <v>0</v>
          </cell>
          <cell r="L639">
            <v>1900</v>
          </cell>
          <cell r="M639">
            <v>0</v>
          </cell>
        </row>
        <row r="640">
          <cell r="A640">
            <v>1131</v>
          </cell>
          <cell r="B640" t="str">
            <v/>
          </cell>
          <cell r="C640" t="str">
            <v>JOSE CUERVO GOLD 1LTR</v>
          </cell>
          <cell r="D640" t="str">
            <v/>
          </cell>
          <cell r="E640" t="str">
            <v/>
          </cell>
          <cell r="F640" t="str">
            <v>Pcs</v>
          </cell>
          <cell r="G640">
            <v>2</v>
          </cell>
          <cell r="H640" t="str">
            <v/>
          </cell>
          <cell r="I640">
            <v>11</v>
          </cell>
          <cell r="J640">
            <v>13</v>
          </cell>
          <cell r="K640">
            <v>0</v>
          </cell>
          <cell r="L640">
            <v>2500</v>
          </cell>
          <cell r="M640">
            <v>0</v>
          </cell>
        </row>
        <row r="641">
          <cell r="A641">
            <v>1132</v>
          </cell>
          <cell r="B641" t="str">
            <v/>
          </cell>
          <cell r="C641" t="str">
            <v>JOSE CUERVO GOLD 750 ML</v>
          </cell>
          <cell r="D641" t="str">
            <v/>
          </cell>
          <cell r="E641" t="str">
            <v/>
          </cell>
          <cell r="F641" t="str">
            <v>Pcs</v>
          </cell>
          <cell r="G641">
            <v>216</v>
          </cell>
          <cell r="H641" t="str">
            <v/>
          </cell>
          <cell r="I641">
            <v>13757</v>
          </cell>
          <cell r="J641">
            <v>2144</v>
          </cell>
          <cell r="K641">
            <v>11829</v>
          </cell>
          <cell r="L641">
            <v>1476</v>
          </cell>
          <cell r="M641">
            <v>17459604</v>
          </cell>
        </row>
        <row r="642">
          <cell r="A642">
            <v>1128</v>
          </cell>
          <cell r="B642" t="str">
            <v/>
          </cell>
          <cell r="C642" t="str">
            <v>JOSE CUERVO RESERVA 700ML</v>
          </cell>
          <cell r="D642" t="str">
            <v/>
          </cell>
          <cell r="E642" t="str">
            <v/>
          </cell>
          <cell r="F642" t="str">
            <v>Pcs</v>
          </cell>
          <cell r="G642">
            <v>49</v>
          </cell>
          <cell r="H642" t="str">
            <v/>
          </cell>
          <cell r="I642">
            <v>0</v>
          </cell>
          <cell r="J642">
            <v>0</v>
          </cell>
          <cell r="K642">
            <v>49</v>
          </cell>
          <cell r="L642">
            <v>17800</v>
          </cell>
          <cell r="M642">
            <v>872200</v>
          </cell>
        </row>
        <row r="643">
          <cell r="A643">
            <v>1129</v>
          </cell>
          <cell r="B643" t="str">
            <v/>
          </cell>
          <cell r="C643" t="str">
            <v>JOSE CUERVO SILVER 750ML</v>
          </cell>
          <cell r="D643" t="str">
            <v/>
          </cell>
          <cell r="E643" t="str">
            <v/>
          </cell>
          <cell r="F643" t="str">
            <v>Pcs</v>
          </cell>
          <cell r="G643">
            <v>215</v>
          </cell>
          <cell r="H643" t="str">
            <v/>
          </cell>
          <cell r="I643">
            <v>6360</v>
          </cell>
          <cell r="J643">
            <v>235</v>
          </cell>
          <cell r="K643">
            <v>6340</v>
          </cell>
          <cell r="L643">
            <v>1800</v>
          </cell>
          <cell r="M643">
            <v>11412000</v>
          </cell>
        </row>
        <row r="644">
          <cell r="A644">
            <v>1557</v>
          </cell>
          <cell r="B644" t="str">
            <v/>
          </cell>
          <cell r="C644" t="str">
            <v>OLMECA ALTOS REPOSADO 38% 750ML</v>
          </cell>
          <cell r="D644" t="str">
            <v/>
          </cell>
          <cell r="E644" t="str">
            <v/>
          </cell>
          <cell r="F644" t="str">
            <v>Pcs</v>
          </cell>
          <cell r="G644">
            <v>0</v>
          </cell>
          <cell r="H644" t="str">
            <v/>
          </cell>
          <cell r="I644">
            <v>0</v>
          </cell>
          <cell r="J644">
            <v>0</v>
          </cell>
          <cell r="K644">
            <v>0</v>
          </cell>
          <cell r="L644">
            <v>3220</v>
          </cell>
          <cell r="M644">
            <v>0</v>
          </cell>
        </row>
        <row r="645">
          <cell r="A645">
            <v>1558</v>
          </cell>
          <cell r="B645" t="str">
            <v/>
          </cell>
          <cell r="C645" t="str">
            <v>OLMECA ANEJO 750ML </v>
          </cell>
          <cell r="D645" t="str">
            <v/>
          </cell>
          <cell r="E645" t="str">
            <v/>
          </cell>
          <cell r="F645" t="str">
            <v>Pcs</v>
          </cell>
          <cell r="G645">
            <v>0</v>
          </cell>
          <cell r="H645" t="str">
            <v/>
          </cell>
          <cell r="I645">
            <v>0</v>
          </cell>
          <cell r="J645">
            <v>0</v>
          </cell>
          <cell r="K645">
            <v>0</v>
          </cell>
          <cell r="L645">
            <v>2300</v>
          </cell>
          <cell r="M645">
            <v>0</v>
          </cell>
        </row>
        <row r="646">
          <cell r="A646">
            <v>1559</v>
          </cell>
          <cell r="B646" t="str">
            <v/>
          </cell>
          <cell r="C646" t="str">
            <v>OLMECA BLANCO 1LT</v>
          </cell>
          <cell r="D646" t="str">
            <v/>
          </cell>
          <cell r="E646" t="str">
            <v/>
          </cell>
          <cell r="F646" t="str">
            <v>Pcs</v>
          </cell>
          <cell r="G646">
            <v>12</v>
          </cell>
          <cell r="H646" t="str">
            <v/>
          </cell>
          <cell r="I646">
            <v>0</v>
          </cell>
          <cell r="J646">
            <v>12</v>
          </cell>
          <cell r="K646">
            <v>0</v>
          </cell>
          <cell r="L646">
            <v>3036</v>
          </cell>
          <cell r="M646">
            <v>0</v>
          </cell>
        </row>
        <row r="647">
          <cell r="A647">
            <v>1560</v>
          </cell>
          <cell r="B647" t="str">
            <v/>
          </cell>
          <cell r="C647" t="str">
            <v>OLMECA BLANCO 750ML</v>
          </cell>
          <cell r="D647" t="str">
            <v/>
          </cell>
          <cell r="E647" t="str">
            <v/>
          </cell>
          <cell r="F647" t="str">
            <v>Pcs</v>
          </cell>
          <cell r="G647">
            <v>143</v>
          </cell>
          <cell r="H647" t="str">
            <v/>
          </cell>
          <cell r="I647">
            <v>0</v>
          </cell>
          <cell r="J647">
            <v>41</v>
          </cell>
          <cell r="K647">
            <v>102</v>
          </cell>
          <cell r="L647">
            <v>2400</v>
          </cell>
          <cell r="M647">
            <v>244800</v>
          </cell>
        </row>
        <row r="648">
          <cell r="A648">
            <v>1561</v>
          </cell>
          <cell r="B648" t="str">
            <v/>
          </cell>
          <cell r="C648" t="str">
            <v>OLMECA DARK CHOCOLATE 750ML</v>
          </cell>
          <cell r="D648" t="str">
            <v/>
          </cell>
          <cell r="E648" t="str">
            <v/>
          </cell>
          <cell r="F648" t="str">
            <v>Pcs</v>
          </cell>
          <cell r="G648">
            <v>328</v>
          </cell>
          <cell r="H648" t="str">
            <v/>
          </cell>
          <cell r="I648">
            <v>6</v>
          </cell>
          <cell r="J648">
            <v>58</v>
          </cell>
          <cell r="K648">
            <v>276</v>
          </cell>
          <cell r="L648">
            <v>2300</v>
          </cell>
          <cell r="M648">
            <v>634800</v>
          </cell>
        </row>
        <row r="649">
          <cell r="A649">
            <v>2241</v>
          </cell>
          <cell r="B649" t="str">
            <v/>
          </cell>
          <cell r="C649" t="str">
            <v>OLMECA EXTRA AGED 1LTR</v>
          </cell>
          <cell r="D649" t="str">
            <v/>
          </cell>
          <cell r="E649" t="str">
            <v/>
          </cell>
          <cell r="F649" t="str">
            <v>Pcs</v>
          </cell>
          <cell r="G649">
            <v>0</v>
          </cell>
          <cell r="H649" t="str">
            <v/>
          </cell>
          <cell r="I649">
            <v>0</v>
          </cell>
          <cell r="J649">
            <v>0</v>
          </cell>
          <cell r="K649">
            <v>0</v>
          </cell>
          <cell r="L649">
            <v>3150</v>
          </cell>
          <cell r="M649">
            <v>0</v>
          </cell>
        </row>
        <row r="650">
          <cell r="A650">
            <v>1562</v>
          </cell>
          <cell r="B650" t="str">
            <v/>
          </cell>
          <cell r="C650" t="str">
            <v>OLMECA GOLD 38% 750ML</v>
          </cell>
          <cell r="D650" t="str">
            <v/>
          </cell>
          <cell r="E650" t="str">
            <v/>
          </cell>
          <cell r="F650" t="str">
            <v>Pcs</v>
          </cell>
          <cell r="G650">
            <v>0</v>
          </cell>
          <cell r="H650" t="str">
            <v/>
          </cell>
          <cell r="I650">
            <v>0</v>
          </cell>
          <cell r="J650">
            <v>0</v>
          </cell>
          <cell r="K650">
            <v>0</v>
          </cell>
          <cell r="L650">
            <v>2300</v>
          </cell>
          <cell r="M650">
            <v>0</v>
          </cell>
        </row>
        <row r="651">
          <cell r="A651">
            <v>1563</v>
          </cell>
          <cell r="B651" t="str">
            <v/>
          </cell>
          <cell r="C651" t="str">
            <v>OLMECA TEQUILA GOLD 1LT</v>
          </cell>
          <cell r="D651" t="str">
            <v/>
          </cell>
          <cell r="E651" t="str">
            <v/>
          </cell>
          <cell r="F651" t="str">
            <v>Pcs</v>
          </cell>
          <cell r="G651">
            <v>12</v>
          </cell>
          <cell r="H651" t="str">
            <v/>
          </cell>
          <cell r="I651">
            <v>6</v>
          </cell>
          <cell r="J651">
            <v>18</v>
          </cell>
          <cell r="K651">
            <v>0</v>
          </cell>
          <cell r="L651">
            <v>2950</v>
          </cell>
          <cell r="M651">
            <v>0</v>
          </cell>
        </row>
        <row r="652">
          <cell r="A652">
            <v>1589</v>
          </cell>
          <cell r="B652" t="str">
            <v/>
          </cell>
          <cell r="C652" t="str">
            <v>PATRON - ANEJO TEQUILLA 1LT</v>
          </cell>
          <cell r="D652" t="str">
            <v/>
          </cell>
          <cell r="E652" t="str">
            <v/>
          </cell>
          <cell r="F652" t="str">
            <v>Pcs</v>
          </cell>
          <cell r="G652">
            <v>0</v>
          </cell>
          <cell r="H652" t="str">
            <v/>
          </cell>
          <cell r="I652">
            <v>0</v>
          </cell>
          <cell r="J652">
            <v>0</v>
          </cell>
          <cell r="K652">
            <v>0</v>
          </cell>
          <cell r="L652">
            <v>8740</v>
          </cell>
          <cell r="M652">
            <v>0</v>
          </cell>
        </row>
        <row r="653">
          <cell r="A653">
            <v>1590</v>
          </cell>
          <cell r="B653" t="str">
            <v/>
          </cell>
          <cell r="C653" t="str">
            <v>PATRON - ANEJO TEQUILLA 750ML</v>
          </cell>
          <cell r="D653" t="str">
            <v/>
          </cell>
          <cell r="E653" t="str">
            <v/>
          </cell>
          <cell r="F653" t="str">
            <v>Pcs</v>
          </cell>
          <cell r="G653">
            <v>77</v>
          </cell>
          <cell r="H653" t="str">
            <v/>
          </cell>
          <cell r="I653">
            <v>0</v>
          </cell>
          <cell r="J653">
            <v>0</v>
          </cell>
          <cell r="K653">
            <v>77</v>
          </cell>
          <cell r="L653">
            <v>5601.88</v>
          </cell>
          <cell r="M653">
            <v>431344.76</v>
          </cell>
        </row>
        <row r="654">
          <cell r="A654">
            <v>2987</v>
          </cell>
          <cell r="B654" t="str">
            <v/>
          </cell>
          <cell r="C654" t="str">
            <v>PATRON REPOSADO 1L</v>
          </cell>
          <cell r="D654" t="str">
            <v/>
          </cell>
          <cell r="E654" t="str">
            <v/>
          </cell>
          <cell r="F654" t="str">
            <v>Pcs</v>
          </cell>
          <cell r="G654">
            <v>0</v>
          </cell>
          <cell r="H654" t="str">
            <v/>
          </cell>
          <cell r="I654">
            <v>60</v>
          </cell>
          <cell r="J654">
            <v>0</v>
          </cell>
          <cell r="K654">
            <v>60</v>
          </cell>
          <cell r="L654">
            <v>8740</v>
          </cell>
          <cell r="M654">
            <v>524400</v>
          </cell>
        </row>
        <row r="655">
          <cell r="A655">
            <v>1591</v>
          </cell>
          <cell r="B655" t="str">
            <v/>
          </cell>
          <cell r="C655" t="str">
            <v>PATRON - REPOSADO 750ML</v>
          </cell>
          <cell r="D655" t="str">
            <v/>
          </cell>
          <cell r="E655" t="str">
            <v/>
          </cell>
          <cell r="F655" t="str">
            <v>Pcs</v>
          </cell>
          <cell r="G655">
            <v>90</v>
          </cell>
          <cell r="H655" t="str">
            <v/>
          </cell>
          <cell r="I655">
            <v>0</v>
          </cell>
          <cell r="J655">
            <v>72</v>
          </cell>
          <cell r="K655">
            <v>18</v>
          </cell>
          <cell r="L655">
            <v>6900</v>
          </cell>
          <cell r="M655">
            <v>124200</v>
          </cell>
        </row>
        <row r="656">
          <cell r="A656">
            <v>1596</v>
          </cell>
          <cell r="B656" t="str">
            <v/>
          </cell>
          <cell r="C656" t="str">
            <v>PATRON SILVER 1LTR</v>
          </cell>
          <cell r="D656" t="str">
            <v/>
          </cell>
          <cell r="E656" t="str">
            <v/>
          </cell>
          <cell r="F656" t="str">
            <v>Pcs</v>
          </cell>
          <cell r="G656">
            <v>66</v>
          </cell>
          <cell r="H656" t="str">
            <v/>
          </cell>
          <cell r="I656">
            <v>0</v>
          </cell>
          <cell r="J656">
            <v>0</v>
          </cell>
          <cell r="K656">
            <v>66</v>
          </cell>
          <cell r="L656">
            <v>8740</v>
          </cell>
          <cell r="M656">
            <v>576840</v>
          </cell>
        </row>
        <row r="657">
          <cell r="A657">
            <v>1592</v>
          </cell>
          <cell r="B657" t="str">
            <v/>
          </cell>
          <cell r="C657" t="str">
            <v>PATRON - SILVER 750ML</v>
          </cell>
          <cell r="D657" t="str">
            <v/>
          </cell>
          <cell r="E657" t="str">
            <v/>
          </cell>
          <cell r="F657" t="str">
            <v>Pcs</v>
          </cell>
          <cell r="G657">
            <v>102</v>
          </cell>
          <cell r="H657" t="str">
            <v/>
          </cell>
          <cell r="I657">
            <v>0</v>
          </cell>
          <cell r="J657">
            <v>12</v>
          </cell>
          <cell r="K657">
            <v>90</v>
          </cell>
          <cell r="L657">
            <v>6900</v>
          </cell>
          <cell r="M657">
            <v>621000</v>
          </cell>
        </row>
        <row r="658">
          <cell r="A658">
            <v>1597</v>
          </cell>
          <cell r="B658" t="str">
            <v/>
          </cell>
          <cell r="C658" t="str">
            <v>PATRON TEQUILA SILVER 375ML</v>
          </cell>
          <cell r="D658" t="str">
            <v/>
          </cell>
          <cell r="E658" t="str">
            <v/>
          </cell>
          <cell r="F658" t="str">
            <v>Pcs</v>
          </cell>
          <cell r="G658">
            <v>0</v>
          </cell>
          <cell r="H658" t="str">
            <v/>
          </cell>
          <cell r="I658">
            <v>0</v>
          </cell>
          <cell r="J658">
            <v>0</v>
          </cell>
          <cell r="K658">
            <v>0</v>
          </cell>
          <cell r="L658">
            <v>3231.96</v>
          </cell>
          <cell r="M658">
            <v>0</v>
          </cell>
        </row>
        <row r="659">
          <cell r="A659">
            <v>1609</v>
          </cell>
          <cell r="B659" t="str">
            <v/>
          </cell>
          <cell r="C659" t="str">
            <v>PEPE LOPEZ TEQUILA 1LTR</v>
          </cell>
          <cell r="D659" t="str">
            <v/>
          </cell>
          <cell r="E659" t="str">
            <v/>
          </cell>
          <cell r="F659" t="str">
            <v>Pcs</v>
          </cell>
          <cell r="G659">
            <v>0</v>
          </cell>
          <cell r="H659" t="str">
            <v/>
          </cell>
          <cell r="I659">
            <v>0</v>
          </cell>
          <cell r="J659">
            <v>0</v>
          </cell>
          <cell r="K659">
            <v>0</v>
          </cell>
          <cell r="L659">
            <v>1500</v>
          </cell>
          <cell r="M659">
            <v>0</v>
          </cell>
        </row>
        <row r="660">
          <cell r="A660">
            <v>1633</v>
          </cell>
          <cell r="B660" t="str">
            <v/>
          </cell>
          <cell r="C660" t="str">
            <v>PONCHOS TEQUILA REPOSADO 750ML</v>
          </cell>
          <cell r="D660" t="str">
            <v/>
          </cell>
          <cell r="E660" t="str">
            <v/>
          </cell>
          <cell r="F660" t="str">
            <v>Pcs</v>
          </cell>
          <cell r="G660">
            <v>0</v>
          </cell>
          <cell r="H660" t="str">
            <v/>
          </cell>
          <cell r="I660">
            <v>0</v>
          </cell>
          <cell r="J660">
            <v>0</v>
          </cell>
          <cell r="K660">
            <v>0</v>
          </cell>
          <cell r="L660">
            <v>4140</v>
          </cell>
          <cell r="M660">
            <v>0</v>
          </cell>
        </row>
        <row r="661">
          <cell r="A661">
            <v>1788</v>
          </cell>
          <cell r="B661" t="str">
            <v/>
          </cell>
          <cell r="C661" t="str">
            <v>SIERRA REPOSADO 1LTR</v>
          </cell>
          <cell r="D661" t="str">
            <v/>
          </cell>
          <cell r="E661" t="str">
            <v/>
          </cell>
          <cell r="F661" t="str">
            <v>Pcs</v>
          </cell>
          <cell r="G661">
            <v>0</v>
          </cell>
          <cell r="H661" t="str">
            <v/>
          </cell>
          <cell r="I661">
            <v>0</v>
          </cell>
          <cell r="J661">
            <v>0</v>
          </cell>
          <cell r="K661">
            <v>0</v>
          </cell>
          <cell r="L661">
            <v>2300</v>
          </cell>
          <cell r="M661">
            <v>0</v>
          </cell>
        </row>
        <row r="662">
          <cell r="A662">
            <v>1789</v>
          </cell>
          <cell r="B662" t="str">
            <v/>
          </cell>
          <cell r="C662" t="str">
            <v>SIERRA REPOSADO 700ML</v>
          </cell>
          <cell r="D662" t="str">
            <v/>
          </cell>
          <cell r="E662" t="str">
            <v/>
          </cell>
          <cell r="F662" t="str">
            <v>Pcs</v>
          </cell>
          <cell r="G662">
            <v>0</v>
          </cell>
          <cell r="H662" t="str">
            <v/>
          </cell>
          <cell r="I662">
            <v>0</v>
          </cell>
          <cell r="J662">
            <v>0</v>
          </cell>
          <cell r="K662">
            <v>0</v>
          </cell>
          <cell r="L662">
            <v>2000</v>
          </cell>
          <cell r="M662">
            <v>0</v>
          </cell>
        </row>
        <row r="663">
          <cell r="A663">
            <v>1790</v>
          </cell>
          <cell r="B663" t="str">
            <v/>
          </cell>
          <cell r="C663" t="str">
            <v>SIERRA TEQUILA SILVER 1ltr</v>
          </cell>
          <cell r="D663" t="str">
            <v/>
          </cell>
          <cell r="E663" t="str">
            <v/>
          </cell>
          <cell r="F663" t="str">
            <v>Pcs</v>
          </cell>
          <cell r="G663">
            <v>0</v>
          </cell>
          <cell r="H663" t="str">
            <v/>
          </cell>
          <cell r="I663">
            <v>0</v>
          </cell>
          <cell r="J663">
            <v>0</v>
          </cell>
          <cell r="K663">
            <v>0</v>
          </cell>
          <cell r="L663">
            <v>2392</v>
          </cell>
          <cell r="M663">
            <v>0</v>
          </cell>
        </row>
        <row r="664">
          <cell r="A664">
            <v>1791</v>
          </cell>
          <cell r="B664" t="str">
            <v/>
          </cell>
          <cell r="C664" t="str">
            <v>SIERRA TEQUILA SILVER 700ml</v>
          </cell>
          <cell r="D664" t="str">
            <v/>
          </cell>
          <cell r="E664" t="str">
            <v/>
          </cell>
          <cell r="F664" t="str">
            <v>Pcs</v>
          </cell>
          <cell r="G664">
            <v>40</v>
          </cell>
          <cell r="H664" t="str">
            <v/>
          </cell>
          <cell r="I664">
            <v>0</v>
          </cell>
          <cell r="J664">
            <v>12</v>
          </cell>
          <cell r="K664">
            <v>28</v>
          </cell>
          <cell r="L664">
            <v>2024</v>
          </cell>
          <cell r="M664">
            <v>56672</v>
          </cell>
        </row>
        <row r="665">
          <cell r="A665">
            <v>3003</v>
          </cell>
          <cell r="B665" t="str">
            <v/>
          </cell>
          <cell r="C665" t="str">
            <v>SIERRA TROPICAL CHILI, PASSIONFRUIT &amp; MANGO 700ML</v>
          </cell>
          <cell r="D665" t="str">
            <v/>
          </cell>
          <cell r="E665" t="str">
            <v/>
          </cell>
          <cell r="F665" t="str">
            <v>Pcs</v>
          </cell>
          <cell r="G665">
            <v>0</v>
          </cell>
          <cell r="H665" t="str">
            <v/>
          </cell>
          <cell r="I665">
            <v>642</v>
          </cell>
          <cell r="J665">
            <v>84</v>
          </cell>
          <cell r="K665">
            <v>558</v>
          </cell>
          <cell r="L665">
            <v>1500</v>
          </cell>
          <cell r="M665">
            <v>837000</v>
          </cell>
        </row>
        <row r="666">
          <cell r="A666">
            <v>1950</v>
          </cell>
          <cell r="B666" t="str">
            <v/>
          </cell>
          <cell r="C666" t="str">
            <v>TEQUILA AGAVITA BLANCO 700ML</v>
          </cell>
          <cell r="D666" t="str">
            <v/>
          </cell>
          <cell r="E666" t="str">
            <v/>
          </cell>
          <cell r="F666" t="str">
            <v>Pcs</v>
          </cell>
          <cell r="G666">
            <v>18</v>
          </cell>
          <cell r="H666" t="str">
            <v/>
          </cell>
          <cell r="I666">
            <v>0</v>
          </cell>
          <cell r="J666">
            <v>0</v>
          </cell>
          <cell r="K666">
            <v>18</v>
          </cell>
          <cell r="L666">
            <v>2070</v>
          </cell>
          <cell r="M666">
            <v>37260</v>
          </cell>
        </row>
        <row r="667">
          <cell r="A667">
            <v>1951</v>
          </cell>
          <cell r="B667" t="str">
            <v/>
          </cell>
          <cell r="C667" t="str">
            <v>TEQUILA AGAVITA GOLD 700ML</v>
          </cell>
          <cell r="D667" t="str">
            <v/>
          </cell>
          <cell r="E667" t="str">
            <v/>
          </cell>
          <cell r="F667" t="str">
            <v>Pcs</v>
          </cell>
          <cell r="G667">
            <v>0</v>
          </cell>
          <cell r="H667" t="str">
            <v/>
          </cell>
          <cell r="I667">
            <v>0</v>
          </cell>
          <cell r="J667">
            <v>0</v>
          </cell>
          <cell r="K667">
            <v>0</v>
          </cell>
          <cell r="L667">
            <v>2070</v>
          </cell>
          <cell r="M667">
            <v>0</v>
          </cell>
        </row>
        <row r="668">
          <cell r="A668">
            <v>1952</v>
          </cell>
          <cell r="B668" t="str">
            <v/>
          </cell>
          <cell r="C668" t="str">
            <v>TEQUILA ROSE 750ML</v>
          </cell>
          <cell r="D668" t="str">
            <v/>
          </cell>
          <cell r="E668" t="str">
            <v/>
          </cell>
          <cell r="F668" t="str">
            <v>Pcs</v>
          </cell>
          <cell r="G668">
            <v>0</v>
          </cell>
          <cell r="H668" t="str">
            <v/>
          </cell>
          <cell r="I668">
            <v>6</v>
          </cell>
          <cell r="J668">
            <v>6</v>
          </cell>
          <cell r="K668">
            <v>0</v>
          </cell>
          <cell r="L668">
            <v>2392</v>
          </cell>
          <cell r="M668">
            <v>0</v>
          </cell>
        </row>
        <row r="669">
          <cell r="A669">
            <v>1954</v>
          </cell>
          <cell r="B669" t="str">
            <v/>
          </cell>
          <cell r="C669" t="str">
            <v>TEREMANA TEQUILA 750ml</v>
          </cell>
          <cell r="D669" t="str">
            <v/>
          </cell>
          <cell r="E669" t="str">
            <v/>
          </cell>
          <cell r="F669" t="str">
            <v>Pcs</v>
          </cell>
          <cell r="G669">
            <v>0</v>
          </cell>
          <cell r="H669" t="str">
            <v/>
          </cell>
          <cell r="I669">
            <v>0</v>
          </cell>
          <cell r="J669">
            <v>0</v>
          </cell>
          <cell r="K669">
            <v>0</v>
          </cell>
          <cell r="L669">
            <v>5704</v>
          </cell>
          <cell r="M669">
            <v>0</v>
          </cell>
        </row>
        <row r="670">
          <cell r="A670">
            <v>2485</v>
          </cell>
          <cell r="B670" t="str">
            <v/>
          </cell>
          <cell r="C670" t="str">
            <v>VOLCAN REPOSADO 700ML</v>
          </cell>
          <cell r="D670" t="str">
            <v/>
          </cell>
          <cell r="E670" t="str">
            <v/>
          </cell>
          <cell r="F670" t="str">
            <v>Pcs</v>
          </cell>
          <cell r="G670">
            <v>0</v>
          </cell>
          <cell r="H670" t="str">
            <v/>
          </cell>
          <cell r="I670">
            <v>0</v>
          </cell>
          <cell r="J670">
            <v>0</v>
          </cell>
          <cell r="K670">
            <v>0</v>
          </cell>
          <cell r="L670">
            <v>9159</v>
          </cell>
          <cell r="M670">
            <v>0</v>
          </cell>
        </row>
        <row r="671">
          <cell r="B671" t="str">
            <v/>
          </cell>
          <cell r="C671" t="str">
            <v/>
          </cell>
          <cell r="D671" t="str">
            <v>TEQUILA</v>
          </cell>
          <cell r="E671" t="str">
            <v/>
          </cell>
          <cell r="F671" t="str">
            <v/>
          </cell>
          <cell r="G671">
            <v>4127</v>
          </cell>
          <cell r="H671" t="str">
            <v/>
          </cell>
          <cell r="I671">
            <v>20848</v>
          </cell>
          <cell r="J671">
            <v>2883</v>
          </cell>
          <cell r="K671">
            <v>22092</v>
          </cell>
          <cell r="L671" t="str">
            <v/>
          </cell>
          <cell r="M671">
            <v>53291935.43</v>
          </cell>
        </row>
        <row r="672">
          <cell r="A672" t="str">
            <v>Class :</v>
          </cell>
          <cell r="B672" t="str">
            <v>VAPES</v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</row>
        <row r="673">
          <cell r="A673">
            <v>2944</v>
          </cell>
          <cell r="B673" t="str">
            <v/>
          </cell>
          <cell r="C673" t="str">
            <v>EROS BATTERY</v>
          </cell>
          <cell r="D673" t="str">
            <v/>
          </cell>
          <cell r="E673" t="str">
            <v/>
          </cell>
          <cell r="F673" t="str">
            <v>Pcs</v>
          </cell>
          <cell r="G673">
            <v>0</v>
          </cell>
          <cell r="H673" t="str">
            <v/>
          </cell>
          <cell r="I673">
            <v>0</v>
          </cell>
          <cell r="J673">
            <v>0</v>
          </cell>
          <cell r="K673">
            <v>0</v>
          </cell>
          <cell r="L673">
            <v>700</v>
          </cell>
          <cell r="M673">
            <v>0</v>
          </cell>
        </row>
        <row r="674">
          <cell r="A674">
            <v>2931</v>
          </cell>
          <cell r="B674" t="str">
            <v/>
          </cell>
          <cell r="C674" t="str">
            <v>EROS KIT COOL MINT</v>
          </cell>
          <cell r="D674" t="str">
            <v/>
          </cell>
          <cell r="E674" t="str">
            <v/>
          </cell>
          <cell r="F674" t="str">
            <v>Pcs</v>
          </cell>
          <cell r="G674">
            <v>11</v>
          </cell>
          <cell r="H674" t="str">
            <v/>
          </cell>
          <cell r="I674">
            <v>15</v>
          </cell>
          <cell r="J674">
            <v>12</v>
          </cell>
          <cell r="K674">
            <v>14</v>
          </cell>
          <cell r="L674">
            <v>1900</v>
          </cell>
          <cell r="M674">
            <v>26600</v>
          </cell>
        </row>
        <row r="675">
          <cell r="A675">
            <v>2929</v>
          </cell>
          <cell r="B675" t="str">
            <v/>
          </cell>
          <cell r="C675" t="str">
            <v>EROS KIT GRAPE ICE</v>
          </cell>
          <cell r="D675" t="str">
            <v/>
          </cell>
          <cell r="E675" t="str">
            <v/>
          </cell>
          <cell r="F675" t="str">
            <v>Pcs</v>
          </cell>
          <cell r="G675">
            <v>7</v>
          </cell>
          <cell r="H675" t="str">
            <v/>
          </cell>
          <cell r="I675">
            <v>15</v>
          </cell>
          <cell r="J675">
            <v>7</v>
          </cell>
          <cell r="K675">
            <v>15</v>
          </cell>
          <cell r="L675">
            <v>1900</v>
          </cell>
          <cell r="M675">
            <v>28500</v>
          </cell>
        </row>
        <row r="676">
          <cell r="A676">
            <v>2930</v>
          </cell>
          <cell r="B676" t="str">
            <v/>
          </cell>
          <cell r="C676" t="str">
            <v>EROS KIT PEACH MANGO ICE</v>
          </cell>
          <cell r="D676" t="str">
            <v/>
          </cell>
          <cell r="E676" t="str">
            <v/>
          </cell>
          <cell r="F676" t="str">
            <v>Pcs</v>
          </cell>
          <cell r="G676">
            <v>0</v>
          </cell>
          <cell r="H676" t="str">
            <v/>
          </cell>
          <cell r="I676">
            <v>0</v>
          </cell>
          <cell r="J676">
            <v>0</v>
          </cell>
          <cell r="K676">
            <v>0</v>
          </cell>
          <cell r="L676">
            <v>1900</v>
          </cell>
          <cell r="M676">
            <v>0</v>
          </cell>
        </row>
        <row r="677">
          <cell r="A677">
            <v>2932</v>
          </cell>
          <cell r="B677" t="str">
            <v/>
          </cell>
          <cell r="C677" t="str">
            <v>EROS KIT TROPICAL ICE</v>
          </cell>
          <cell r="D677" t="str">
            <v/>
          </cell>
          <cell r="E677" t="str">
            <v/>
          </cell>
          <cell r="F677" t="str">
            <v>Pcs</v>
          </cell>
          <cell r="G677">
            <v>8</v>
          </cell>
          <cell r="H677" t="str">
            <v/>
          </cell>
          <cell r="I677">
            <v>15</v>
          </cell>
          <cell r="J677">
            <v>11</v>
          </cell>
          <cell r="K677">
            <v>12</v>
          </cell>
          <cell r="L677">
            <v>1900</v>
          </cell>
          <cell r="M677">
            <v>22800</v>
          </cell>
        </row>
        <row r="678">
          <cell r="A678">
            <v>2928</v>
          </cell>
          <cell r="B678" t="str">
            <v/>
          </cell>
          <cell r="C678" t="str">
            <v>EROS KIT WATERMELON ICE</v>
          </cell>
          <cell r="D678" t="str">
            <v/>
          </cell>
          <cell r="E678" t="str">
            <v/>
          </cell>
          <cell r="F678" t="str">
            <v>Pcs</v>
          </cell>
          <cell r="G678">
            <v>8</v>
          </cell>
          <cell r="H678" t="str">
            <v/>
          </cell>
          <cell r="I678">
            <v>15</v>
          </cell>
          <cell r="J678">
            <v>8</v>
          </cell>
          <cell r="K678">
            <v>15</v>
          </cell>
          <cell r="L678">
            <v>1900</v>
          </cell>
          <cell r="M678">
            <v>28500</v>
          </cell>
        </row>
        <row r="679">
          <cell r="A679">
            <v>2943</v>
          </cell>
          <cell r="B679" t="str">
            <v/>
          </cell>
          <cell r="C679" t="str">
            <v>EROS POD 20000 PUFFS</v>
          </cell>
          <cell r="D679" t="str">
            <v/>
          </cell>
          <cell r="E679" t="str">
            <v/>
          </cell>
          <cell r="F679" t="str">
            <v>Pcs</v>
          </cell>
          <cell r="G679">
            <v>44</v>
          </cell>
          <cell r="H679" t="str">
            <v/>
          </cell>
          <cell r="I679">
            <v>63</v>
          </cell>
          <cell r="J679">
            <v>30</v>
          </cell>
          <cell r="K679">
            <v>77</v>
          </cell>
          <cell r="L679">
            <v>1200</v>
          </cell>
          <cell r="M679">
            <v>92400</v>
          </cell>
        </row>
        <row r="680">
          <cell r="A680">
            <v>2941</v>
          </cell>
          <cell r="B680" t="str">
            <v/>
          </cell>
          <cell r="C680" t="str">
            <v>VAPENGIN 13000 PODS PUFFS</v>
          </cell>
          <cell r="D680" t="str">
            <v/>
          </cell>
          <cell r="E680" t="str">
            <v/>
          </cell>
          <cell r="F680" t="str">
            <v>Pcs</v>
          </cell>
          <cell r="G680">
            <v>52</v>
          </cell>
          <cell r="H680" t="str">
            <v/>
          </cell>
          <cell r="I680">
            <v>214</v>
          </cell>
          <cell r="J680">
            <v>100</v>
          </cell>
          <cell r="K680">
            <v>166</v>
          </cell>
          <cell r="L680">
            <v>1200</v>
          </cell>
          <cell r="M680">
            <v>199200</v>
          </cell>
        </row>
        <row r="681">
          <cell r="A681">
            <v>2942</v>
          </cell>
          <cell r="B681" t="str">
            <v/>
          </cell>
          <cell r="C681" t="str">
            <v>VAPENGIN 6500 PODS PUFFS</v>
          </cell>
          <cell r="D681" t="str">
            <v/>
          </cell>
          <cell r="E681" t="str">
            <v/>
          </cell>
          <cell r="F681" t="str">
            <v>Pcs</v>
          </cell>
          <cell r="G681">
            <v>0</v>
          </cell>
          <cell r="H681" t="str">
            <v/>
          </cell>
          <cell r="I681">
            <v>165</v>
          </cell>
          <cell r="J681">
            <v>153</v>
          </cell>
          <cell r="K681">
            <v>12</v>
          </cell>
          <cell r="L681">
            <v>1100</v>
          </cell>
          <cell r="M681">
            <v>13200</v>
          </cell>
        </row>
        <row r="682">
          <cell r="A682">
            <v>2892</v>
          </cell>
          <cell r="B682" t="str">
            <v/>
          </cell>
          <cell r="C682" t="str">
            <v>VAPENGIN BATTERY , 96800</v>
          </cell>
          <cell r="D682" t="str">
            <v/>
          </cell>
          <cell r="E682" t="str">
            <v/>
          </cell>
          <cell r="F682" t="str">
            <v>Pcs</v>
          </cell>
          <cell r="G682">
            <v>22</v>
          </cell>
          <cell r="H682" t="str">
            <v/>
          </cell>
          <cell r="I682">
            <v>70</v>
          </cell>
          <cell r="J682">
            <v>72</v>
          </cell>
          <cell r="K682">
            <v>20</v>
          </cell>
          <cell r="L682">
            <v>700</v>
          </cell>
          <cell r="M682">
            <v>14000</v>
          </cell>
        </row>
        <row r="683">
          <cell r="A683">
            <v>2915</v>
          </cell>
          <cell r="B683" t="str">
            <v/>
          </cell>
          <cell r="C683" t="str">
            <v>WOOSH 9000 PUFFS BLUE RAZZ </v>
          </cell>
          <cell r="D683" t="str">
            <v/>
          </cell>
          <cell r="E683" t="str">
            <v/>
          </cell>
          <cell r="F683" t="str">
            <v>Pcs</v>
          </cell>
          <cell r="G683">
            <v>16</v>
          </cell>
          <cell r="H683" t="str">
            <v/>
          </cell>
          <cell r="I683">
            <v>0</v>
          </cell>
          <cell r="J683">
            <v>0</v>
          </cell>
          <cell r="K683">
            <v>16</v>
          </cell>
          <cell r="L683">
            <v>1077</v>
          </cell>
          <cell r="M683">
            <v>17232</v>
          </cell>
        </row>
        <row r="684">
          <cell r="A684">
            <v>2916</v>
          </cell>
          <cell r="B684" t="str">
            <v/>
          </cell>
          <cell r="C684" t="str">
            <v>WOOSH 9000 PUFFS COLA LIME</v>
          </cell>
          <cell r="D684" t="str">
            <v/>
          </cell>
          <cell r="E684" t="str">
            <v/>
          </cell>
          <cell r="F684" t="str">
            <v>Pcs</v>
          </cell>
          <cell r="G684">
            <v>8</v>
          </cell>
          <cell r="H684" t="str">
            <v/>
          </cell>
          <cell r="I684">
            <v>0</v>
          </cell>
          <cell r="J684">
            <v>0</v>
          </cell>
          <cell r="K684">
            <v>8</v>
          </cell>
          <cell r="L684">
            <v>1077</v>
          </cell>
          <cell r="M684">
            <v>8616</v>
          </cell>
        </row>
        <row r="685">
          <cell r="A685">
            <v>2918</v>
          </cell>
          <cell r="B685" t="str">
            <v/>
          </cell>
          <cell r="C685" t="str">
            <v>WOOSH 9000 PUFFS SUN KISSED GRAPE</v>
          </cell>
          <cell r="D685" t="str">
            <v/>
          </cell>
          <cell r="E685" t="str">
            <v/>
          </cell>
          <cell r="F685" t="str">
            <v>Pcs</v>
          </cell>
          <cell r="G685">
            <v>6</v>
          </cell>
          <cell r="H685" t="str">
            <v/>
          </cell>
          <cell r="I685">
            <v>0</v>
          </cell>
          <cell r="J685">
            <v>5</v>
          </cell>
          <cell r="K685">
            <v>1</v>
          </cell>
          <cell r="L685">
            <v>1077</v>
          </cell>
          <cell r="M685">
            <v>1077</v>
          </cell>
        </row>
        <row r="686">
          <cell r="A686">
            <v>2917</v>
          </cell>
          <cell r="B686" t="str">
            <v/>
          </cell>
          <cell r="C686" t="str">
            <v>WOOSH 9000 PUFFS WATERMELON ICE </v>
          </cell>
          <cell r="D686" t="str">
            <v/>
          </cell>
          <cell r="E686" t="str">
            <v/>
          </cell>
          <cell r="F686" t="str">
            <v>Pcs</v>
          </cell>
          <cell r="G686">
            <v>7</v>
          </cell>
          <cell r="H686" t="str">
            <v/>
          </cell>
          <cell r="I686">
            <v>0</v>
          </cell>
          <cell r="J686">
            <v>5</v>
          </cell>
          <cell r="K686">
            <v>2</v>
          </cell>
          <cell r="L686">
            <v>1077</v>
          </cell>
          <cell r="M686">
            <v>2154</v>
          </cell>
        </row>
        <row r="687">
          <cell r="A687">
            <v>2920</v>
          </cell>
          <cell r="B687" t="str">
            <v/>
          </cell>
          <cell r="C687" t="str">
            <v>WOOSH PEN 1800 PUFFS BLUEBERRY ICE</v>
          </cell>
          <cell r="D687" t="str">
            <v/>
          </cell>
          <cell r="E687" t="str">
            <v/>
          </cell>
          <cell r="F687" t="str">
            <v>Pcs</v>
          </cell>
          <cell r="G687">
            <v>2</v>
          </cell>
          <cell r="H687" t="str">
            <v/>
          </cell>
          <cell r="I687">
            <v>0</v>
          </cell>
          <cell r="J687">
            <v>2</v>
          </cell>
          <cell r="K687">
            <v>0</v>
          </cell>
          <cell r="L687">
            <v>735</v>
          </cell>
          <cell r="M687">
            <v>0</v>
          </cell>
        </row>
        <row r="688">
          <cell r="A688">
            <v>2919</v>
          </cell>
          <cell r="B688" t="str">
            <v/>
          </cell>
          <cell r="C688" t="str">
            <v>WOOSH PEN 1800 PUFFS COLA LIME </v>
          </cell>
          <cell r="D688" t="str">
            <v/>
          </cell>
          <cell r="E688" t="str">
            <v/>
          </cell>
          <cell r="F688" t="str">
            <v>Pcs</v>
          </cell>
          <cell r="G688">
            <v>2</v>
          </cell>
          <cell r="H688" t="str">
            <v/>
          </cell>
          <cell r="I688">
            <v>0</v>
          </cell>
          <cell r="J688">
            <v>0</v>
          </cell>
          <cell r="K688">
            <v>2</v>
          </cell>
          <cell r="L688">
            <v>735</v>
          </cell>
          <cell r="M688">
            <v>1470</v>
          </cell>
        </row>
        <row r="689">
          <cell r="B689" t="str">
            <v/>
          </cell>
          <cell r="C689" t="str">
            <v/>
          </cell>
          <cell r="D689" t="str">
            <v>VAPES</v>
          </cell>
          <cell r="E689" t="str">
            <v/>
          </cell>
          <cell r="F689" t="str">
            <v/>
          </cell>
          <cell r="G689">
            <v>193</v>
          </cell>
          <cell r="H689" t="str">
            <v/>
          </cell>
          <cell r="I689">
            <v>572</v>
          </cell>
          <cell r="J689">
            <v>405</v>
          </cell>
          <cell r="K689">
            <v>360</v>
          </cell>
          <cell r="L689" t="str">
            <v/>
          </cell>
          <cell r="M689">
            <v>455749</v>
          </cell>
        </row>
        <row r="690">
          <cell r="A690" t="str">
            <v>Class :</v>
          </cell>
          <cell r="B690" t="str">
            <v>VERMOUTH</v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</row>
        <row r="691">
          <cell r="A691">
            <v>478</v>
          </cell>
          <cell r="B691" t="str">
            <v/>
          </cell>
          <cell r="C691" t="str">
            <v>CINZANO VINO SPUMANTE 750ML</v>
          </cell>
          <cell r="D691" t="str">
            <v/>
          </cell>
          <cell r="E691" t="str">
            <v/>
          </cell>
          <cell r="F691" t="str">
            <v>Pcs</v>
          </cell>
          <cell r="G691">
            <v>0</v>
          </cell>
          <cell r="H691" t="str">
            <v/>
          </cell>
          <cell r="I691">
            <v>0</v>
          </cell>
          <cell r="J691">
            <v>0</v>
          </cell>
          <cell r="K691">
            <v>0</v>
          </cell>
          <cell r="L691">
            <v>1472</v>
          </cell>
          <cell r="M691">
            <v>0</v>
          </cell>
        </row>
        <row r="692">
          <cell r="A692">
            <v>2533</v>
          </cell>
          <cell r="B692" t="str">
            <v/>
          </cell>
          <cell r="C692" t="str">
            <v>IRIS VERMOUTH BLANCO LITRE</v>
          </cell>
          <cell r="D692" t="str">
            <v/>
          </cell>
          <cell r="E692" t="str">
            <v/>
          </cell>
          <cell r="F692" t="str">
            <v>Pcs</v>
          </cell>
          <cell r="G692">
            <v>0</v>
          </cell>
          <cell r="H692" t="str">
            <v/>
          </cell>
          <cell r="I692">
            <v>0</v>
          </cell>
          <cell r="J692">
            <v>0</v>
          </cell>
          <cell r="K692">
            <v>0</v>
          </cell>
          <cell r="L692">
            <v>1753</v>
          </cell>
          <cell r="M692">
            <v>0</v>
          </cell>
        </row>
        <row r="693">
          <cell r="A693">
            <v>2534</v>
          </cell>
          <cell r="B693" t="str">
            <v/>
          </cell>
          <cell r="C693" t="str">
            <v>IRIS VERMOUTH ROJO LITRE</v>
          </cell>
          <cell r="D693" t="str">
            <v/>
          </cell>
          <cell r="E693" t="str">
            <v/>
          </cell>
          <cell r="F693" t="str">
            <v>Pcs</v>
          </cell>
          <cell r="G693">
            <v>0</v>
          </cell>
          <cell r="H693" t="str">
            <v/>
          </cell>
          <cell r="I693">
            <v>0</v>
          </cell>
          <cell r="J693">
            <v>0</v>
          </cell>
          <cell r="K693">
            <v>0</v>
          </cell>
          <cell r="L693">
            <v>1753</v>
          </cell>
          <cell r="M693">
            <v>0</v>
          </cell>
        </row>
        <row r="694">
          <cell r="B694" t="str">
            <v/>
          </cell>
          <cell r="C694" t="str">
            <v/>
          </cell>
          <cell r="D694" t="str">
            <v>VERMOUTH</v>
          </cell>
          <cell r="E694" t="str">
            <v/>
          </cell>
          <cell r="F694" t="str">
            <v/>
          </cell>
          <cell r="G694">
            <v>0</v>
          </cell>
          <cell r="H694" t="str">
            <v/>
          </cell>
          <cell r="I694">
            <v>0</v>
          </cell>
          <cell r="J694">
            <v>0</v>
          </cell>
          <cell r="K694">
            <v>0</v>
          </cell>
          <cell r="L694" t="str">
            <v/>
          </cell>
          <cell r="M694">
            <v>0</v>
          </cell>
        </row>
        <row r="695">
          <cell r="A695" t="str">
            <v>Class :</v>
          </cell>
          <cell r="B695" t="str">
            <v>VODKA</v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</row>
        <row r="696">
          <cell r="A696">
            <v>37</v>
          </cell>
          <cell r="B696" t="str">
            <v/>
          </cell>
          <cell r="C696" t="str">
            <v>ABSOLUT BLUE VODKA 1LTR</v>
          </cell>
          <cell r="D696" t="str">
            <v/>
          </cell>
          <cell r="E696" t="str">
            <v/>
          </cell>
          <cell r="F696" t="str">
            <v>Pcs</v>
          </cell>
          <cell r="G696">
            <v>555</v>
          </cell>
          <cell r="H696" t="str">
            <v/>
          </cell>
          <cell r="I696">
            <v>0</v>
          </cell>
          <cell r="J696">
            <v>84</v>
          </cell>
          <cell r="K696">
            <v>471</v>
          </cell>
          <cell r="L696">
            <v>1595</v>
          </cell>
          <cell r="M696">
            <v>751245</v>
          </cell>
        </row>
        <row r="697">
          <cell r="A697">
            <v>38</v>
          </cell>
          <cell r="B697" t="str">
            <v/>
          </cell>
          <cell r="C697" t="str">
            <v>ABSOLUT BLUE VODKA 375ML</v>
          </cell>
          <cell r="D697" t="str">
            <v/>
          </cell>
          <cell r="E697" t="str">
            <v/>
          </cell>
          <cell r="F697" t="str">
            <v>Pcs</v>
          </cell>
          <cell r="G697">
            <v>0</v>
          </cell>
          <cell r="H697" t="str">
            <v/>
          </cell>
          <cell r="I697">
            <v>0</v>
          </cell>
          <cell r="J697">
            <v>0</v>
          </cell>
          <cell r="K697">
            <v>0</v>
          </cell>
          <cell r="L697">
            <v>920</v>
          </cell>
          <cell r="M697">
            <v>0</v>
          </cell>
        </row>
        <row r="698">
          <cell r="A698">
            <v>39</v>
          </cell>
          <cell r="B698" t="str">
            <v/>
          </cell>
          <cell r="C698" t="str">
            <v>ABSOLUT BLUE VODKA 4.5LTR</v>
          </cell>
          <cell r="D698" t="str">
            <v/>
          </cell>
          <cell r="E698" t="str">
            <v/>
          </cell>
          <cell r="F698" t="str">
            <v>Pcs</v>
          </cell>
          <cell r="G698">
            <v>6</v>
          </cell>
          <cell r="H698" t="str">
            <v/>
          </cell>
          <cell r="I698">
            <v>0</v>
          </cell>
          <cell r="J698">
            <v>0</v>
          </cell>
          <cell r="K698">
            <v>6</v>
          </cell>
          <cell r="L698">
            <v>6900</v>
          </cell>
          <cell r="M698">
            <v>41400</v>
          </cell>
        </row>
        <row r="699">
          <cell r="A699">
            <v>40</v>
          </cell>
          <cell r="B699" t="str">
            <v/>
          </cell>
          <cell r="C699" t="str">
            <v>ABSOLUT BLUE VODKA 750ML</v>
          </cell>
          <cell r="D699" t="str">
            <v/>
          </cell>
          <cell r="E699" t="str">
            <v/>
          </cell>
          <cell r="F699" t="str">
            <v>Pcs</v>
          </cell>
          <cell r="G699">
            <v>0</v>
          </cell>
          <cell r="H699" t="str">
            <v/>
          </cell>
          <cell r="I699">
            <v>0</v>
          </cell>
          <cell r="J699">
            <v>0</v>
          </cell>
          <cell r="K699">
            <v>0</v>
          </cell>
          <cell r="L699">
            <v>1600</v>
          </cell>
          <cell r="M699">
            <v>0</v>
          </cell>
        </row>
        <row r="700">
          <cell r="A700">
            <v>41</v>
          </cell>
          <cell r="B700" t="str">
            <v/>
          </cell>
          <cell r="C700" t="str">
            <v>ABSOLUT CITRON VODKA 1LTR</v>
          </cell>
          <cell r="D700" t="str">
            <v/>
          </cell>
          <cell r="E700" t="str">
            <v/>
          </cell>
          <cell r="F700" t="str">
            <v>Pcs</v>
          </cell>
          <cell r="G700">
            <v>16</v>
          </cell>
          <cell r="H700" t="str">
            <v/>
          </cell>
          <cell r="I700">
            <v>0</v>
          </cell>
          <cell r="J700">
            <v>0</v>
          </cell>
          <cell r="K700">
            <v>16</v>
          </cell>
          <cell r="L700">
            <v>1840</v>
          </cell>
          <cell r="M700">
            <v>29440</v>
          </cell>
        </row>
        <row r="701">
          <cell r="A701">
            <v>42</v>
          </cell>
          <cell r="B701" t="str">
            <v/>
          </cell>
          <cell r="C701" t="str">
            <v>ABSOLUT CITRON VODKA 750ML</v>
          </cell>
          <cell r="D701" t="str">
            <v/>
          </cell>
          <cell r="E701" t="str">
            <v/>
          </cell>
          <cell r="F701" t="str">
            <v>Pcs</v>
          </cell>
          <cell r="G701">
            <v>12</v>
          </cell>
          <cell r="H701" t="str">
            <v/>
          </cell>
          <cell r="I701">
            <v>0</v>
          </cell>
          <cell r="J701">
            <v>3</v>
          </cell>
          <cell r="K701">
            <v>9</v>
          </cell>
          <cell r="L701">
            <v>1380</v>
          </cell>
          <cell r="M701">
            <v>12420</v>
          </cell>
        </row>
        <row r="702">
          <cell r="A702">
            <v>56</v>
          </cell>
          <cell r="B702" t="str">
            <v/>
          </cell>
          <cell r="C702" t="str">
            <v>ABSOLUTE MANGO 1LTR</v>
          </cell>
          <cell r="D702" t="str">
            <v/>
          </cell>
          <cell r="E702" t="str">
            <v/>
          </cell>
          <cell r="F702" t="str">
            <v>Pcs</v>
          </cell>
          <cell r="G702">
            <v>227</v>
          </cell>
          <cell r="H702" t="str">
            <v/>
          </cell>
          <cell r="I702">
            <v>0</v>
          </cell>
          <cell r="J702">
            <v>0</v>
          </cell>
          <cell r="K702">
            <v>227</v>
          </cell>
          <cell r="L702">
            <v>1830</v>
          </cell>
          <cell r="M702">
            <v>415410</v>
          </cell>
        </row>
        <row r="703">
          <cell r="A703">
            <v>57</v>
          </cell>
          <cell r="B703" t="str">
            <v/>
          </cell>
          <cell r="C703" t="str">
            <v>ABSOLUTE RASPBERRY 1LTR</v>
          </cell>
          <cell r="D703" t="str">
            <v/>
          </cell>
          <cell r="E703" t="str">
            <v/>
          </cell>
          <cell r="F703" t="str">
            <v>Pcs</v>
          </cell>
          <cell r="G703">
            <v>0</v>
          </cell>
          <cell r="H703" t="str">
            <v/>
          </cell>
          <cell r="I703">
            <v>0</v>
          </cell>
          <cell r="J703">
            <v>0</v>
          </cell>
          <cell r="K703">
            <v>0</v>
          </cell>
          <cell r="L703">
            <v>1830</v>
          </cell>
          <cell r="M703">
            <v>0</v>
          </cell>
        </row>
        <row r="704">
          <cell r="A704">
            <v>58</v>
          </cell>
          <cell r="B704" t="str">
            <v/>
          </cell>
          <cell r="C704" t="str">
            <v>ABSOLUTE VANILLA 1LTR</v>
          </cell>
          <cell r="D704" t="str">
            <v/>
          </cell>
          <cell r="E704" t="str">
            <v/>
          </cell>
          <cell r="F704" t="str">
            <v>Pcs</v>
          </cell>
          <cell r="G704">
            <v>0</v>
          </cell>
          <cell r="H704" t="str">
            <v/>
          </cell>
          <cell r="I704">
            <v>0</v>
          </cell>
          <cell r="J704">
            <v>0</v>
          </cell>
          <cell r="K704">
            <v>0</v>
          </cell>
          <cell r="L704">
            <v>2024</v>
          </cell>
          <cell r="M704">
            <v>0</v>
          </cell>
        </row>
        <row r="705">
          <cell r="A705">
            <v>46</v>
          </cell>
          <cell r="B705" t="str">
            <v/>
          </cell>
          <cell r="C705" t="str">
            <v>ABSOLUT KURRANT VODKA 750ML</v>
          </cell>
          <cell r="D705" t="str">
            <v/>
          </cell>
          <cell r="E705" t="str">
            <v/>
          </cell>
          <cell r="F705" t="str">
            <v>Pcs</v>
          </cell>
          <cell r="G705">
            <v>0</v>
          </cell>
          <cell r="H705" t="str">
            <v/>
          </cell>
          <cell r="I705">
            <v>0</v>
          </cell>
          <cell r="J705">
            <v>0</v>
          </cell>
          <cell r="K705">
            <v>0</v>
          </cell>
          <cell r="L705">
            <v>1656</v>
          </cell>
          <cell r="M705">
            <v>0</v>
          </cell>
        </row>
        <row r="706">
          <cell r="A706">
            <v>2457</v>
          </cell>
          <cell r="B706" t="str">
            <v/>
          </cell>
          <cell r="C706" t="str">
            <v>ABSOLUT LIME LITRE</v>
          </cell>
          <cell r="D706" t="str">
            <v/>
          </cell>
          <cell r="E706" t="str">
            <v/>
          </cell>
          <cell r="F706" t="str">
            <v>Pcs</v>
          </cell>
          <cell r="G706">
            <v>354</v>
          </cell>
          <cell r="H706" t="str">
            <v/>
          </cell>
          <cell r="I706">
            <v>0</v>
          </cell>
          <cell r="J706">
            <v>0</v>
          </cell>
          <cell r="K706">
            <v>354</v>
          </cell>
          <cell r="L706">
            <v>1725</v>
          </cell>
          <cell r="M706">
            <v>610650</v>
          </cell>
        </row>
        <row r="707">
          <cell r="A707">
            <v>47</v>
          </cell>
          <cell r="B707" t="str">
            <v/>
          </cell>
          <cell r="C707" t="str">
            <v>ABSOLUT MANDARIN VODKA 750ML</v>
          </cell>
          <cell r="D707" t="str">
            <v/>
          </cell>
          <cell r="E707" t="str">
            <v/>
          </cell>
          <cell r="F707" t="str">
            <v>Pcs</v>
          </cell>
          <cell r="G707">
            <v>0</v>
          </cell>
          <cell r="H707" t="str">
            <v/>
          </cell>
          <cell r="I707">
            <v>0</v>
          </cell>
          <cell r="J707">
            <v>0</v>
          </cell>
          <cell r="K707">
            <v>0</v>
          </cell>
          <cell r="L707">
            <v>1656</v>
          </cell>
          <cell r="M707">
            <v>0</v>
          </cell>
        </row>
        <row r="708">
          <cell r="A708">
            <v>36</v>
          </cell>
          <cell r="B708" t="str">
            <v/>
          </cell>
          <cell r="C708" t="str">
            <v>ABSOLUT PEACH 1LTR</v>
          </cell>
          <cell r="D708" t="str">
            <v/>
          </cell>
          <cell r="E708" t="str">
            <v/>
          </cell>
          <cell r="F708" t="str">
            <v>Pcs</v>
          </cell>
          <cell r="G708">
            <v>203</v>
          </cell>
          <cell r="H708" t="str">
            <v/>
          </cell>
          <cell r="I708">
            <v>0</v>
          </cell>
          <cell r="J708">
            <v>0</v>
          </cell>
          <cell r="K708">
            <v>203</v>
          </cell>
          <cell r="L708">
            <v>1725</v>
          </cell>
          <cell r="M708">
            <v>350175</v>
          </cell>
        </row>
        <row r="709">
          <cell r="A709">
            <v>49</v>
          </cell>
          <cell r="B709" t="str">
            <v/>
          </cell>
          <cell r="C709" t="str">
            <v>ABSOLUT PEARS VODKA 1LTR</v>
          </cell>
          <cell r="D709" t="str">
            <v/>
          </cell>
          <cell r="E709" t="str">
            <v/>
          </cell>
          <cell r="F709" t="str">
            <v>Pcs</v>
          </cell>
          <cell r="G709">
            <v>48</v>
          </cell>
          <cell r="H709" t="str">
            <v/>
          </cell>
          <cell r="I709">
            <v>0</v>
          </cell>
          <cell r="J709">
            <v>0</v>
          </cell>
          <cell r="K709">
            <v>48</v>
          </cell>
          <cell r="L709">
            <v>2024</v>
          </cell>
          <cell r="M709">
            <v>97152</v>
          </cell>
        </row>
        <row r="710">
          <cell r="A710">
            <v>51</v>
          </cell>
          <cell r="B710" t="str">
            <v/>
          </cell>
          <cell r="C710" t="str">
            <v>ABSOLUT PEPPAR VODKA 1LTR</v>
          </cell>
          <cell r="D710" t="str">
            <v/>
          </cell>
          <cell r="E710" t="str">
            <v/>
          </cell>
          <cell r="F710" t="str">
            <v>Pcs</v>
          </cell>
          <cell r="G710">
            <v>12</v>
          </cell>
          <cell r="H710" t="str">
            <v/>
          </cell>
          <cell r="I710">
            <v>0</v>
          </cell>
          <cell r="J710">
            <v>0</v>
          </cell>
          <cell r="K710">
            <v>12</v>
          </cell>
          <cell r="L710">
            <v>2024</v>
          </cell>
          <cell r="M710">
            <v>24288</v>
          </cell>
        </row>
        <row r="711">
          <cell r="A711">
            <v>53</v>
          </cell>
          <cell r="B711" t="str">
            <v/>
          </cell>
          <cell r="C711" t="str">
            <v>ABSOLUT RUBY RED GRAPEFRUIT 1LTR</v>
          </cell>
          <cell r="D711" t="str">
            <v/>
          </cell>
          <cell r="E711" t="str">
            <v/>
          </cell>
          <cell r="F711" t="str">
            <v>Pcs</v>
          </cell>
          <cell r="G711">
            <v>334</v>
          </cell>
          <cell r="H711" t="str">
            <v/>
          </cell>
          <cell r="I711">
            <v>0</v>
          </cell>
          <cell r="J711">
            <v>0</v>
          </cell>
          <cell r="K711">
            <v>334</v>
          </cell>
          <cell r="L711">
            <v>1725</v>
          </cell>
          <cell r="M711">
            <v>576150</v>
          </cell>
        </row>
        <row r="712">
          <cell r="A712">
            <v>2971</v>
          </cell>
          <cell r="B712" t="str">
            <v/>
          </cell>
          <cell r="C712" t="str">
            <v>AMSTERDAM CANNABIS SATIVA VODKA 700ML</v>
          </cell>
          <cell r="D712" t="str">
            <v/>
          </cell>
          <cell r="E712" t="str">
            <v/>
          </cell>
          <cell r="F712" t="str">
            <v>Pcs</v>
          </cell>
          <cell r="G712">
            <v>0</v>
          </cell>
          <cell r="H712" t="str">
            <v/>
          </cell>
          <cell r="I712">
            <v>0</v>
          </cell>
          <cell r="J712">
            <v>0</v>
          </cell>
          <cell r="K712">
            <v>0</v>
          </cell>
          <cell r="L712">
            <v>1650</v>
          </cell>
          <cell r="M712">
            <v>0</v>
          </cell>
        </row>
        <row r="713">
          <cell r="A713">
            <v>2878</v>
          </cell>
          <cell r="B713" t="str">
            <v/>
          </cell>
          <cell r="C713" t="str">
            <v>AVALON VODKA 250ML</v>
          </cell>
          <cell r="D713" t="str">
            <v/>
          </cell>
          <cell r="E713" t="str">
            <v/>
          </cell>
          <cell r="F713" t="str">
            <v>Pcs</v>
          </cell>
          <cell r="G713">
            <v>0</v>
          </cell>
          <cell r="H713" t="str">
            <v/>
          </cell>
          <cell r="I713">
            <v>600</v>
          </cell>
          <cell r="J713">
            <v>40</v>
          </cell>
          <cell r="K713">
            <v>560</v>
          </cell>
          <cell r="L713">
            <v>200</v>
          </cell>
          <cell r="M713">
            <v>112000</v>
          </cell>
        </row>
        <row r="714">
          <cell r="A714">
            <v>2879</v>
          </cell>
          <cell r="B714" t="str">
            <v/>
          </cell>
          <cell r="C714" t="str">
            <v>AVALON VODKA 750ML</v>
          </cell>
          <cell r="D714" t="str">
            <v/>
          </cell>
          <cell r="E714" t="str">
            <v/>
          </cell>
          <cell r="F714" t="str">
            <v>Pcs</v>
          </cell>
          <cell r="G714">
            <v>0</v>
          </cell>
          <cell r="H714" t="str">
            <v/>
          </cell>
          <cell r="I714">
            <v>60</v>
          </cell>
          <cell r="J714">
            <v>24</v>
          </cell>
          <cell r="K714">
            <v>36</v>
          </cell>
          <cell r="L714">
            <v>541.67</v>
          </cell>
          <cell r="M714">
            <v>19500.12</v>
          </cell>
        </row>
        <row r="715">
          <cell r="A715">
            <v>205</v>
          </cell>
          <cell r="B715" t="str">
            <v/>
          </cell>
          <cell r="C715" t="str">
            <v>BELUGA NOBLE 1ltr</v>
          </cell>
          <cell r="D715" t="str">
            <v/>
          </cell>
          <cell r="E715" t="str">
            <v/>
          </cell>
          <cell r="F715" t="str">
            <v>Pcs</v>
          </cell>
          <cell r="G715">
            <v>0</v>
          </cell>
          <cell r="H715" t="str">
            <v/>
          </cell>
          <cell r="I715">
            <v>0</v>
          </cell>
          <cell r="J715">
            <v>0</v>
          </cell>
          <cell r="K715">
            <v>0</v>
          </cell>
          <cell r="L715">
            <v>4300</v>
          </cell>
          <cell r="M715">
            <v>0</v>
          </cell>
        </row>
        <row r="716">
          <cell r="A716">
            <v>208</v>
          </cell>
          <cell r="B716" t="str">
            <v/>
          </cell>
          <cell r="C716" t="str">
            <v>BELVEDERE SMOGORY FOREST 1LTR</v>
          </cell>
          <cell r="D716" t="str">
            <v/>
          </cell>
          <cell r="E716" t="str">
            <v/>
          </cell>
          <cell r="F716" t="str">
            <v>Pcs</v>
          </cell>
          <cell r="G716">
            <v>0</v>
          </cell>
          <cell r="H716" t="str">
            <v/>
          </cell>
          <cell r="I716">
            <v>0</v>
          </cell>
          <cell r="J716">
            <v>0</v>
          </cell>
          <cell r="K716">
            <v>0</v>
          </cell>
          <cell r="L716">
            <v>7300</v>
          </cell>
          <cell r="M716">
            <v>0</v>
          </cell>
        </row>
        <row r="717">
          <cell r="A717">
            <v>209</v>
          </cell>
          <cell r="B717" t="str">
            <v/>
          </cell>
          <cell r="C717" t="str">
            <v>BELVEDERE VODKA 1LTR</v>
          </cell>
          <cell r="D717" t="str">
            <v/>
          </cell>
          <cell r="E717" t="str">
            <v/>
          </cell>
          <cell r="F717" t="str">
            <v>Pcs</v>
          </cell>
          <cell r="G717">
            <v>144</v>
          </cell>
          <cell r="H717" t="str">
            <v/>
          </cell>
          <cell r="I717">
            <v>0</v>
          </cell>
          <cell r="J717">
            <v>3</v>
          </cell>
          <cell r="K717">
            <v>141</v>
          </cell>
          <cell r="L717">
            <v>4416</v>
          </cell>
          <cell r="M717">
            <v>622656</v>
          </cell>
        </row>
        <row r="718">
          <cell r="A718">
            <v>210</v>
          </cell>
          <cell r="B718" t="str">
            <v/>
          </cell>
          <cell r="C718" t="str">
            <v>BELVEDERE VODKA 750ML</v>
          </cell>
          <cell r="D718" t="str">
            <v/>
          </cell>
          <cell r="E718" t="str">
            <v/>
          </cell>
          <cell r="F718" t="str">
            <v>Pcs</v>
          </cell>
          <cell r="G718">
            <v>10</v>
          </cell>
          <cell r="H718" t="str">
            <v/>
          </cell>
          <cell r="I718">
            <v>0</v>
          </cell>
          <cell r="J718">
            <v>10</v>
          </cell>
          <cell r="K718">
            <v>0</v>
          </cell>
          <cell r="L718">
            <v>4048</v>
          </cell>
          <cell r="M718">
            <v>0</v>
          </cell>
        </row>
        <row r="719">
          <cell r="A719">
            <v>220</v>
          </cell>
          <cell r="B719" t="str">
            <v/>
          </cell>
          <cell r="C719" t="str">
            <v>BEST VODKA 250ML</v>
          </cell>
          <cell r="D719" t="str">
            <v/>
          </cell>
          <cell r="E719" t="str">
            <v/>
          </cell>
          <cell r="F719" t="str">
            <v>Pcs</v>
          </cell>
          <cell r="G719">
            <v>0</v>
          </cell>
          <cell r="H719" t="str">
            <v/>
          </cell>
          <cell r="I719">
            <v>0</v>
          </cell>
          <cell r="J719">
            <v>0</v>
          </cell>
          <cell r="K719">
            <v>0</v>
          </cell>
          <cell r="L719">
            <v>237.1</v>
          </cell>
          <cell r="M719">
            <v>0</v>
          </cell>
        </row>
        <row r="720">
          <cell r="A720">
            <v>221</v>
          </cell>
          <cell r="B720" t="str">
            <v/>
          </cell>
          <cell r="C720" t="str">
            <v>BEST VODKA 750ML</v>
          </cell>
          <cell r="D720" t="str">
            <v/>
          </cell>
          <cell r="E720" t="str">
            <v/>
          </cell>
          <cell r="F720" t="str">
            <v>Pcs</v>
          </cell>
          <cell r="G720">
            <v>0</v>
          </cell>
          <cell r="H720" t="str">
            <v/>
          </cell>
          <cell r="I720">
            <v>0</v>
          </cell>
          <cell r="J720">
            <v>0</v>
          </cell>
          <cell r="K720">
            <v>0</v>
          </cell>
          <cell r="L720">
            <v>671.8</v>
          </cell>
          <cell r="M720">
            <v>0</v>
          </cell>
        </row>
        <row r="721">
          <cell r="A721">
            <v>2265</v>
          </cell>
          <cell r="B721" t="str">
            <v/>
          </cell>
          <cell r="C721" t="str">
            <v>BLUE MOON 750ML</v>
          </cell>
          <cell r="D721" t="str">
            <v/>
          </cell>
          <cell r="E721" t="str">
            <v/>
          </cell>
          <cell r="F721" t="str">
            <v>Pcs</v>
          </cell>
          <cell r="G721">
            <v>0</v>
          </cell>
          <cell r="H721" t="str">
            <v/>
          </cell>
          <cell r="I721">
            <v>0</v>
          </cell>
          <cell r="J721">
            <v>0</v>
          </cell>
          <cell r="K721">
            <v>0</v>
          </cell>
          <cell r="L721">
            <v>600</v>
          </cell>
          <cell r="M721">
            <v>0</v>
          </cell>
        </row>
        <row r="722">
          <cell r="A722">
            <v>387</v>
          </cell>
          <cell r="B722" t="str">
            <v/>
          </cell>
          <cell r="C722" t="str">
            <v>CARIBIA CANE 750ML</v>
          </cell>
          <cell r="D722" t="str">
            <v/>
          </cell>
          <cell r="E722" t="str">
            <v/>
          </cell>
          <cell r="F722" t="str">
            <v>Pcs</v>
          </cell>
          <cell r="G722">
            <v>0</v>
          </cell>
          <cell r="H722" t="str">
            <v/>
          </cell>
          <cell r="I722">
            <v>0</v>
          </cell>
          <cell r="J722">
            <v>0</v>
          </cell>
          <cell r="K722">
            <v>0</v>
          </cell>
          <cell r="L722">
            <v>696</v>
          </cell>
          <cell r="M722">
            <v>0</v>
          </cell>
        </row>
        <row r="723">
          <cell r="A723">
            <v>472</v>
          </cell>
          <cell r="B723" t="str">
            <v/>
          </cell>
          <cell r="C723" t="str">
            <v>CHROME LEMON 250ML</v>
          </cell>
          <cell r="D723" t="str">
            <v/>
          </cell>
          <cell r="E723" t="str">
            <v/>
          </cell>
          <cell r="F723" t="str">
            <v>Pcs</v>
          </cell>
          <cell r="G723">
            <v>520</v>
          </cell>
          <cell r="H723" t="str">
            <v/>
          </cell>
          <cell r="I723">
            <v>0</v>
          </cell>
          <cell r="J723">
            <v>80</v>
          </cell>
          <cell r="K723">
            <v>440</v>
          </cell>
          <cell r="L723">
            <v>192.28</v>
          </cell>
          <cell r="M723">
            <v>84603.2</v>
          </cell>
        </row>
        <row r="724">
          <cell r="A724">
            <v>2420</v>
          </cell>
          <cell r="B724" t="str">
            <v/>
          </cell>
          <cell r="C724" t="str">
            <v>CHROME VODKA 750ML</v>
          </cell>
          <cell r="D724" t="str">
            <v/>
          </cell>
          <cell r="E724" t="str">
            <v/>
          </cell>
          <cell r="F724" t="str">
            <v>Pcs</v>
          </cell>
          <cell r="G724">
            <v>345</v>
          </cell>
          <cell r="H724" t="str">
            <v/>
          </cell>
          <cell r="I724">
            <v>0</v>
          </cell>
          <cell r="J724">
            <v>36</v>
          </cell>
          <cell r="K724">
            <v>309</v>
          </cell>
          <cell r="L724">
            <v>558</v>
          </cell>
          <cell r="M724">
            <v>172422</v>
          </cell>
        </row>
        <row r="725">
          <cell r="A725">
            <v>2421</v>
          </cell>
          <cell r="B725" t="str">
            <v/>
          </cell>
          <cell r="C725" t="str">
            <v>CHROME VODKA CLEAR 250ML</v>
          </cell>
          <cell r="D725" t="str">
            <v/>
          </cell>
          <cell r="E725" t="str">
            <v/>
          </cell>
          <cell r="F725" t="str">
            <v>Pcs</v>
          </cell>
          <cell r="G725">
            <v>640</v>
          </cell>
          <cell r="H725" t="str">
            <v/>
          </cell>
          <cell r="I725">
            <v>800</v>
          </cell>
          <cell r="J725">
            <v>440</v>
          </cell>
          <cell r="K725">
            <v>1000</v>
          </cell>
          <cell r="L725">
            <v>205.5</v>
          </cell>
          <cell r="M725">
            <v>205500</v>
          </cell>
        </row>
        <row r="726">
          <cell r="A726">
            <v>479</v>
          </cell>
          <cell r="B726" t="str">
            <v/>
          </cell>
          <cell r="C726" t="str">
            <v>CIROC APPLE 750ML</v>
          </cell>
          <cell r="D726" t="str">
            <v/>
          </cell>
          <cell r="E726" t="str">
            <v/>
          </cell>
          <cell r="F726" t="str">
            <v>Pcs</v>
          </cell>
          <cell r="G726">
            <v>0</v>
          </cell>
          <cell r="H726" t="str">
            <v/>
          </cell>
          <cell r="I726">
            <v>0</v>
          </cell>
          <cell r="J726">
            <v>0</v>
          </cell>
          <cell r="K726">
            <v>0</v>
          </cell>
          <cell r="L726">
            <v>3160</v>
          </cell>
          <cell r="M726">
            <v>0</v>
          </cell>
        </row>
        <row r="727">
          <cell r="A727">
            <v>2470</v>
          </cell>
          <cell r="B727" t="str">
            <v/>
          </cell>
          <cell r="C727" t="str">
            <v>CIROC COCONUT 700ML</v>
          </cell>
          <cell r="D727" t="str">
            <v/>
          </cell>
          <cell r="E727" t="str">
            <v/>
          </cell>
          <cell r="F727" t="str">
            <v>Pcs</v>
          </cell>
          <cell r="G727">
            <v>6</v>
          </cell>
          <cell r="H727" t="str">
            <v/>
          </cell>
          <cell r="I727">
            <v>0</v>
          </cell>
          <cell r="J727">
            <v>0</v>
          </cell>
          <cell r="K727">
            <v>6</v>
          </cell>
          <cell r="L727">
            <v>3160</v>
          </cell>
          <cell r="M727">
            <v>18960</v>
          </cell>
        </row>
        <row r="728">
          <cell r="A728">
            <v>2471</v>
          </cell>
          <cell r="B728" t="str">
            <v/>
          </cell>
          <cell r="C728" t="str">
            <v>CIROC LIMONATA 700ML</v>
          </cell>
          <cell r="D728" t="str">
            <v/>
          </cell>
          <cell r="E728" t="str">
            <v/>
          </cell>
          <cell r="F728" t="str">
            <v>Pcs</v>
          </cell>
          <cell r="G728">
            <v>6</v>
          </cell>
          <cell r="H728" t="str">
            <v/>
          </cell>
          <cell r="I728">
            <v>0</v>
          </cell>
          <cell r="J728">
            <v>0</v>
          </cell>
          <cell r="K728">
            <v>6</v>
          </cell>
          <cell r="L728">
            <v>3440</v>
          </cell>
          <cell r="M728">
            <v>20640</v>
          </cell>
        </row>
        <row r="729">
          <cell r="A729">
            <v>481</v>
          </cell>
          <cell r="B729" t="str">
            <v/>
          </cell>
          <cell r="C729" t="str">
            <v>CIROC MANGO 750ML</v>
          </cell>
          <cell r="D729" t="str">
            <v/>
          </cell>
          <cell r="E729" t="str">
            <v/>
          </cell>
          <cell r="F729" t="str">
            <v>Pcs</v>
          </cell>
          <cell r="G729">
            <v>24</v>
          </cell>
          <cell r="H729" t="str">
            <v/>
          </cell>
          <cell r="I729">
            <v>0</v>
          </cell>
          <cell r="J729">
            <v>0</v>
          </cell>
          <cell r="K729">
            <v>24</v>
          </cell>
          <cell r="L729">
            <v>4048</v>
          </cell>
          <cell r="M729">
            <v>97152</v>
          </cell>
        </row>
        <row r="730">
          <cell r="A730">
            <v>2472</v>
          </cell>
          <cell r="B730" t="str">
            <v/>
          </cell>
          <cell r="C730" t="str">
            <v>CIROC PEACH 700ML</v>
          </cell>
          <cell r="D730" t="str">
            <v/>
          </cell>
          <cell r="E730" t="str">
            <v/>
          </cell>
          <cell r="F730" t="str">
            <v>Pcs</v>
          </cell>
          <cell r="G730">
            <v>12</v>
          </cell>
          <cell r="H730" t="str">
            <v/>
          </cell>
          <cell r="I730">
            <v>0</v>
          </cell>
          <cell r="J730">
            <v>0</v>
          </cell>
          <cell r="K730">
            <v>12</v>
          </cell>
          <cell r="L730">
            <v>3160</v>
          </cell>
          <cell r="M730">
            <v>37920</v>
          </cell>
        </row>
        <row r="731">
          <cell r="A731">
            <v>482</v>
          </cell>
          <cell r="B731" t="str">
            <v/>
          </cell>
          <cell r="C731" t="str">
            <v>CIROC PEACH VODKA 1LTR</v>
          </cell>
          <cell r="D731" t="str">
            <v/>
          </cell>
          <cell r="E731" t="str">
            <v/>
          </cell>
          <cell r="F731" t="str">
            <v>Pcs</v>
          </cell>
          <cell r="G731">
            <v>92</v>
          </cell>
          <cell r="H731" t="str">
            <v/>
          </cell>
          <cell r="I731">
            <v>0</v>
          </cell>
          <cell r="J731">
            <v>0</v>
          </cell>
          <cell r="K731">
            <v>92</v>
          </cell>
          <cell r="L731">
            <v>2990</v>
          </cell>
          <cell r="M731">
            <v>275080</v>
          </cell>
        </row>
        <row r="732">
          <cell r="A732">
            <v>485</v>
          </cell>
          <cell r="B732" t="str">
            <v/>
          </cell>
          <cell r="C732" t="str">
            <v>CIROC PINEAPPLE VODKA 1LTR</v>
          </cell>
          <cell r="D732" t="str">
            <v/>
          </cell>
          <cell r="E732" t="str">
            <v/>
          </cell>
          <cell r="F732" t="str">
            <v>Pcs</v>
          </cell>
          <cell r="G732">
            <v>102</v>
          </cell>
          <cell r="H732" t="str">
            <v/>
          </cell>
          <cell r="I732">
            <v>0</v>
          </cell>
          <cell r="J732">
            <v>0</v>
          </cell>
          <cell r="K732">
            <v>102</v>
          </cell>
          <cell r="L732">
            <v>2990</v>
          </cell>
          <cell r="M732">
            <v>304980</v>
          </cell>
        </row>
        <row r="733">
          <cell r="A733">
            <v>483</v>
          </cell>
          <cell r="B733" t="str">
            <v/>
          </cell>
          <cell r="C733" t="str">
            <v>CIROC PINEAPPLE VODKA 750ML</v>
          </cell>
          <cell r="D733" t="str">
            <v/>
          </cell>
          <cell r="E733" t="str">
            <v/>
          </cell>
          <cell r="F733" t="str">
            <v>Pcs</v>
          </cell>
          <cell r="G733">
            <v>0</v>
          </cell>
          <cell r="H733" t="str">
            <v/>
          </cell>
          <cell r="I733">
            <v>0</v>
          </cell>
          <cell r="J733">
            <v>0</v>
          </cell>
          <cell r="K733">
            <v>0</v>
          </cell>
          <cell r="L733">
            <v>4048</v>
          </cell>
          <cell r="M733">
            <v>0</v>
          </cell>
        </row>
        <row r="734">
          <cell r="A734">
            <v>2458</v>
          </cell>
          <cell r="B734" t="str">
            <v/>
          </cell>
          <cell r="C734" t="str">
            <v>CIROC RED BERRY LITRE</v>
          </cell>
          <cell r="D734" t="str">
            <v/>
          </cell>
          <cell r="E734" t="str">
            <v/>
          </cell>
          <cell r="F734" t="str">
            <v>Pcs</v>
          </cell>
          <cell r="G734">
            <v>196</v>
          </cell>
          <cell r="H734" t="str">
            <v/>
          </cell>
          <cell r="I734">
            <v>0</v>
          </cell>
          <cell r="J734">
            <v>0</v>
          </cell>
          <cell r="K734">
            <v>196</v>
          </cell>
          <cell r="L734">
            <v>3791</v>
          </cell>
          <cell r="M734">
            <v>743036</v>
          </cell>
        </row>
        <row r="735">
          <cell r="A735">
            <v>2381</v>
          </cell>
          <cell r="B735" t="str">
            <v/>
          </cell>
          <cell r="C735" t="str">
            <v>CIROC SNAP FOREST 1LTR</v>
          </cell>
          <cell r="D735" t="str">
            <v/>
          </cell>
          <cell r="E735" t="str">
            <v/>
          </cell>
          <cell r="F735" t="str">
            <v>Pcs</v>
          </cell>
          <cell r="G735">
            <v>0</v>
          </cell>
          <cell r="H735" t="str">
            <v/>
          </cell>
          <cell r="I735">
            <v>0</v>
          </cell>
          <cell r="J735">
            <v>0</v>
          </cell>
          <cell r="K735">
            <v>0</v>
          </cell>
          <cell r="L735">
            <v>4600</v>
          </cell>
          <cell r="M735">
            <v>0</v>
          </cell>
        </row>
        <row r="736">
          <cell r="A736">
            <v>489</v>
          </cell>
          <cell r="B736" t="str">
            <v/>
          </cell>
          <cell r="C736" t="str">
            <v>CIROC VODKA 1LTR</v>
          </cell>
          <cell r="D736" t="str">
            <v/>
          </cell>
          <cell r="E736" t="str">
            <v/>
          </cell>
          <cell r="F736" t="str">
            <v>Pcs</v>
          </cell>
          <cell r="G736">
            <v>231</v>
          </cell>
          <cell r="H736" t="str">
            <v/>
          </cell>
          <cell r="I736">
            <v>0</v>
          </cell>
          <cell r="J736">
            <v>0</v>
          </cell>
          <cell r="K736">
            <v>231</v>
          </cell>
          <cell r="L736">
            <v>2585</v>
          </cell>
          <cell r="M736">
            <v>597135</v>
          </cell>
        </row>
        <row r="737">
          <cell r="A737">
            <v>548</v>
          </cell>
          <cell r="B737" t="str">
            <v/>
          </cell>
          <cell r="C737" t="str">
            <v>CRUZ VODKA 750ML</v>
          </cell>
          <cell r="D737" t="str">
            <v/>
          </cell>
          <cell r="E737" t="str">
            <v/>
          </cell>
          <cell r="F737" t="str">
            <v>Pcs</v>
          </cell>
          <cell r="G737">
            <v>0</v>
          </cell>
          <cell r="H737" t="str">
            <v/>
          </cell>
          <cell r="I737">
            <v>0</v>
          </cell>
          <cell r="J737">
            <v>0</v>
          </cell>
          <cell r="K737">
            <v>0</v>
          </cell>
          <cell r="L737">
            <v>1104</v>
          </cell>
          <cell r="M737">
            <v>0</v>
          </cell>
        </row>
        <row r="738">
          <cell r="A738">
            <v>2293</v>
          </cell>
          <cell r="B738" t="str">
            <v/>
          </cell>
          <cell r="C738" t="str">
            <v>ELIT VODKA 1LTR</v>
          </cell>
          <cell r="D738" t="str">
            <v/>
          </cell>
          <cell r="E738" t="str">
            <v/>
          </cell>
          <cell r="F738" t="str">
            <v>Pcs</v>
          </cell>
          <cell r="G738">
            <v>0</v>
          </cell>
          <cell r="H738" t="str">
            <v/>
          </cell>
          <cell r="I738">
            <v>0</v>
          </cell>
          <cell r="J738">
            <v>0</v>
          </cell>
          <cell r="K738">
            <v>0</v>
          </cell>
          <cell r="L738">
            <v>3200</v>
          </cell>
          <cell r="M738">
            <v>0</v>
          </cell>
        </row>
        <row r="739">
          <cell r="A739">
            <v>664</v>
          </cell>
          <cell r="B739" t="str">
            <v/>
          </cell>
          <cell r="C739" t="str">
            <v>ERISTOFF 1LTR</v>
          </cell>
          <cell r="D739" t="str">
            <v/>
          </cell>
          <cell r="E739" t="str">
            <v/>
          </cell>
          <cell r="F739" t="str">
            <v>Pcs</v>
          </cell>
          <cell r="G739">
            <v>0</v>
          </cell>
          <cell r="H739" t="str">
            <v/>
          </cell>
          <cell r="I739">
            <v>0</v>
          </cell>
          <cell r="J739">
            <v>0</v>
          </cell>
          <cell r="K739">
            <v>0</v>
          </cell>
          <cell r="L739">
            <v>1300</v>
          </cell>
          <cell r="M739">
            <v>0</v>
          </cell>
        </row>
        <row r="740">
          <cell r="A740">
            <v>665</v>
          </cell>
          <cell r="B740" t="str">
            <v/>
          </cell>
          <cell r="C740" t="str">
            <v>ERISTOFF 750ML </v>
          </cell>
          <cell r="D740" t="str">
            <v/>
          </cell>
          <cell r="E740" t="str">
            <v/>
          </cell>
          <cell r="F740" t="str">
            <v>Pcs</v>
          </cell>
          <cell r="G740">
            <v>48</v>
          </cell>
          <cell r="H740" t="str">
            <v/>
          </cell>
          <cell r="I740">
            <v>0</v>
          </cell>
          <cell r="J740">
            <v>0</v>
          </cell>
          <cell r="K740">
            <v>48</v>
          </cell>
          <cell r="L740">
            <v>700</v>
          </cell>
          <cell r="M740">
            <v>33600</v>
          </cell>
        </row>
        <row r="741">
          <cell r="A741">
            <v>2962</v>
          </cell>
          <cell r="B741" t="str">
            <v/>
          </cell>
          <cell r="C741" t="str">
            <v>FIRE STARTER VODKA 700ML</v>
          </cell>
          <cell r="D741" t="str">
            <v/>
          </cell>
          <cell r="E741" t="str">
            <v/>
          </cell>
          <cell r="F741" t="str">
            <v>Pcs</v>
          </cell>
          <cell r="G741">
            <v>0</v>
          </cell>
          <cell r="H741" t="str">
            <v/>
          </cell>
          <cell r="I741">
            <v>0</v>
          </cell>
          <cell r="J741">
            <v>0</v>
          </cell>
          <cell r="K741">
            <v>0</v>
          </cell>
          <cell r="L741">
            <v>1650</v>
          </cell>
          <cell r="M741">
            <v>0</v>
          </cell>
        </row>
        <row r="742">
          <cell r="A742">
            <v>722</v>
          </cell>
          <cell r="B742" t="str">
            <v/>
          </cell>
          <cell r="C742" t="str">
            <v>FLIRT BLACK SILVER VODKA 1LTR</v>
          </cell>
          <cell r="D742" t="str">
            <v/>
          </cell>
          <cell r="E742" t="str">
            <v/>
          </cell>
          <cell r="F742" t="str">
            <v>Pcs</v>
          </cell>
          <cell r="G742">
            <v>0</v>
          </cell>
          <cell r="H742" t="str">
            <v/>
          </cell>
          <cell r="I742">
            <v>0</v>
          </cell>
          <cell r="J742">
            <v>0</v>
          </cell>
          <cell r="K742">
            <v>0</v>
          </cell>
          <cell r="L742">
            <v>1104</v>
          </cell>
          <cell r="M742">
            <v>0</v>
          </cell>
        </row>
        <row r="743">
          <cell r="A743">
            <v>2579</v>
          </cell>
          <cell r="B743" t="str">
            <v/>
          </cell>
          <cell r="C743" t="str">
            <v>FLIRT STRAWBERRY 700ML</v>
          </cell>
          <cell r="D743" t="str">
            <v/>
          </cell>
          <cell r="E743" t="str">
            <v/>
          </cell>
          <cell r="F743" t="str">
            <v>Pcs</v>
          </cell>
          <cell r="G743">
            <v>34</v>
          </cell>
          <cell r="H743" t="str">
            <v/>
          </cell>
          <cell r="I743">
            <v>0</v>
          </cell>
          <cell r="J743">
            <v>0</v>
          </cell>
          <cell r="K743">
            <v>34</v>
          </cell>
          <cell r="L743">
            <v>750</v>
          </cell>
          <cell r="M743">
            <v>25500</v>
          </cell>
        </row>
        <row r="744">
          <cell r="A744">
            <v>726</v>
          </cell>
          <cell r="B744" t="str">
            <v/>
          </cell>
          <cell r="C744" t="str">
            <v>FLIRT STRAWBERRY VODKA 1LTR</v>
          </cell>
          <cell r="D744" t="str">
            <v/>
          </cell>
          <cell r="E744" t="str">
            <v/>
          </cell>
          <cell r="F744" t="str">
            <v>Pcs</v>
          </cell>
          <cell r="G744">
            <v>0</v>
          </cell>
          <cell r="H744" t="str">
            <v/>
          </cell>
          <cell r="I744">
            <v>0</v>
          </cell>
          <cell r="J744">
            <v>0</v>
          </cell>
          <cell r="K744">
            <v>0</v>
          </cell>
          <cell r="L744">
            <v>1050</v>
          </cell>
          <cell r="M744">
            <v>0</v>
          </cell>
        </row>
        <row r="745">
          <cell r="A745">
            <v>727</v>
          </cell>
          <cell r="B745" t="str">
            <v/>
          </cell>
          <cell r="C745" t="str">
            <v>FLIRT VODKA CHOCOLATE 1LTR</v>
          </cell>
          <cell r="D745" t="str">
            <v/>
          </cell>
          <cell r="E745" t="str">
            <v/>
          </cell>
          <cell r="F745" t="str">
            <v>Pcs</v>
          </cell>
          <cell r="G745">
            <v>0</v>
          </cell>
          <cell r="H745" t="str">
            <v/>
          </cell>
          <cell r="I745">
            <v>0</v>
          </cell>
          <cell r="J745">
            <v>0</v>
          </cell>
          <cell r="K745">
            <v>0</v>
          </cell>
          <cell r="L745">
            <v>1150</v>
          </cell>
          <cell r="M745">
            <v>0</v>
          </cell>
        </row>
        <row r="746">
          <cell r="A746">
            <v>2581</v>
          </cell>
          <cell r="B746" t="str">
            <v/>
          </cell>
          <cell r="C746" t="str">
            <v>FLIRT VODKA CHOCOLATE 700ML</v>
          </cell>
          <cell r="D746" t="str">
            <v/>
          </cell>
          <cell r="E746" t="str">
            <v/>
          </cell>
          <cell r="F746" t="str">
            <v>Pcs</v>
          </cell>
          <cell r="G746">
            <v>0</v>
          </cell>
          <cell r="H746" t="str">
            <v/>
          </cell>
          <cell r="I746">
            <v>0</v>
          </cell>
          <cell r="J746">
            <v>0</v>
          </cell>
          <cell r="K746">
            <v>0</v>
          </cell>
          <cell r="L746">
            <v>750</v>
          </cell>
          <cell r="M746">
            <v>0</v>
          </cell>
        </row>
        <row r="747">
          <cell r="A747">
            <v>729</v>
          </cell>
          <cell r="B747" t="str">
            <v/>
          </cell>
          <cell r="C747" t="str">
            <v>FLIRT VODKA GREEN APPLE 1LTR</v>
          </cell>
          <cell r="D747" t="str">
            <v/>
          </cell>
          <cell r="E747" t="str">
            <v/>
          </cell>
          <cell r="F747" t="str">
            <v>Pcs</v>
          </cell>
          <cell r="G747">
            <v>0</v>
          </cell>
          <cell r="H747" t="str">
            <v/>
          </cell>
          <cell r="I747">
            <v>0</v>
          </cell>
          <cell r="J747">
            <v>0</v>
          </cell>
          <cell r="K747">
            <v>0</v>
          </cell>
          <cell r="L747">
            <v>950</v>
          </cell>
          <cell r="M747">
            <v>0</v>
          </cell>
        </row>
        <row r="748">
          <cell r="A748">
            <v>731</v>
          </cell>
          <cell r="B748" t="str">
            <v/>
          </cell>
          <cell r="C748" t="str">
            <v>FLIRT VODKA LEMON  1LTR</v>
          </cell>
          <cell r="D748" t="str">
            <v/>
          </cell>
          <cell r="E748" t="str">
            <v/>
          </cell>
          <cell r="F748" t="str">
            <v>Pcs</v>
          </cell>
          <cell r="G748">
            <v>0</v>
          </cell>
          <cell r="H748" t="str">
            <v/>
          </cell>
          <cell r="I748">
            <v>0</v>
          </cell>
          <cell r="J748">
            <v>0</v>
          </cell>
          <cell r="K748">
            <v>0</v>
          </cell>
          <cell r="L748">
            <v>1150</v>
          </cell>
          <cell r="M748">
            <v>0</v>
          </cell>
        </row>
        <row r="749">
          <cell r="A749">
            <v>732</v>
          </cell>
          <cell r="B749" t="str">
            <v/>
          </cell>
          <cell r="C749" t="str">
            <v>FLIRT VODKA ORANGE  1LTR</v>
          </cell>
          <cell r="D749" t="str">
            <v/>
          </cell>
          <cell r="E749" t="str">
            <v/>
          </cell>
          <cell r="F749" t="str">
            <v>Pcs</v>
          </cell>
          <cell r="G749">
            <v>0</v>
          </cell>
          <cell r="H749" t="str">
            <v/>
          </cell>
          <cell r="I749">
            <v>0</v>
          </cell>
          <cell r="J749">
            <v>0</v>
          </cell>
          <cell r="K749">
            <v>0</v>
          </cell>
          <cell r="L749">
            <v>1150</v>
          </cell>
          <cell r="M749">
            <v>0</v>
          </cell>
        </row>
        <row r="750">
          <cell r="A750">
            <v>733</v>
          </cell>
          <cell r="B750" t="str">
            <v/>
          </cell>
          <cell r="C750" t="str">
            <v>FLIRT VODKA ORANGE 750ML</v>
          </cell>
          <cell r="D750" t="str">
            <v/>
          </cell>
          <cell r="E750" t="str">
            <v/>
          </cell>
          <cell r="F750" t="str">
            <v>Pcs</v>
          </cell>
          <cell r="G750">
            <v>0</v>
          </cell>
          <cell r="H750" t="str">
            <v/>
          </cell>
          <cell r="I750">
            <v>0</v>
          </cell>
          <cell r="J750">
            <v>0</v>
          </cell>
          <cell r="K750">
            <v>0</v>
          </cell>
          <cell r="L750">
            <v>782</v>
          </cell>
          <cell r="M750">
            <v>0</v>
          </cell>
        </row>
        <row r="751">
          <cell r="A751">
            <v>735</v>
          </cell>
          <cell r="B751" t="str">
            <v/>
          </cell>
          <cell r="C751" t="str">
            <v>FLIRT VODKA RED 1LTR</v>
          </cell>
          <cell r="D751" t="str">
            <v/>
          </cell>
          <cell r="E751" t="str">
            <v/>
          </cell>
          <cell r="F751" t="str">
            <v>Pcs</v>
          </cell>
          <cell r="G751">
            <v>66</v>
          </cell>
          <cell r="H751" t="str">
            <v/>
          </cell>
          <cell r="I751">
            <v>0</v>
          </cell>
          <cell r="J751">
            <v>0</v>
          </cell>
          <cell r="K751">
            <v>66</v>
          </cell>
          <cell r="L751">
            <v>950</v>
          </cell>
          <cell r="M751">
            <v>62700</v>
          </cell>
        </row>
        <row r="752">
          <cell r="A752">
            <v>738</v>
          </cell>
          <cell r="B752" t="str">
            <v/>
          </cell>
          <cell r="C752" t="str">
            <v>FLIRT VODKA STRAWBERRY 350ML</v>
          </cell>
          <cell r="D752" t="str">
            <v/>
          </cell>
          <cell r="E752" t="str">
            <v/>
          </cell>
          <cell r="F752" t="str">
            <v>Pcs</v>
          </cell>
          <cell r="G752">
            <v>0</v>
          </cell>
          <cell r="H752" t="str">
            <v/>
          </cell>
          <cell r="I752">
            <v>0</v>
          </cell>
          <cell r="J752">
            <v>0</v>
          </cell>
          <cell r="K752">
            <v>0</v>
          </cell>
          <cell r="L752">
            <v>322</v>
          </cell>
          <cell r="M752">
            <v>0</v>
          </cell>
        </row>
        <row r="753">
          <cell r="A753">
            <v>820</v>
          </cell>
          <cell r="B753" t="str">
            <v/>
          </cell>
          <cell r="C753" t="str">
            <v>GIBSON'S GIN 1LTR</v>
          </cell>
          <cell r="D753" t="str">
            <v/>
          </cell>
          <cell r="E753" t="str">
            <v/>
          </cell>
          <cell r="F753" t="str">
            <v>Pcs</v>
          </cell>
          <cell r="G753">
            <v>0</v>
          </cell>
          <cell r="H753" t="str">
            <v/>
          </cell>
          <cell r="I753">
            <v>0</v>
          </cell>
          <cell r="J753">
            <v>0</v>
          </cell>
          <cell r="K753">
            <v>0</v>
          </cell>
          <cell r="L753">
            <v>1388</v>
          </cell>
          <cell r="M753">
            <v>0</v>
          </cell>
        </row>
        <row r="754">
          <cell r="A754">
            <v>2295</v>
          </cell>
          <cell r="B754" t="str">
            <v/>
          </cell>
          <cell r="C754" t="str">
            <v>GREY GOOSE 375ML</v>
          </cell>
          <cell r="D754" t="str">
            <v/>
          </cell>
          <cell r="E754" t="str">
            <v/>
          </cell>
          <cell r="F754" t="str">
            <v>Pcs</v>
          </cell>
          <cell r="G754">
            <v>0</v>
          </cell>
          <cell r="H754" t="str">
            <v/>
          </cell>
          <cell r="I754">
            <v>0</v>
          </cell>
          <cell r="J754">
            <v>0</v>
          </cell>
          <cell r="K754">
            <v>0</v>
          </cell>
          <cell r="L754">
            <v>1400</v>
          </cell>
          <cell r="M754">
            <v>0</v>
          </cell>
        </row>
        <row r="755">
          <cell r="A755">
            <v>923</v>
          </cell>
          <cell r="B755" t="str">
            <v/>
          </cell>
          <cell r="C755" t="str">
            <v>GREY GOOSE ORANGE VODKA 750ML</v>
          </cell>
          <cell r="D755" t="str">
            <v/>
          </cell>
          <cell r="E755" t="str">
            <v/>
          </cell>
          <cell r="F755" t="str">
            <v>Pcs</v>
          </cell>
          <cell r="G755">
            <v>0</v>
          </cell>
          <cell r="H755" t="str">
            <v/>
          </cell>
          <cell r="I755">
            <v>0</v>
          </cell>
          <cell r="J755">
            <v>0</v>
          </cell>
          <cell r="K755">
            <v>0</v>
          </cell>
          <cell r="L755">
            <v>3496</v>
          </cell>
          <cell r="M755">
            <v>0</v>
          </cell>
        </row>
        <row r="756">
          <cell r="A756">
            <v>925</v>
          </cell>
          <cell r="B756" t="str">
            <v/>
          </cell>
          <cell r="C756" t="str">
            <v>GREY GOOSE VODKA 1LTR</v>
          </cell>
          <cell r="D756" t="str">
            <v/>
          </cell>
          <cell r="E756" t="str">
            <v/>
          </cell>
          <cell r="F756" t="str">
            <v>Pcs</v>
          </cell>
          <cell r="G756">
            <v>262</v>
          </cell>
          <cell r="H756" t="str">
            <v/>
          </cell>
          <cell r="I756">
            <v>0</v>
          </cell>
          <cell r="J756">
            <v>24</v>
          </cell>
          <cell r="K756">
            <v>238</v>
          </cell>
          <cell r="L756">
            <v>4416</v>
          </cell>
          <cell r="M756">
            <v>1051008</v>
          </cell>
        </row>
        <row r="757">
          <cell r="A757">
            <v>924</v>
          </cell>
          <cell r="B757" t="str">
            <v/>
          </cell>
          <cell r="C757" t="str">
            <v>GREY GOOSE VODKA  750ML</v>
          </cell>
          <cell r="D757" t="str">
            <v/>
          </cell>
          <cell r="E757" t="str">
            <v/>
          </cell>
          <cell r="F757" t="str">
            <v>Pcs</v>
          </cell>
          <cell r="G757">
            <v>34</v>
          </cell>
          <cell r="H757" t="str">
            <v/>
          </cell>
          <cell r="I757">
            <v>0</v>
          </cell>
          <cell r="J757">
            <v>3</v>
          </cell>
          <cell r="K757">
            <v>31</v>
          </cell>
          <cell r="L757">
            <v>3680</v>
          </cell>
          <cell r="M757">
            <v>114080</v>
          </cell>
        </row>
        <row r="758">
          <cell r="A758">
            <v>2199</v>
          </cell>
          <cell r="B758" t="str">
            <v/>
          </cell>
          <cell r="C758" t="str">
            <v>HUNTING LODGE GREEN APPLE 1LTR</v>
          </cell>
          <cell r="D758" t="str">
            <v/>
          </cell>
          <cell r="E758" t="str">
            <v/>
          </cell>
          <cell r="F758" t="str">
            <v>Pcs</v>
          </cell>
          <cell r="G758">
            <v>0</v>
          </cell>
          <cell r="H758" t="str">
            <v/>
          </cell>
          <cell r="I758">
            <v>0</v>
          </cell>
          <cell r="J758">
            <v>0</v>
          </cell>
          <cell r="K758">
            <v>0</v>
          </cell>
          <cell r="L758">
            <v>1300</v>
          </cell>
          <cell r="M758">
            <v>0</v>
          </cell>
        </row>
        <row r="759">
          <cell r="A759">
            <v>1001</v>
          </cell>
          <cell r="B759" t="str">
            <v/>
          </cell>
          <cell r="C759" t="str">
            <v>HUNTING LODGE VODKA 1LTR</v>
          </cell>
          <cell r="D759" t="str">
            <v/>
          </cell>
          <cell r="E759" t="str">
            <v/>
          </cell>
          <cell r="F759" t="str">
            <v>Pcs</v>
          </cell>
          <cell r="G759">
            <v>0</v>
          </cell>
          <cell r="H759" t="str">
            <v/>
          </cell>
          <cell r="I759">
            <v>0</v>
          </cell>
          <cell r="J759">
            <v>0</v>
          </cell>
          <cell r="K759">
            <v>0</v>
          </cell>
          <cell r="L759">
            <v>920</v>
          </cell>
          <cell r="M759">
            <v>0</v>
          </cell>
        </row>
        <row r="760">
          <cell r="A760">
            <v>1002</v>
          </cell>
          <cell r="B760" t="str">
            <v/>
          </cell>
          <cell r="C760" t="str">
            <v>HUNTING LODGE VODKA 700ML</v>
          </cell>
          <cell r="D760" t="str">
            <v/>
          </cell>
          <cell r="E760" t="str">
            <v/>
          </cell>
          <cell r="F760" t="str">
            <v>Pcs</v>
          </cell>
          <cell r="G760">
            <v>0</v>
          </cell>
          <cell r="H760" t="str">
            <v/>
          </cell>
          <cell r="I760">
            <v>0</v>
          </cell>
          <cell r="J760">
            <v>0</v>
          </cell>
          <cell r="K760">
            <v>0</v>
          </cell>
          <cell r="L760">
            <v>690</v>
          </cell>
          <cell r="M760">
            <v>0</v>
          </cell>
        </row>
        <row r="761">
          <cell r="A761">
            <v>2331</v>
          </cell>
          <cell r="B761" t="str">
            <v/>
          </cell>
          <cell r="C761" t="str">
            <v>KENYA CANE LEMON &amp; GINGER 250ML</v>
          </cell>
          <cell r="D761" t="str">
            <v/>
          </cell>
          <cell r="E761" t="str">
            <v/>
          </cell>
          <cell r="F761" t="str">
            <v>Pcs</v>
          </cell>
          <cell r="G761">
            <v>600</v>
          </cell>
          <cell r="H761" t="str">
            <v/>
          </cell>
          <cell r="I761">
            <v>4400</v>
          </cell>
          <cell r="J761">
            <v>3080</v>
          </cell>
          <cell r="K761">
            <v>1920</v>
          </cell>
          <cell r="L761">
            <v>252</v>
          </cell>
          <cell r="M761">
            <v>483840</v>
          </cell>
        </row>
        <row r="762">
          <cell r="A762">
            <v>2427</v>
          </cell>
          <cell r="B762" t="str">
            <v/>
          </cell>
          <cell r="C762" t="str">
            <v>KENYA CANE PINEAPPLE 250ML</v>
          </cell>
          <cell r="D762" t="str">
            <v/>
          </cell>
          <cell r="E762" t="str">
            <v/>
          </cell>
          <cell r="F762" t="str">
            <v>Pcs</v>
          </cell>
          <cell r="G762">
            <v>1120</v>
          </cell>
          <cell r="H762" t="str">
            <v/>
          </cell>
          <cell r="I762">
            <v>3200</v>
          </cell>
          <cell r="J762">
            <v>2240</v>
          </cell>
          <cell r="K762">
            <v>2080</v>
          </cell>
          <cell r="L762">
            <v>251.88</v>
          </cell>
          <cell r="M762">
            <v>523910.4</v>
          </cell>
        </row>
        <row r="763">
          <cell r="A763">
            <v>2428</v>
          </cell>
          <cell r="B763" t="str">
            <v/>
          </cell>
          <cell r="C763" t="str">
            <v>KENYA CANE PINEAPPLE 750ML</v>
          </cell>
          <cell r="D763" t="str">
            <v/>
          </cell>
          <cell r="E763" t="str">
            <v/>
          </cell>
          <cell r="F763" t="str">
            <v>Pcs</v>
          </cell>
          <cell r="G763">
            <v>385</v>
          </cell>
          <cell r="H763" t="str">
            <v/>
          </cell>
          <cell r="I763">
            <v>636</v>
          </cell>
          <cell r="J763">
            <v>924</v>
          </cell>
          <cell r="K763">
            <v>97</v>
          </cell>
          <cell r="L763">
            <v>663.32</v>
          </cell>
          <cell r="M763">
            <v>64342.04</v>
          </cell>
        </row>
        <row r="764">
          <cell r="A764">
            <v>2429</v>
          </cell>
          <cell r="B764" t="str">
            <v/>
          </cell>
          <cell r="C764" t="str">
            <v>KENYA CANE SMOOTH 250 ML</v>
          </cell>
          <cell r="D764" t="str">
            <v/>
          </cell>
          <cell r="E764" t="str">
            <v/>
          </cell>
          <cell r="F764" t="str">
            <v>Pcs</v>
          </cell>
          <cell r="G764">
            <v>800</v>
          </cell>
          <cell r="H764" t="str">
            <v/>
          </cell>
          <cell r="I764">
            <v>1200</v>
          </cell>
          <cell r="J764">
            <v>720</v>
          </cell>
          <cell r="K764">
            <v>1280</v>
          </cell>
          <cell r="L764">
            <v>251.88</v>
          </cell>
          <cell r="M764">
            <v>322406.4</v>
          </cell>
        </row>
        <row r="765">
          <cell r="A765">
            <v>1184</v>
          </cell>
          <cell r="B765" t="str">
            <v/>
          </cell>
          <cell r="C765" t="str">
            <v>KENYA CANE SMOOTH 350 ML</v>
          </cell>
          <cell r="D765" t="str">
            <v/>
          </cell>
          <cell r="E765" t="str">
            <v/>
          </cell>
          <cell r="F765" t="str">
            <v>Pcs</v>
          </cell>
          <cell r="G765">
            <v>768</v>
          </cell>
          <cell r="H765" t="str">
            <v/>
          </cell>
          <cell r="I765">
            <v>480</v>
          </cell>
          <cell r="J765">
            <v>744</v>
          </cell>
          <cell r="K765">
            <v>504</v>
          </cell>
          <cell r="L765">
            <v>338</v>
          </cell>
          <cell r="M765">
            <v>170352</v>
          </cell>
        </row>
        <row r="766">
          <cell r="A766">
            <v>1185</v>
          </cell>
          <cell r="B766" t="str">
            <v/>
          </cell>
          <cell r="C766" t="str">
            <v>KENYA CANE SMOOTH 750 ML</v>
          </cell>
          <cell r="D766" t="str">
            <v/>
          </cell>
          <cell r="E766" t="str">
            <v/>
          </cell>
          <cell r="F766" t="str">
            <v>Pcs</v>
          </cell>
          <cell r="G766">
            <v>240</v>
          </cell>
          <cell r="H766" t="str">
            <v/>
          </cell>
          <cell r="I766">
            <v>612</v>
          </cell>
          <cell r="J766">
            <v>588</v>
          </cell>
          <cell r="K766">
            <v>264</v>
          </cell>
          <cell r="L766">
            <v>644</v>
          </cell>
          <cell r="M766">
            <v>170016</v>
          </cell>
        </row>
        <row r="767">
          <cell r="A767">
            <v>2297</v>
          </cell>
          <cell r="B767" t="str">
            <v/>
          </cell>
          <cell r="C767" t="str">
            <v>KENYA GOLD 250ML</v>
          </cell>
          <cell r="D767" t="str">
            <v/>
          </cell>
          <cell r="E767" t="str">
            <v/>
          </cell>
          <cell r="F767" t="str">
            <v>Pcs</v>
          </cell>
          <cell r="G767">
            <v>0</v>
          </cell>
          <cell r="H767" t="str">
            <v/>
          </cell>
          <cell r="I767">
            <v>0</v>
          </cell>
          <cell r="J767">
            <v>0</v>
          </cell>
          <cell r="K767">
            <v>0</v>
          </cell>
          <cell r="L767">
            <v>180</v>
          </cell>
          <cell r="M767">
            <v>0</v>
          </cell>
        </row>
        <row r="768">
          <cell r="A768">
            <v>1188</v>
          </cell>
          <cell r="B768" t="str">
            <v/>
          </cell>
          <cell r="C768" t="str">
            <v>KETELONE VODKA 1LTR</v>
          </cell>
          <cell r="D768" t="str">
            <v/>
          </cell>
          <cell r="E768" t="str">
            <v/>
          </cell>
          <cell r="F768" t="str">
            <v>Pcs</v>
          </cell>
          <cell r="G768">
            <v>246</v>
          </cell>
          <cell r="H768" t="str">
            <v/>
          </cell>
          <cell r="I768">
            <v>0</v>
          </cell>
          <cell r="J768">
            <v>0</v>
          </cell>
          <cell r="K768">
            <v>246</v>
          </cell>
          <cell r="L768">
            <v>2760</v>
          </cell>
          <cell r="M768">
            <v>678960</v>
          </cell>
        </row>
        <row r="769">
          <cell r="A769">
            <v>1189</v>
          </cell>
          <cell r="B769" t="str">
            <v/>
          </cell>
          <cell r="C769" t="str">
            <v>KETEL ONE VODKA 750ML</v>
          </cell>
          <cell r="D769" t="str">
            <v/>
          </cell>
          <cell r="E769" t="str">
            <v/>
          </cell>
          <cell r="F769" t="str">
            <v>Pcs</v>
          </cell>
          <cell r="G769">
            <v>0</v>
          </cell>
          <cell r="H769" t="str">
            <v/>
          </cell>
          <cell r="I769">
            <v>0</v>
          </cell>
          <cell r="J769">
            <v>0</v>
          </cell>
          <cell r="K769">
            <v>0</v>
          </cell>
          <cell r="L769">
            <v>2300</v>
          </cell>
          <cell r="M769">
            <v>0</v>
          </cell>
        </row>
        <row r="770">
          <cell r="A770">
            <v>1190</v>
          </cell>
          <cell r="B770" t="str">
            <v/>
          </cell>
          <cell r="C770" t="str">
            <v>KHOR BLACK &amp; GOLD VODKA 1LTR</v>
          </cell>
          <cell r="D770" t="str">
            <v/>
          </cell>
          <cell r="E770" t="str">
            <v/>
          </cell>
          <cell r="F770" t="str">
            <v>Pcs</v>
          </cell>
          <cell r="G770">
            <v>0</v>
          </cell>
          <cell r="H770" t="str">
            <v/>
          </cell>
          <cell r="I770">
            <v>0</v>
          </cell>
          <cell r="J770">
            <v>0</v>
          </cell>
          <cell r="K770">
            <v>0</v>
          </cell>
          <cell r="L770">
            <v>2116</v>
          </cell>
          <cell r="M770">
            <v>0</v>
          </cell>
        </row>
        <row r="771">
          <cell r="A771">
            <v>1192</v>
          </cell>
          <cell r="B771" t="str">
            <v/>
          </cell>
          <cell r="C771" t="str">
            <v>KHOR PLATINUM 750ML</v>
          </cell>
          <cell r="D771" t="str">
            <v/>
          </cell>
          <cell r="E771" t="str">
            <v/>
          </cell>
          <cell r="F771" t="str">
            <v>Pcs</v>
          </cell>
          <cell r="G771">
            <v>0</v>
          </cell>
          <cell r="H771" t="str">
            <v/>
          </cell>
          <cell r="I771">
            <v>0</v>
          </cell>
          <cell r="J771">
            <v>0</v>
          </cell>
          <cell r="K771">
            <v>0</v>
          </cell>
          <cell r="L771">
            <v>1932</v>
          </cell>
          <cell r="M771">
            <v>0</v>
          </cell>
        </row>
        <row r="772">
          <cell r="A772">
            <v>1193</v>
          </cell>
          <cell r="B772" t="str">
            <v/>
          </cell>
          <cell r="C772" t="str">
            <v>KHOR PLATINUM VODKA 1LTR</v>
          </cell>
          <cell r="D772" t="str">
            <v/>
          </cell>
          <cell r="E772" t="str">
            <v/>
          </cell>
          <cell r="F772" t="str">
            <v>Pcs</v>
          </cell>
          <cell r="G772">
            <v>0</v>
          </cell>
          <cell r="H772" t="str">
            <v/>
          </cell>
          <cell r="I772">
            <v>0</v>
          </cell>
          <cell r="J772">
            <v>0</v>
          </cell>
          <cell r="K772">
            <v>0</v>
          </cell>
          <cell r="L772">
            <v>1380</v>
          </cell>
          <cell r="M772">
            <v>0</v>
          </cell>
        </row>
        <row r="773">
          <cell r="A773">
            <v>2224</v>
          </cell>
          <cell r="B773" t="str">
            <v/>
          </cell>
          <cell r="C773" t="str">
            <v>KHOR STRACTURED VODKA 1LTR</v>
          </cell>
          <cell r="D773" t="str">
            <v/>
          </cell>
          <cell r="E773" t="str">
            <v/>
          </cell>
          <cell r="F773" t="str">
            <v>Pcs</v>
          </cell>
          <cell r="G773">
            <v>1</v>
          </cell>
          <cell r="H773" t="str">
            <v/>
          </cell>
          <cell r="I773">
            <v>0</v>
          </cell>
          <cell r="J773">
            <v>0</v>
          </cell>
          <cell r="K773">
            <v>1</v>
          </cell>
          <cell r="L773">
            <v>2200</v>
          </cell>
          <cell r="M773">
            <v>2200</v>
          </cell>
        </row>
        <row r="774">
          <cell r="A774">
            <v>1194</v>
          </cell>
          <cell r="B774" t="str">
            <v/>
          </cell>
          <cell r="C774" t="str">
            <v>KHOR WHITE &amp; GOLD 750ML</v>
          </cell>
          <cell r="D774" t="str">
            <v/>
          </cell>
          <cell r="E774" t="str">
            <v/>
          </cell>
          <cell r="F774" t="str">
            <v>Pcs</v>
          </cell>
          <cell r="G774">
            <v>0</v>
          </cell>
          <cell r="H774" t="str">
            <v/>
          </cell>
          <cell r="I774">
            <v>0</v>
          </cell>
          <cell r="J774">
            <v>0</v>
          </cell>
          <cell r="K774">
            <v>0</v>
          </cell>
          <cell r="L774">
            <v>2116</v>
          </cell>
          <cell r="M774">
            <v>0</v>
          </cell>
        </row>
        <row r="775">
          <cell r="A775">
            <v>1195</v>
          </cell>
          <cell r="B775" t="str">
            <v/>
          </cell>
          <cell r="C775" t="str">
            <v>KHOR WHITE &amp; GOLD VODKA 1LTR</v>
          </cell>
          <cell r="D775" t="str">
            <v/>
          </cell>
          <cell r="E775" t="str">
            <v/>
          </cell>
          <cell r="F775" t="str">
            <v>Pcs</v>
          </cell>
          <cell r="G775">
            <v>0</v>
          </cell>
          <cell r="H775" t="str">
            <v/>
          </cell>
          <cell r="I775">
            <v>0</v>
          </cell>
          <cell r="J775">
            <v>0</v>
          </cell>
          <cell r="K775">
            <v>0</v>
          </cell>
          <cell r="L775">
            <v>2116</v>
          </cell>
          <cell r="M775">
            <v>0</v>
          </cell>
        </row>
        <row r="776">
          <cell r="A776">
            <v>1197</v>
          </cell>
          <cell r="B776" t="str">
            <v/>
          </cell>
          <cell r="C776" t="str">
            <v>KIBAO 250 ML</v>
          </cell>
          <cell r="D776" t="str">
            <v/>
          </cell>
          <cell r="E776" t="str">
            <v/>
          </cell>
          <cell r="F776" t="str">
            <v>Pcs</v>
          </cell>
          <cell r="G776">
            <v>720</v>
          </cell>
          <cell r="H776" t="str">
            <v/>
          </cell>
          <cell r="I776">
            <v>0</v>
          </cell>
          <cell r="J776">
            <v>240</v>
          </cell>
          <cell r="K776">
            <v>480</v>
          </cell>
          <cell r="L776">
            <v>220.68</v>
          </cell>
          <cell r="M776">
            <v>105926.4</v>
          </cell>
        </row>
        <row r="777">
          <cell r="A777">
            <v>1198</v>
          </cell>
          <cell r="B777" t="str">
            <v/>
          </cell>
          <cell r="C777" t="str">
            <v>KIBAO 350 ML</v>
          </cell>
          <cell r="D777" t="str">
            <v/>
          </cell>
          <cell r="E777" t="str">
            <v/>
          </cell>
          <cell r="F777" t="str">
            <v>Pcs</v>
          </cell>
          <cell r="G777">
            <v>168</v>
          </cell>
          <cell r="H777" t="str">
            <v/>
          </cell>
          <cell r="I777">
            <v>252</v>
          </cell>
          <cell r="J777">
            <v>96</v>
          </cell>
          <cell r="K777">
            <v>324</v>
          </cell>
          <cell r="L777">
            <v>332.31</v>
          </cell>
          <cell r="M777">
            <v>107668.44</v>
          </cell>
        </row>
        <row r="778">
          <cell r="A778">
            <v>1199</v>
          </cell>
          <cell r="B778" t="str">
            <v/>
          </cell>
          <cell r="C778" t="str">
            <v>KIBAO 750 ML</v>
          </cell>
          <cell r="D778" t="str">
            <v/>
          </cell>
          <cell r="E778" t="str">
            <v/>
          </cell>
          <cell r="F778" t="str">
            <v>Pcs</v>
          </cell>
          <cell r="G778">
            <v>189</v>
          </cell>
          <cell r="H778" t="str">
            <v/>
          </cell>
          <cell r="I778">
            <v>0</v>
          </cell>
          <cell r="J778">
            <v>144</v>
          </cell>
          <cell r="K778">
            <v>45</v>
          </cell>
          <cell r="L778">
            <v>626</v>
          </cell>
          <cell r="M778">
            <v>28170</v>
          </cell>
        </row>
        <row r="779">
          <cell r="A779">
            <v>1209</v>
          </cell>
          <cell r="B779" t="str">
            <v/>
          </cell>
          <cell r="C779" t="str">
            <v>KING ROBERT VODKA 1LTR</v>
          </cell>
          <cell r="D779" t="str">
            <v/>
          </cell>
          <cell r="E779" t="str">
            <v/>
          </cell>
          <cell r="F779" t="str">
            <v>Pcs</v>
          </cell>
          <cell r="G779">
            <v>58</v>
          </cell>
          <cell r="H779" t="str">
            <v/>
          </cell>
          <cell r="I779">
            <v>0</v>
          </cell>
          <cell r="J779">
            <v>0</v>
          </cell>
          <cell r="K779">
            <v>58</v>
          </cell>
          <cell r="L779">
            <v>1288</v>
          </cell>
          <cell r="M779">
            <v>74704</v>
          </cell>
        </row>
        <row r="780">
          <cell r="A780">
            <v>2968</v>
          </cell>
          <cell r="B780" t="str">
            <v/>
          </cell>
          <cell r="C780" t="str">
            <v>LEGENDARY ABSOLUTE PREMIUM VODKA AK-47 700ML</v>
          </cell>
          <cell r="D780" t="str">
            <v/>
          </cell>
          <cell r="E780" t="str">
            <v/>
          </cell>
          <cell r="F780" t="str">
            <v>Pcs</v>
          </cell>
          <cell r="G780">
            <v>4</v>
          </cell>
          <cell r="H780" t="str">
            <v/>
          </cell>
          <cell r="I780">
            <v>0</v>
          </cell>
          <cell r="J780">
            <v>0</v>
          </cell>
          <cell r="K780">
            <v>4</v>
          </cell>
          <cell r="L780">
            <v>3200</v>
          </cell>
          <cell r="M780">
            <v>12800</v>
          </cell>
        </row>
        <row r="781">
          <cell r="A781">
            <v>2341</v>
          </cell>
          <cell r="B781" t="str">
            <v/>
          </cell>
          <cell r="C781" t="str">
            <v>LELESHWA VODKA 750ML</v>
          </cell>
          <cell r="D781" t="str">
            <v/>
          </cell>
          <cell r="E781" t="str">
            <v/>
          </cell>
          <cell r="F781" t="str">
            <v>Pcs</v>
          </cell>
          <cell r="G781">
            <v>0</v>
          </cell>
          <cell r="H781" t="str">
            <v/>
          </cell>
          <cell r="I781">
            <v>0</v>
          </cell>
          <cell r="J781">
            <v>0</v>
          </cell>
          <cell r="K781">
            <v>0</v>
          </cell>
          <cell r="L781">
            <v>1248.16</v>
          </cell>
          <cell r="M781">
            <v>0</v>
          </cell>
        </row>
        <row r="782">
          <cell r="A782">
            <v>2970</v>
          </cell>
          <cell r="B782" t="str">
            <v/>
          </cell>
          <cell r="C782" t="str">
            <v>M-16 RIFLE ABSOLUTE STANDARD PREMIUM VODKA 700ML</v>
          </cell>
          <cell r="D782" t="str">
            <v/>
          </cell>
          <cell r="E782" t="str">
            <v/>
          </cell>
          <cell r="F782" t="str">
            <v>Pcs</v>
          </cell>
          <cell r="G782">
            <v>0</v>
          </cell>
          <cell r="H782" t="str">
            <v/>
          </cell>
          <cell r="I782">
            <v>0</v>
          </cell>
          <cell r="J782">
            <v>0</v>
          </cell>
          <cell r="K782">
            <v>0</v>
          </cell>
          <cell r="L782">
            <v>3500</v>
          </cell>
          <cell r="M782">
            <v>0</v>
          </cell>
        </row>
        <row r="783">
          <cell r="A783">
            <v>2409</v>
          </cell>
          <cell r="B783" t="str">
            <v/>
          </cell>
          <cell r="C783" t="str">
            <v>MR BOSTON VODKA 1LTR</v>
          </cell>
          <cell r="D783" t="str">
            <v/>
          </cell>
          <cell r="E783" t="str">
            <v/>
          </cell>
          <cell r="F783" t="str">
            <v>Pcs</v>
          </cell>
          <cell r="G783">
            <v>24</v>
          </cell>
          <cell r="H783" t="str">
            <v/>
          </cell>
          <cell r="I783">
            <v>0</v>
          </cell>
          <cell r="J783">
            <v>0</v>
          </cell>
          <cell r="K783">
            <v>24</v>
          </cell>
          <cell r="L783">
            <v>500</v>
          </cell>
          <cell r="M783">
            <v>12000</v>
          </cell>
        </row>
        <row r="784">
          <cell r="A784">
            <v>1523</v>
          </cell>
          <cell r="B784" t="str">
            <v/>
          </cell>
          <cell r="C784" t="str">
            <v>NEMIROFF CRANBERRY 1LTR</v>
          </cell>
          <cell r="D784" t="str">
            <v/>
          </cell>
          <cell r="E784" t="str">
            <v/>
          </cell>
          <cell r="F784" t="str">
            <v>Pcs</v>
          </cell>
          <cell r="G784">
            <v>48</v>
          </cell>
          <cell r="H784" t="str">
            <v/>
          </cell>
          <cell r="I784">
            <v>0</v>
          </cell>
          <cell r="J784">
            <v>0</v>
          </cell>
          <cell r="K784">
            <v>48</v>
          </cell>
          <cell r="L784">
            <v>800</v>
          </cell>
          <cell r="M784">
            <v>38400</v>
          </cell>
        </row>
        <row r="785">
          <cell r="A785">
            <v>2310</v>
          </cell>
          <cell r="B785" t="str">
            <v/>
          </cell>
          <cell r="C785" t="str">
            <v>NEON APPLE VODKA 750ML</v>
          </cell>
          <cell r="D785" t="str">
            <v/>
          </cell>
          <cell r="E785" t="str">
            <v/>
          </cell>
          <cell r="F785" t="str">
            <v>Pcs</v>
          </cell>
          <cell r="G785">
            <v>0</v>
          </cell>
          <cell r="H785" t="str">
            <v/>
          </cell>
          <cell r="I785">
            <v>0</v>
          </cell>
          <cell r="J785">
            <v>0</v>
          </cell>
          <cell r="K785">
            <v>0</v>
          </cell>
          <cell r="L785">
            <v>550</v>
          </cell>
          <cell r="M785">
            <v>0</v>
          </cell>
        </row>
        <row r="786">
          <cell r="A786">
            <v>2309</v>
          </cell>
          <cell r="B786" t="str">
            <v/>
          </cell>
          <cell r="C786" t="str">
            <v>NEON ORANGE VODKA 750ML</v>
          </cell>
          <cell r="D786" t="str">
            <v/>
          </cell>
          <cell r="E786" t="str">
            <v/>
          </cell>
          <cell r="F786" t="str">
            <v>Pcs</v>
          </cell>
          <cell r="G786">
            <v>0</v>
          </cell>
          <cell r="H786" t="str">
            <v/>
          </cell>
          <cell r="I786">
            <v>0</v>
          </cell>
          <cell r="J786">
            <v>0</v>
          </cell>
          <cell r="K786">
            <v>0</v>
          </cell>
          <cell r="L786">
            <v>550</v>
          </cell>
          <cell r="M786">
            <v>0</v>
          </cell>
        </row>
        <row r="787">
          <cell r="A787">
            <v>2307</v>
          </cell>
          <cell r="B787" t="str">
            <v/>
          </cell>
          <cell r="C787" t="str">
            <v>NEON PINEAPPLE VODKA 750ML</v>
          </cell>
          <cell r="D787" t="str">
            <v/>
          </cell>
          <cell r="E787" t="str">
            <v/>
          </cell>
          <cell r="F787" t="str">
            <v>Pcs</v>
          </cell>
          <cell r="G787">
            <v>181</v>
          </cell>
          <cell r="H787" t="str">
            <v/>
          </cell>
          <cell r="I787">
            <v>0</v>
          </cell>
          <cell r="J787">
            <v>1</v>
          </cell>
          <cell r="K787">
            <v>180</v>
          </cell>
          <cell r="L787">
            <v>550</v>
          </cell>
          <cell r="M787">
            <v>99000</v>
          </cell>
        </row>
        <row r="788">
          <cell r="A788">
            <v>2308</v>
          </cell>
          <cell r="B788" t="str">
            <v/>
          </cell>
          <cell r="C788" t="str">
            <v>NEON VANILLA VODKA 750ML</v>
          </cell>
          <cell r="D788" t="str">
            <v/>
          </cell>
          <cell r="E788" t="str">
            <v/>
          </cell>
          <cell r="F788" t="str">
            <v>Pcs</v>
          </cell>
          <cell r="G788">
            <v>105</v>
          </cell>
          <cell r="H788" t="str">
            <v/>
          </cell>
          <cell r="I788">
            <v>0</v>
          </cell>
          <cell r="J788">
            <v>0</v>
          </cell>
          <cell r="K788">
            <v>105</v>
          </cell>
          <cell r="L788">
            <v>550</v>
          </cell>
          <cell r="M788">
            <v>57750</v>
          </cell>
        </row>
        <row r="789">
          <cell r="A789">
            <v>1525</v>
          </cell>
          <cell r="B789" t="str">
            <v/>
          </cell>
          <cell r="C789" t="str">
            <v>NEW AMSTERDAM CITRON 750ML</v>
          </cell>
          <cell r="D789" t="str">
            <v/>
          </cell>
          <cell r="E789" t="str">
            <v/>
          </cell>
          <cell r="F789" t="str">
            <v>Pcs</v>
          </cell>
          <cell r="G789">
            <v>0</v>
          </cell>
          <cell r="H789" t="str">
            <v/>
          </cell>
          <cell r="I789">
            <v>0</v>
          </cell>
          <cell r="J789">
            <v>0</v>
          </cell>
          <cell r="K789">
            <v>0</v>
          </cell>
          <cell r="L789">
            <v>782</v>
          </cell>
          <cell r="M789">
            <v>0</v>
          </cell>
        </row>
        <row r="790">
          <cell r="A790">
            <v>1526</v>
          </cell>
          <cell r="B790" t="str">
            <v/>
          </cell>
          <cell r="C790" t="str">
            <v>NEW AMSTERDAM COCONUT 750ML</v>
          </cell>
          <cell r="D790" t="str">
            <v/>
          </cell>
          <cell r="E790" t="str">
            <v/>
          </cell>
          <cell r="F790" t="str">
            <v>Pcs</v>
          </cell>
          <cell r="G790">
            <v>0</v>
          </cell>
          <cell r="H790" t="str">
            <v/>
          </cell>
          <cell r="I790">
            <v>0</v>
          </cell>
          <cell r="J790">
            <v>0</v>
          </cell>
          <cell r="K790">
            <v>0</v>
          </cell>
          <cell r="L790">
            <v>782</v>
          </cell>
          <cell r="M790">
            <v>0</v>
          </cell>
        </row>
        <row r="791">
          <cell r="A791">
            <v>1527</v>
          </cell>
          <cell r="B791" t="str">
            <v/>
          </cell>
          <cell r="C791" t="str">
            <v>NEW AMSTERDAM MANGO 750ML</v>
          </cell>
          <cell r="D791" t="str">
            <v/>
          </cell>
          <cell r="E791" t="str">
            <v/>
          </cell>
          <cell r="F791" t="str">
            <v>Pcs</v>
          </cell>
          <cell r="G791">
            <v>0</v>
          </cell>
          <cell r="H791" t="str">
            <v/>
          </cell>
          <cell r="I791">
            <v>0</v>
          </cell>
          <cell r="J791">
            <v>0</v>
          </cell>
          <cell r="K791">
            <v>0</v>
          </cell>
          <cell r="L791">
            <v>782</v>
          </cell>
          <cell r="M791">
            <v>0</v>
          </cell>
        </row>
        <row r="792">
          <cell r="A792">
            <v>1528</v>
          </cell>
          <cell r="B792" t="str">
            <v/>
          </cell>
          <cell r="C792" t="str">
            <v>NEW AMSTERDAM PEACH 750ml</v>
          </cell>
          <cell r="D792" t="str">
            <v/>
          </cell>
          <cell r="E792" t="str">
            <v/>
          </cell>
          <cell r="F792" t="str">
            <v>Pcs</v>
          </cell>
          <cell r="G792">
            <v>0</v>
          </cell>
          <cell r="H792" t="str">
            <v/>
          </cell>
          <cell r="I792">
            <v>0</v>
          </cell>
          <cell r="J792">
            <v>0</v>
          </cell>
          <cell r="K792">
            <v>0</v>
          </cell>
          <cell r="L792">
            <v>782</v>
          </cell>
          <cell r="M792">
            <v>0</v>
          </cell>
        </row>
        <row r="793">
          <cell r="A793">
            <v>1529</v>
          </cell>
          <cell r="B793" t="str">
            <v/>
          </cell>
          <cell r="C793" t="str">
            <v>NEW AMSTERDAM PINEAPPLE 750ML</v>
          </cell>
          <cell r="D793" t="str">
            <v/>
          </cell>
          <cell r="E793" t="str">
            <v/>
          </cell>
          <cell r="F793" t="str">
            <v>Pcs</v>
          </cell>
          <cell r="G793">
            <v>0</v>
          </cell>
          <cell r="H793" t="str">
            <v/>
          </cell>
          <cell r="I793">
            <v>0</v>
          </cell>
          <cell r="J793">
            <v>0</v>
          </cell>
          <cell r="K793">
            <v>0</v>
          </cell>
          <cell r="L793">
            <v>782</v>
          </cell>
          <cell r="M793">
            <v>0</v>
          </cell>
        </row>
        <row r="794">
          <cell r="A794">
            <v>1530</v>
          </cell>
          <cell r="B794" t="str">
            <v/>
          </cell>
          <cell r="C794" t="str">
            <v>NEW AMSTERDAM VODKA 1ltr</v>
          </cell>
          <cell r="D794" t="str">
            <v/>
          </cell>
          <cell r="E794" t="str">
            <v/>
          </cell>
          <cell r="F794" t="str">
            <v>Pcs</v>
          </cell>
          <cell r="G794">
            <v>0</v>
          </cell>
          <cell r="H794" t="str">
            <v/>
          </cell>
          <cell r="I794">
            <v>0</v>
          </cell>
          <cell r="J794">
            <v>0</v>
          </cell>
          <cell r="K794">
            <v>0</v>
          </cell>
          <cell r="L794">
            <v>1104</v>
          </cell>
          <cell r="M794">
            <v>0</v>
          </cell>
        </row>
        <row r="795">
          <cell r="A795">
            <v>1571</v>
          </cell>
          <cell r="B795" t="str">
            <v/>
          </cell>
          <cell r="C795" t="str">
            <v>ORIGIN 250ML</v>
          </cell>
          <cell r="D795" t="str">
            <v/>
          </cell>
          <cell r="E795" t="str">
            <v/>
          </cell>
          <cell r="F795" t="str">
            <v>Pcs</v>
          </cell>
          <cell r="G795">
            <v>40</v>
          </cell>
          <cell r="H795" t="str">
            <v/>
          </cell>
          <cell r="I795">
            <v>0</v>
          </cell>
          <cell r="J795">
            <v>40</v>
          </cell>
          <cell r="K795">
            <v>0</v>
          </cell>
          <cell r="L795">
            <v>162.84</v>
          </cell>
          <cell r="M795">
            <v>0</v>
          </cell>
        </row>
        <row r="796">
          <cell r="A796">
            <v>1572</v>
          </cell>
          <cell r="B796" t="str">
            <v/>
          </cell>
          <cell r="C796" t="str">
            <v>ORIGIN BITTERS 750ML</v>
          </cell>
          <cell r="D796" t="str">
            <v/>
          </cell>
          <cell r="E796" t="str">
            <v/>
          </cell>
          <cell r="F796" t="str">
            <v>Pcs</v>
          </cell>
          <cell r="G796">
            <v>0</v>
          </cell>
          <cell r="H796" t="str">
            <v/>
          </cell>
          <cell r="I796">
            <v>0</v>
          </cell>
          <cell r="J796">
            <v>0</v>
          </cell>
          <cell r="K796">
            <v>0</v>
          </cell>
          <cell r="L796">
            <v>445.28</v>
          </cell>
          <cell r="M796">
            <v>0</v>
          </cell>
        </row>
        <row r="797">
          <cell r="A797">
            <v>2567</v>
          </cell>
          <cell r="B797" t="str">
            <v/>
          </cell>
          <cell r="C797" t="str">
            <v>PETROVSKAIA CHOCOLATE VODKA LITRE</v>
          </cell>
          <cell r="D797" t="str">
            <v/>
          </cell>
          <cell r="E797" t="str">
            <v/>
          </cell>
          <cell r="F797" t="str">
            <v>Pcs</v>
          </cell>
          <cell r="G797">
            <v>0</v>
          </cell>
          <cell r="H797" t="str">
            <v/>
          </cell>
          <cell r="I797">
            <v>0</v>
          </cell>
          <cell r="J797">
            <v>0</v>
          </cell>
          <cell r="K797">
            <v>0</v>
          </cell>
          <cell r="L797">
            <v>900</v>
          </cell>
          <cell r="M797">
            <v>0</v>
          </cell>
        </row>
        <row r="798">
          <cell r="A798">
            <v>2568</v>
          </cell>
          <cell r="B798" t="str">
            <v/>
          </cell>
          <cell r="C798" t="str">
            <v>PETROVSKAIA CRANBERRY VODKA LITRE</v>
          </cell>
          <cell r="D798" t="str">
            <v/>
          </cell>
          <cell r="E798" t="str">
            <v/>
          </cell>
          <cell r="F798" t="str">
            <v>Pcs</v>
          </cell>
          <cell r="G798">
            <v>0</v>
          </cell>
          <cell r="H798" t="str">
            <v/>
          </cell>
          <cell r="I798">
            <v>0</v>
          </cell>
          <cell r="J798">
            <v>0</v>
          </cell>
          <cell r="K798">
            <v>0</v>
          </cell>
          <cell r="L798">
            <v>900</v>
          </cell>
          <cell r="M798">
            <v>0</v>
          </cell>
        </row>
        <row r="799">
          <cell r="A799">
            <v>2569</v>
          </cell>
          <cell r="B799" t="str">
            <v/>
          </cell>
          <cell r="C799" t="str">
            <v>PETROVSKAIA PLATIMUM VODKA LITRE</v>
          </cell>
          <cell r="D799" t="str">
            <v/>
          </cell>
          <cell r="E799" t="str">
            <v/>
          </cell>
          <cell r="F799" t="str">
            <v>Pcs</v>
          </cell>
          <cell r="G799">
            <v>0</v>
          </cell>
          <cell r="H799" t="str">
            <v/>
          </cell>
          <cell r="I799">
            <v>0</v>
          </cell>
          <cell r="J799">
            <v>0</v>
          </cell>
          <cell r="K799">
            <v>0</v>
          </cell>
          <cell r="L799">
            <v>900</v>
          </cell>
          <cell r="M799">
            <v>0</v>
          </cell>
        </row>
        <row r="800">
          <cell r="A800">
            <v>2852</v>
          </cell>
          <cell r="B800" t="str">
            <v/>
          </cell>
          <cell r="C800" t="str">
            <v>PLATINUM VODKA LITRE</v>
          </cell>
          <cell r="D800" t="str">
            <v/>
          </cell>
          <cell r="E800" t="str">
            <v/>
          </cell>
          <cell r="F800" t="str">
            <v>Pcs</v>
          </cell>
          <cell r="G800">
            <v>584</v>
          </cell>
          <cell r="H800" t="str">
            <v/>
          </cell>
          <cell r="I800">
            <v>0</v>
          </cell>
          <cell r="J800">
            <v>0</v>
          </cell>
          <cell r="K800">
            <v>584</v>
          </cell>
          <cell r="L800">
            <v>1100</v>
          </cell>
          <cell r="M800">
            <v>642400</v>
          </cell>
        </row>
        <row r="801">
          <cell r="A801">
            <v>2393</v>
          </cell>
          <cell r="B801" t="str">
            <v/>
          </cell>
          <cell r="C801" t="str">
            <v>RUSSIAN BEAR ENERGY FUDION EXPORT 750ML</v>
          </cell>
          <cell r="D801" t="str">
            <v/>
          </cell>
          <cell r="E801" t="str">
            <v/>
          </cell>
          <cell r="F801" t="str">
            <v>Pcs</v>
          </cell>
          <cell r="G801">
            <v>6</v>
          </cell>
          <cell r="H801" t="str">
            <v/>
          </cell>
          <cell r="I801">
            <v>0</v>
          </cell>
          <cell r="J801">
            <v>0</v>
          </cell>
          <cell r="K801">
            <v>6</v>
          </cell>
          <cell r="L801">
            <v>1000</v>
          </cell>
          <cell r="M801">
            <v>6000</v>
          </cell>
        </row>
        <row r="802">
          <cell r="A802">
            <v>2395</v>
          </cell>
          <cell r="B802" t="str">
            <v/>
          </cell>
          <cell r="C802" t="str">
            <v>RUSSIAN BEAR PASSION FRUIT 750ML</v>
          </cell>
          <cell r="D802" t="str">
            <v/>
          </cell>
          <cell r="E802" t="str">
            <v/>
          </cell>
          <cell r="F802" t="str">
            <v>Pcs</v>
          </cell>
          <cell r="G802">
            <v>6</v>
          </cell>
          <cell r="H802" t="str">
            <v/>
          </cell>
          <cell r="I802">
            <v>0</v>
          </cell>
          <cell r="J802">
            <v>0</v>
          </cell>
          <cell r="K802">
            <v>6</v>
          </cell>
          <cell r="L802">
            <v>1000</v>
          </cell>
          <cell r="M802">
            <v>6000</v>
          </cell>
        </row>
        <row r="803">
          <cell r="A803">
            <v>2394</v>
          </cell>
          <cell r="B803" t="str">
            <v/>
          </cell>
          <cell r="C803" t="str">
            <v>RUSSIAN BEAR VODKA 750ML</v>
          </cell>
          <cell r="D803" t="str">
            <v/>
          </cell>
          <cell r="E803" t="str">
            <v/>
          </cell>
          <cell r="F803" t="str">
            <v>Pcs</v>
          </cell>
          <cell r="G803">
            <v>42</v>
          </cell>
          <cell r="H803" t="str">
            <v/>
          </cell>
          <cell r="I803">
            <v>0</v>
          </cell>
          <cell r="J803">
            <v>0</v>
          </cell>
          <cell r="K803">
            <v>42</v>
          </cell>
          <cell r="L803">
            <v>1000</v>
          </cell>
          <cell r="M803">
            <v>42000</v>
          </cell>
        </row>
        <row r="804">
          <cell r="A804">
            <v>2396</v>
          </cell>
          <cell r="B804" t="str">
            <v/>
          </cell>
          <cell r="C804" t="str">
            <v>RUSSIAN BEAR WILD BERRY EXPORT 750ML</v>
          </cell>
          <cell r="D804" t="str">
            <v/>
          </cell>
          <cell r="E804" t="str">
            <v/>
          </cell>
          <cell r="F804" t="str">
            <v>Pcs</v>
          </cell>
          <cell r="G804">
            <v>0</v>
          </cell>
          <cell r="H804" t="str">
            <v/>
          </cell>
          <cell r="I804">
            <v>0</v>
          </cell>
          <cell r="J804">
            <v>0</v>
          </cell>
          <cell r="K804">
            <v>0</v>
          </cell>
          <cell r="L804">
            <v>1000</v>
          </cell>
          <cell r="M804">
            <v>0</v>
          </cell>
        </row>
        <row r="805">
          <cell r="A805">
            <v>1814</v>
          </cell>
          <cell r="B805" t="str">
            <v/>
          </cell>
          <cell r="C805" t="str">
            <v>SKYY INFUSION CITRUS VODKA 700ML</v>
          </cell>
          <cell r="D805" t="str">
            <v/>
          </cell>
          <cell r="E805" t="str">
            <v/>
          </cell>
          <cell r="F805" t="str">
            <v>Pcs</v>
          </cell>
          <cell r="G805">
            <v>0</v>
          </cell>
          <cell r="H805" t="str">
            <v/>
          </cell>
          <cell r="I805">
            <v>0</v>
          </cell>
          <cell r="J805">
            <v>0</v>
          </cell>
          <cell r="K805">
            <v>0</v>
          </cell>
          <cell r="L805">
            <v>1104</v>
          </cell>
          <cell r="M805">
            <v>0</v>
          </cell>
        </row>
        <row r="806">
          <cell r="A806">
            <v>1817</v>
          </cell>
          <cell r="B806" t="str">
            <v/>
          </cell>
          <cell r="C806" t="str">
            <v>SKYY VODKA 1LTR</v>
          </cell>
          <cell r="D806" t="str">
            <v/>
          </cell>
          <cell r="E806" t="str">
            <v/>
          </cell>
          <cell r="F806" t="str">
            <v>Pcs</v>
          </cell>
          <cell r="G806">
            <v>0</v>
          </cell>
          <cell r="H806" t="str">
            <v/>
          </cell>
          <cell r="I806">
            <v>0</v>
          </cell>
          <cell r="J806">
            <v>0</v>
          </cell>
          <cell r="K806">
            <v>0</v>
          </cell>
          <cell r="L806">
            <v>1600</v>
          </cell>
          <cell r="M806">
            <v>0</v>
          </cell>
        </row>
        <row r="807">
          <cell r="A807">
            <v>825</v>
          </cell>
          <cell r="B807" t="str">
            <v/>
          </cell>
          <cell r="C807" t="str">
            <v>SMIRNOFF</v>
          </cell>
          <cell r="D807" t="str">
            <v/>
          </cell>
          <cell r="E807" t="str">
            <v/>
          </cell>
          <cell r="F807" t="str">
            <v>Pcs</v>
          </cell>
          <cell r="G807">
            <v>0</v>
          </cell>
          <cell r="H807" t="str">
            <v/>
          </cell>
          <cell r="I807">
            <v>0</v>
          </cell>
          <cell r="J807">
            <v>0</v>
          </cell>
          <cell r="K807">
            <v>0</v>
          </cell>
          <cell r="L807">
            <v>410</v>
          </cell>
          <cell r="M807">
            <v>0</v>
          </cell>
        </row>
        <row r="808">
          <cell r="A808">
            <v>1823</v>
          </cell>
          <cell r="B808" t="str">
            <v/>
          </cell>
          <cell r="C808" t="str">
            <v>SMIRNOFF - BLUE 750ML</v>
          </cell>
          <cell r="D808" t="str">
            <v/>
          </cell>
          <cell r="E808" t="str">
            <v/>
          </cell>
          <cell r="F808" t="str">
            <v>Pcs</v>
          </cell>
          <cell r="G808">
            <v>0</v>
          </cell>
          <cell r="H808" t="str">
            <v/>
          </cell>
          <cell r="I808">
            <v>0</v>
          </cell>
          <cell r="J808">
            <v>0</v>
          </cell>
          <cell r="K808">
            <v>0</v>
          </cell>
          <cell r="L808">
            <v>1380</v>
          </cell>
          <cell r="M808">
            <v>0</v>
          </cell>
        </row>
        <row r="809">
          <cell r="A809">
            <v>2866</v>
          </cell>
          <cell r="B809" t="str">
            <v/>
          </cell>
          <cell r="C809" t="str">
            <v>SMIRNOFF COSMO COCKTAIL 750ML</v>
          </cell>
          <cell r="D809" t="str">
            <v/>
          </cell>
          <cell r="E809" t="str">
            <v/>
          </cell>
          <cell r="F809" t="str">
            <v>Pcs</v>
          </cell>
          <cell r="G809">
            <v>36</v>
          </cell>
          <cell r="H809" t="str">
            <v/>
          </cell>
          <cell r="I809">
            <v>0</v>
          </cell>
          <cell r="J809">
            <v>0</v>
          </cell>
          <cell r="K809">
            <v>36</v>
          </cell>
          <cell r="L809">
            <v>764.42</v>
          </cell>
          <cell r="M809">
            <v>27519.12</v>
          </cell>
        </row>
        <row r="810">
          <cell r="A810">
            <v>1828</v>
          </cell>
          <cell r="B810" t="str">
            <v/>
          </cell>
          <cell r="C810" t="str">
            <v>SMIRNOFF - LIME 1LT</v>
          </cell>
          <cell r="D810" t="str">
            <v/>
          </cell>
          <cell r="E810" t="str">
            <v/>
          </cell>
          <cell r="F810" t="str">
            <v>Pcs</v>
          </cell>
          <cell r="G810">
            <v>0</v>
          </cell>
          <cell r="H810" t="str">
            <v/>
          </cell>
          <cell r="I810">
            <v>0</v>
          </cell>
          <cell r="J810">
            <v>0</v>
          </cell>
          <cell r="K810">
            <v>0</v>
          </cell>
          <cell r="L810">
            <v>1533.64</v>
          </cell>
          <cell r="M810">
            <v>0</v>
          </cell>
        </row>
        <row r="811">
          <cell r="A811">
            <v>1831</v>
          </cell>
          <cell r="B811" t="str">
            <v/>
          </cell>
          <cell r="C811" t="str">
            <v>SMIRNOFF - RED 1LT</v>
          </cell>
          <cell r="D811" t="str">
            <v/>
          </cell>
          <cell r="E811" t="str">
            <v/>
          </cell>
          <cell r="F811" t="str">
            <v>Pcs</v>
          </cell>
          <cell r="G811">
            <v>324</v>
          </cell>
          <cell r="H811" t="str">
            <v/>
          </cell>
          <cell r="I811">
            <v>2</v>
          </cell>
          <cell r="J811">
            <v>108</v>
          </cell>
          <cell r="K811">
            <v>218</v>
          </cell>
          <cell r="L811">
            <v>1300</v>
          </cell>
          <cell r="M811">
            <v>283400</v>
          </cell>
        </row>
        <row r="812">
          <cell r="A812">
            <v>1832</v>
          </cell>
          <cell r="B812" t="str">
            <v/>
          </cell>
          <cell r="C812" t="str">
            <v>SMIRNOFF RED VODKA 250ML</v>
          </cell>
          <cell r="D812" t="str">
            <v/>
          </cell>
          <cell r="E812" t="str">
            <v/>
          </cell>
          <cell r="F812" t="str">
            <v>Pcs</v>
          </cell>
          <cell r="G812">
            <v>660</v>
          </cell>
          <cell r="H812" t="str">
            <v/>
          </cell>
          <cell r="I812">
            <v>0</v>
          </cell>
          <cell r="J812">
            <v>80</v>
          </cell>
          <cell r="K812">
            <v>580</v>
          </cell>
          <cell r="L812">
            <v>410.8</v>
          </cell>
          <cell r="M812">
            <v>238264</v>
          </cell>
        </row>
        <row r="813">
          <cell r="A813">
            <v>1833</v>
          </cell>
          <cell r="B813" t="str">
            <v/>
          </cell>
          <cell r="C813" t="str">
            <v>SMIRNOFF RED VODKA 350ML</v>
          </cell>
          <cell r="D813" t="str">
            <v/>
          </cell>
          <cell r="E813" t="str">
            <v/>
          </cell>
          <cell r="F813" t="str">
            <v>Pcs</v>
          </cell>
          <cell r="G813">
            <v>384</v>
          </cell>
          <cell r="H813" t="str">
            <v/>
          </cell>
          <cell r="I813">
            <v>0</v>
          </cell>
          <cell r="J813">
            <v>240</v>
          </cell>
          <cell r="K813">
            <v>144</v>
          </cell>
          <cell r="L813">
            <v>570.85</v>
          </cell>
          <cell r="M813">
            <v>82202.4</v>
          </cell>
        </row>
        <row r="814">
          <cell r="A814">
            <v>1834</v>
          </cell>
          <cell r="B814" t="str">
            <v/>
          </cell>
          <cell r="C814" t="str">
            <v>SMIRNOFF RED VODKA 750ML</v>
          </cell>
          <cell r="D814" t="str">
            <v/>
          </cell>
          <cell r="E814" t="str">
            <v/>
          </cell>
          <cell r="F814" t="str">
            <v>Pcs</v>
          </cell>
          <cell r="G814">
            <v>204</v>
          </cell>
          <cell r="H814" t="str">
            <v/>
          </cell>
          <cell r="I814">
            <v>0</v>
          </cell>
          <cell r="J814">
            <v>108</v>
          </cell>
          <cell r="K814">
            <v>96</v>
          </cell>
          <cell r="L814">
            <v>1223.98</v>
          </cell>
          <cell r="M814">
            <v>117502.08</v>
          </cell>
        </row>
        <row r="815">
          <cell r="A815">
            <v>1847</v>
          </cell>
          <cell r="B815" t="str">
            <v/>
          </cell>
          <cell r="C815" t="str">
            <v>SOBIESKI VODKA 1LTR</v>
          </cell>
          <cell r="D815" t="str">
            <v/>
          </cell>
          <cell r="E815" t="str">
            <v/>
          </cell>
          <cell r="F815" t="str">
            <v>Pcs</v>
          </cell>
          <cell r="G815">
            <v>0</v>
          </cell>
          <cell r="H815" t="str">
            <v/>
          </cell>
          <cell r="I815">
            <v>0</v>
          </cell>
          <cell r="J815">
            <v>0</v>
          </cell>
          <cell r="K815">
            <v>0</v>
          </cell>
          <cell r="L815">
            <v>1472</v>
          </cell>
          <cell r="M815">
            <v>0</v>
          </cell>
        </row>
        <row r="816">
          <cell r="A816">
            <v>2299</v>
          </cell>
          <cell r="B816" t="str">
            <v/>
          </cell>
          <cell r="C816" t="str">
            <v>STOLICHNAYA 1LTR</v>
          </cell>
          <cell r="D816" t="str">
            <v/>
          </cell>
          <cell r="E816" t="str">
            <v/>
          </cell>
          <cell r="F816" t="str">
            <v>Pcs</v>
          </cell>
          <cell r="G816">
            <v>0</v>
          </cell>
          <cell r="H816" t="str">
            <v/>
          </cell>
          <cell r="I816">
            <v>0</v>
          </cell>
          <cell r="J816">
            <v>0</v>
          </cell>
          <cell r="K816">
            <v>0</v>
          </cell>
          <cell r="L816">
            <v>1200</v>
          </cell>
          <cell r="M816">
            <v>0</v>
          </cell>
        </row>
        <row r="817">
          <cell r="A817">
            <v>2285</v>
          </cell>
          <cell r="B817" t="str">
            <v/>
          </cell>
          <cell r="C817" t="str">
            <v>STOLICHNAYA 375ML</v>
          </cell>
          <cell r="D817" t="str">
            <v/>
          </cell>
          <cell r="E817" t="str">
            <v/>
          </cell>
          <cell r="F817" t="str">
            <v>Pcs</v>
          </cell>
          <cell r="G817">
            <v>77</v>
          </cell>
          <cell r="H817" t="str">
            <v/>
          </cell>
          <cell r="I817">
            <v>0</v>
          </cell>
          <cell r="J817">
            <v>0</v>
          </cell>
          <cell r="K817">
            <v>77</v>
          </cell>
          <cell r="L817">
            <v>450</v>
          </cell>
          <cell r="M817">
            <v>34650</v>
          </cell>
        </row>
        <row r="818">
          <cell r="A818">
            <v>1887</v>
          </cell>
          <cell r="B818" t="str">
            <v/>
          </cell>
          <cell r="C818" t="str">
            <v>STOLICHNAYA CITRUS 750ML</v>
          </cell>
          <cell r="D818" t="str">
            <v/>
          </cell>
          <cell r="E818" t="str">
            <v/>
          </cell>
          <cell r="F818" t="str">
            <v>Pcs</v>
          </cell>
          <cell r="G818">
            <v>0</v>
          </cell>
          <cell r="H818" t="str">
            <v/>
          </cell>
          <cell r="I818">
            <v>0</v>
          </cell>
          <cell r="J818">
            <v>0</v>
          </cell>
          <cell r="K818">
            <v>0</v>
          </cell>
          <cell r="L818">
            <v>920</v>
          </cell>
          <cell r="M818">
            <v>0</v>
          </cell>
        </row>
        <row r="819">
          <cell r="A819">
            <v>2360</v>
          </cell>
          <cell r="B819" t="str">
            <v/>
          </cell>
          <cell r="C819" t="str">
            <v>STOLICHNAYA HOT 750ML</v>
          </cell>
          <cell r="D819" t="str">
            <v/>
          </cell>
          <cell r="E819" t="str">
            <v/>
          </cell>
          <cell r="F819" t="str">
            <v>Pcs</v>
          </cell>
          <cell r="G819">
            <v>0</v>
          </cell>
          <cell r="H819" t="str">
            <v/>
          </cell>
          <cell r="I819">
            <v>0</v>
          </cell>
          <cell r="J819">
            <v>0</v>
          </cell>
          <cell r="K819">
            <v>0</v>
          </cell>
          <cell r="L819">
            <v>850</v>
          </cell>
          <cell r="M819">
            <v>0</v>
          </cell>
        </row>
        <row r="820">
          <cell r="A820">
            <v>1888</v>
          </cell>
          <cell r="B820" t="str">
            <v/>
          </cell>
          <cell r="C820" t="str">
            <v>STOLICHNAYA JALAPENO 750ML</v>
          </cell>
          <cell r="D820" t="str">
            <v/>
          </cell>
          <cell r="E820" t="str">
            <v/>
          </cell>
          <cell r="F820" t="str">
            <v>Pcs</v>
          </cell>
          <cell r="G820">
            <v>0</v>
          </cell>
          <cell r="H820" t="str">
            <v/>
          </cell>
          <cell r="I820">
            <v>0</v>
          </cell>
          <cell r="J820">
            <v>0</v>
          </cell>
          <cell r="K820">
            <v>0</v>
          </cell>
          <cell r="L820">
            <v>920</v>
          </cell>
          <cell r="M820">
            <v>0</v>
          </cell>
        </row>
        <row r="821">
          <cell r="A821">
            <v>1889</v>
          </cell>
          <cell r="B821" t="str">
            <v/>
          </cell>
          <cell r="C821" t="str">
            <v>STOLICHNAYA ORANGE 750ML</v>
          </cell>
          <cell r="D821" t="str">
            <v/>
          </cell>
          <cell r="E821" t="str">
            <v/>
          </cell>
          <cell r="F821" t="str">
            <v>Pcs</v>
          </cell>
          <cell r="G821">
            <v>0</v>
          </cell>
          <cell r="H821" t="str">
            <v/>
          </cell>
          <cell r="I821">
            <v>0</v>
          </cell>
          <cell r="J821">
            <v>0</v>
          </cell>
          <cell r="K821">
            <v>0</v>
          </cell>
          <cell r="L821">
            <v>920</v>
          </cell>
          <cell r="M821">
            <v>0</v>
          </cell>
        </row>
        <row r="822">
          <cell r="A822">
            <v>1890</v>
          </cell>
          <cell r="B822" t="str">
            <v/>
          </cell>
          <cell r="C822" t="str">
            <v>STOLICHNAYA RASBERRY 750ML</v>
          </cell>
          <cell r="D822" t="str">
            <v/>
          </cell>
          <cell r="E822" t="str">
            <v/>
          </cell>
          <cell r="F822" t="str">
            <v>Pcs</v>
          </cell>
          <cell r="G822">
            <v>0</v>
          </cell>
          <cell r="H822" t="str">
            <v/>
          </cell>
          <cell r="I822">
            <v>0</v>
          </cell>
          <cell r="J822">
            <v>0</v>
          </cell>
          <cell r="K822">
            <v>0</v>
          </cell>
          <cell r="L822">
            <v>920</v>
          </cell>
          <cell r="M822">
            <v>0</v>
          </cell>
        </row>
        <row r="823">
          <cell r="A823">
            <v>1891</v>
          </cell>
          <cell r="B823" t="str">
            <v/>
          </cell>
          <cell r="C823" t="str">
            <v>STOLICHNAYA VANILLA 750ML</v>
          </cell>
          <cell r="D823" t="str">
            <v/>
          </cell>
          <cell r="E823" t="str">
            <v/>
          </cell>
          <cell r="F823" t="str">
            <v>Pcs</v>
          </cell>
          <cell r="G823">
            <v>6</v>
          </cell>
          <cell r="H823" t="str">
            <v/>
          </cell>
          <cell r="I823">
            <v>0</v>
          </cell>
          <cell r="J823">
            <v>0</v>
          </cell>
          <cell r="K823">
            <v>6</v>
          </cell>
          <cell r="L823">
            <v>920</v>
          </cell>
          <cell r="M823">
            <v>5520</v>
          </cell>
        </row>
        <row r="824">
          <cell r="A824">
            <v>1943</v>
          </cell>
          <cell r="B824" t="str">
            <v/>
          </cell>
          <cell r="C824" t="str">
            <v>TANQUERAY STERLING VODKA 750ml</v>
          </cell>
          <cell r="D824" t="str">
            <v/>
          </cell>
          <cell r="E824" t="str">
            <v/>
          </cell>
          <cell r="F824" t="str">
            <v>Pcs</v>
          </cell>
          <cell r="G824">
            <v>32</v>
          </cell>
          <cell r="H824" t="str">
            <v/>
          </cell>
          <cell r="I824">
            <v>0</v>
          </cell>
          <cell r="J824">
            <v>0</v>
          </cell>
          <cell r="K824">
            <v>32</v>
          </cell>
          <cell r="L824">
            <v>2208</v>
          </cell>
          <cell r="M824">
            <v>70656</v>
          </cell>
        </row>
        <row r="825">
          <cell r="A825">
            <v>1996</v>
          </cell>
          <cell r="B825" t="str">
            <v/>
          </cell>
          <cell r="C825" t="str">
            <v>TITO'S VODKA 1LTR</v>
          </cell>
          <cell r="D825" t="str">
            <v/>
          </cell>
          <cell r="E825" t="str">
            <v/>
          </cell>
          <cell r="F825" t="str">
            <v>Pcs</v>
          </cell>
          <cell r="G825">
            <v>0</v>
          </cell>
          <cell r="H825" t="str">
            <v/>
          </cell>
          <cell r="I825">
            <v>0</v>
          </cell>
          <cell r="J825">
            <v>0</v>
          </cell>
          <cell r="K825">
            <v>0</v>
          </cell>
          <cell r="L825">
            <v>1991</v>
          </cell>
          <cell r="M825">
            <v>0</v>
          </cell>
        </row>
        <row r="826">
          <cell r="A826">
            <v>2010</v>
          </cell>
          <cell r="B826" t="str">
            <v/>
          </cell>
          <cell r="C826" t="str">
            <v>TRIPLE ACE VODKA 250 ML</v>
          </cell>
          <cell r="D826" t="str">
            <v/>
          </cell>
          <cell r="E826" t="str">
            <v/>
          </cell>
          <cell r="F826" t="str">
            <v>Pcs</v>
          </cell>
          <cell r="G826">
            <v>120</v>
          </cell>
          <cell r="H826" t="str">
            <v/>
          </cell>
          <cell r="I826">
            <v>400</v>
          </cell>
          <cell r="J826">
            <v>160</v>
          </cell>
          <cell r="K826">
            <v>360</v>
          </cell>
          <cell r="L826">
            <v>193.67</v>
          </cell>
          <cell r="M826">
            <v>69721.2</v>
          </cell>
        </row>
        <row r="827">
          <cell r="A827">
            <v>2011</v>
          </cell>
          <cell r="B827" t="str">
            <v/>
          </cell>
          <cell r="C827" t="str">
            <v>TRIPLE ACE VODKA 750 ML</v>
          </cell>
          <cell r="D827" t="str">
            <v/>
          </cell>
          <cell r="E827" t="str">
            <v/>
          </cell>
          <cell r="F827" t="str">
            <v>Pcs</v>
          </cell>
          <cell r="G827">
            <v>168</v>
          </cell>
          <cell r="H827" t="str">
            <v/>
          </cell>
          <cell r="I827">
            <v>0</v>
          </cell>
          <cell r="J827">
            <v>12</v>
          </cell>
          <cell r="K827">
            <v>156</v>
          </cell>
          <cell r="L827">
            <v>535</v>
          </cell>
          <cell r="M827">
            <v>83460</v>
          </cell>
        </row>
        <row r="828">
          <cell r="A828">
            <v>2327</v>
          </cell>
          <cell r="B828" t="str">
            <v/>
          </cell>
          <cell r="C828" t="str">
            <v>WHITE MISCHIEF 750ML</v>
          </cell>
          <cell r="D828" t="str">
            <v/>
          </cell>
          <cell r="E828" t="str">
            <v/>
          </cell>
          <cell r="F828" t="str">
            <v>Pcs</v>
          </cell>
          <cell r="G828">
            <v>96</v>
          </cell>
          <cell r="H828" t="str">
            <v/>
          </cell>
          <cell r="I828">
            <v>0</v>
          </cell>
          <cell r="J828">
            <v>0</v>
          </cell>
          <cell r="K828">
            <v>96</v>
          </cell>
          <cell r="L828">
            <v>1200</v>
          </cell>
          <cell r="M828">
            <v>115200</v>
          </cell>
        </row>
        <row r="829">
          <cell r="B829" t="str">
            <v/>
          </cell>
          <cell r="C829" t="str">
            <v/>
          </cell>
          <cell r="D829" t="str">
            <v>VODKA</v>
          </cell>
          <cell r="E829" t="str">
            <v/>
          </cell>
          <cell r="F829" t="str">
            <v/>
          </cell>
          <cell r="G829">
            <v>12981</v>
          </cell>
          <cell r="H829" t="str">
            <v/>
          </cell>
          <cell r="I829">
            <v>12642</v>
          </cell>
          <cell r="J829">
            <v>10272</v>
          </cell>
          <cell r="K829">
            <v>15351</v>
          </cell>
          <cell r="L829" t="str">
            <v/>
          </cell>
          <cell r="M829">
            <v>12283742.8</v>
          </cell>
        </row>
        <row r="830">
          <cell r="A830" t="str">
            <v>Class :</v>
          </cell>
          <cell r="B830" t="str">
            <v>WATER</v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</row>
        <row r="831">
          <cell r="A831">
            <v>2856</v>
          </cell>
          <cell r="B831" t="str">
            <v/>
          </cell>
          <cell r="C831" t="str">
            <v>DALALI SPARKLING WATER 1L</v>
          </cell>
          <cell r="D831" t="str">
            <v/>
          </cell>
          <cell r="E831" t="str">
            <v/>
          </cell>
          <cell r="F831" t="str">
            <v>Pcs</v>
          </cell>
          <cell r="G831">
            <v>504</v>
          </cell>
          <cell r="H831" t="str">
            <v/>
          </cell>
          <cell r="I831">
            <v>0</v>
          </cell>
          <cell r="J831">
            <v>108</v>
          </cell>
          <cell r="K831">
            <v>396</v>
          </cell>
          <cell r="L831">
            <v>72.56</v>
          </cell>
          <cell r="M831">
            <v>28733.76</v>
          </cell>
        </row>
        <row r="832">
          <cell r="A832">
            <v>2921</v>
          </cell>
          <cell r="B832" t="str">
            <v/>
          </cell>
          <cell r="C832" t="str">
            <v>DALALI WATER MINERAL 500ml</v>
          </cell>
          <cell r="D832" t="str">
            <v/>
          </cell>
          <cell r="E832" t="str">
            <v/>
          </cell>
          <cell r="F832" t="str">
            <v>Pcs</v>
          </cell>
          <cell r="G832">
            <v>1056</v>
          </cell>
          <cell r="H832" t="str">
            <v/>
          </cell>
          <cell r="I832">
            <v>0</v>
          </cell>
          <cell r="J832">
            <v>696</v>
          </cell>
          <cell r="K832">
            <v>360</v>
          </cell>
          <cell r="L832">
            <v>34.3</v>
          </cell>
          <cell r="M832">
            <v>12348</v>
          </cell>
        </row>
        <row r="833">
          <cell r="A833">
            <v>567</v>
          </cell>
          <cell r="B833" t="str">
            <v/>
          </cell>
          <cell r="C833" t="str">
            <v>DALALI WATER STILL MINERAL 1LTR</v>
          </cell>
          <cell r="D833" t="str">
            <v/>
          </cell>
          <cell r="E833" t="str">
            <v/>
          </cell>
          <cell r="F833" t="str">
            <v>Pcs</v>
          </cell>
          <cell r="G833">
            <v>1368</v>
          </cell>
          <cell r="H833" t="str">
            <v/>
          </cell>
          <cell r="I833">
            <v>475</v>
          </cell>
          <cell r="J833">
            <v>996</v>
          </cell>
          <cell r="K833">
            <v>847</v>
          </cell>
          <cell r="L833">
            <v>57.18</v>
          </cell>
          <cell r="M833">
            <v>48431.46</v>
          </cell>
        </row>
        <row r="834">
          <cell r="A834">
            <v>579</v>
          </cell>
          <cell r="B834" t="str">
            <v/>
          </cell>
          <cell r="C834" t="str">
            <v>DASANI DRINKING WATER 1LTR</v>
          </cell>
          <cell r="D834" t="str">
            <v/>
          </cell>
          <cell r="E834" t="str">
            <v/>
          </cell>
          <cell r="F834" t="str">
            <v>Pcs</v>
          </cell>
          <cell r="G834">
            <v>12</v>
          </cell>
          <cell r="H834" t="str">
            <v/>
          </cell>
          <cell r="I834">
            <v>480</v>
          </cell>
          <cell r="J834">
            <v>348</v>
          </cell>
          <cell r="K834">
            <v>144</v>
          </cell>
          <cell r="L834">
            <v>48.33</v>
          </cell>
          <cell r="M834">
            <v>6959.52</v>
          </cell>
        </row>
        <row r="835">
          <cell r="A835">
            <v>580</v>
          </cell>
          <cell r="B835" t="str">
            <v/>
          </cell>
          <cell r="C835" t="str">
            <v>DASANI DRINKING WATER 500ML</v>
          </cell>
          <cell r="D835" t="str">
            <v/>
          </cell>
          <cell r="E835" t="str">
            <v/>
          </cell>
          <cell r="F835" t="str">
            <v>Pcs</v>
          </cell>
          <cell r="G835">
            <v>0</v>
          </cell>
          <cell r="H835" t="str">
            <v/>
          </cell>
          <cell r="I835">
            <v>240</v>
          </cell>
          <cell r="J835">
            <v>240</v>
          </cell>
          <cell r="K835">
            <v>0</v>
          </cell>
          <cell r="L835">
            <v>27.08</v>
          </cell>
          <cell r="M835">
            <v>0</v>
          </cell>
        </row>
        <row r="836">
          <cell r="A836">
            <v>1186</v>
          </cell>
          <cell r="B836" t="str">
            <v/>
          </cell>
          <cell r="C836" t="str">
            <v>KERINGET MINERAL WATER 1LTR</v>
          </cell>
          <cell r="D836" t="str">
            <v/>
          </cell>
          <cell r="E836" t="str">
            <v/>
          </cell>
          <cell r="F836" t="str">
            <v>Pcs</v>
          </cell>
          <cell r="G836">
            <v>0</v>
          </cell>
          <cell r="H836" t="str">
            <v/>
          </cell>
          <cell r="I836">
            <v>1440</v>
          </cell>
          <cell r="J836">
            <v>1080</v>
          </cell>
          <cell r="K836">
            <v>360</v>
          </cell>
          <cell r="L836">
            <v>79.16</v>
          </cell>
          <cell r="M836">
            <v>28497.6</v>
          </cell>
        </row>
        <row r="837">
          <cell r="A837">
            <v>1187</v>
          </cell>
          <cell r="B837" t="str">
            <v/>
          </cell>
          <cell r="C837" t="str">
            <v>KERINGET MINERAL WATER 500ML</v>
          </cell>
          <cell r="D837" t="str">
            <v/>
          </cell>
          <cell r="E837" t="str">
            <v/>
          </cell>
          <cell r="F837" t="str">
            <v>Pcs</v>
          </cell>
          <cell r="G837">
            <v>144</v>
          </cell>
          <cell r="H837" t="str">
            <v/>
          </cell>
          <cell r="I837">
            <v>240</v>
          </cell>
          <cell r="J837">
            <v>192</v>
          </cell>
          <cell r="K837">
            <v>192</v>
          </cell>
          <cell r="L837">
            <v>54.17</v>
          </cell>
          <cell r="M837">
            <v>10400.64</v>
          </cell>
        </row>
        <row r="838">
          <cell r="A838">
            <v>2161</v>
          </cell>
          <cell r="B838" t="str">
            <v/>
          </cell>
          <cell r="C838" t="str">
            <v>KERINGET SPARKLING WATER 1L</v>
          </cell>
          <cell r="D838" t="str">
            <v/>
          </cell>
          <cell r="E838" t="str">
            <v/>
          </cell>
          <cell r="F838" t="str">
            <v>Pcs</v>
          </cell>
          <cell r="G838">
            <v>96</v>
          </cell>
          <cell r="H838" t="str">
            <v/>
          </cell>
          <cell r="I838">
            <v>0</v>
          </cell>
          <cell r="J838">
            <v>96</v>
          </cell>
          <cell r="K838">
            <v>0</v>
          </cell>
          <cell r="L838">
            <v>96.67</v>
          </cell>
          <cell r="M838">
            <v>0</v>
          </cell>
        </row>
        <row r="839">
          <cell r="A839">
            <v>2237</v>
          </cell>
          <cell r="B839" t="str">
            <v/>
          </cell>
          <cell r="C839" t="str">
            <v>MAYERS DRINKING WATER 1LTR</v>
          </cell>
          <cell r="D839" t="str">
            <v/>
          </cell>
          <cell r="E839" t="str">
            <v/>
          </cell>
          <cell r="F839" t="str">
            <v>Pcs</v>
          </cell>
          <cell r="G839">
            <v>0</v>
          </cell>
          <cell r="H839" t="str">
            <v/>
          </cell>
          <cell r="I839">
            <v>0</v>
          </cell>
          <cell r="J839">
            <v>0</v>
          </cell>
          <cell r="K839">
            <v>0</v>
          </cell>
          <cell r="L839">
            <v>58</v>
          </cell>
          <cell r="M839">
            <v>0</v>
          </cell>
        </row>
        <row r="840">
          <cell r="A840">
            <v>2348</v>
          </cell>
          <cell r="B840" t="str">
            <v/>
          </cell>
          <cell r="C840" t="str">
            <v>MAYERS SPARKLING 1LTR</v>
          </cell>
          <cell r="D840" t="str">
            <v/>
          </cell>
          <cell r="E840" t="str">
            <v/>
          </cell>
          <cell r="F840" t="str">
            <v>Pcs</v>
          </cell>
          <cell r="G840">
            <v>0</v>
          </cell>
          <cell r="H840" t="str">
            <v/>
          </cell>
          <cell r="I840">
            <v>0</v>
          </cell>
          <cell r="J840">
            <v>0</v>
          </cell>
          <cell r="K840">
            <v>0</v>
          </cell>
          <cell r="L840">
            <v>110</v>
          </cell>
          <cell r="M840">
            <v>0</v>
          </cell>
        </row>
        <row r="841">
          <cell r="A841">
            <v>1850</v>
          </cell>
          <cell r="B841" t="str">
            <v/>
          </cell>
          <cell r="C841" t="str">
            <v>SODA WATER 500ML</v>
          </cell>
          <cell r="D841" t="str">
            <v/>
          </cell>
          <cell r="E841" t="str">
            <v/>
          </cell>
          <cell r="F841" t="str">
            <v>Pcs</v>
          </cell>
          <cell r="G841">
            <v>0</v>
          </cell>
          <cell r="H841" t="str">
            <v/>
          </cell>
          <cell r="I841">
            <v>240</v>
          </cell>
          <cell r="J841">
            <v>120</v>
          </cell>
          <cell r="K841">
            <v>120</v>
          </cell>
          <cell r="L841">
            <v>66.67</v>
          </cell>
          <cell r="M841">
            <v>8000.4</v>
          </cell>
        </row>
        <row r="842">
          <cell r="A842">
            <v>1727</v>
          </cell>
          <cell r="B842" t="str">
            <v/>
          </cell>
          <cell r="C842" t="str">
            <v>S. PELLEGRINO 750ML</v>
          </cell>
          <cell r="D842" t="str">
            <v/>
          </cell>
          <cell r="E842" t="str">
            <v/>
          </cell>
          <cell r="F842" t="str">
            <v>Pcs</v>
          </cell>
          <cell r="G842">
            <v>0</v>
          </cell>
          <cell r="H842" t="str">
            <v/>
          </cell>
          <cell r="I842">
            <v>0</v>
          </cell>
          <cell r="J842">
            <v>0</v>
          </cell>
          <cell r="K842">
            <v>0</v>
          </cell>
          <cell r="L842">
            <v>460</v>
          </cell>
          <cell r="M842">
            <v>0</v>
          </cell>
        </row>
        <row r="843">
          <cell r="A843">
            <v>2008</v>
          </cell>
          <cell r="B843" t="str">
            <v/>
          </cell>
          <cell r="C843" t="str">
            <v>TONIC WATER 500ML</v>
          </cell>
          <cell r="D843" t="str">
            <v/>
          </cell>
          <cell r="E843" t="str">
            <v/>
          </cell>
          <cell r="F843" t="str">
            <v>Pcs</v>
          </cell>
          <cell r="G843">
            <v>0</v>
          </cell>
          <cell r="H843" t="str">
            <v/>
          </cell>
          <cell r="I843">
            <v>726</v>
          </cell>
          <cell r="J843">
            <v>606</v>
          </cell>
          <cell r="K843">
            <v>120</v>
          </cell>
          <cell r="L843">
            <v>66.67</v>
          </cell>
          <cell r="M843">
            <v>8000.4</v>
          </cell>
        </row>
        <row r="844">
          <cell r="B844" t="str">
            <v/>
          </cell>
          <cell r="C844" t="str">
            <v/>
          </cell>
          <cell r="D844" t="str">
            <v>WATER</v>
          </cell>
          <cell r="E844" t="str">
            <v/>
          </cell>
          <cell r="F844" t="str">
            <v/>
          </cell>
          <cell r="G844">
            <v>3180</v>
          </cell>
          <cell r="H844" t="str">
            <v/>
          </cell>
          <cell r="I844">
            <v>3841</v>
          </cell>
          <cell r="J844">
            <v>4482</v>
          </cell>
          <cell r="K844">
            <v>2539</v>
          </cell>
          <cell r="L844" t="str">
            <v/>
          </cell>
          <cell r="M844">
            <v>151371.78</v>
          </cell>
        </row>
        <row r="845">
          <cell r="A845" t="str">
            <v>Class :</v>
          </cell>
          <cell r="B845" t="str">
            <v>WHISKY</v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</row>
        <row r="846">
          <cell r="A846">
            <v>2859</v>
          </cell>
          <cell r="B846" t="str">
            <v/>
          </cell>
          <cell r="C846" t="str">
            <v>100 Strokes Whisky 375ML</v>
          </cell>
          <cell r="D846" t="str">
            <v/>
          </cell>
          <cell r="E846" t="str">
            <v/>
          </cell>
          <cell r="F846" t="str">
            <v>Pcs</v>
          </cell>
          <cell r="G846">
            <v>0</v>
          </cell>
          <cell r="H846" t="str">
            <v/>
          </cell>
          <cell r="I846">
            <v>0</v>
          </cell>
          <cell r="J846">
            <v>0</v>
          </cell>
          <cell r="K846">
            <v>0</v>
          </cell>
          <cell r="L846">
            <v>475</v>
          </cell>
          <cell r="M846">
            <v>0</v>
          </cell>
        </row>
        <row r="847">
          <cell r="A847">
            <v>2858</v>
          </cell>
          <cell r="B847" t="str">
            <v/>
          </cell>
          <cell r="C847" t="str">
            <v>100 Strokes Whisky 750ML</v>
          </cell>
          <cell r="D847" t="str">
            <v/>
          </cell>
          <cell r="E847" t="str">
            <v/>
          </cell>
          <cell r="F847" t="str">
            <v>Pcs</v>
          </cell>
          <cell r="G847">
            <v>29</v>
          </cell>
          <cell r="H847" t="str">
            <v/>
          </cell>
          <cell r="I847">
            <v>0</v>
          </cell>
          <cell r="J847">
            <v>29</v>
          </cell>
          <cell r="K847">
            <v>0</v>
          </cell>
          <cell r="L847">
            <v>950</v>
          </cell>
          <cell r="M847">
            <v>0</v>
          </cell>
        </row>
        <row r="848">
          <cell r="A848">
            <v>2530</v>
          </cell>
          <cell r="B848" t="str">
            <v/>
          </cell>
          <cell r="C848" t="str">
            <v>44 BLENDED SCOTCH 700ML</v>
          </cell>
          <cell r="D848" t="str">
            <v/>
          </cell>
          <cell r="E848" t="str">
            <v/>
          </cell>
          <cell r="F848" t="str">
            <v>Pcs</v>
          </cell>
          <cell r="G848">
            <v>0</v>
          </cell>
          <cell r="H848" t="str">
            <v/>
          </cell>
          <cell r="I848">
            <v>0</v>
          </cell>
          <cell r="J848">
            <v>0</v>
          </cell>
          <cell r="K848">
            <v>0</v>
          </cell>
          <cell r="L848">
            <v>1470</v>
          </cell>
          <cell r="M848">
            <v>0</v>
          </cell>
        </row>
        <row r="849">
          <cell r="A849">
            <v>2795</v>
          </cell>
          <cell r="B849" t="str">
            <v/>
          </cell>
          <cell r="C849" t="str">
            <v>6TH SENSE LONDON DRY GIN 1 LITRE</v>
          </cell>
          <cell r="D849" t="str">
            <v/>
          </cell>
          <cell r="E849" t="str">
            <v/>
          </cell>
          <cell r="F849" t="str">
            <v>Pcs</v>
          </cell>
          <cell r="G849">
            <v>830</v>
          </cell>
          <cell r="H849" t="str">
            <v/>
          </cell>
          <cell r="I849">
            <v>0</v>
          </cell>
          <cell r="J849">
            <v>0</v>
          </cell>
          <cell r="K849">
            <v>830</v>
          </cell>
          <cell r="L849">
            <v>1200</v>
          </cell>
          <cell r="M849">
            <v>996000</v>
          </cell>
        </row>
        <row r="850">
          <cell r="A850">
            <v>30</v>
          </cell>
          <cell r="B850" t="str">
            <v/>
          </cell>
          <cell r="C850" t="str">
            <v>8PM BLENDED WHISKY 1LTR</v>
          </cell>
          <cell r="D850" t="str">
            <v/>
          </cell>
          <cell r="E850" t="str">
            <v/>
          </cell>
          <cell r="F850" t="str">
            <v>Pcs</v>
          </cell>
          <cell r="G850">
            <v>0</v>
          </cell>
          <cell r="H850" t="str">
            <v/>
          </cell>
          <cell r="I850">
            <v>0</v>
          </cell>
          <cell r="J850">
            <v>0</v>
          </cell>
          <cell r="K850">
            <v>0</v>
          </cell>
          <cell r="L850">
            <v>951</v>
          </cell>
          <cell r="M850">
            <v>0</v>
          </cell>
        </row>
        <row r="851">
          <cell r="A851">
            <v>31</v>
          </cell>
          <cell r="B851" t="str">
            <v/>
          </cell>
          <cell r="C851" t="str">
            <v>8PM BLENDED WHISKY 750ML</v>
          </cell>
          <cell r="D851" t="str">
            <v/>
          </cell>
          <cell r="E851" t="str">
            <v/>
          </cell>
          <cell r="F851" t="str">
            <v>Pcs</v>
          </cell>
          <cell r="G851">
            <v>0</v>
          </cell>
          <cell r="H851" t="str">
            <v/>
          </cell>
          <cell r="I851">
            <v>0</v>
          </cell>
          <cell r="J851">
            <v>0</v>
          </cell>
          <cell r="K851">
            <v>0</v>
          </cell>
          <cell r="L851">
            <v>743</v>
          </cell>
          <cell r="M851">
            <v>0</v>
          </cell>
        </row>
        <row r="852">
          <cell r="A852">
            <v>27</v>
          </cell>
          <cell r="B852" t="str">
            <v/>
          </cell>
          <cell r="C852" t="str">
            <v>8PM BLENDED WHISKY FIRE 750ML</v>
          </cell>
          <cell r="D852" t="str">
            <v/>
          </cell>
          <cell r="E852" t="str">
            <v/>
          </cell>
          <cell r="F852" t="str">
            <v>Pcs</v>
          </cell>
          <cell r="G852">
            <v>6</v>
          </cell>
          <cell r="H852" t="str">
            <v/>
          </cell>
          <cell r="I852">
            <v>0</v>
          </cell>
          <cell r="J852">
            <v>6</v>
          </cell>
          <cell r="K852">
            <v>0</v>
          </cell>
          <cell r="L852">
            <v>990</v>
          </cell>
          <cell r="M852">
            <v>0</v>
          </cell>
        </row>
        <row r="853">
          <cell r="A853">
            <v>28</v>
          </cell>
          <cell r="B853" t="str">
            <v/>
          </cell>
          <cell r="C853" t="str">
            <v>8PM WHISKY HONEY 750ML</v>
          </cell>
          <cell r="D853" t="str">
            <v/>
          </cell>
          <cell r="E853" t="str">
            <v/>
          </cell>
          <cell r="F853" t="str">
            <v>Pcs</v>
          </cell>
          <cell r="G853">
            <v>6</v>
          </cell>
          <cell r="H853" t="str">
            <v/>
          </cell>
          <cell r="I853">
            <v>0</v>
          </cell>
          <cell r="J853">
            <v>0</v>
          </cell>
          <cell r="K853">
            <v>6</v>
          </cell>
          <cell r="L853">
            <v>990</v>
          </cell>
          <cell r="M853">
            <v>5940</v>
          </cell>
        </row>
        <row r="854">
          <cell r="A854">
            <v>32</v>
          </cell>
          <cell r="B854" t="str">
            <v/>
          </cell>
          <cell r="C854" t="str">
            <v>ABERFELDY 12YRS WHISKY 750ML</v>
          </cell>
          <cell r="D854" t="str">
            <v/>
          </cell>
          <cell r="E854" t="str">
            <v/>
          </cell>
          <cell r="F854" t="str">
            <v>Pcs</v>
          </cell>
          <cell r="G854">
            <v>0</v>
          </cell>
          <cell r="H854" t="str">
            <v/>
          </cell>
          <cell r="I854">
            <v>0</v>
          </cell>
          <cell r="J854">
            <v>0</v>
          </cell>
          <cell r="K854">
            <v>0</v>
          </cell>
          <cell r="L854">
            <v>8740</v>
          </cell>
          <cell r="M854">
            <v>0</v>
          </cell>
        </row>
        <row r="855">
          <cell r="A855">
            <v>2459</v>
          </cell>
          <cell r="B855" t="str">
            <v/>
          </cell>
          <cell r="C855" t="str">
            <v>ABERLOUR 12YRS DOUBLE CASK LITRE</v>
          </cell>
          <cell r="D855" t="str">
            <v/>
          </cell>
          <cell r="E855" t="str">
            <v/>
          </cell>
          <cell r="F855" t="str">
            <v>Pcs</v>
          </cell>
          <cell r="G855">
            <v>0</v>
          </cell>
          <cell r="H855" t="str">
            <v/>
          </cell>
          <cell r="I855">
            <v>0</v>
          </cell>
          <cell r="J855">
            <v>0</v>
          </cell>
          <cell r="K855">
            <v>0</v>
          </cell>
          <cell r="L855">
            <v>6250</v>
          </cell>
          <cell r="M855">
            <v>0</v>
          </cell>
        </row>
        <row r="856">
          <cell r="A856">
            <v>33</v>
          </cell>
          <cell r="B856" t="str">
            <v/>
          </cell>
          <cell r="C856" t="str">
            <v>ABERLOUR 16 YRS  DOUBLE CASK WHISKY 700ML</v>
          </cell>
          <cell r="D856" t="str">
            <v/>
          </cell>
          <cell r="E856" t="str">
            <v/>
          </cell>
          <cell r="F856" t="str">
            <v>Pcs</v>
          </cell>
          <cell r="G856">
            <v>0</v>
          </cell>
          <cell r="H856" t="str">
            <v/>
          </cell>
          <cell r="I856">
            <v>0</v>
          </cell>
          <cell r="J856">
            <v>0</v>
          </cell>
          <cell r="K856">
            <v>0</v>
          </cell>
          <cell r="L856">
            <v>9600</v>
          </cell>
          <cell r="M856">
            <v>0</v>
          </cell>
        </row>
        <row r="857">
          <cell r="A857">
            <v>2171</v>
          </cell>
          <cell r="B857" t="str">
            <v/>
          </cell>
          <cell r="C857" t="str">
            <v>ABERLOUR SPEYSIDE SINGLE MALT 12YRS 1LTR</v>
          </cell>
          <cell r="D857" t="str">
            <v/>
          </cell>
          <cell r="E857" t="str">
            <v/>
          </cell>
          <cell r="F857" t="str">
            <v>Pcs</v>
          </cell>
          <cell r="G857">
            <v>0</v>
          </cell>
          <cell r="H857" t="str">
            <v/>
          </cell>
          <cell r="I857">
            <v>0</v>
          </cell>
          <cell r="J857">
            <v>0</v>
          </cell>
          <cell r="K857">
            <v>0</v>
          </cell>
          <cell r="L857">
            <v>9400</v>
          </cell>
          <cell r="M857">
            <v>0</v>
          </cell>
        </row>
        <row r="858">
          <cell r="A858">
            <v>2172</v>
          </cell>
          <cell r="B858" t="str">
            <v/>
          </cell>
          <cell r="C858" t="str">
            <v>ABERLOUR SPEYSIDE SINGLE MALT 12YRS 700ML</v>
          </cell>
          <cell r="D858" t="str">
            <v/>
          </cell>
          <cell r="E858" t="str">
            <v/>
          </cell>
          <cell r="F858" t="str">
            <v>Pcs</v>
          </cell>
          <cell r="G858">
            <v>24</v>
          </cell>
          <cell r="H858" t="str">
            <v/>
          </cell>
          <cell r="I858">
            <v>0</v>
          </cell>
          <cell r="J858">
            <v>0</v>
          </cell>
          <cell r="K858">
            <v>24</v>
          </cell>
          <cell r="L858">
            <v>6700</v>
          </cell>
          <cell r="M858">
            <v>160800</v>
          </cell>
        </row>
        <row r="859">
          <cell r="A859">
            <v>78</v>
          </cell>
          <cell r="B859" t="str">
            <v/>
          </cell>
          <cell r="C859" t="str">
            <v>ALL SEASONS 375ML</v>
          </cell>
          <cell r="D859" t="str">
            <v/>
          </cell>
          <cell r="E859" t="str">
            <v/>
          </cell>
          <cell r="F859" t="str">
            <v>Pcs</v>
          </cell>
          <cell r="G859">
            <v>0</v>
          </cell>
          <cell r="H859" t="str">
            <v/>
          </cell>
          <cell r="I859">
            <v>0</v>
          </cell>
          <cell r="J859">
            <v>0</v>
          </cell>
          <cell r="K859">
            <v>0</v>
          </cell>
          <cell r="L859">
            <v>510</v>
          </cell>
          <cell r="M859">
            <v>0</v>
          </cell>
        </row>
        <row r="860">
          <cell r="A860">
            <v>75</v>
          </cell>
          <cell r="B860" t="str">
            <v/>
          </cell>
          <cell r="C860" t="str">
            <v>ALL SEASONS WHISKY 1LTR</v>
          </cell>
          <cell r="D860" t="str">
            <v/>
          </cell>
          <cell r="E860" t="str">
            <v/>
          </cell>
          <cell r="F860" t="str">
            <v>Pcs</v>
          </cell>
          <cell r="G860">
            <v>84</v>
          </cell>
          <cell r="H860" t="str">
            <v/>
          </cell>
          <cell r="I860">
            <v>0</v>
          </cell>
          <cell r="J860">
            <v>84</v>
          </cell>
          <cell r="K860">
            <v>0</v>
          </cell>
          <cell r="L860">
            <v>900</v>
          </cell>
          <cell r="M860">
            <v>0</v>
          </cell>
        </row>
        <row r="861">
          <cell r="A861">
            <v>76</v>
          </cell>
          <cell r="B861" t="str">
            <v/>
          </cell>
          <cell r="C861" t="str">
            <v>ALL SEASONS WHISKY 250ML</v>
          </cell>
          <cell r="D861" t="str">
            <v/>
          </cell>
          <cell r="E861" t="str">
            <v/>
          </cell>
          <cell r="F861" t="str">
            <v>Pcs</v>
          </cell>
          <cell r="G861">
            <v>0</v>
          </cell>
          <cell r="H861" t="str">
            <v/>
          </cell>
          <cell r="I861">
            <v>0</v>
          </cell>
          <cell r="J861">
            <v>0</v>
          </cell>
          <cell r="K861">
            <v>0</v>
          </cell>
          <cell r="L861">
            <v>380</v>
          </cell>
          <cell r="M861">
            <v>0</v>
          </cell>
        </row>
        <row r="862">
          <cell r="A862">
            <v>79</v>
          </cell>
          <cell r="B862" t="str">
            <v/>
          </cell>
          <cell r="C862" t="str">
            <v>ALL SEASONS WHISKY 750ML</v>
          </cell>
          <cell r="D862" t="str">
            <v/>
          </cell>
          <cell r="E862" t="str">
            <v/>
          </cell>
          <cell r="F862" t="str">
            <v>Pcs</v>
          </cell>
          <cell r="G862">
            <v>0</v>
          </cell>
          <cell r="H862" t="str">
            <v/>
          </cell>
          <cell r="I862">
            <v>0</v>
          </cell>
          <cell r="J862">
            <v>0</v>
          </cell>
          <cell r="K862">
            <v>0</v>
          </cell>
          <cell r="L862">
            <v>700</v>
          </cell>
          <cell r="M862">
            <v>0</v>
          </cell>
        </row>
        <row r="863">
          <cell r="A863">
            <v>2871</v>
          </cell>
          <cell r="B863" t="str">
            <v/>
          </cell>
          <cell r="C863" t="str">
            <v>AMRUT SINGLE MALT WHISKY 700ML</v>
          </cell>
          <cell r="D863" t="str">
            <v/>
          </cell>
          <cell r="E863" t="str">
            <v/>
          </cell>
          <cell r="F863" t="str">
            <v>Pcs</v>
          </cell>
          <cell r="G863">
            <v>12</v>
          </cell>
          <cell r="H863" t="str">
            <v/>
          </cell>
          <cell r="I863">
            <v>0</v>
          </cell>
          <cell r="J863">
            <v>0</v>
          </cell>
          <cell r="K863">
            <v>12</v>
          </cell>
          <cell r="L863">
            <v>7899</v>
          </cell>
          <cell r="M863">
            <v>94788</v>
          </cell>
        </row>
        <row r="864">
          <cell r="A864">
            <v>2796</v>
          </cell>
          <cell r="B864" t="str">
            <v/>
          </cell>
          <cell r="C864" t="str">
            <v>ARMAND DE BRIGNAC BRUT GOLD 750ML</v>
          </cell>
          <cell r="D864" t="str">
            <v/>
          </cell>
          <cell r="E864" t="str">
            <v/>
          </cell>
          <cell r="F864" t="str">
            <v>Pcs</v>
          </cell>
          <cell r="G864">
            <v>54</v>
          </cell>
          <cell r="H864" t="str">
            <v/>
          </cell>
          <cell r="I864">
            <v>0</v>
          </cell>
          <cell r="J864">
            <v>0</v>
          </cell>
          <cell r="K864">
            <v>54</v>
          </cell>
          <cell r="L864">
            <v>26500</v>
          </cell>
          <cell r="M864">
            <v>1431000</v>
          </cell>
        </row>
        <row r="865">
          <cell r="A865">
            <v>2258</v>
          </cell>
          <cell r="B865" t="str">
            <v/>
          </cell>
          <cell r="C865" t="str">
            <v>AUCHENTOSHAN 12YRS 700ML</v>
          </cell>
          <cell r="D865" t="str">
            <v/>
          </cell>
          <cell r="E865" t="str">
            <v/>
          </cell>
          <cell r="F865" t="str">
            <v>Pcs</v>
          </cell>
          <cell r="G865">
            <v>12</v>
          </cell>
          <cell r="H865" t="str">
            <v/>
          </cell>
          <cell r="I865">
            <v>0</v>
          </cell>
          <cell r="J865">
            <v>0</v>
          </cell>
          <cell r="K865">
            <v>12</v>
          </cell>
          <cell r="L865">
            <v>7000</v>
          </cell>
          <cell r="M865">
            <v>84000</v>
          </cell>
        </row>
        <row r="866">
          <cell r="A866">
            <v>2259</v>
          </cell>
          <cell r="B866" t="str">
            <v/>
          </cell>
          <cell r="C866" t="str">
            <v>AUCHENTOSHAN AMERICAN  OAK 700ML</v>
          </cell>
          <cell r="D866" t="str">
            <v/>
          </cell>
          <cell r="E866" t="str">
            <v/>
          </cell>
          <cell r="F866" t="str">
            <v>Pcs</v>
          </cell>
          <cell r="G866">
            <v>6</v>
          </cell>
          <cell r="H866" t="str">
            <v/>
          </cell>
          <cell r="I866">
            <v>0</v>
          </cell>
          <cell r="J866">
            <v>0</v>
          </cell>
          <cell r="K866">
            <v>6</v>
          </cell>
          <cell r="L866">
            <v>6700</v>
          </cell>
          <cell r="M866">
            <v>40200</v>
          </cell>
        </row>
        <row r="867">
          <cell r="A867">
            <v>131</v>
          </cell>
          <cell r="B867" t="str">
            <v/>
          </cell>
          <cell r="C867" t="str">
            <v>AUCHENTOSHAN WHISKY 750ML</v>
          </cell>
          <cell r="D867" t="str">
            <v/>
          </cell>
          <cell r="E867" t="str">
            <v/>
          </cell>
          <cell r="F867" t="str">
            <v>Pcs</v>
          </cell>
          <cell r="G867">
            <v>0</v>
          </cell>
          <cell r="H867" t="str">
            <v/>
          </cell>
          <cell r="I867">
            <v>0</v>
          </cell>
          <cell r="J867">
            <v>0</v>
          </cell>
          <cell r="K867">
            <v>0</v>
          </cell>
          <cell r="L867">
            <v>6900</v>
          </cell>
          <cell r="M867">
            <v>0</v>
          </cell>
        </row>
        <row r="868">
          <cell r="A868">
            <v>2875</v>
          </cell>
          <cell r="B868" t="str">
            <v/>
          </cell>
          <cell r="C868" t="str">
            <v>AVALON PREMIUM WHISKY 250ML</v>
          </cell>
          <cell r="D868" t="str">
            <v/>
          </cell>
          <cell r="E868" t="str">
            <v/>
          </cell>
          <cell r="F868" t="str">
            <v>Pcs</v>
          </cell>
          <cell r="G868">
            <v>0</v>
          </cell>
          <cell r="H868" t="str">
            <v/>
          </cell>
          <cell r="I868">
            <v>720</v>
          </cell>
          <cell r="J868">
            <v>48</v>
          </cell>
          <cell r="K868">
            <v>672</v>
          </cell>
          <cell r="L868">
            <v>200</v>
          </cell>
          <cell r="M868">
            <v>134400</v>
          </cell>
        </row>
        <row r="869">
          <cell r="A869">
            <v>2877</v>
          </cell>
          <cell r="B869" t="str">
            <v/>
          </cell>
          <cell r="C869" t="str">
            <v>AVALON PREMIUM WHISKY 750ML</v>
          </cell>
          <cell r="D869" t="str">
            <v/>
          </cell>
          <cell r="E869" t="str">
            <v/>
          </cell>
          <cell r="F869" t="str">
            <v>Pcs</v>
          </cell>
          <cell r="G869">
            <v>0</v>
          </cell>
          <cell r="H869" t="str">
            <v/>
          </cell>
          <cell r="I869">
            <v>60</v>
          </cell>
          <cell r="J869">
            <v>24</v>
          </cell>
          <cell r="K869">
            <v>36</v>
          </cell>
          <cell r="L869">
            <v>708.33</v>
          </cell>
          <cell r="M869">
            <v>25499.88</v>
          </cell>
        </row>
        <row r="870">
          <cell r="A870">
            <v>2575</v>
          </cell>
          <cell r="B870" t="str">
            <v/>
          </cell>
          <cell r="C870" t="str">
            <v>BALLANTINE BRASIL 750ML</v>
          </cell>
          <cell r="D870" t="str">
            <v/>
          </cell>
          <cell r="E870" t="str">
            <v/>
          </cell>
          <cell r="F870" t="str">
            <v>Pcs</v>
          </cell>
          <cell r="G870">
            <v>12</v>
          </cell>
          <cell r="H870" t="str">
            <v/>
          </cell>
          <cell r="I870">
            <v>0</v>
          </cell>
          <cell r="J870">
            <v>0</v>
          </cell>
          <cell r="K870">
            <v>12</v>
          </cell>
          <cell r="L870">
            <v>1520</v>
          </cell>
          <cell r="M870">
            <v>18240</v>
          </cell>
        </row>
        <row r="871">
          <cell r="A871">
            <v>169</v>
          </cell>
          <cell r="B871" t="str">
            <v/>
          </cell>
          <cell r="C871" t="str">
            <v>BALLANTINES 375ML</v>
          </cell>
          <cell r="D871" t="str">
            <v/>
          </cell>
          <cell r="E871" t="str">
            <v/>
          </cell>
          <cell r="F871" t="str">
            <v>Pcs</v>
          </cell>
          <cell r="G871">
            <v>0</v>
          </cell>
          <cell r="H871" t="str">
            <v/>
          </cell>
          <cell r="I871">
            <v>0</v>
          </cell>
          <cell r="J871">
            <v>0</v>
          </cell>
          <cell r="K871">
            <v>0</v>
          </cell>
          <cell r="L871">
            <v>920</v>
          </cell>
          <cell r="M871">
            <v>0</v>
          </cell>
        </row>
        <row r="872">
          <cell r="A872">
            <v>162</v>
          </cell>
          <cell r="B872" t="str">
            <v/>
          </cell>
          <cell r="C872" t="str">
            <v>BALLANTINE'S FINEST 21YRS WHISKY 700ML</v>
          </cell>
          <cell r="D872" t="str">
            <v/>
          </cell>
          <cell r="E872" t="str">
            <v/>
          </cell>
          <cell r="F872" t="str">
            <v>Pcs</v>
          </cell>
          <cell r="G872">
            <v>0</v>
          </cell>
          <cell r="H872" t="str">
            <v/>
          </cell>
          <cell r="I872">
            <v>0</v>
          </cell>
          <cell r="J872">
            <v>0</v>
          </cell>
          <cell r="K872">
            <v>0</v>
          </cell>
          <cell r="L872">
            <v>7820</v>
          </cell>
          <cell r="M872">
            <v>0</v>
          </cell>
        </row>
        <row r="873">
          <cell r="A873">
            <v>166</v>
          </cell>
          <cell r="B873" t="str">
            <v/>
          </cell>
          <cell r="C873" t="str">
            <v>BALLANTINES FINEST WHISKY 12YRS 750ml</v>
          </cell>
          <cell r="D873" t="str">
            <v/>
          </cell>
          <cell r="E873" t="str">
            <v/>
          </cell>
          <cell r="F873" t="str">
            <v>Pcs</v>
          </cell>
          <cell r="G873">
            <v>175</v>
          </cell>
          <cell r="H873" t="str">
            <v/>
          </cell>
          <cell r="I873">
            <v>0</v>
          </cell>
          <cell r="J873">
            <v>0</v>
          </cell>
          <cell r="K873">
            <v>175</v>
          </cell>
          <cell r="L873">
            <v>1850</v>
          </cell>
          <cell r="M873">
            <v>323750</v>
          </cell>
        </row>
        <row r="874">
          <cell r="A874">
            <v>167</v>
          </cell>
          <cell r="B874" t="str">
            <v/>
          </cell>
          <cell r="C874" t="str">
            <v>BALLANTINES FINEST WHISKY 1LTR</v>
          </cell>
          <cell r="D874" t="str">
            <v/>
          </cell>
          <cell r="E874" t="str">
            <v/>
          </cell>
          <cell r="F874" t="str">
            <v>Pcs</v>
          </cell>
          <cell r="G874">
            <v>60</v>
          </cell>
          <cell r="H874" t="str">
            <v/>
          </cell>
          <cell r="I874">
            <v>0</v>
          </cell>
          <cell r="J874">
            <v>60</v>
          </cell>
          <cell r="K874">
            <v>0</v>
          </cell>
          <cell r="L874">
            <v>2100</v>
          </cell>
          <cell r="M874">
            <v>0</v>
          </cell>
        </row>
        <row r="875">
          <cell r="A875">
            <v>168</v>
          </cell>
          <cell r="B875" t="str">
            <v/>
          </cell>
          <cell r="C875" t="str">
            <v>BALLANTINES FINEST WHISKY 750ml</v>
          </cell>
          <cell r="D875" t="str">
            <v/>
          </cell>
          <cell r="E875" t="str">
            <v/>
          </cell>
          <cell r="F875" t="str">
            <v>Pcs</v>
          </cell>
          <cell r="G875">
            <v>0</v>
          </cell>
          <cell r="H875" t="str">
            <v/>
          </cell>
          <cell r="I875">
            <v>0</v>
          </cell>
          <cell r="J875">
            <v>0</v>
          </cell>
          <cell r="K875">
            <v>0</v>
          </cell>
          <cell r="L875">
            <v>1753.22</v>
          </cell>
          <cell r="M875">
            <v>0</v>
          </cell>
        </row>
        <row r="876">
          <cell r="A876">
            <v>203</v>
          </cell>
          <cell r="B876" t="str">
            <v/>
          </cell>
          <cell r="C876" t="str">
            <v>BELLS 750ML</v>
          </cell>
          <cell r="D876" t="str">
            <v/>
          </cell>
          <cell r="E876" t="str">
            <v/>
          </cell>
          <cell r="F876" t="str">
            <v>Pcs</v>
          </cell>
          <cell r="G876">
            <v>36</v>
          </cell>
          <cell r="H876" t="str">
            <v/>
          </cell>
          <cell r="I876">
            <v>0</v>
          </cell>
          <cell r="J876">
            <v>0</v>
          </cell>
          <cell r="K876">
            <v>36</v>
          </cell>
          <cell r="L876">
            <v>1196</v>
          </cell>
          <cell r="M876">
            <v>43056</v>
          </cell>
        </row>
        <row r="877">
          <cell r="A877">
            <v>222</v>
          </cell>
          <cell r="B877" t="str">
            <v/>
          </cell>
          <cell r="C877" t="str">
            <v>BEST WHISKY 250ML</v>
          </cell>
          <cell r="D877" t="str">
            <v/>
          </cell>
          <cell r="E877" t="str">
            <v/>
          </cell>
          <cell r="F877" t="str">
            <v>Pcs</v>
          </cell>
          <cell r="G877">
            <v>0</v>
          </cell>
          <cell r="H877" t="str">
            <v/>
          </cell>
          <cell r="I877">
            <v>0</v>
          </cell>
          <cell r="J877">
            <v>0</v>
          </cell>
          <cell r="K877">
            <v>0</v>
          </cell>
          <cell r="L877">
            <v>300</v>
          </cell>
          <cell r="M877">
            <v>0</v>
          </cell>
        </row>
        <row r="878">
          <cell r="A878">
            <v>223</v>
          </cell>
          <cell r="B878" t="str">
            <v/>
          </cell>
          <cell r="C878" t="str">
            <v>BEST WHISKY 750ML</v>
          </cell>
          <cell r="D878" t="str">
            <v/>
          </cell>
          <cell r="E878" t="str">
            <v/>
          </cell>
          <cell r="F878" t="str">
            <v>Pcs</v>
          </cell>
          <cell r="G878">
            <v>684</v>
          </cell>
          <cell r="H878" t="str">
            <v/>
          </cell>
          <cell r="I878">
            <v>0</v>
          </cell>
          <cell r="J878">
            <v>60</v>
          </cell>
          <cell r="K878">
            <v>624</v>
          </cell>
          <cell r="L878">
            <v>885</v>
          </cell>
          <cell r="M878">
            <v>552240</v>
          </cell>
        </row>
        <row r="879">
          <cell r="A879">
            <v>2794</v>
          </cell>
          <cell r="B879" t="str">
            <v/>
          </cell>
          <cell r="C879" t="str">
            <v>BLACK RAM APPLE 1 LITRE</v>
          </cell>
          <cell r="D879" t="str">
            <v/>
          </cell>
          <cell r="E879" t="str">
            <v/>
          </cell>
          <cell r="F879" t="str">
            <v>Pcs</v>
          </cell>
          <cell r="G879">
            <v>2183</v>
          </cell>
          <cell r="H879" t="str">
            <v/>
          </cell>
          <cell r="I879">
            <v>0</v>
          </cell>
          <cell r="J879">
            <v>8</v>
          </cell>
          <cell r="K879">
            <v>2175</v>
          </cell>
          <cell r="L879">
            <v>1000</v>
          </cell>
          <cell r="M879">
            <v>2175000</v>
          </cell>
        </row>
        <row r="880">
          <cell r="A880">
            <v>2791</v>
          </cell>
          <cell r="B880" t="str">
            <v/>
          </cell>
          <cell r="C880" t="str">
            <v>BLACK RAM BOURBON FINISH 1 LITRE</v>
          </cell>
          <cell r="D880" t="str">
            <v/>
          </cell>
          <cell r="E880" t="str">
            <v/>
          </cell>
          <cell r="F880" t="str">
            <v>Pcs</v>
          </cell>
          <cell r="G880">
            <v>125</v>
          </cell>
          <cell r="H880" t="str">
            <v/>
          </cell>
          <cell r="I880">
            <v>0</v>
          </cell>
          <cell r="J880">
            <v>125</v>
          </cell>
          <cell r="K880">
            <v>0</v>
          </cell>
          <cell r="L880">
            <v>1000</v>
          </cell>
          <cell r="M880">
            <v>0</v>
          </cell>
        </row>
        <row r="881">
          <cell r="A881">
            <v>2792</v>
          </cell>
          <cell r="B881" t="str">
            <v/>
          </cell>
          <cell r="C881" t="str">
            <v>BLACK RAM BOURBON FINISH 700 ML</v>
          </cell>
          <cell r="D881" t="str">
            <v/>
          </cell>
          <cell r="E881" t="str">
            <v/>
          </cell>
          <cell r="F881" t="str">
            <v>Pcs</v>
          </cell>
          <cell r="G881">
            <v>706</v>
          </cell>
          <cell r="H881" t="str">
            <v/>
          </cell>
          <cell r="I881">
            <v>3</v>
          </cell>
          <cell r="J881">
            <v>36</v>
          </cell>
          <cell r="K881">
            <v>673</v>
          </cell>
          <cell r="L881">
            <v>900</v>
          </cell>
          <cell r="M881">
            <v>605700</v>
          </cell>
        </row>
        <row r="882">
          <cell r="A882">
            <v>2793</v>
          </cell>
          <cell r="B882" t="str">
            <v/>
          </cell>
          <cell r="C882" t="str">
            <v>BLACK RAM HONEY 1 LITRE</v>
          </cell>
          <cell r="D882" t="str">
            <v/>
          </cell>
          <cell r="E882" t="str">
            <v/>
          </cell>
          <cell r="F882" t="str">
            <v>Pcs</v>
          </cell>
          <cell r="G882">
            <v>1008</v>
          </cell>
          <cell r="H882" t="str">
            <v/>
          </cell>
          <cell r="I882">
            <v>0</v>
          </cell>
          <cell r="J882">
            <v>6</v>
          </cell>
          <cell r="K882">
            <v>1002</v>
          </cell>
          <cell r="L882">
            <v>1000</v>
          </cell>
          <cell r="M882">
            <v>1002000</v>
          </cell>
        </row>
        <row r="883">
          <cell r="A883">
            <v>236</v>
          </cell>
          <cell r="B883" t="str">
            <v/>
          </cell>
          <cell r="C883" t="str">
            <v>BLACK RAM WHISKY 1LTR</v>
          </cell>
          <cell r="D883" t="str">
            <v/>
          </cell>
          <cell r="E883" t="str">
            <v/>
          </cell>
          <cell r="F883" t="str">
            <v>Pcs</v>
          </cell>
          <cell r="G883">
            <v>4648</v>
          </cell>
          <cell r="H883" t="str">
            <v/>
          </cell>
          <cell r="I883">
            <v>0</v>
          </cell>
          <cell r="J883">
            <v>42</v>
          </cell>
          <cell r="K883">
            <v>4606</v>
          </cell>
          <cell r="L883">
            <v>1000</v>
          </cell>
          <cell r="M883">
            <v>4606000</v>
          </cell>
        </row>
        <row r="884">
          <cell r="A884">
            <v>237</v>
          </cell>
          <cell r="B884" t="str">
            <v/>
          </cell>
          <cell r="C884" t="str">
            <v>BLACK RAM WHISKY 700ML</v>
          </cell>
          <cell r="D884" t="str">
            <v/>
          </cell>
          <cell r="E884" t="str">
            <v/>
          </cell>
          <cell r="F884" t="str">
            <v>Pcs</v>
          </cell>
          <cell r="G884">
            <v>865</v>
          </cell>
          <cell r="H884" t="str">
            <v/>
          </cell>
          <cell r="I884">
            <v>0</v>
          </cell>
          <cell r="J884">
            <v>12</v>
          </cell>
          <cell r="K884">
            <v>853</v>
          </cell>
          <cell r="L884">
            <v>900</v>
          </cell>
          <cell r="M884">
            <v>767700</v>
          </cell>
        </row>
        <row r="885">
          <cell r="A885">
            <v>238</v>
          </cell>
          <cell r="B885" t="str">
            <v/>
          </cell>
          <cell r="C885" t="str">
            <v>BLACK RAM WHISKY HONEY 700ML</v>
          </cell>
          <cell r="D885" t="str">
            <v/>
          </cell>
          <cell r="E885" t="str">
            <v/>
          </cell>
          <cell r="F885" t="str">
            <v>Pcs</v>
          </cell>
          <cell r="G885">
            <v>90</v>
          </cell>
          <cell r="H885" t="str">
            <v/>
          </cell>
          <cell r="I885">
            <v>0</v>
          </cell>
          <cell r="J885">
            <v>6</v>
          </cell>
          <cell r="K885">
            <v>84</v>
          </cell>
          <cell r="L885">
            <v>900</v>
          </cell>
          <cell r="M885">
            <v>75600</v>
          </cell>
        </row>
        <row r="886">
          <cell r="A886">
            <v>229</v>
          </cell>
          <cell r="B886" t="str">
            <v/>
          </cell>
          <cell r="C886" t="str">
            <v>BLACK &amp; WHITE WHISKY 1LTR</v>
          </cell>
          <cell r="D886" t="str">
            <v/>
          </cell>
          <cell r="E886" t="str">
            <v/>
          </cell>
          <cell r="F886" t="str">
            <v>Pcs</v>
          </cell>
          <cell r="G886">
            <v>408</v>
          </cell>
          <cell r="H886" t="str">
            <v/>
          </cell>
          <cell r="I886">
            <v>0</v>
          </cell>
          <cell r="J886">
            <v>228</v>
          </cell>
          <cell r="K886">
            <v>180</v>
          </cell>
          <cell r="L886">
            <v>1000</v>
          </cell>
          <cell r="M886">
            <v>180000</v>
          </cell>
        </row>
        <row r="887">
          <cell r="A887">
            <v>231</v>
          </cell>
          <cell r="B887" t="str">
            <v/>
          </cell>
          <cell r="C887" t="str">
            <v>BLACK &amp; WHITE WHISKY 375ML</v>
          </cell>
          <cell r="D887" t="str">
            <v/>
          </cell>
          <cell r="E887" t="str">
            <v/>
          </cell>
          <cell r="F887" t="str">
            <v>Pcs</v>
          </cell>
          <cell r="G887">
            <v>0</v>
          </cell>
          <cell r="H887" t="str">
            <v/>
          </cell>
          <cell r="I887">
            <v>0</v>
          </cell>
          <cell r="J887">
            <v>0</v>
          </cell>
          <cell r="K887">
            <v>0</v>
          </cell>
          <cell r="L887">
            <v>548</v>
          </cell>
          <cell r="M887">
            <v>0</v>
          </cell>
        </row>
        <row r="888">
          <cell r="A888">
            <v>232</v>
          </cell>
          <cell r="B888" t="str">
            <v/>
          </cell>
          <cell r="C888" t="str">
            <v>BLACK &amp; WHITE WHISKY 750ML</v>
          </cell>
          <cell r="D888" t="str">
            <v/>
          </cell>
          <cell r="E888" t="str">
            <v/>
          </cell>
          <cell r="F888" t="str">
            <v>Pcs</v>
          </cell>
          <cell r="G888">
            <v>12</v>
          </cell>
          <cell r="H888" t="str">
            <v/>
          </cell>
          <cell r="I888">
            <v>0</v>
          </cell>
          <cell r="J888">
            <v>12</v>
          </cell>
          <cell r="K888">
            <v>0</v>
          </cell>
          <cell r="L888">
            <v>1096.7</v>
          </cell>
          <cell r="M888">
            <v>0</v>
          </cell>
        </row>
        <row r="889">
          <cell r="A889">
            <v>2515</v>
          </cell>
          <cell r="B889" t="str">
            <v/>
          </cell>
          <cell r="C889" t="str">
            <v>BLUE WARRIOR WHISY LITRE</v>
          </cell>
          <cell r="D889" t="str">
            <v/>
          </cell>
          <cell r="E889" t="str">
            <v/>
          </cell>
          <cell r="F889" t="str">
            <v>Pcs</v>
          </cell>
          <cell r="G889">
            <v>1862</v>
          </cell>
          <cell r="H889" t="str">
            <v/>
          </cell>
          <cell r="I889">
            <v>0</v>
          </cell>
          <cell r="J889">
            <v>12</v>
          </cell>
          <cell r="K889">
            <v>1850</v>
          </cell>
          <cell r="L889">
            <v>1245</v>
          </cell>
          <cell r="M889">
            <v>2303250</v>
          </cell>
        </row>
        <row r="890">
          <cell r="A890">
            <v>267</v>
          </cell>
          <cell r="B890" t="str">
            <v/>
          </cell>
          <cell r="C890" t="str">
            <v>BOND 7 250 ML</v>
          </cell>
          <cell r="D890" t="str">
            <v/>
          </cell>
          <cell r="E890" t="str">
            <v/>
          </cell>
          <cell r="F890" t="str">
            <v>Pcs</v>
          </cell>
          <cell r="G890">
            <v>320</v>
          </cell>
          <cell r="H890" t="str">
            <v/>
          </cell>
          <cell r="I890">
            <v>600</v>
          </cell>
          <cell r="J890">
            <v>80</v>
          </cell>
          <cell r="K890">
            <v>840</v>
          </cell>
          <cell r="L890">
            <v>410.8</v>
          </cell>
          <cell r="M890">
            <v>345072</v>
          </cell>
        </row>
        <row r="891">
          <cell r="A891">
            <v>268</v>
          </cell>
          <cell r="B891" t="str">
            <v/>
          </cell>
          <cell r="C891" t="str">
            <v>BOND 7 350 ML</v>
          </cell>
          <cell r="D891" t="str">
            <v/>
          </cell>
          <cell r="E891" t="str">
            <v/>
          </cell>
          <cell r="F891" t="str">
            <v>Pcs</v>
          </cell>
          <cell r="G891">
            <v>72</v>
          </cell>
          <cell r="H891" t="str">
            <v/>
          </cell>
          <cell r="I891">
            <v>360</v>
          </cell>
          <cell r="J891">
            <v>72</v>
          </cell>
          <cell r="K891">
            <v>360</v>
          </cell>
          <cell r="L891">
            <v>563.95</v>
          </cell>
          <cell r="M891">
            <v>203022</v>
          </cell>
        </row>
        <row r="892">
          <cell r="A892">
            <v>269</v>
          </cell>
          <cell r="B892" t="str">
            <v/>
          </cell>
          <cell r="C892" t="str">
            <v>BOND 7 750 ML</v>
          </cell>
          <cell r="D892" t="str">
            <v/>
          </cell>
          <cell r="E892" t="str">
            <v/>
          </cell>
          <cell r="F892" t="str">
            <v>Pcs</v>
          </cell>
          <cell r="G892">
            <v>132</v>
          </cell>
          <cell r="H892" t="str">
            <v/>
          </cell>
          <cell r="I892">
            <v>180</v>
          </cell>
          <cell r="J892">
            <v>24</v>
          </cell>
          <cell r="K892">
            <v>288</v>
          </cell>
          <cell r="L892">
            <v>1223.98</v>
          </cell>
          <cell r="M892">
            <v>352506.24</v>
          </cell>
        </row>
        <row r="893">
          <cell r="A893">
            <v>273</v>
          </cell>
          <cell r="B893" t="str">
            <v/>
          </cell>
          <cell r="C893" t="str">
            <v>BOWMORE 10YRS 1LTR</v>
          </cell>
          <cell r="D893" t="str">
            <v/>
          </cell>
          <cell r="E893" t="str">
            <v/>
          </cell>
          <cell r="F893" t="str">
            <v>Pcs</v>
          </cell>
          <cell r="G893">
            <v>38</v>
          </cell>
          <cell r="H893" t="str">
            <v/>
          </cell>
          <cell r="I893">
            <v>0</v>
          </cell>
          <cell r="J893">
            <v>0</v>
          </cell>
          <cell r="K893">
            <v>38</v>
          </cell>
          <cell r="L893">
            <v>7550</v>
          </cell>
          <cell r="M893">
            <v>286900</v>
          </cell>
        </row>
        <row r="894">
          <cell r="A894">
            <v>274</v>
          </cell>
          <cell r="B894" t="str">
            <v/>
          </cell>
          <cell r="C894" t="str">
            <v>BOWMORE 12YRS WHISKY 700ML </v>
          </cell>
          <cell r="D894" t="str">
            <v/>
          </cell>
          <cell r="E894" t="str">
            <v/>
          </cell>
          <cell r="F894" t="str">
            <v>Pcs</v>
          </cell>
          <cell r="G894">
            <v>9</v>
          </cell>
          <cell r="H894" t="str">
            <v/>
          </cell>
          <cell r="I894">
            <v>0</v>
          </cell>
          <cell r="J894">
            <v>0</v>
          </cell>
          <cell r="K894">
            <v>9</v>
          </cell>
          <cell r="L894">
            <v>4600</v>
          </cell>
          <cell r="M894">
            <v>41400</v>
          </cell>
        </row>
        <row r="895">
          <cell r="A895">
            <v>275</v>
          </cell>
          <cell r="B895" t="str">
            <v/>
          </cell>
          <cell r="C895" t="str">
            <v>BOWMORE 18YRS WHISKY 700ML</v>
          </cell>
          <cell r="D895" t="str">
            <v/>
          </cell>
          <cell r="E895" t="str">
            <v/>
          </cell>
          <cell r="F895" t="str">
            <v>Pcs</v>
          </cell>
          <cell r="G895">
            <v>15</v>
          </cell>
          <cell r="H895" t="str">
            <v/>
          </cell>
          <cell r="I895">
            <v>0</v>
          </cell>
          <cell r="J895">
            <v>0</v>
          </cell>
          <cell r="K895">
            <v>15</v>
          </cell>
          <cell r="L895">
            <v>9200</v>
          </cell>
          <cell r="M895">
            <v>138000</v>
          </cell>
        </row>
        <row r="896">
          <cell r="A896">
            <v>300</v>
          </cell>
          <cell r="B896" t="str">
            <v/>
          </cell>
          <cell r="C896" t="str">
            <v>BUFFALO TRACE BOURBON WHISKY 750ML</v>
          </cell>
          <cell r="D896" t="str">
            <v/>
          </cell>
          <cell r="E896" t="str">
            <v/>
          </cell>
          <cell r="F896" t="str">
            <v>Pcs</v>
          </cell>
          <cell r="G896">
            <v>0</v>
          </cell>
          <cell r="H896" t="str">
            <v/>
          </cell>
          <cell r="I896">
            <v>0</v>
          </cell>
          <cell r="J896">
            <v>0</v>
          </cell>
          <cell r="K896">
            <v>0</v>
          </cell>
          <cell r="L896">
            <v>2668</v>
          </cell>
          <cell r="M896">
            <v>0</v>
          </cell>
        </row>
        <row r="897">
          <cell r="A897">
            <v>301</v>
          </cell>
          <cell r="B897" t="str">
            <v/>
          </cell>
          <cell r="C897" t="str">
            <v>BUFFALO TRACE WHISKY 1LTR</v>
          </cell>
          <cell r="D897" t="str">
            <v/>
          </cell>
          <cell r="E897" t="str">
            <v/>
          </cell>
          <cell r="F897" t="str">
            <v>Pcs</v>
          </cell>
          <cell r="G897">
            <v>0</v>
          </cell>
          <cell r="H897" t="str">
            <v/>
          </cell>
          <cell r="I897">
            <v>0</v>
          </cell>
          <cell r="J897">
            <v>0</v>
          </cell>
          <cell r="K897">
            <v>0</v>
          </cell>
          <cell r="L897">
            <v>3036</v>
          </cell>
          <cell r="M897">
            <v>0</v>
          </cell>
        </row>
        <row r="898">
          <cell r="A898">
            <v>304</v>
          </cell>
          <cell r="B898" t="str">
            <v/>
          </cell>
          <cell r="C898" t="str">
            <v>BULLEIT BOURBON FRONTIER WHISKY 1LTR</v>
          </cell>
          <cell r="D898" t="str">
            <v/>
          </cell>
          <cell r="E898" t="str">
            <v/>
          </cell>
          <cell r="F898" t="str">
            <v>Pcs</v>
          </cell>
          <cell r="G898">
            <v>0</v>
          </cell>
          <cell r="H898" t="str">
            <v/>
          </cell>
          <cell r="I898">
            <v>0</v>
          </cell>
          <cell r="J898">
            <v>0</v>
          </cell>
          <cell r="K898">
            <v>0</v>
          </cell>
          <cell r="L898">
            <v>3680</v>
          </cell>
          <cell r="M898">
            <v>0</v>
          </cell>
        </row>
        <row r="899">
          <cell r="A899">
            <v>305</v>
          </cell>
          <cell r="B899" t="str">
            <v/>
          </cell>
          <cell r="C899" t="str">
            <v>BULLEIT BOURBON FRONTIER WHSKY 700ML</v>
          </cell>
          <cell r="D899" t="str">
            <v/>
          </cell>
          <cell r="E899" t="str">
            <v/>
          </cell>
          <cell r="F899" t="str">
            <v>Pcs</v>
          </cell>
          <cell r="G899">
            <v>0</v>
          </cell>
          <cell r="H899" t="str">
            <v/>
          </cell>
          <cell r="I899">
            <v>0</v>
          </cell>
          <cell r="J899">
            <v>0</v>
          </cell>
          <cell r="K899">
            <v>0</v>
          </cell>
          <cell r="L899">
            <v>3450</v>
          </cell>
          <cell r="M899">
            <v>0</v>
          </cell>
        </row>
        <row r="900">
          <cell r="A900">
            <v>309</v>
          </cell>
          <cell r="B900" t="str">
            <v/>
          </cell>
          <cell r="C900" t="str">
            <v>BUSHMILL BLACK BUSH 750ML</v>
          </cell>
          <cell r="D900" t="str">
            <v/>
          </cell>
          <cell r="E900" t="str">
            <v/>
          </cell>
          <cell r="F900" t="str">
            <v>Pcs</v>
          </cell>
          <cell r="G900">
            <v>18</v>
          </cell>
          <cell r="H900" t="str">
            <v/>
          </cell>
          <cell r="I900">
            <v>0</v>
          </cell>
          <cell r="J900">
            <v>0</v>
          </cell>
          <cell r="K900">
            <v>18</v>
          </cell>
          <cell r="L900">
            <v>2944</v>
          </cell>
          <cell r="M900">
            <v>52992</v>
          </cell>
        </row>
        <row r="901">
          <cell r="A901">
            <v>313</v>
          </cell>
          <cell r="B901" t="str">
            <v/>
          </cell>
          <cell r="C901" t="str">
            <v>BUSHMILLS 1LTR</v>
          </cell>
          <cell r="D901" t="str">
            <v/>
          </cell>
          <cell r="E901" t="str">
            <v/>
          </cell>
          <cell r="F901" t="str">
            <v>Pcs</v>
          </cell>
          <cell r="G901">
            <v>0</v>
          </cell>
          <cell r="H901" t="str">
            <v/>
          </cell>
          <cell r="I901">
            <v>0</v>
          </cell>
          <cell r="J901">
            <v>0</v>
          </cell>
          <cell r="K901">
            <v>0</v>
          </cell>
          <cell r="L901">
            <v>2760</v>
          </cell>
          <cell r="M901">
            <v>0</v>
          </cell>
        </row>
        <row r="902">
          <cell r="A902">
            <v>2977</v>
          </cell>
          <cell r="B902" t="str">
            <v/>
          </cell>
          <cell r="C902" t="str">
            <v>BUSHMILL SHERRY CASK 1LTR</v>
          </cell>
          <cell r="D902" t="str">
            <v/>
          </cell>
          <cell r="E902" t="str">
            <v/>
          </cell>
          <cell r="F902" t="str">
            <v>Pcs</v>
          </cell>
          <cell r="G902">
            <v>24</v>
          </cell>
          <cell r="H902" t="str">
            <v/>
          </cell>
          <cell r="I902">
            <v>0</v>
          </cell>
          <cell r="J902">
            <v>0</v>
          </cell>
          <cell r="K902">
            <v>24</v>
          </cell>
          <cell r="L902">
            <v>7500</v>
          </cell>
          <cell r="M902">
            <v>180000</v>
          </cell>
        </row>
        <row r="903">
          <cell r="A903">
            <v>310</v>
          </cell>
          <cell r="B903" t="str">
            <v/>
          </cell>
          <cell r="C903" t="str">
            <v>BUSHMILLS ORIGINAL 750ML</v>
          </cell>
          <cell r="D903" t="str">
            <v/>
          </cell>
          <cell r="E903" t="str">
            <v/>
          </cell>
          <cell r="F903" t="str">
            <v>Pcs</v>
          </cell>
          <cell r="G903">
            <v>666</v>
          </cell>
          <cell r="H903" t="str">
            <v/>
          </cell>
          <cell r="I903">
            <v>0</v>
          </cell>
          <cell r="J903">
            <v>0</v>
          </cell>
          <cell r="K903">
            <v>666</v>
          </cell>
          <cell r="L903">
            <v>2300</v>
          </cell>
          <cell r="M903">
            <v>1531800</v>
          </cell>
        </row>
        <row r="904">
          <cell r="A904">
            <v>314</v>
          </cell>
          <cell r="B904" t="str">
            <v/>
          </cell>
          <cell r="C904" t="str">
            <v>BUSHMILLS RED BUSH 700ML</v>
          </cell>
          <cell r="D904" t="str">
            <v/>
          </cell>
          <cell r="E904" t="str">
            <v/>
          </cell>
          <cell r="F904" t="str">
            <v>Pcs</v>
          </cell>
          <cell r="G904">
            <v>0</v>
          </cell>
          <cell r="H904" t="str">
            <v/>
          </cell>
          <cell r="I904">
            <v>0</v>
          </cell>
          <cell r="J904">
            <v>0</v>
          </cell>
          <cell r="K904">
            <v>0</v>
          </cell>
          <cell r="L904">
            <v>2400</v>
          </cell>
          <cell r="M904">
            <v>0</v>
          </cell>
        </row>
        <row r="905">
          <cell r="A905">
            <v>2266</v>
          </cell>
          <cell r="B905" t="str">
            <v/>
          </cell>
          <cell r="C905" t="str">
            <v>BUSHMILLS STEAMSHIP 1LTR</v>
          </cell>
          <cell r="D905" t="str">
            <v/>
          </cell>
          <cell r="E905" t="str">
            <v/>
          </cell>
          <cell r="F905" t="str">
            <v>Pcs</v>
          </cell>
          <cell r="G905">
            <v>12</v>
          </cell>
          <cell r="H905" t="str">
            <v/>
          </cell>
          <cell r="I905">
            <v>0</v>
          </cell>
          <cell r="J905">
            <v>0</v>
          </cell>
          <cell r="K905">
            <v>12</v>
          </cell>
          <cell r="L905">
            <v>8500</v>
          </cell>
          <cell r="M905">
            <v>102000</v>
          </cell>
        </row>
        <row r="906">
          <cell r="A906">
            <v>3000</v>
          </cell>
          <cell r="B906" t="str">
            <v/>
          </cell>
          <cell r="C906" t="str">
            <v>CANADIAN BLACK VELVET 1L</v>
          </cell>
          <cell r="D906" t="str">
            <v/>
          </cell>
          <cell r="E906" t="str">
            <v/>
          </cell>
          <cell r="F906" t="str">
            <v>Pcs</v>
          </cell>
          <cell r="G906">
            <v>30</v>
          </cell>
          <cell r="H906" t="str">
            <v/>
          </cell>
          <cell r="I906">
            <v>0</v>
          </cell>
          <cell r="J906">
            <v>18</v>
          </cell>
          <cell r="K906">
            <v>12</v>
          </cell>
          <cell r="L906">
            <v>1550</v>
          </cell>
          <cell r="M906">
            <v>18600</v>
          </cell>
        </row>
        <row r="907">
          <cell r="A907">
            <v>364</v>
          </cell>
          <cell r="B907" t="str">
            <v/>
          </cell>
          <cell r="C907" t="str">
            <v>CANADIAN CLUB 750ML</v>
          </cell>
          <cell r="D907" t="str">
            <v/>
          </cell>
          <cell r="E907" t="str">
            <v/>
          </cell>
          <cell r="F907" t="str">
            <v>Pcs</v>
          </cell>
          <cell r="G907">
            <v>0</v>
          </cell>
          <cell r="H907" t="str">
            <v/>
          </cell>
          <cell r="I907">
            <v>0</v>
          </cell>
          <cell r="J907">
            <v>0</v>
          </cell>
          <cell r="K907">
            <v>0</v>
          </cell>
          <cell r="L907">
            <v>1380</v>
          </cell>
          <cell r="M907">
            <v>0</v>
          </cell>
        </row>
        <row r="908">
          <cell r="A908">
            <v>365</v>
          </cell>
          <cell r="B908" t="str">
            <v/>
          </cell>
          <cell r="C908" t="str">
            <v>CANADIAN CLUB WHISKY 1LTR</v>
          </cell>
          <cell r="D908" t="str">
            <v/>
          </cell>
          <cell r="E908" t="str">
            <v/>
          </cell>
          <cell r="F908" t="str">
            <v>Pcs</v>
          </cell>
          <cell r="G908">
            <v>684</v>
          </cell>
          <cell r="H908" t="str">
            <v/>
          </cell>
          <cell r="I908">
            <v>0</v>
          </cell>
          <cell r="J908">
            <v>3</v>
          </cell>
          <cell r="K908">
            <v>681</v>
          </cell>
          <cell r="L908">
            <v>1870</v>
          </cell>
          <cell r="M908">
            <v>1273470</v>
          </cell>
        </row>
        <row r="909">
          <cell r="A909">
            <v>383</v>
          </cell>
          <cell r="B909" t="str">
            <v/>
          </cell>
          <cell r="C909" t="str">
            <v>CARDHU 12YRS 750ML</v>
          </cell>
          <cell r="D909" t="str">
            <v/>
          </cell>
          <cell r="E909" t="str">
            <v/>
          </cell>
          <cell r="F909" t="str">
            <v>Pcs</v>
          </cell>
          <cell r="G909">
            <v>24</v>
          </cell>
          <cell r="H909" t="str">
            <v/>
          </cell>
          <cell r="I909">
            <v>0</v>
          </cell>
          <cell r="J909">
            <v>0</v>
          </cell>
          <cell r="K909">
            <v>24</v>
          </cell>
          <cell r="L909">
            <v>4900</v>
          </cell>
          <cell r="M909">
            <v>117600</v>
          </cell>
        </row>
        <row r="910">
          <cell r="A910">
            <v>385</v>
          </cell>
          <cell r="B910" t="str">
            <v/>
          </cell>
          <cell r="C910" t="str">
            <v>CARDHU 15YRS WHISKY 700ML</v>
          </cell>
          <cell r="D910" t="str">
            <v/>
          </cell>
          <cell r="E910" t="str">
            <v/>
          </cell>
          <cell r="F910" t="str">
            <v>Pcs</v>
          </cell>
          <cell r="G910">
            <v>0</v>
          </cell>
          <cell r="H910" t="str">
            <v/>
          </cell>
          <cell r="I910">
            <v>0</v>
          </cell>
          <cell r="J910">
            <v>0</v>
          </cell>
          <cell r="K910">
            <v>0</v>
          </cell>
          <cell r="L910">
            <v>8740</v>
          </cell>
          <cell r="M910">
            <v>0</v>
          </cell>
        </row>
        <row r="911">
          <cell r="A911">
            <v>2821</v>
          </cell>
          <cell r="B911" t="str">
            <v/>
          </cell>
          <cell r="C911" t="str">
            <v>CARDHU AMBER ROCK 700ML</v>
          </cell>
          <cell r="D911" t="str">
            <v/>
          </cell>
          <cell r="E911" t="str">
            <v/>
          </cell>
          <cell r="F911" t="str">
            <v>Pcs</v>
          </cell>
          <cell r="G911">
            <v>36</v>
          </cell>
          <cell r="H911" t="str">
            <v/>
          </cell>
          <cell r="I911">
            <v>0</v>
          </cell>
          <cell r="J911">
            <v>0</v>
          </cell>
          <cell r="K911">
            <v>36</v>
          </cell>
          <cell r="L911">
            <v>3800</v>
          </cell>
          <cell r="M911">
            <v>136800</v>
          </cell>
        </row>
        <row r="912">
          <cell r="A912">
            <v>416</v>
          </cell>
          <cell r="B912" t="str">
            <v/>
          </cell>
          <cell r="C912" t="str">
            <v>CATTOS BLENDED WHISKY 1ltr</v>
          </cell>
          <cell r="D912" t="str">
            <v/>
          </cell>
          <cell r="E912" t="str">
            <v/>
          </cell>
          <cell r="F912" t="str">
            <v>Pcs</v>
          </cell>
          <cell r="G912">
            <v>25</v>
          </cell>
          <cell r="H912" t="str">
            <v/>
          </cell>
          <cell r="I912">
            <v>0</v>
          </cell>
          <cell r="J912">
            <v>24</v>
          </cell>
          <cell r="K912">
            <v>1</v>
          </cell>
          <cell r="L912">
            <v>1400</v>
          </cell>
          <cell r="M912">
            <v>1400</v>
          </cell>
        </row>
        <row r="913">
          <cell r="A913">
            <v>454</v>
          </cell>
          <cell r="B913" t="str">
            <v/>
          </cell>
          <cell r="C913" t="str">
            <v>CHIVAS REGAL 12YRS CRADLE WHISKY 4.5LTR</v>
          </cell>
          <cell r="D913" t="str">
            <v/>
          </cell>
          <cell r="E913" t="str">
            <v/>
          </cell>
          <cell r="F913" t="str">
            <v>Pcs</v>
          </cell>
          <cell r="G913">
            <v>23</v>
          </cell>
          <cell r="H913" t="str">
            <v/>
          </cell>
          <cell r="I913">
            <v>0</v>
          </cell>
          <cell r="J913">
            <v>0</v>
          </cell>
          <cell r="K913">
            <v>23</v>
          </cell>
          <cell r="L913">
            <v>20000</v>
          </cell>
          <cell r="M913">
            <v>460000</v>
          </cell>
        </row>
        <row r="914">
          <cell r="A914">
            <v>455</v>
          </cell>
          <cell r="B914" t="str">
            <v/>
          </cell>
          <cell r="C914" t="str">
            <v>CHIVAS REGAL 12YRS WHISKY 1LTR</v>
          </cell>
          <cell r="D914" t="str">
            <v/>
          </cell>
          <cell r="E914" t="str">
            <v/>
          </cell>
          <cell r="F914" t="str">
            <v>Pcs</v>
          </cell>
          <cell r="G914">
            <v>1491</v>
          </cell>
          <cell r="H914" t="str">
            <v/>
          </cell>
          <cell r="I914">
            <v>0</v>
          </cell>
          <cell r="J914">
            <v>48</v>
          </cell>
          <cell r="K914">
            <v>1443</v>
          </cell>
          <cell r="L914">
            <v>3550</v>
          </cell>
          <cell r="M914">
            <v>5122650</v>
          </cell>
        </row>
        <row r="915">
          <cell r="A915">
            <v>458</v>
          </cell>
          <cell r="B915" t="str">
            <v/>
          </cell>
          <cell r="C915" t="str">
            <v>CHIVAS REGAL 12YRS WHISKY 750ML</v>
          </cell>
          <cell r="D915" t="str">
            <v/>
          </cell>
          <cell r="E915" t="str">
            <v/>
          </cell>
          <cell r="F915" t="str">
            <v>Pcs</v>
          </cell>
          <cell r="G915">
            <v>6</v>
          </cell>
          <cell r="H915" t="str">
            <v/>
          </cell>
          <cell r="I915">
            <v>0</v>
          </cell>
          <cell r="J915">
            <v>0</v>
          </cell>
          <cell r="K915">
            <v>6</v>
          </cell>
          <cell r="L915">
            <v>3128</v>
          </cell>
          <cell r="M915">
            <v>18768</v>
          </cell>
        </row>
        <row r="916">
          <cell r="A916">
            <v>460</v>
          </cell>
          <cell r="B916" t="str">
            <v/>
          </cell>
          <cell r="C916" t="str">
            <v>CHIVAS REGAL 12YRS WHISKY GIFT PACK 4.5LTR</v>
          </cell>
          <cell r="D916" t="str">
            <v/>
          </cell>
          <cell r="E916" t="str">
            <v/>
          </cell>
          <cell r="F916" t="str">
            <v>Pcs</v>
          </cell>
          <cell r="G916">
            <v>0</v>
          </cell>
          <cell r="H916" t="str">
            <v/>
          </cell>
          <cell r="I916">
            <v>0</v>
          </cell>
          <cell r="J916">
            <v>0</v>
          </cell>
          <cell r="K916">
            <v>0</v>
          </cell>
          <cell r="L916">
            <v>20000</v>
          </cell>
          <cell r="M916">
            <v>0</v>
          </cell>
        </row>
        <row r="917">
          <cell r="A917">
            <v>461</v>
          </cell>
          <cell r="B917" t="str">
            <v/>
          </cell>
          <cell r="C917" t="str">
            <v>CHIVAS REGAL 13YRS WHISKY 1LTR</v>
          </cell>
          <cell r="D917" t="str">
            <v/>
          </cell>
          <cell r="E917" t="str">
            <v/>
          </cell>
          <cell r="F917" t="str">
            <v>Pcs</v>
          </cell>
          <cell r="G917">
            <v>26</v>
          </cell>
          <cell r="H917" t="str">
            <v/>
          </cell>
          <cell r="I917">
            <v>0</v>
          </cell>
          <cell r="J917">
            <v>0</v>
          </cell>
          <cell r="K917">
            <v>26</v>
          </cell>
          <cell r="L917">
            <v>4784</v>
          </cell>
          <cell r="M917">
            <v>124384</v>
          </cell>
        </row>
        <row r="918">
          <cell r="A918">
            <v>463</v>
          </cell>
          <cell r="B918" t="str">
            <v/>
          </cell>
          <cell r="C918" t="str">
            <v>CHIVAS REGAL 18YRS WHISKY 750ML</v>
          </cell>
          <cell r="D918" t="str">
            <v/>
          </cell>
          <cell r="E918" t="str">
            <v/>
          </cell>
          <cell r="F918" t="str">
            <v>Pcs</v>
          </cell>
          <cell r="G918">
            <v>50</v>
          </cell>
          <cell r="H918" t="str">
            <v/>
          </cell>
          <cell r="I918">
            <v>0</v>
          </cell>
          <cell r="J918">
            <v>0</v>
          </cell>
          <cell r="K918">
            <v>50</v>
          </cell>
          <cell r="L918">
            <v>7360</v>
          </cell>
          <cell r="M918">
            <v>368000</v>
          </cell>
        </row>
        <row r="919">
          <cell r="A919">
            <v>464</v>
          </cell>
          <cell r="B919" t="str">
            <v/>
          </cell>
          <cell r="C919" t="str">
            <v>CHIVAS REGAL 18YS WHISKY 1LTR</v>
          </cell>
          <cell r="D919" t="str">
            <v/>
          </cell>
          <cell r="E919" t="str">
            <v/>
          </cell>
          <cell r="F919" t="str">
            <v>Pcs</v>
          </cell>
          <cell r="G919">
            <v>86</v>
          </cell>
          <cell r="H919" t="str">
            <v/>
          </cell>
          <cell r="I919">
            <v>0</v>
          </cell>
          <cell r="J919">
            <v>0</v>
          </cell>
          <cell r="K919">
            <v>86</v>
          </cell>
          <cell r="L919">
            <v>7825</v>
          </cell>
          <cell r="M919">
            <v>672950</v>
          </cell>
        </row>
        <row r="920">
          <cell r="A920">
            <v>467</v>
          </cell>
          <cell r="B920" t="str">
            <v/>
          </cell>
          <cell r="C920" t="str">
            <v>CHIVAS REGAL 25YRS WHISKY 700ML</v>
          </cell>
          <cell r="D920" t="str">
            <v/>
          </cell>
          <cell r="E920" t="str">
            <v/>
          </cell>
          <cell r="F920" t="str">
            <v>Pcs</v>
          </cell>
          <cell r="G920">
            <v>0</v>
          </cell>
          <cell r="H920" t="str">
            <v/>
          </cell>
          <cell r="I920">
            <v>0</v>
          </cell>
          <cell r="J920">
            <v>0</v>
          </cell>
          <cell r="K920">
            <v>0</v>
          </cell>
          <cell r="L920">
            <v>30820</v>
          </cell>
          <cell r="M920">
            <v>0</v>
          </cell>
        </row>
        <row r="921">
          <cell r="A921">
            <v>468</v>
          </cell>
          <cell r="B921" t="str">
            <v/>
          </cell>
          <cell r="C921" t="str">
            <v>CHIVAS REGAL XV 15YRS WHISKY 750ML</v>
          </cell>
          <cell r="D921" t="str">
            <v/>
          </cell>
          <cell r="E921" t="str">
            <v/>
          </cell>
          <cell r="F921" t="str">
            <v>Pcs</v>
          </cell>
          <cell r="G921">
            <v>9</v>
          </cell>
          <cell r="H921" t="str">
            <v/>
          </cell>
          <cell r="I921">
            <v>0</v>
          </cell>
          <cell r="J921">
            <v>0</v>
          </cell>
          <cell r="K921">
            <v>9</v>
          </cell>
          <cell r="L921">
            <v>5040</v>
          </cell>
          <cell r="M921">
            <v>45360</v>
          </cell>
        </row>
        <row r="922">
          <cell r="A922">
            <v>491</v>
          </cell>
          <cell r="B922" t="str">
            <v/>
          </cell>
          <cell r="C922" t="str">
            <v>CLAN MACGREGOR WHISKY 750ML</v>
          </cell>
          <cell r="D922" t="str">
            <v/>
          </cell>
          <cell r="E922" t="str">
            <v/>
          </cell>
          <cell r="F922" t="str">
            <v>Pcs</v>
          </cell>
          <cell r="G922">
            <v>0</v>
          </cell>
          <cell r="H922" t="str">
            <v/>
          </cell>
          <cell r="I922">
            <v>0</v>
          </cell>
          <cell r="J922">
            <v>0</v>
          </cell>
          <cell r="K922">
            <v>0</v>
          </cell>
          <cell r="L922">
            <v>920</v>
          </cell>
          <cell r="M922">
            <v>0</v>
          </cell>
        </row>
        <row r="923">
          <cell r="A923">
            <v>492</v>
          </cell>
          <cell r="B923" t="str">
            <v/>
          </cell>
          <cell r="C923" t="str">
            <v>CLAN MCGREGOR 1ltr</v>
          </cell>
          <cell r="D923" t="str">
            <v/>
          </cell>
          <cell r="E923" t="str">
            <v/>
          </cell>
          <cell r="F923" t="str">
            <v>Pcs</v>
          </cell>
          <cell r="G923">
            <v>0</v>
          </cell>
          <cell r="H923" t="str">
            <v/>
          </cell>
          <cell r="I923">
            <v>0</v>
          </cell>
          <cell r="J923">
            <v>0</v>
          </cell>
          <cell r="K923">
            <v>0</v>
          </cell>
          <cell r="L923">
            <v>1250</v>
          </cell>
          <cell r="M923">
            <v>0</v>
          </cell>
        </row>
        <row r="924">
          <cell r="A924">
            <v>497</v>
          </cell>
          <cell r="B924" t="str">
            <v/>
          </cell>
          <cell r="C924" t="str">
            <v>CLAYMORE BLENDED SCOTCH WHISKY 1LTR</v>
          </cell>
          <cell r="D924" t="str">
            <v/>
          </cell>
          <cell r="E924" t="str">
            <v/>
          </cell>
          <cell r="F924" t="str">
            <v>Pcs</v>
          </cell>
          <cell r="G924">
            <v>0</v>
          </cell>
          <cell r="H924" t="str">
            <v/>
          </cell>
          <cell r="I924">
            <v>0</v>
          </cell>
          <cell r="J924">
            <v>0</v>
          </cell>
          <cell r="K924">
            <v>0</v>
          </cell>
          <cell r="L924">
            <v>1380</v>
          </cell>
          <cell r="M924">
            <v>0</v>
          </cell>
        </row>
        <row r="925">
          <cell r="A925">
            <v>2215</v>
          </cell>
          <cell r="B925" t="str">
            <v/>
          </cell>
          <cell r="C925" t="str">
            <v>CLEN BACK CANADIAN 750ML</v>
          </cell>
          <cell r="D925" t="str">
            <v/>
          </cell>
          <cell r="E925" t="str">
            <v/>
          </cell>
          <cell r="F925" t="str">
            <v>Pcs</v>
          </cell>
          <cell r="G925">
            <v>1</v>
          </cell>
          <cell r="H925" t="str">
            <v/>
          </cell>
          <cell r="I925">
            <v>0</v>
          </cell>
          <cell r="J925">
            <v>0</v>
          </cell>
          <cell r="K925">
            <v>1</v>
          </cell>
          <cell r="L925">
            <v>1500</v>
          </cell>
          <cell r="M925">
            <v>1500</v>
          </cell>
        </row>
        <row r="926">
          <cell r="A926">
            <v>541</v>
          </cell>
          <cell r="B926" t="str">
            <v/>
          </cell>
          <cell r="C926" t="str">
            <v>CRAGGANMORE 12YRS WHISKY 1LTR</v>
          </cell>
          <cell r="D926" t="str">
            <v/>
          </cell>
          <cell r="E926" t="str">
            <v/>
          </cell>
          <cell r="F926" t="str">
            <v>Pcs</v>
          </cell>
          <cell r="G926">
            <v>0</v>
          </cell>
          <cell r="H926" t="str">
            <v/>
          </cell>
          <cell r="I926">
            <v>0</v>
          </cell>
          <cell r="J926">
            <v>0</v>
          </cell>
          <cell r="K926">
            <v>0</v>
          </cell>
          <cell r="L926">
            <v>5336</v>
          </cell>
          <cell r="M926">
            <v>0</v>
          </cell>
        </row>
        <row r="927">
          <cell r="A927">
            <v>542</v>
          </cell>
          <cell r="B927" t="str">
            <v/>
          </cell>
          <cell r="C927" t="str">
            <v>CRAGGANMORE 12YRS WHISKY 750ML</v>
          </cell>
          <cell r="D927" t="str">
            <v/>
          </cell>
          <cell r="E927" t="str">
            <v/>
          </cell>
          <cell r="F927" t="str">
            <v>Pcs</v>
          </cell>
          <cell r="G927">
            <v>0</v>
          </cell>
          <cell r="H927" t="str">
            <v/>
          </cell>
          <cell r="I927">
            <v>0</v>
          </cell>
          <cell r="J927">
            <v>0</v>
          </cell>
          <cell r="K927">
            <v>0</v>
          </cell>
          <cell r="L927">
            <v>4857.6</v>
          </cell>
          <cell r="M927">
            <v>0</v>
          </cell>
        </row>
        <row r="928">
          <cell r="A928">
            <v>544</v>
          </cell>
          <cell r="B928" t="str">
            <v/>
          </cell>
          <cell r="C928" t="str">
            <v>CRAZY COCK 375ML</v>
          </cell>
          <cell r="D928" t="str">
            <v/>
          </cell>
          <cell r="E928" t="str">
            <v/>
          </cell>
          <cell r="F928" t="str">
            <v>Pcs</v>
          </cell>
          <cell r="G928">
            <v>0</v>
          </cell>
          <cell r="H928" t="str">
            <v/>
          </cell>
          <cell r="I928">
            <v>0</v>
          </cell>
          <cell r="J928">
            <v>0</v>
          </cell>
          <cell r="K928">
            <v>0</v>
          </cell>
          <cell r="L928">
            <v>322</v>
          </cell>
          <cell r="M928">
            <v>0</v>
          </cell>
        </row>
        <row r="929">
          <cell r="A929">
            <v>2801</v>
          </cell>
          <cell r="B929" t="str">
            <v/>
          </cell>
          <cell r="C929" t="str">
            <v>CROWN ROYAL FINE DE LUXE LITRE</v>
          </cell>
          <cell r="D929" t="str">
            <v/>
          </cell>
          <cell r="E929" t="str">
            <v/>
          </cell>
          <cell r="F929" t="str">
            <v>Pcs</v>
          </cell>
          <cell r="G929">
            <v>264</v>
          </cell>
          <cell r="H929" t="str">
            <v/>
          </cell>
          <cell r="I929">
            <v>0</v>
          </cell>
          <cell r="J929">
            <v>0</v>
          </cell>
          <cell r="K929">
            <v>264</v>
          </cell>
          <cell r="L929">
            <v>3233</v>
          </cell>
          <cell r="M929">
            <v>853512</v>
          </cell>
        </row>
        <row r="930">
          <cell r="A930">
            <v>559</v>
          </cell>
          <cell r="B930" t="str">
            <v/>
          </cell>
          <cell r="C930" t="str">
            <v>CUTTY SARK 750ML</v>
          </cell>
          <cell r="D930" t="str">
            <v/>
          </cell>
          <cell r="E930" t="str">
            <v/>
          </cell>
          <cell r="F930" t="str">
            <v>Pcs</v>
          </cell>
          <cell r="G930">
            <v>149</v>
          </cell>
          <cell r="H930" t="str">
            <v/>
          </cell>
          <cell r="I930">
            <v>0</v>
          </cell>
          <cell r="J930">
            <v>0</v>
          </cell>
          <cell r="K930">
            <v>149</v>
          </cell>
          <cell r="L930">
            <v>930</v>
          </cell>
          <cell r="M930">
            <v>138570</v>
          </cell>
        </row>
        <row r="931">
          <cell r="A931">
            <v>560</v>
          </cell>
          <cell r="B931" t="str">
            <v/>
          </cell>
          <cell r="C931" t="str">
            <v>CUTTY SARK WHISKY 1LTR</v>
          </cell>
          <cell r="D931" t="str">
            <v/>
          </cell>
          <cell r="E931" t="str">
            <v/>
          </cell>
          <cell r="F931" t="str">
            <v>Pcs</v>
          </cell>
          <cell r="G931">
            <v>15</v>
          </cell>
          <cell r="H931" t="str">
            <v/>
          </cell>
          <cell r="I931">
            <v>0</v>
          </cell>
          <cell r="J931">
            <v>0</v>
          </cell>
          <cell r="K931">
            <v>15</v>
          </cell>
          <cell r="L931">
            <v>1615</v>
          </cell>
          <cell r="M931">
            <v>24225</v>
          </cell>
        </row>
        <row r="932">
          <cell r="A932">
            <v>2473</v>
          </cell>
          <cell r="B932" t="str">
            <v/>
          </cell>
          <cell r="C932" t="str">
            <v>DALMORE 12YRS SHERRY CASK SELECT 700ML</v>
          </cell>
          <cell r="D932" t="str">
            <v/>
          </cell>
          <cell r="E932" t="str">
            <v/>
          </cell>
          <cell r="F932" t="str">
            <v>Pcs</v>
          </cell>
          <cell r="G932">
            <v>0</v>
          </cell>
          <cell r="H932" t="str">
            <v/>
          </cell>
          <cell r="I932">
            <v>0</v>
          </cell>
          <cell r="J932">
            <v>0</v>
          </cell>
          <cell r="K932">
            <v>0</v>
          </cell>
          <cell r="L932">
            <v>6030</v>
          </cell>
          <cell r="M932">
            <v>0</v>
          </cell>
        </row>
        <row r="933">
          <cell r="A933">
            <v>570</v>
          </cell>
          <cell r="B933" t="str">
            <v/>
          </cell>
          <cell r="C933" t="str">
            <v>DALMORE 18YRS SINGLE MALT 700ML</v>
          </cell>
          <cell r="D933" t="str">
            <v/>
          </cell>
          <cell r="E933" t="str">
            <v/>
          </cell>
          <cell r="F933" t="str">
            <v>Pcs</v>
          </cell>
          <cell r="G933">
            <v>0</v>
          </cell>
          <cell r="H933" t="str">
            <v/>
          </cell>
          <cell r="I933">
            <v>0</v>
          </cell>
          <cell r="J933">
            <v>0</v>
          </cell>
          <cell r="K933">
            <v>0</v>
          </cell>
          <cell r="L933">
            <v>14720</v>
          </cell>
          <cell r="M933">
            <v>0</v>
          </cell>
        </row>
        <row r="934">
          <cell r="A934">
            <v>571</v>
          </cell>
          <cell r="B934" t="str">
            <v/>
          </cell>
          <cell r="C934" t="str">
            <v>DALWHINNE 15YRS WHISKY 750ML </v>
          </cell>
          <cell r="D934" t="str">
            <v/>
          </cell>
          <cell r="E934" t="str">
            <v/>
          </cell>
          <cell r="F934" t="str">
            <v>Pcs</v>
          </cell>
          <cell r="G934">
            <v>0</v>
          </cell>
          <cell r="H934" t="str">
            <v/>
          </cell>
          <cell r="I934">
            <v>0</v>
          </cell>
          <cell r="J934">
            <v>0</v>
          </cell>
          <cell r="K934">
            <v>0</v>
          </cell>
          <cell r="L934">
            <v>6164</v>
          </cell>
          <cell r="M934">
            <v>0</v>
          </cell>
        </row>
        <row r="935">
          <cell r="A935">
            <v>2269</v>
          </cell>
          <cell r="B935" t="str">
            <v/>
          </cell>
          <cell r="C935" t="str">
            <v>DEWARS 12YRS 1LTR</v>
          </cell>
          <cell r="D935" t="str">
            <v/>
          </cell>
          <cell r="E935" t="str">
            <v/>
          </cell>
          <cell r="F935" t="str">
            <v>Pcs</v>
          </cell>
          <cell r="G935">
            <v>0</v>
          </cell>
          <cell r="H935" t="str">
            <v/>
          </cell>
          <cell r="I935">
            <v>0</v>
          </cell>
          <cell r="J935">
            <v>0</v>
          </cell>
          <cell r="K935">
            <v>0</v>
          </cell>
          <cell r="L935">
            <v>4300</v>
          </cell>
          <cell r="M935">
            <v>0</v>
          </cell>
        </row>
        <row r="936">
          <cell r="A936">
            <v>602</v>
          </cell>
          <cell r="B936" t="str">
            <v/>
          </cell>
          <cell r="C936" t="str">
            <v>DEWAR'S 12YRS WHISKY 750ML</v>
          </cell>
          <cell r="D936" t="str">
            <v/>
          </cell>
          <cell r="E936" t="str">
            <v/>
          </cell>
          <cell r="F936" t="str">
            <v>Pcs</v>
          </cell>
          <cell r="G936">
            <v>0</v>
          </cell>
          <cell r="H936" t="str">
            <v/>
          </cell>
          <cell r="I936">
            <v>0</v>
          </cell>
          <cell r="J936">
            <v>0</v>
          </cell>
          <cell r="K936">
            <v>0</v>
          </cell>
          <cell r="L936">
            <v>3220</v>
          </cell>
          <cell r="M936">
            <v>0</v>
          </cell>
        </row>
        <row r="937">
          <cell r="A937">
            <v>2187</v>
          </cell>
          <cell r="B937" t="str">
            <v/>
          </cell>
          <cell r="C937" t="str">
            <v>DEWARS 15YRS 1LTR</v>
          </cell>
          <cell r="D937" t="str">
            <v/>
          </cell>
          <cell r="E937" t="str">
            <v/>
          </cell>
          <cell r="F937" t="str">
            <v>Pcs</v>
          </cell>
          <cell r="G937">
            <v>163</v>
          </cell>
          <cell r="H937" t="str">
            <v/>
          </cell>
          <cell r="I937">
            <v>0</v>
          </cell>
          <cell r="J937">
            <v>0</v>
          </cell>
          <cell r="K937">
            <v>163</v>
          </cell>
          <cell r="L937">
            <v>8300</v>
          </cell>
          <cell r="M937">
            <v>1352900</v>
          </cell>
        </row>
        <row r="938">
          <cell r="A938">
            <v>2802</v>
          </cell>
          <cell r="B938" t="str">
            <v/>
          </cell>
          <cell r="C938" t="str">
            <v>DEWARS 18YEARS LITRE</v>
          </cell>
          <cell r="D938" t="str">
            <v/>
          </cell>
          <cell r="E938" t="str">
            <v/>
          </cell>
          <cell r="F938" t="str">
            <v>Pcs</v>
          </cell>
          <cell r="G938">
            <v>24</v>
          </cell>
          <cell r="H938" t="str">
            <v/>
          </cell>
          <cell r="I938">
            <v>0</v>
          </cell>
          <cell r="J938">
            <v>0</v>
          </cell>
          <cell r="K938">
            <v>24</v>
          </cell>
          <cell r="L938">
            <v>7010</v>
          </cell>
          <cell r="M938">
            <v>168240</v>
          </cell>
        </row>
        <row r="939">
          <cell r="A939">
            <v>605</v>
          </cell>
          <cell r="B939" t="str">
            <v/>
          </cell>
          <cell r="C939" t="str">
            <v>DEWARS 1LTR</v>
          </cell>
          <cell r="D939" t="str">
            <v/>
          </cell>
          <cell r="E939" t="str">
            <v/>
          </cell>
          <cell r="F939" t="str">
            <v>Pcs</v>
          </cell>
          <cell r="G939">
            <v>0</v>
          </cell>
          <cell r="H939" t="str">
            <v/>
          </cell>
          <cell r="I939">
            <v>0</v>
          </cell>
          <cell r="J939">
            <v>0</v>
          </cell>
          <cell r="K939">
            <v>0</v>
          </cell>
          <cell r="L939">
            <v>1748</v>
          </cell>
          <cell r="M939">
            <v>0</v>
          </cell>
        </row>
        <row r="940">
          <cell r="A940">
            <v>606</v>
          </cell>
          <cell r="B940" t="str">
            <v/>
          </cell>
          <cell r="C940" t="str">
            <v>DEWARS 750ML</v>
          </cell>
          <cell r="D940" t="str">
            <v/>
          </cell>
          <cell r="E940" t="str">
            <v/>
          </cell>
          <cell r="F940" t="str">
            <v>Pcs</v>
          </cell>
          <cell r="G940">
            <v>0</v>
          </cell>
          <cell r="H940" t="str">
            <v/>
          </cell>
          <cell r="I940">
            <v>0</v>
          </cell>
          <cell r="J940">
            <v>0</v>
          </cell>
          <cell r="K940">
            <v>0</v>
          </cell>
          <cell r="L940">
            <v>1380</v>
          </cell>
          <cell r="M940">
            <v>0</v>
          </cell>
        </row>
        <row r="941">
          <cell r="A941">
            <v>2188</v>
          </cell>
          <cell r="B941" t="str">
            <v/>
          </cell>
          <cell r="C941" t="str">
            <v>DEWARS WHITE LABEL 1LTR</v>
          </cell>
          <cell r="D941" t="str">
            <v/>
          </cell>
          <cell r="E941" t="str">
            <v/>
          </cell>
          <cell r="F941" t="str">
            <v>Pcs</v>
          </cell>
          <cell r="G941">
            <v>360</v>
          </cell>
          <cell r="H941" t="str">
            <v/>
          </cell>
          <cell r="I941">
            <v>0</v>
          </cell>
          <cell r="J941">
            <v>12</v>
          </cell>
          <cell r="K941">
            <v>348</v>
          </cell>
          <cell r="L941">
            <v>1700</v>
          </cell>
          <cell r="M941">
            <v>591600</v>
          </cell>
        </row>
        <row r="942">
          <cell r="A942">
            <v>607</v>
          </cell>
          <cell r="B942" t="str">
            <v/>
          </cell>
          <cell r="C942" t="str">
            <v>DEWARS WHITE LABEL WHISKY 750ML</v>
          </cell>
          <cell r="D942" t="str">
            <v/>
          </cell>
          <cell r="E942" t="str">
            <v/>
          </cell>
          <cell r="F942" t="str">
            <v>Pcs</v>
          </cell>
          <cell r="G942">
            <v>12</v>
          </cell>
          <cell r="H942" t="str">
            <v/>
          </cell>
          <cell r="I942">
            <v>0</v>
          </cell>
          <cell r="J942">
            <v>0</v>
          </cell>
          <cell r="K942">
            <v>12</v>
          </cell>
          <cell r="L942">
            <v>1748</v>
          </cell>
          <cell r="M942">
            <v>20976</v>
          </cell>
        </row>
        <row r="943">
          <cell r="A943">
            <v>608</v>
          </cell>
          <cell r="B943" t="str">
            <v/>
          </cell>
          <cell r="C943" t="str">
            <v>DIMPLE 15YRS WHISKY 1LTR</v>
          </cell>
          <cell r="D943" t="str">
            <v/>
          </cell>
          <cell r="E943" t="str">
            <v/>
          </cell>
          <cell r="F943" t="str">
            <v>Pcs</v>
          </cell>
          <cell r="G943">
            <v>34</v>
          </cell>
          <cell r="H943" t="str">
            <v/>
          </cell>
          <cell r="I943">
            <v>0</v>
          </cell>
          <cell r="J943">
            <v>6</v>
          </cell>
          <cell r="K943">
            <v>28</v>
          </cell>
          <cell r="L943">
            <v>5520</v>
          </cell>
          <cell r="M943">
            <v>154560</v>
          </cell>
        </row>
        <row r="944">
          <cell r="A944">
            <v>609</v>
          </cell>
          <cell r="B944" t="str">
            <v/>
          </cell>
          <cell r="C944" t="str">
            <v>DIMPLE 15YRS WHISKY 750ML</v>
          </cell>
          <cell r="D944" t="str">
            <v/>
          </cell>
          <cell r="E944" t="str">
            <v/>
          </cell>
          <cell r="F944" t="str">
            <v>Pcs</v>
          </cell>
          <cell r="G944">
            <v>0</v>
          </cell>
          <cell r="H944" t="str">
            <v/>
          </cell>
          <cell r="I944">
            <v>0</v>
          </cell>
          <cell r="J944">
            <v>0</v>
          </cell>
          <cell r="K944">
            <v>0</v>
          </cell>
          <cell r="L944">
            <v>3450</v>
          </cell>
          <cell r="M944">
            <v>0</v>
          </cell>
        </row>
        <row r="945">
          <cell r="A945">
            <v>636</v>
          </cell>
          <cell r="B945" t="str">
            <v/>
          </cell>
          <cell r="C945" t="str">
            <v>DRAMBUIE 1LTR</v>
          </cell>
          <cell r="D945" t="str">
            <v/>
          </cell>
          <cell r="E945" t="str">
            <v/>
          </cell>
          <cell r="F945" t="str">
            <v>Pcs</v>
          </cell>
          <cell r="G945">
            <v>0</v>
          </cell>
          <cell r="H945" t="str">
            <v/>
          </cell>
          <cell r="I945">
            <v>0</v>
          </cell>
          <cell r="J945">
            <v>0</v>
          </cell>
          <cell r="K945">
            <v>0</v>
          </cell>
          <cell r="L945">
            <v>2760</v>
          </cell>
          <cell r="M945">
            <v>0</v>
          </cell>
        </row>
        <row r="946">
          <cell r="A946">
            <v>3001</v>
          </cell>
          <cell r="B946" t="str">
            <v/>
          </cell>
          <cell r="C946" t="str">
            <v>EARLY TIMES WHISKY 700ML</v>
          </cell>
          <cell r="D946" t="str">
            <v/>
          </cell>
          <cell r="E946" t="str">
            <v/>
          </cell>
          <cell r="F946" t="str">
            <v>Pcs</v>
          </cell>
          <cell r="G946">
            <v>25</v>
          </cell>
          <cell r="H946" t="str">
            <v/>
          </cell>
          <cell r="I946">
            <v>0</v>
          </cell>
          <cell r="J946">
            <v>24</v>
          </cell>
          <cell r="K946">
            <v>1</v>
          </cell>
          <cell r="L946">
            <v>1450</v>
          </cell>
          <cell r="M946">
            <v>1450</v>
          </cell>
        </row>
        <row r="947">
          <cell r="A947">
            <v>2453</v>
          </cell>
          <cell r="B947" t="str">
            <v/>
          </cell>
          <cell r="C947" t="str">
            <v>FIRE BALL 1LTR</v>
          </cell>
          <cell r="D947" t="str">
            <v/>
          </cell>
          <cell r="E947" t="str">
            <v/>
          </cell>
          <cell r="F947" t="str">
            <v>Pcs</v>
          </cell>
          <cell r="G947">
            <v>0</v>
          </cell>
          <cell r="H947" t="str">
            <v/>
          </cell>
          <cell r="I947">
            <v>0</v>
          </cell>
          <cell r="J947">
            <v>0</v>
          </cell>
          <cell r="K947">
            <v>0</v>
          </cell>
          <cell r="L947">
            <v>2350</v>
          </cell>
          <cell r="M947">
            <v>0</v>
          </cell>
        </row>
        <row r="948">
          <cell r="A948">
            <v>698</v>
          </cell>
          <cell r="B948" t="str">
            <v/>
          </cell>
          <cell r="C948" t="str">
            <v>FIRE WATER 1LTR</v>
          </cell>
          <cell r="D948" t="str">
            <v/>
          </cell>
          <cell r="E948" t="str">
            <v/>
          </cell>
          <cell r="F948" t="str">
            <v>Pcs</v>
          </cell>
          <cell r="G948">
            <v>0</v>
          </cell>
          <cell r="H948" t="str">
            <v/>
          </cell>
          <cell r="I948">
            <v>0</v>
          </cell>
          <cell r="J948">
            <v>0</v>
          </cell>
          <cell r="K948">
            <v>0</v>
          </cell>
          <cell r="L948">
            <v>2300</v>
          </cell>
          <cell r="M948">
            <v>0</v>
          </cell>
        </row>
        <row r="949">
          <cell r="A949">
            <v>699</v>
          </cell>
          <cell r="B949" t="str">
            <v/>
          </cell>
          <cell r="C949" t="str">
            <v>FIRE WATER 750ML</v>
          </cell>
          <cell r="D949" t="str">
            <v/>
          </cell>
          <cell r="E949" t="str">
            <v/>
          </cell>
          <cell r="F949" t="str">
            <v>Pcs</v>
          </cell>
          <cell r="G949">
            <v>0</v>
          </cell>
          <cell r="H949" t="str">
            <v/>
          </cell>
          <cell r="I949">
            <v>0</v>
          </cell>
          <cell r="J949">
            <v>0</v>
          </cell>
          <cell r="K949">
            <v>0</v>
          </cell>
          <cell r="L949">
            <v>1656</v>
          </cell>
          <cell r="M949">
            <v>0</v>
          </cell>
        </row>
        <row r="950">
          <cell r="A950">
            <v>2200</v>
          </cell>
          <cell r="B950" t="str">
            <v/>
          </cell>
          <cell r="C950" t="str">
            <v>GENTLEMAN JACK 1LTR</v>
          </cell>
          <cell r="D950" t="str">
            <v/>
          </cell>
          <cell r="E950" t="str">
            <v/>
          </cell>
          <cell r="F950" t="str">
            <v>Pcs</v>
          </cell>
          <cell r="G950">
            <v>158</v>
          </cell>
          <cell r="H950" t="str">
            <v/>
          </cell>
          <cell r="I950">
            <v>0</v>
          </cell>
          <cell r="J950">
            <v>0</v>
          </cell>
          <cell r="K950">
            <v>158</v>
          </cell>
          <cell r="L950">
            <v>3270</v>
          </cell>
          <cell r="M950">
            <v>516660</v>
          </cell>
        </row>
        <row r="951">
          <cell r="A951">
            <v>817</v>
          </cell>
          <cell r="B951" t="str">
            <v/>
          </cell>
          <cell r="C951" t="str">
            <v>GENTLEMAN JACK 750ML</v>
          </cell>
          <cell r="D951" t="str">
            <v/>
          </cell>
          <cell r="E951" t="str">
            <v/>
          </cell>
          <cell r="F951" t="str">
            <v>Pcs</v>
          </cell>
          <cell r="G951">
            <v>0</v>
          </cell>
          <cell r="H951" t="str">
            <v/>
          </cell>
          <cell r="I951">
            <v>0</v>
          </cell>
          <cell r="J951">
            <v>0</v>
          </cell>
          <cell r="K951">
            <v>0</v>
          </cell>
          <cell r="L951">
            <v>4056.1</v>
          </cell>
          <cell r="M951">
            <v>0</v>
          </cell>
        </row>
        <row r="952">
          <cell r="A952">
            <v>836</v>
          </cell>
          <cell r="B952" t="str">
            <v/>
          </cell>
          <cell r="C952" t="str">
            <v>GLENFIDDICH 12YRS 750ML GIFT PACK</v>
          </cell>
          <cell r="D952" t="str">
            <v/>
          </cell>
          <cell r="E952" t="str">
            <v/>
          </cell>
          <cell r="F952" t="str">
            <v>Pcs</v>
          </cell>
          <cell r="G952">
            <v>7</v>
          </cell>
          <cell r="H952" t="str">
            <v/>
          </cell>
          <cell r="I952">
            <v>0</v>
          </cell>
          <cell r="J952">
            <v>0</v>
          </cell>
          <cell r="K952">
            <v>7</v>
          </cell>
          <cell r="L952">
            <v>6440</v>
          </cell>
          <cell r="M952">
            <v>45080</v>
          </cell>
        </row>
        <row r="953">
          <cell r="A953">
            <v>838</v>
          </cell>
          <cell r="B953" t="str">
            <v/>
          </cell>
          <cell r="C953" t="str">
            <v>GLENFIDDICH 15YRS VAT 03 700ML</v>
          </cell>
          <cell r="D953" t="str">
            <v/>
          </cell>
          <cell r="E953" t="str">
            <v/>
          </cell>
          <cell r="F953" t="str">
            <v>Pcs</v>
          </cell>
          <cell r="G953">
            <v>0</v>
          </cell>
          <cell r="H953" t="str">
            <v/>
          </cell>
          <cell r="I953">
            <v>0</v>
          </cell>
          <cell r="J953">
            <v>0</v>
          </cell>
          <cell r="K953">
            <v>0</v>
          </cell>
          <cell r="L953">
            <v>7820</v>
          </cell>
          <cell r="M953">
            <v>0</v>
          </cell>
        </row>
        <row r="954">
          <cell r="A954">
            <v>839</v>
          </cell>
          <cell r="B954" t="str">
            <v/>
          </cell>
          <cell r="C954" t="str">
            <v>GLENFIDDICH 18YEARS 700ML</v>
          </cell>
          <cell r="D954" t="str">
            <v/>
          </cell>
          <cell r="E954" t="str">
            <v/>
          </cell>
          <cell r="F954" t="str">
            <v>Pcs</v>
          </cell>
          <cell r="G954">
            <v>527</v>
          </cell>
          <cell r="H954" t="str">
            <v/>
          </cell>
          <cell r="I954">
            <v>0</v>
          </cell>
          <cell r="J954">
            <v>27</v>
          </cell>
          <cell r="K954">
            <v>500</v>
          </cell>
          <cell r="L954">
            <v>8720</v>
          </cell>
          <cell r="M954">
            <v>4360000</v>
          </cell>
        </row>
        <row r="955">
          <cell r="A955">
            <v>840</v>
          </cell>
          <cell r="B955" t="str">
            <v/>
          </cell>
          <cell r="C955" t="str">
            <v>GLENFIDDICH 18YRS 1LTR</v>
          </cell>
          <cell r="D955" t="str">
            <v/>
          </cell>
          <cell r="E955" t="str">
            <v/>
          </cell>
          <cell r="F955" t="str">
            <v>Pcs</v>
          </cell>
          <cell r="G955">
            <v>0</v>
          </cell>
          <cell r="H955" t="str">
            <v/>
          </cell>
          <cell r="I955">
            <v>0</v>
          </cell>
          <cell r="J955">
            <v>0</v>
          </cell>
          <cell r="K955">
            <v>0</v>
          </cell>
          <cell r="L955">
            <v>15640</v>
          </cell>
          <cell r="M955">
            <v>0</v>
          </cell>
        </row>
        <row r="956">
          <cell r="A956">
            <v>841</v>
          </cell>
          <cell r="B956" t="str">
            <v/>
          </cell>
          <cell r="C956" t="str">
            <v>GLENFIDDICH 18YRS 750ML GIFT PACK</v>
          </cell>
          <cell r="D956" t="str">
            <v/>
          </cell>
          <cell r="E956" t="str">
            <v/>
          </cell>
          <cell r="F956" t="str">
            <v>Pcs</v>
          </cell>
          <cell r="G956">
            <v>30</v>
          </cell>
          <cell r="H956" t="str">
            <v/>
          </cell>
          <cell r="I956">
            <v>0</v>
          </cell>
          <cell r="J956">
            <v>0</v>
          </cell>
          <cell r="K956">
            <v>30</v>
          </cell>
          <cell r="L956">
            <v>12420</v>
          </cell>
          <cell r="M956">
            <v>372600</v>
          </cell>
        </row>
        <row r="957">
          <cell r="A957">
            <v>843</v>
          </cell>
          <cell r="B957" t="str">
            <v/>
          </cell>
          <cell r="C957" t="str">
            <v>GLENFIDDICH 21YRS WHISKY 700ML</v>
          </cell>
          <cell r="D957" t="str">
            <v/>
          </cell>
          <cell r="E957" t="str">
            <v/>
          </cell>
          <cell r="F957" t="str">
            <v>Pcs</v>
          </cell>
          <cell r="G957">
            <v>9</v>
          </cell>
          <cell r="H957" t="str">
            <v/>
          </cell>
          <cell r="I957">
            <v>0</v>
          </cell>
          <cell r="J957">
            <v>3</v>
          </cell>
          <cell r="K957">
            <v>6</v>
          </cell>
          <cell r="L957">
            <v>27600</v>
          </cell>
          <cell r="M957">
            <v>165600</v>
          </cell>
        </row>
        <row r="958">
          <cell r="A958">
            <v>844</v>
          </cell>
          <cell r="B958" t="str">
            <v/>
          </cell>
          <cell r="C958" t="str">
            <v>GLENFIDDICH 25YRS WHISKY 750ML </v>
          </cell>
          <cell r="D958" t="str">
            <v/>
          </cell>
          <cell r="E958" t="str">
            <v/>
          </cell>
          <cell r="F958" t="str">
            <v>Pcs</v>
          </cell>
          <cell r="G958">
            <v>0</v>
          </cell>
          <cell r="H958" t="str">
            <v/>
          </cell>
          <cell r="I958">
            <v>0</v>
          </cell>
          <cell r="J958">
            <v>0</v>
          </cell>
          <cell r="K958">
            <v>0</v>
          </cell>
          <cell r="L958">
            <v>41400</v>
          </cell>
          <cell r="M958">
            <v>0</v>
          </cell>
        </row>
        <row r="959">
          <cell r="A959">
            <v>846</v>
          </cell>
          <cell r="B959" t="str">
            <v/>
          </cell>
          <cell r="C959" t="str">
            <v>GLENFIDDICH FIRE &amp; CANE WHISKY 700ML</v>
          </cell>
          <cell r="D959" t="str">
            <v/>
          </cell>
          <cell r="E959" t="str">
            <v/>
          </cell>
          <cell r="F959" t="str">
            <v>Pcs</v>
          </cell>
          <cell r="G959">
            <v>6</v>
          </cell>
          <cell r="H959" t="str">
            <v/>
          </cell>
          <cell r="I959">
            <v>0</v>
          </cell>
          <cell r="J959">
            <v>0</v>
          </cell>
          <cell r="K959">
            <v>6</v>
          </cell>
          <cell r="L959">
            <v>5980</v>
          </cell>
          <cell r="M959">
            <v>35880</v>
          </cell>
        </row>
        <row r="960">
          <cell r="A960">
            <v>847</v>
          </cell>
          <cell r="B960" t="str">
            <v/>
          </cell>
          <cell r="C960" t="str">
            <v>GLENFIDDICH GRAND CORONNE 26YRS 700ML</v>
          </cell>
          <cell r="D960" t="str">
            <v/>
          </cell>
          <cell r="E960" t="str">
            <v/>
          </cell>
          <cell r="F960" t="str">
            <v>Pcs</v>
          </cell>
          <cell r="G960">
            <v>1</v>
          </cell>
          <cell r="H960" t="str">
            <v/>
          </cell>
          <cell r="I960">
            <v>0</v>
          </cell>
          <cell r="J960">
            <v>0</v>
          </cell>
          <cell r="K960">
            <v>1</v>
          </cell>
          <cell r="L960">
            <v>69000</v>
          </cell>
          <cell r="M960">
            <v>69000</v>
          </cell>
        </row>
        <row r="961">
          <cell r="A961">
            <v>849</v>
          </cell>
          <cell r="B961" t="str">
            <v/>
          </cell>
          <cell r="C961" t="str">
            <v>GLENFIDDICH IPA EXPERIMENT SERIES WHISKY 700ML</v>
          </cell>
          <cell r="D961" t="str">
            <v/>
          </cell>
          <cell r="E961" t="str">
            <v/>
          </cell>
          <cell r="F961" t="str">
            <v>Pcs</v>
          </cell>
          <cell r="G961">
            <v>0</v>
          </cell>
          <cell r="H961" t="str">
            <v/>
          </cell>
          <cell r="I961">
            <v>0</v>
          </cell>
          <cell r="J961">
            <v>0</v>
          </cell>
          <cell r="K961">
            <v>0</v>
          </cell>
          <cell r="L961">
            <v>6900</v>
          </cell>
          <cell r="M961">
            <v>0</v>
          </cell>
        </row>
        <row r="962">
          <cell r="A962">
            <v>2474</v>
          </cell>
          <cell r="B962" t="str">
            <v/>
          </cell>
          <cell r="C962" t="str">
            <v>GLENFIDDICH RESERVE 18YRS 700ML</v>
          </cell>
          <cell r="D962" t="str">
            <v/>
          </cell>
          <cell r="E962" t="str">
            <v/>
          </cell>
          <cell r="F962" t="str">
            <v>Pcs</v>
          </cell>
          <cell r="G962">
            <v>0</v>
          </cell>
          <cell r="H962" t="str">
            <v/>
          </cell>
          <cell r="I962">
            <v>0</v>
          </cell>
          <cell r="J962">
            <v>0</v>
          </cell>
          <cell r="K962">
            <v>0</v>
          </cell>
          <cell r="L962">
            <v>9630</v>
          </cell>
          <cell r="M962">
            <v>0</v>
          </cell>
        </row>
        <row r="963">
          <cell r="A963">
            <v>853</v>
          </cell>
          <cell r="B963" t="str">
            <v/>
          </cell>
          <cell r="C963" t="str">
            <v>GLENFIDDICH RESERVE CASK 1LTR</v>
          </cell>
          <cell r="D963" t="str">
            <v/>
          </cell>
          <cell r="E963" t="str">
            <v/>
          </cell>
          <cell r="F963" t="str">
            <v>Pcs</v>
          </cell>
          <cell r="G963">
            <v>0</v>
          </cell>
          <cell r="H963" t="str">
            <v/>
          </cell>
          <cell r="I963">
            <v>0</v>
          </cell>
          <cell r="J963">
            <v>0</v>
          </cell>
          <cell r="K963">
            <v>0</v>
          </cell>
          <cell r="L963">
            <v>6900</v>
          </cell>
          <cell r="M963">
            <v>0</v>
          </cell>
        </row>
        <row r="964">
          <cell r="A964">
            <v>854</v>
          </cell>
          <cell r="B964" t="str">
            <v/>
          </cell>
          <cell r="C964" t="str">
            <v>GLENFIDDICH SELECT CASK WHISKY 1LTR</v>
          </cell>
          <cell r="D964" t="str">
            <v/>
          </cell>
          <cell r="E964" t="str">
            <v/>
          </cell>
          <cell r="F964" t="str">
            <v>Pcs</v>
          </cell>
          <cell r="G964">
            <v>0</v>
          </cell>
          <cell r="H964" t="str">
            <v/>
          </cell>
          <cell r="I964">
            <v>0</v>
          </cell>
          <cell r="J964">
            <v>0</v>
          </cell>
          <cell r="K964">
            <v>0</v>
          </cell>
          <cell r="L964">
            <v>5520</v>
          </cell>
          <cell r="M964">
            <v>0</v>
          </cell>
        </row>
        <row r="965">
          <cell r="A965">
            <v>837</v>
          </cell>
          <cell r="B965" t="str">
            <v/>
          </cell>
          <cell r="C965" t="str">
            <v>GLENFIDDICH SOLERA 15YRS 700ML</v>
          </cell>
          <cell r="D965" t="str">
            <v/>
          </cell>
          <cell r="E965" t="str">
            <v/>
          </cell>
          <cell r="F965" t="str">
            <v>Pcs</v>
          </cell>
          <cell r="G965">
            <v>1</v>
          </cell>
          <cell r="H965" t="str">
            <v/>
          </cell>
          <cell r="I965">
            <v>6</v>
          </cell>
          <cell r="J965">
            <v>7</v>
          </cell>
          <cell r="K965">
            <v>0</v>
          </cell>
          <cell r="L965">
            <v>7820</v>
          </cell>
          <cell r="M965">
            <v>0</v>
          </cell>
        </row>
        <row r="966">
          <cell r="A966">
            <v>2275</v>
          </cell>
          <cell r="B966" t="str">
            <v/>
          </cell>
          <cell r="C966" t="str">
            <v>GLENFIDICH 12YRS 50ML</v>
          </cell>
          <cell r="D966" t="str">
            <v/>
          </cell>
          <cell r="E966" t="str">
            <v/>
          </cell>
          <cell r="F966" t="str">
            <v>Pcs</v>
          </cell>
          <cell r="G966">
            <v>0</v>
          </cell>
          <cell r="H966" t="str">
            <v/>
          </cell>
          <cell r="I966">
            <v>0</v>
          </cell>
          <cell r="J966">
            <v>0</v>
          </cell>
          <cell r="K966">
            <v>0</v>
          </cell>
          <cell r="L966">
            <v>450</v>
          </cell>
          <cell r="M966">
            <v>0</v>
          </cell>
        </row>
        <row r="967">
          <cell r="A967">
            <v>857</v>
          </cell>
          <cell r="B967" t="str">
            <v/>
          </cell>
          <cell r="C967" t="str">
            <v>GLENFIDICH 12YRS WHISKY 1LTR</v>
          </cell>
          <cell r="D967" t="str">
            <v/>
          </cell>
          <cell r="E967" t="str">
            <v/>
          </cell>
          <cell r="F967" t="str">
            <v>Pcs</v>
          </cell>
          <cell r="G967">
            <v>234</v>
          </cell>
          <cell r="H967" t="str">
            <v/>
          </cell>
          <cell r="I967">
            <v>0</v>
          </cell>
          <cell r="J967">
            <v>12</v>
          </cell>
          <cell r="K967">
            <v>222</v>
          </cell>
          <cell r="L967">
            <v>6000</v>
          </cell>
          <cell r="M967">
            <v>1332000</v>
          </cell>
        </row>
        <row r="968">
          <cell r="A968">
            <v>859</v>
          </cell>
          <cell r="B968" t="str">
            <v/>
          </cell>
          <cell r="C968" t="str">
            <v>GLENFIDICH 12YRS WHISKY 350ML</v>
          </cell>
          <cell r="D968" t="str">
            <v/>
          </cell>
          <cell r="E968" t="str">
            <v/>
          </cell>
          <cell r="F968" t="str">
            <v>Pcs</v>
          </cell>
          <cell r="G968">
            <v>2</v>
          </cell>
          <cell r="H968" t="str">
            <v/>
          </cell>
          <cell r="I968">
            <v>0</v>
          </cell>
          <cell r="J968">
            <v>0</v>
          </cell>
          <cell r="K968">
            <v>2</v>
          </cell>
          <cell r="L968">
            <v>2024</v>
          </cell>
          <cell r="M968">
            <v>4048</v>
          </cell>
        </row>
        <row r="969">
          <cell r="A969">
            <v>860</v>
          </cell>
          <cell r="B969" t="str">
            <v/>
          </cell>
          <cell r="C969" t="str">
            <v>GLENFIDICH 12YRS WHISKY 700ML</v>
          </cell>
          <cell r="D969" t="str">
            <v/>
          </cell>
          <cell r="E969" t="str">
            <v/>
          </cell>
          <cell r="F969" t="str">
            <v>Pcs</v>
          </cell>
          <cell r="G969">
            <v>1</v>
          </cell>
          <cell r="H969" t="str">
            <v/>
          </cell>
          <cell r="I969">
            <v>3</v>
          </cell>
          <cell r="J969">
            <v>3</v>
          </cell>
          <cell r="K969">
            <v>1</v>
          </cell>
          <cell r="L969">
            <v>3470</v>
          </cell>
          <cell r="M969">
            <v>3470</v>
          </cell>
        </row>
        <row r="970">
          <cell r="A970">
            <v>861</v>
          </cell>
          <cell r="B970" t="str">
            <v/>
          </cell>
          <cell r="C970" t="str">
            <v>GLENFIDICH 15YRS WHISKY 1LTR</v>
          </cell>
          <cell r="D970" t="str">
            <v/>
          </cell>
          <cell r="E970" t="str">
            <v/>
          </cell>
          <cell r="F970" t="str">
            <v>Pcs</v>
          </cell>
          <cell r="G970">
            <v>204</v>
          </cell>
          <cell r="H970" t="str">
            <v/>
          </cell>
          <cell r="I970">
            <v>0</v>
          </cell>
          <cell r="J970">
            <v>0</v>
          </cell>
          <cell r="K970">
            <v>204</v>
          </cell>
          <cell r="L970">
            <v>9800</v>
          </cell>
          <cell r="M970">
            <v>1999200</v>
          </cell>
        </row>
        <row r="971">
          <cell r="A971">
            <v>862</v>
          </cell>
          <cell r="B971" t="str">
            <v/>
          </cell>
          <cell r="C971" t="str">
            <v>GLENGRANT 12YRS  MALT SCOTCH WHISKY 700ML</v>
          </cell>
          <cell r="D971" t="str">
            <v/>
          </cell>
          <cell r="E971" t="str">
            <v/>
          </cell>
          <cell r="F971" t="str">
            <v>Pcs</v>
          </cell>
          <cell r="G971">
            <v>12</v>
          </cell>
          <cell r="H971" t="str">
            <v/>
          </cell>
          <cell r="I971">
            <v>0</v>
          </cell>
          <cell r="J971">
            <v>0</v>
          </cell>
          <cell r="K971">
            <v>12</v>
          </cell>
          <cell r="L971">
            <v>4000</v>
          </cell>
          <cell r="M971">
            <v>48000</v>
          </cell>
        </row>
        <row r="972">
          <cell r="A972">
            <v>2190</v>
          </cell>
          <cell r="B972" t="str">
            <v/>
          </cell>
          <cell r="C972" t="str">
            <v>GLENMORANGIE 10YRS 1LTR</v>
          </cell>
          <cell r="D972" t="str">
            <v/>
          </cell>
          <cell r="E972" t="str">
            <v/>
          </cell>
          <cell r="F972" t="str">
            <v>Pcs</v>
          </cell>
          <cell r="G972">
            <v>0</v>
          </cell>
          <cell r="H972" t="str">
            <v/>
          </cell>
          <cell r="I972">
            <v>0</v>
          </cell>
          <cell r="J972">
            <v>0</v>
          </cell>
          <cell r="K972">
            <v>0</v>
          </cell>
          <cell r="L972">
            <v>6800</v>
          </cell>
          <cell r="M972">
            <v>0</v>
          </cell>
        </row>
        <row r="973">
          <cell r="A973">
            <v>873</v>
          </cell>
          <cell r="B973" t="str">
            <v/>
          </cell>
          <cell r="C973" t="str">
            <v>GLENMORANGIE 10YRS ORIGINAL WHISKY 750ML</v>
          </cell>
          <cell r="D973" t="str">
            <v/>
          </cell>
          <cell r="E973" t="str">
            <v/>
          </cell>
          <cell r="F973" t="str">
            <v>Pcs</v>
          </cell>
          <cell r="G973">
            <v>10</v>
          </cell>
          <cell r="H973" t="str">
            <v/>
          </cell>
          <cell r="I973">
            <v>0</v>
          </cell>
          <cell r="J973">
            <v>10</v>
          </cell>
          <cell r="K973">
            <v>0</v>
          </cell>
          <cell r="L973">
            <v>4600</v>
          </cell>
          <cell r="M973">
            <v>0</v>
          </cell>
        </row>
        <row r="974">
          <cell r="A974">
            <v>868</v>
          </cell>
          <cell r="B974" t="str">
            <v/>
          </cell>
          <cell r="C974" t="str">
            <v>GLENMORANGIE 12YRS 1LTR</v>
          </cell>
          <cell r="D974" t="str">
            <v/>
          </cell>
          <cell r="E974" t="str">
            <v/>
          </cell>
          <cell r="F974" t="str">
            <v>Pcs</v>
          </cell>
          <cell r="G974">
            <v>0</v>
          </cell>
          <cell r="H974" t="str">
            <v/>
          </cell>
          <cell r="I974">
            <v>0</v>
          </cell>
          <cell r="J974">
            <v>0</v>
          </cell>
          <cell r="K974">
            <v>0</v>
          </cell>
          <cell r="L974">
            <v>8800</v>
          </cell>
          <cell r="M974">
            <v>0</v>
          </cell>
        </row>
        <row r="975">
          <cell r="A975">
            <v>2191</v>
          </cell>
          <cell r="B975" t="str">
            <v/>
          </cell>
          <cell r="C975" t="str">
            <v>GLENMORANGIE 12YRS 700ML</v>
          </cell>
          <cell r="D975" t="str">
            <v/>
          </cell>
          <cell r="E975" t="str">
            <v/>
          </cell>
          <cell r="F975" t="str">
            <v>Pcs</v>
          </cell>
          <cell r="G975">
            <v>0</v>
          </cell>
          <cell r="H975" t="str">
            <v/>
          </cell>
          <cell r="I975">
            <v>0</v>
          </cell>
          <cell r="J975">
            <v>0</v>
          </cell>
          <cell r="K975">
            <v>0</v>
          </cell>
          <cell r="L975">
            <v>6300</v>
          </cell>
          <cell r="M975">
            <v>0</v>
          </cell>
        </row>
        <row r="976">
          <cell r="A976">
            <v>869</v>
          </cell>
          <cell r="B976" t="str">
            <v/>
          </cell>
          <cell r="C976" t="str">
            <v>GLENMORANGIE 18YRS WHISKY EXTREME  700ML</v>
          </cell>
          <cell r="D976" t="str">
            <v/>
          </cell>
          <cell r="E976" t="str">
            <v/>
          </cell>
          <cell r="F976" t="str">
            <v>Pcs</v>
          </cell>
          <cell r="G976">
            <v>12</v>
          </cell>
          <cell r="H976" t="str">
            <v/>
          </cell>
          <cell r="I976">
            <v>0</v>
          </cell>
          <cell r="J976">
            <v>0</v>
          </cell>
          <cell r="K976">
            <v>12</v>
          </cell>
          <cell r="L976">
            <v>11960</v>
          </cell>
          <cell r="M976">
            <v>143520</v>
          </cell>
        </row>
        <row r="977">
          <cell r="A977">
            <v>870</v>
          </cell>
          <cell r="B977" t="str">
            <v/>
          </cell>
          <cell r="C977" t="str">
            <v>GLENMORANGIE 19YRS WHISKY 700ML</v>
          </cell>
          <cell r="D977" t="str">
            <v/>
          </cell>
          <cell r="E977" t="str">
            <v/>
          </cell>
          <cell r="F977" t="str">
            <v>Pcs</v>
          </cell>
          <cell r="G977">
            <v>0</v>
          </cell>
          <cell r="H977" t="str">
            <v/>
          </cell>
          <cell r="I977">
            <v>0</v>
          </cell>
          <cell r="J977">
            <v>0</v>
          </cell>
          <cell r="K977">
            <v>0</v>
          </cell>
          <cell r="L977">
            <v>14720</v>
          </cell>
          <cell r="M977">
            <v>0</v>
          </cell>
        </row>
        <row r="978">
          <cell r="A978">
            <v>2354</v>
          </cell>
          <cell r="B978" t="str">
            <v/>
          </cell>
          <cell r="C978" t="str">
            <v>GLENMORANGIE LASANTA 12YRS 750ML</v>
          </cell>
          <cell r="D978" t="str">
            <v/>
          </cell>
          <cell r="E978" t="str">
            <v/>
          </cell>
          <cell r="F978" t="str">
            <v>Pcs</v>
          </cell>
          <cell r="G978">
            <v>0</v>
          </cell>
          <cell r="H978" t="str">
            <v/>
          </cell>
          <cell r="I978">
            <v>0</v>
          </cell>
          <cell r="J978">
            <v>0</v>
          </cell>
          <cell r="K978">
            <v>0</v>
          </cell>
          <cell r="L978">
            <v>5300</v>
          </cell>
          <cell r="M978">
            <v>0</v>
          </cell>
        </row>
        <row r="979">
          <cell r="A979">
            <v>871</v>
          </cell>
          <cell r="B979" t="str">
            <v/>
          </cell>
          <cell r="C979" t="str">
            <v>GLENMORANGIE NECTAR D'OR 700ML</v>
          </cell>
          <cell r="D979" t="str">
            <v/>
          </cell>
          <cell r="E979" t="str">
            <v/>
          </cell>
          <cell r="F979" t="str">
            <v>Pcs</v>
          </cell>
          <cell r="G979">
            <v>2</v>
          </cell>
          <cell r="H979" t="str">
            <v/>
          </cell>
          <cell r="I979">
            <v>0</v>
          </cell>
          <cell r="J979">
            <v>0</v>
          </cell>
          <cell r="K979">
            <v>2</v>
          </cell>
          <cell r="L979">
            <v>5520</v>
          </cell>
          <cell r="M979">
            <v>11040</v>
          </cell>
        </row>
        <row r="980">
          <cell r="A980">
            <v>872</v>
          </cell>
          <cell r="B980" t="str">
            <v/>
          </cell>
          <cell r="C980" t="str">
            <v>GLENMORANGIE ORIGINAL 10YRS 1LTR</v>
          </cell>
          <cell r="D980" t="str">
            <v/>
          </cell>
          <cell r="E980" t="str">
            <v/>
          </cell>
          <cell r="F980" t="str">
            <v>Pcs</v>
          </cell>
          <cell r="G980">
            <v>72</v>
          </cell>
          <cell r="H980" t="str">
            <v/>
          </cell>
          <cell r="I980">
            <v>0</v>
          </cell>
          <cell r="J980">
            <v>12</v>
          </cell>
          <cell r="K980">
            <v>60</v>
          </cell>
          <cell r="L980">
            <v>6440</v>
          </cell>
          <cell r="M980">
            <v>386400</v>
          </cell>
        </row>
        <row r="981">
          <cell r="A981">
            <v>875</v>
          </cell>
          <cell r="B981" t="str">
            <v/>
          </cell>
          <cell r="C981" t="str">
            <v>GLENMORANGIE QUINTA RUBAN 700ML</v>
          </cell>
          <cell r="D981" t="str">
            <v/>
          </cell>
          <cell r="E981" t="str">
            <v/>
          </cell>
          <cell r="F981" t="str">
            <v>Pcs</v>
          </cell>
          <cell r="G981">
            <v>0</v>
          </cell>
          <cell r="H981" t="str">
            <v/>
          </cell>
          <cell r="I981">
            <v>0</v>
          </cell>
          <cell r="J981">
            <v>0</v>
          </cell>
          <cell r="K981">
            <v>0</v>
          </cell>
          <cell r="L981">
            <v>5336</v>
          </cell>
          <cell r="M981">
            <v>0</v>
          </cell>
        </row>
        <row r="982">
          <cell r="A982">
            <v>876</v>
          </cell>
          <cell r="B982" t="str">
            <v/>
          </cell>
          <cell r="C982" t="str">
            <v>GLENMORANGIE X 700ML</v>
          </cell>
          <cell r="D982" t="str">
            <v/>
          </cell>
          <cell r="E982" t="str">
            <v/>
          </cell>
          <cell r="F982" t="str">
            <v>Pcs</v>
          </cell>
          <cell r="G982">
            <v>138</v>
          </cell>
          <cell r="H982" t="str">
            <v/>
          </cell>
          <cell r="I982">
            <v>0</v>
          </cell>
          <cell r="J982">
            <v>0</v>
          </cell>
          <cell r="K982">
            <v>138</v>
          </cell>
          <cell r="L982">
            <v>5300</v>
          </cell>
          <cell r="M982">
            <v>731400</v>
          </cell>
        </row>
        <row r="983">
          <cell r="A983">
            <v>2967</v>
          </cell>
          <cell r="B983" t="str">
            <v/>
          </cell>
          <cell r="C983" t="str">
            <v>GLEN SCANLAN 4.5L</v>
          </cell>
          <cell r="D983" t="str">
            <v/>
          </cell>
          <cell r="E983" t="str">
            <v/>
          </cell>
          <cell r="F983" t="str">
            <v>Pcs</v>
          </cell>
          <cell r="G983">
            <v>6</v>
          </cell>
          <cell r="H983" t="str">
            <v/>
          </cell>
          <cell r="I983">
            <v>0</v>
          </cell>
          <cell r="J983">
            <v>2</v>
          </cell>
          <cell r="K983">
            <v>4</v>
          </cell>
          <cell r="L983">
            <v>5875</v>
          </cell>
          <cell r="M983">
            <v>23500</v>
          </cell>
        </row>
        <row r="984">
          <cell r="A984">
            <v>2803</v>
          </cell>
          <cell r="B984" t="str">
            <v/>
          </cell>
          <cell r="C984" t="str">
            <v>GLEN SCANLAN LITRE</v>
          </cell>
          <cell r="D984" t="str">
            <v/>
          </cell>
          <cell r="E984" t="str">
            <v/>
          </cell>
          <cell r="F984" t="str">
            <v>Pcs</v>
          </cell>
          <cell r="G984">
            <v>180</v>
          </cell>
          <cell r="H984" t="str">
            <v/>
          </cell>
          <cell r="I984">
            <v>0</v>
          </cell>
          <cell r="J984">
            <v>0</v>
          </cell>
          <cell r="K984">
            <v>180</v>
          </cell>
          <cell r="L984">
            <v>1345</v>
          </cell>
          <cell r="M984">
            <v>242100</v>
          </cell>
        </row>
        <row r="985">
          <cell r="A985">
            <v>2274</v>
          </cell>
          <cell r="B985" t="str">
            <v/>
          </cell>
          <cell r="C985" t="str">
            <v>GLEN SILVER'S 8YRS 700ML</v>
          </cell>
          <cell r="D985" t="str">
            <v/>
          </cell>
          <cell r="E985" t="str">
            <v/>
          </cell>
          <cell r="F985" t="str">
            <v>Pcs</v>
          </cell>
          <cell r="G985">
            <v>0</v>
          </cell>
          <cell r="H985" t="str">
            <v/>
          </cell>
          <cell r="I985">
            <v>0</v>
          </cell>
          <cell r="J985">
            <v>0</v>
          </cell>
          <cell r="K985">
            <v>0</v>
          </cell>
          <cell r="L985">
            <v>2900</v>
          </cell>
          <cell r="M985">
            <v>0</v>
          </cell>
        </row>
        <row r="986">
          <cell r="A986">
            <v>910</v>
          </cell>
          <cell r="B986" t="str">
            <v/>
          </cell>
          <cell r="C986" t="str">
            <v>GRANTS 12YRS WHISKY 750ML </v>
          </cell>
          <cell r="D986" t="str">
            <v/>
          </cell>
          <cell r="E986" t="str">
            <v/>
          </cell>
          <cell r="F986" t="str">
            <v>Pcs</v>
          </cell>
          <cell r="G986">
            <v>0</v>
          </cell>
          <cell r="H986" t="str">
            <v/>
          </cell>
          <cell r="I986">
            <v>0</v>
          </cell>
          <cell r="J986">
            <v>0</v>
          </cell>
          <cell r="K986">
            <v>0</v>
          </cell>
          <cell r="L986">
            <v>2944</v>
          </cell>
          <cell r="M986">
            <v>0</v>
          </cell>
        </row>
        <row r="987">
          <cell r="A987">
            <v>906</v>
          </cell>
          <cell r="B987" t="str">
            <v/>
          </cell>
          <cell r="C987" t="str">
            <v>GRANT'S 375ML</v>
          </cell>
          <cell r="D987" t="str">
            <v/>
          </cell>
          <cell r="E987" t="str">
            <v/>
          </cell>
          <cell r="F987" t="str">
            <v>Pcs</v>
          </cell>
          <cell r="G987">
            <v>0</v>
          </cell>
          <cell r="H987" t="str">
            <v/>
          </cell>
          <cell r="I987">
            <v>0</v>
          </cell>
          <cell r="J987">
            <v>0</v>
          </cell>
          <cell r="K987">
            <v>0</v>
          </cell>
          <cell r="L987">
            <v>680</v>
          </cell>
          <cell r="M987">
            <v>0</v>
          </cell>
        </row>
        <row r="988">
          <cell r="A988">
            <v>911</v>
          </cell>
          <cell r="B988" t="str">
            <v/>
          </cell>
          <cell r="C988" t="str">
            <v>GRANTS SELECT WHISKY 750ML</v>
          </cell>
          <cell r="D988" t="str">
            <v/>
          </cell>
          <cell r="E988" t="str">
            <v/>
          </cell>
          <cell r="F988" t="str">
            <v>Pcs</v>
          </cell>
          <cell r="G988">
            <v>0</v>
          </cell>
          <cell r="H988" t="str">
            <v/>
          </cell>
          <cell r="I988">
            <v>0</v>
          </cell>
          <cell r="J988">
            <v>0</v>
          </cell>
          <cell r="K988">
            <v>0</v>
          </cell>
          <cell r="L988">
            <v>1840</v>
          </cell>
          <cell r="M988">
            <v>0</v>
          </cell>
        </row>
        <row r="989">
          <cell r="A989">
            <v>2949</v>
          </cell>
          <cell r="B989" t="str">
            <v/>
          </cell>
          <cell r="C989" t="str">
            <v>GRANTS SUMMER ORANGE 700ML</v>
          </cell>
          <cell r="D989" t="str">
            <v/>
          </cell>
          <cell r="E989" t="str">
            <v/>
          </cell>
          <cell r="F989" t="str">
            <v>Pcs</v>
          </cell>
          <cell r="G989">
            <v>15</v>
          </cell>
          <cell r="H989" t="str">
            <v/>
          </cell>
          <cell r="I989">
            <v>0</v>
          </cell>
          <cell r="J989">
            <v>12</v>
          </cell>
          <cell r="K989">
            <v>3</v>
          </cell>
          <cell r="L989">
            <v>1400</v>
          </cell>
          <cell r="M989">
            <v>4200</v>
          </cell>
        </row>
        <row r="990">
          <cell r="A990">
            <v>912</v>
          </cell>
          <cell r="B990" t="str">
            <v/>
          </cell>
          <cell r="C990" t="str">
            <v>GRANTS TRIPPLE WOOD (WITH GLASS) 1LTR</v>
          </cell>
          <cell r="D990" t="str">
            <v/>
          </cell>
          <cell r="E990" t="str">
            <v/>
          </cell>
          <cell r="F990" t="str">
            <v>Pcs</v>
          </cell>
          <cell r="G990">
            <v>24</v>
          </cell>
          <cell r="H990" t="str">
            <v/>
          </cell>
          <cell r="I990">
            <v>120</v>
          </cell>
          <cell r="J990">
            <v>144</v>
          </cell>
          <cell r="K990">
            <v>0</v>
          </cell>
          <cell r="L990">
            <v>1800</v>
          </cell>
          <cell r="M990">
            <v>0</v>
          </cell>
        </row>
        <row r="991">
          <cell r="A991">
            <v>913</v>
          </cell>
          <cell r="B991" t="str">
            <v/>
          </cell>
          <cell r="C991" t="str">
            <v>GRANTS WITH GLASS 750ML</v>
          </cell>
          <cell r="D991" t="str">
            <v/>
          </cell>
          <cell r="E991" t="str">
            <v/>
          </cell>
          <cell r="F991" t="str">
            <v>Pcs</v>
          </cell>
          <cell r="G991">
            <v>0</v>
          </cell>
          <cell r="H991" t="str">
            <v/>
          </cell>
          <cell r="I991">
            <v>120</v>
          </cell>
          <cell r="J991">
            <v>120</v>
          </cell>
          <cell r="K991">
            <v>0</v>
          </cell>
          <cell r="L991">
            <v>1750</v>
          </cell>
          <cell r="M991">
            <v>0</v>
          </cell>
        </row>
        <row r="992">
          <cell r="A992">
            <v>2454</v>
          </cell>
          <cell r="B992" t="str">
            <v/>
          </cell>
          <cell r="C992" t="str">
            <v>GRANTS WITHOUT GLASS 1LTR</v>
          </cell>
          <cell r="D992" t="str">
            <v/>
          </cell>
          <cell r="E992" t="str">
            <v/>
          </cell>
          <cell r="F992" t="str">
            <v>Pcs</v>
          </cell>
          <cell r="G992">
            <v>0</v>
          </cell>
          <cell r="H992" t="str">
            <v/>
          </cell>
          <cell r="I992">
            <v>0</v>
          </cell>
          <cell r="J992">
            <v>0</v>
          </cell>
          <cell r="K992">
            <v>0</v>
          </cell>
          <cell r="L992">
            <v>1650</v>
          </cell>
          <cell r="M992">
            <v>0</v>
          </cell>
        </row>
        <row r="993">
          <cell r="A993">
            <v>908</v>
          </cell>
          <cell r="B993" t="str">
            <v/>
          </cell>
          <cell r="C993" t="str">
            <v>GRANT'S WITHOUT GLASS 750ML </v>
          </cell>
          <cell r="D993" t="str">
            <v/>
          </cell>
          <cell r="E993" t="str">
            <v/>
          </cell>
          <cell r="F993" t="str">
            <v>Pcs</v>
          </cell>
          <cell r="G993">
            <v>0</v>
          </cell>
          <cell r="H993" t="str">
            <v/>
          </cell>
          <cell r="I993">
            <v>0</v>
          </cell>
          <cell r="J993">
            <v>0</v>
          </cell>
          <cell r="K993">
            <v>0</v>
          </cell>
          <cell r="L993">
            <v>1080</v>
          </cell>
          <cell r="M993">
            <v>0</v>
          </cell>
        </row>
        <row r="994">
          <cell r="A994">
            <v>933</v>
          </cell>
          <cell r="B994" t="str">
            <v/>
          </cell>
          <cell r="C994" t="str">
            <v>HAMPTON DRAM WHISKY 750ML</v>
          </cell>
          <cell r="D994" t="str">
            <v/>
          </cell>
          <cell r="E994" t="str">
            <v/>
          </cell>
          <cell r="F994" t="str">
            <v>Pcs</v>
          </cell>
          <cell r="G994">
            <v>0</v>
          </cell>
          <cell r="H994" t="str">
            <v/>
          </cell>
          <cell r="I994">
            <v>0</v>
          </cell>
          <cell r="J994">
            <v>0</v>
          </cell>
          <cell r="K994">
            <v>0</v>
          </cell>
          <cell r="L994">
            <v>1223</v>
          </cell>
          <cell r="M994">
            <v>0</v>
          </cell>
        </row>
        <row r="995">
          <cell r="A995">
            <v>938</v>
          </cell>
          <cell r="B995" t="str">
            <v/>
          </cell>
          <cell r="C995" t="str">
            <v>HARRINGTON SCOTCH WHISKY 750ML</v>
          </cell>
          <cell r="D995" t="str">
            <v/>
          </cell>
          <cell r="E995" t="str">
            <v/>
          </cell>
          <cell r="F995" t="str">
            <v>Pcs</v>
          </cell>
          <cell r="G995">
            <v>0</v>
          </cell>
          <cell r="H995" t="str">
            <v/>
          </cell>
          <cell r="I995">
            <v>0</v>
          </cell>
          <cell r="J995">
            <v>0</v>
          </cell>
          <cell r="K995">
            <v>0</v>
          </cell>
          <cell r="L995">
            <v>2300</v>
          </cell>
          <cell r="M995">
            <v>0</v>
          </cell>
        </row>
        <row r="996">
          <cell r="A996">
            <v>937</v>
          </cell>
          <cell r="B996" t="str">
            <v/>
          </cell>
          <cell r="C996" t="str">
            <v>HARRINGTON  WHISKY 750ML</v>
          </cell>
          <cell r="D996" t="str">
            <v/>
          </cell>
          <cell r="E996" t="str">
            <v/>
          </cell>
          <cell r="F996" t="str">
            <v>Pcs</v>
          </cell>
          <cell r="G996">
            <v>0</v>
          </cell>
          <cell r="H996" t="str">
            <v/>
          </cell>
          <cell r="I996">
            <v>0</v>
          </cell>
          <cell r="J996">
            <v>0</v>
          </cell>
          <cell r="K996">
            <v>0</v>
          </cell>
          <cell r="L996">
            <v>1748</v>
          </cell>
          <cell r="M996">
            <v>0</v>
          </cell>
        </row>
        <row r="997">
          <cell r="A997">
            <v>984</v>
          </cell>
          <cell r="B997" t="str">
            <v/>
          </cell>
          <cell r="C997" t="str">
            <v>HIBIKI SUNTORY WHISKY JAPANESE 700ML</v>
          </cell>
          <cell r="D997" t="str">
            <v/>
          </cell>
          <cell r="E997" t="str">
            <v/>
          </cell>
          <cell r="F997" t="str">
            <v>Pcs</v>
          </cell>
          <cell r="G997">
            <v>0</v>
          </cell>
          <cell r="H997" t="str">
            <v/>
          </cell>
          <cell r="I997">
            <v>0</v>
          </cell>
          <cell r="J997">
            <v>0</v>
          </cell>
          <cell r="K997">
            <v>0</v>
          </cell>
          <cell r="L997">
            <v>23000</v>
          </cell>
          <cell r="M997">
            <v>0</v>
          </cell>
        </row>
        <row r="998">
          <cell r="A998">
            <v>2344</v>
          </cell>
          <cell r="B998" t="str">
            <v/>
          </cell>
          <cell r="C998" t="str">
            <v>HIGH COMMISSIONER  1LTR</v>
          </cell>
          <cell r="D998" t="str">
            <v/>
          </cell>
          <cell r="E998" t="str">
            <v/>
          </cell>
          <cell r="F998" t="str">
            <v>Pcs</v>
          </cell>
          <cell r="G998">
            <v>1</v>
          </cell>
          <cell r="H998" t="str">
            <v/>
          </cell>
          <cell r="I998">
            <v>0</v>
          </cell>
          <cell r="J998">
            <v>1</v>
          </cell>
          <cell r="K998">
            <v>0</v>
          </cell>
          <cell r="L998">
            <v>1100</v>
          </cell>
          <cell r="M998">
            <v>0</v>
          </cell>
        </row>
        <row r="999">
          <cell r="A999">
            <v>988</v>
          </cell>
          <cell r="B999" t="str">
            <v/>
          </cell>
          <cell r="C999" t="str">
            <v>HIGHLAND PARK SINGLE MALT 700ML</v>
          </cell>
          <cell r="D999" t="str">
            <v/>
          </cell>
          <cell r="E999" t="str">
            <v/>
          </cell>
          <cell r="F999" t="str">
            <v>Pcs</v>
          </cell>
          <cell r="G999">
            <v>0</v>
          </cell>
          <cell r="H999" t="str">
            <v/>
          </cell>
          <cell r="I999">
            <v>0</v>
          </cell>
          <cell r="J999">
            <v>0</v>
          </cell>
          <cell r="K999">
            <v>0</v>
          </cell>
          <cell r="L999">
            <v>13800</v>
          </cell>
          <cell r="M999">
            <v>0</v>
          </cell>
        </row>
        <row r="1000">
          <cell r="A1000">
            <v>989</v>
          </cell>
          <cell r="B1000" t="str">
            <v/>
          </cell>
          <cell r="C1000" t="str">
            <v>HIGHLAND QUEEN WHISKY 1LTR</v>
          </cell>
          <cell r="D1000" t="str">
            <v/>
          </cell>
          <cell r="E1000" t="str">
            <v/>
          </cell>
          <cell r="F1000" t="str">
            <v>Pcs</v>
          </cell>
          <cell r="G1000">
            <v>0</v>
          </cell>
          <cell r="H1000" t="str">
            <v/>
          </cell>
          <cell r="I1000">
            <v>0</v>
          </cell>
          <cell r="J1000">
            <v>0</v>
          </cell>
          <cell r="K1000">
            <v>0</v>
          </cell>
          <cell r="L1000">
            <v>1100</v>
          </cell>
          <cell r="M1000">
            <v>0</v>
          </cell>
        </row>
        <row r="1001">
          <cell r="A1001">
            <v>992</v>
          </cell>
          <cell r="B1001" t="str">
            <v/>
          </cell>
          <cell r="C1001" t="str">
            <v>HUNTERS 250 ML</v>
          </cell>
          <cell r="D1001" t="str">
            <v/>
          </cell>
          <cell r="E1001" t="str">
            <v/>
          </cell>
          <cell r="F1001" t="str">
            <v>Pcs</v>
          </cell>
          <cell r="G1001">
            <v>144</v>
          </cell>
          <cell r="H1001" t="str">
            <v/>
          </cell>
          <cell r="I1001">
            <v>1080</v>
          </cell>
          <cell r="J1001">
            <v>792</v>
          </cell>
          <cell r="K1001">
            <v>432</v>
          </cell>
          <cell r="L1001">
            <v>290.97</v>
          </cell>
          <cell r="M1001">
            <v>125699.04</v>
          </cell>
        </row>
        <row r="1002">
          <cell r="A1002">
            <v>993</v>
          </cell>
          <cell r="B1002" t="str">
            <v/>
          </cell>
          <cell r="C1002" t="str">
            <v>HUNTERS 350 ML</v>
          </cell>
          <cell r="D1002" t="str">
            <v/>
          </cell>
          <cell r="E1002" t="str">
            <v/>
          </cell>
          <cell r="F1002" t="str">
            <v>Pcs</v>
          </cell>
          <cell r="G1002">
            <v>0</v>
          </cell>
          <cell r="H1002" t="str">
            <v/>
          </cell>
          <cell r="I1002">
            <v>600</v>
          </cell>
          <cell r="J1002">
            <v>468</v>
          </cell>
          <cell r="K1002">
            <v>132</v>
          </cell>
          <cell r="L1002">
            <v>418.55</v>
          </cell>
          <cell r="M1002">
            <v>55248.6</v>
          </cell>
        </row>
        <row r="1003">
          <cell r="A1003">
            <v>994</v>
          </cell>
          <cell r="B1003" t="str">
            <v/>
          </cell>
          <cell r="C1003" t="str">
            <v>HUNTERS 750 ML</v>
          </cell>
          <cell r="D1003" t="str">
            <v/>
          </cell>
          <cell r="E1003" t="str">
            <v/>
          </cell>
          <cell r="F1003" t="str">
            <v>Pcs</v>
          </cell>
          <cell r="G1003">
            <v>48</v>
          </cell>
          <cell r="H1003" t="str">
            <v/>
          </cell>
          <cell r="I1003">
            <v>540</v>
          </cell>
          <cell r="J1003">
            <v>408</v>
          </cell>
          <cell r="K1003">
            <v>180</v>
          </cell>
          <cell r="L1003">
            <v>884.96</v>
          </cell>
          <cell r="M1003">
            <v>159292.8</v>
          </cell>
        </row>
        <row r="1004">
          <cell r="A1004">
            <v>1003</v>
          </cell>
          <cell r="B1004" t="str">
            <v/>
          </cell>
          <cell r="C1004" t="str">
            <v>HUNTING LODGE WHISKY 1LTR</v>
          </cell>
          <cell r="D1004" t="str">
            <v/>
          </cell>
          <cell r="E1004" t="str">
            <v/>
          </cell>
          <cell r="F1004" t="str">
            <v>Pcs</v>
          </cell>
          <cell r="G1004">
            <v>0</v>
          </cell>
          <cell r="H1004" t="str">
            <v/>
          </cell>
          <cell r="I1004">
            <v>0</v>
          </cell>
          <cell r="J1004">
            <v>0</v>
          </cell>
          <cell r="K1004">
            <v>0</v>
          </cell>
          <cell r="L1004">
            <v>1215</v>
          </cell>
          <cell r="M1004">
            <v>0</v>
          </cell>
        </row>
        <row r="1005">
          <cell r="A1005">
            <v>1004</v>
          </cell>
          <cell r="B1005" t="str">
            <v/>
          </cell>
          <cell r="C1005" t="str">
            <v>HUNTING LODGE WHISKY 750ML</v>
          </cell>
          <cell r="D1005" t="str">
            <v/>
          </cell>
          <cell r="E1005" t="str">
            <v/>
          </cell>
          <cell r="F1005" t="str">
            <v>Pcs</v>
          </cell>
          <cell r="G1005">
            <v>18</v>
          </cell>
          <cell r="H1005" t="str">
            <v/>
          </cell>
          <cell r="I1005">
            <v>0</v>
          </cell>
          <cell r="J1005">
            <v>12</v>
          </cell>
          <cell r="K1005">
            <v>6</v>
          </cell>
          <cell r="L1005">
            <v>865</v>
          </cell>
          <cell r="M1005">
            <v>5190</v>
          </cell>
        </row>
        <row r="1006">
          <cell r="A1006">
            <v>1007</v>
          </cell>
          <cell r="B1006" t="str">
            <v/>
          </cell>
          <cell r="C1006" t="str">
            <v>IMPERIAL BLUE WHISKY 750ML</v>
          </cell>
          <cell r="D1006" t="str">
            <v/>
          </cell>
          <cell r="E1006" t="str">
            <v/>
          </cell>
          <cell r="F1006" t="str">
            <v>Pcs</v>
          </cell>
          <cell r="G1006">
            <v>0</v>
          </cell>
          <cell r="H1006" t="str">
            <v/>
          </cell>
          <cell r="I1006">
            <v>0</v>
          </cell>
          <cell r="J1006">
            <v>0</v>
          </cell>
          <cell r="K1006">
            <v>0</v>
          </cell>
          <cell r="L1006">
            <v>807.52</v>
          </cell>
          <cell r="M1006">
            <v>0</v>
          </cell>
        </row>
        <row r="1007">
          <cell r="A1007">
            <v>2577</v>
          </cell>
          <cell r="B1007" t="str">
            <v/>
          </cell>
          <cell r="C1007" t="str">
            <v>INDEPENDENCE BLENDED IRISH 700ML</v>
          </cell>
          <cell r="D1007" t="str">
            <v/>
          </cell>
          <cell r="E1007" t="str">
            <v/>
          </cell>
          <cell r="F1007" t="str">
            <v>Pcs</v>
          </cell>
          <cell r="G1007">
            <v>369</v>
          </cell>
          <cell r="H1007" t="str">
            <v/>
          </cell>
          <cell r="I1007">
            <v>0</v>
          </cell>
          <cell r="J1007">
            <v>12</v>
          </cell>
          <cell r="K1007">
            <v>357</v>
          </cell>
          <cell r="L1007">
            <v>2300</v>
          </cell>
          <cell r="M1007">
            <v>821100</v>
          </cell>
        </row>
        <row r="1008">
          <cell r="A1008">
            <v>2294</v>
          </cell>
          <cell r="B1008" t="str">
            <v/>
          </cell>
          <cell r="C1008" t="str">
            <v>IRISH  MIST 1LTR</v>
          </cell>
          <cell r="D1008" t="str">
            <v/>
          </cell>
          <cell r="E1008" t="str">
            <v/>
          </cell>
          <cell r="F1008" t="str">
            <v>Pcs</v>
          </cell>
          <cell r="G1008">
            <v>0</v>
          </cell>
          <cell r="H1008" t="str">
            <v/>
          </cell>
          <cell r="I1008">
            <v>0</v>
          </cell>
          <cell r="J1008">
            <v>0</v>
          </cell>
          <cell r="K1008">
            <v>0</v>
          </cell>
          <cell r="L1008">
            <v>3400</v>
          </cell>
          <cell r="M1008">
            <v>0</v>
          </cell>
        </row>
        <row r="1009">
          <cell r="A1009">
            <v>1014</v>
          </cell>
          <cell r="B1009" t="str">
            <v/>
          </cell>
          <cell r="C1009" t="str">
            <v>IWAI JAPANESE WHISKY 750ml</v>
          </cell>
          <cell r="D1009" t="str">
            <v/>
          </cell>
          <cell r="E1009" t="str">
            <v/>
          </cell>
          <cell r="F1009" t="str">
            <v>Pcs</v>
          </cell>
          <cell r="G1009">
            <v>0</v>
          </cell>
          <cell r="H1009" t="str">
            <v/>
          </cell>
          <cell r="I1009">
            <v>0</v>
          </cell>
          <cell r="J1009">
            <v>0</v>
          </cell>
          <cell r="K1009">
            <v>0</v>
          </cell>
          <cell r="L1009">
            <v>7820</v>
          </cell>
          <cell r="M1009">
            <v>0</v>
          </cell>
        </row>
        <row r="1010">
          <cell r="A1010">
            <v>1019</v>
          </cell>
          <cell r="B1010" t="str">
            <v/>
          </cell>
          <cell r="C1010" t="str">
            <v>JACK DANIEL FIRE WHISKY 750ML</v>
          </cell>
          <cell r="D1010" t="str">
            <v/>
          </cell>
          <cell r="E1010" t="str">
            <v/>
          </cell>
          <cell r="F1010" t="str">
            <v>Pcs</v>
          </cell>
          <cell r="G1010">
            <v>0</v>
          </cell>
          <cell r="H1010" t="str">
            <v/>
          </cell>
          <cell r="I1010">
            <v>0</v>
          </cell>
          <cell r="J1010">
            <v>0</v>
          </cell>
          <cell r="K1010">
            <v>0</v>
          </cell>
          <cell r="L1010">
            <v>1990</v>
          </cell>
          <cell r="M1010">
            <v>0</v>
          </cell>
        </row>
        <row r="1011">
          <cell r="A1011">
            <v>1020</v>
          </cell>
          <cell r="B1011" t="str">
            <v/>
          </cell>
          <cell r="C1011" t="str">
            <v>JACK DANIEL HONEY WHISKY 1LTR</v>
          </cell>
          <cell r="D1011" t="str">
            <v/>
          </cell>
          <cell r="E1011" t="str">
            <v/>
          </cell>
          <cell r="F1011" t="str">
            <v>Pcs</v>
          </cell>
          <cell r="G1011">
            <v>0</v>
          </cell>
          <cell r="H1011" t="str">
            <v/>
          </cell>
          <cell r="I1011">
            <v>60</v>
          </cell>
          <cell r="J1011">
            <v>54</v>
          </cell>
          <cell r="K1011">
            <v>6</v>
          </cell>
          <cell r="L1011">
            <v>2680</v>
          </cell>
          <cell r="M1011">
            <v>16080</v>
          </cell>
        </row>
        <row r="1012">
          <cell r="A1012">
            <v>2951</v>
          </cell>
          <cell r="B1012" t="str">
            <v/>
          </cell>
          <cell r="C1012" t="str">
            <v>JACK DANIELS 1.75L</v>
          </cell>
          <cell r="D1012" t="str">
            <v/>
          </cell>
          <cell r="E1012" t="str">
            <v/>
          </cell>
          <cell r="F1012" t="str">
            <v>Pcs</v>
          </cell>
          <cell r="G1012">
            <v>225</v>
          </cell>
          <cell r="H1012" t="str">
            <v/>
          </cell>
          <cell r="I1012">
            <v>0</v>
          </cell>
          <cell r="J1012">
            <v>41</v>
          </cell>
          <cell r="K1012">
            <v>184</v>
          </cell>
          <cell r="L1012">
            <v>4000</v>
          </cell>
          <cell r="M1012">
            <v>736000</v>
          </cell>
        </row>
        <row r="1013">
          <cell r="A1013">
            <v>1021</v>
          </cell>
          <cell r="B1013" t="str">
            <v/>
          </cell>
          <cell r="C1013" t="str">
            <v>JACK DANIEL'S 1LTR</v>
          </cell>
          <cell r="D1013" t="str">
            <v/>
          </cell>
          <cell r="E1013" t="str">
            <v/>
          </cell>
          <cell r="F1013" t="str">
            <v>Pcs</v>
          </cell>
          <cell r="G1013">
            <v>654</v>
          </cell>
          <cell r="H1013" t="str">
            <v/>
          </cell>
          <cell r="I1013">
            <v>0</v>
          </cell>
          <cell r="J1013">
            <v>508</v>
          </cell>
          <cell r="K1013">
            <v>146</v>
          </cell>
          <cell r="L1013">
            <v>2540</v>
          </cell>
          <cell r="M1013">
            <v>370840</v>
          </cell>
        </row>
        <row r="1014">
          <cell r="A1014">
            <v>1024</v>
          </cell>
          <cell r="B1014" t="str">
            <v/>
          </cell>
          <cell r="C1014" t="str">
            <v>JACK DANIELS 375 ML</v>
          </cell>
          <cell r="D1014" t="str">
            <v/>
          </cell>
          <cell r="E1014" t="str">
            <v/>
          </cell>
          <cell r="F1014" t="str">
            <v>Pcs</v>
          </cell>
          <cell r="G1014">
            <v>0</v>
          </cell>
          <cell r="H1014" t="str">
            <v/>
          </cell>
          <cell r="I1014">
            <v>6</v>
          </cell>
          <cell r="J1014">
            <v>6</v>
          </cell>
          <cell r="K1014">
            <v>0</v>
          </cell>
          <cell r="L1014">
            <v>1240</v>
          </cell>
          <cell r="M1014">
            <v>0</v>
          </cell>
        </row>
        <row r="1015">
          <cell r="A1015">
            <v>1023</v>
          </cell>
          <cell r="B1015" t="str">
            <v/>
          </cell>
          <cell r="C1015" t="str">
            <v>JACK DANIELS  700ML</v>
          </cell>
          <cell r="D1015" t="str">
            <v/>
          </cell>
          <cell r="E1015" t="str">
            <v/>
          </cell>
          <cell r="F1015" t="str">
            <v>Pcs</v>
          </cell>
          <cell r="G1015">
            <v>1041</v>
          </cell>
          <cell r="H1015" t="str">
            <v/>
          </cell>
          <cell r="I1015">
            <v>0</v>
          </cell>
          <cell r="J1015">
            <v>262</v>
          </cell>
          <cell r="K1015">
            <v>779</v>
          </cell>
          <cell r="L1015">
            <v>2500</v>
          </cell>
          <cell r="M1015">
            <v>1947500</v>
          </cell>
        </row>
        <row r="1016">
          <cell r="A1016">
            <v>1025</v>
          </cell>
          <cell r="B1016" t="str">
            <v/>
          </cell>
          <cell r="C1016" t="str">
            <v>JACK DANIELS APPLE 1LTR</v>
          </cell>
          <cell r="D1016" t="str">
            <v/>
          </cell>
          <cell r="E1016" t="str">
            <v/>
          </cell>
          <cell r="F1016" t="str">
            <v>Pcs</v>
          </cell>
          <cell r="G1016">
            <v>141</v>
          </cell>
          <cell r="H1016" t="str">
            <v/>
          </cell>
          <cell r="I1016">
            <v>0</v>
          </cell>
          <cell r="J1016">
            <v>12</v>
          </cell>
          <cell r="K1016">
            <v>129</v>
          </cell>
          <cell r="L1016">
            <v>2620</v>
          </cell>
          <cell r="M1016">
            <v>337980</v>
          </cell>
        </row>
        <row r="1017">
          <cell r="A1017">
            <v>1026</v>
          </cell>
          <cell r="B1017" t="str">
            <v/>
          </cell>
          <cell r="C1017" t="str">
            <v>JACK DANIELS APPLE 700ML</v>
          </cell>
          <cell r="D1017" t="str">
            <v/>
          </cell>
          <cell r="E1017" t="str">
            <v/>
          </cell>
          <cell r="F1017" t="str">
            <v>Pcs</v>
          </cell>
          <cell r="G1017">
            <v>0</v>
          </cell>
          <cell r="H1017" t="str">
            <v/>
          </cell>
          <cell r="I1017">
            <v>0</v>
          </cell>
          <cell r="J1017">
            <v>0</v>
          </cell>
          <cell r="K1017">
            <v>0</v>
          </cell>
          <cell r="L1017">
            <v>1990</v>
          </cell>
          <cell r="M1017">
            <v>0</v>
          </cell>
        </row>
        <row r="1018">
          <cell r="A1018">
            <v>2940</v>
          </cell>
          <cell r="B1018" t="str">
            <v/>
          </cell>
          <cell r="C1018" t="str">
            <v>JACK DANIELS BLACK BERRY 700ML</v>
          </cell>
          <cell r="D1018" t="str">
            <v/>
          </cell>
          <cell r="E1018" t="str">
            <v/>
          </cell>
          <cell r="F1018" t="str">
            <v>Pcs</v>
          </cell>
          <cell r="G1018">
            <v>208</v>
          </cell>
          <cell r="H1018" t="str">
            <v/>
          </cell>
          <cell r="I1018">
            <v>0</v>
          </cell>
          <cell r="J1018">
            <v>0</v>
          </cell>
          <cell r="K1018">
            <v>208</v>
          </cell>
          <cell r="L1018">
            <v>2700</v>
          </cell>
          <cell r="M1018">
            <v>561600</v>
          </cell>
        </row>
        <row r="1019">
          <cell r="A1019">
            <v>1028</v>
          </cell>
          <cell r="B1019" t="str">
            <v/>
          </cell>
          <cell r="C1019" t="str">
            <v>JACK DANIELS FINE OLD NO 7 LEGACY EDITION 3 WHISKY 700ML</v>
          </cell>
          <cell r="D1019" t="str">
            <v/>
          </cell>
          <cell r="E1019" t="str">
            <v/>
          </cell>
          <cell r="F1019" t="str">
            <v>Pcs</v>
          </cell>
          <cell r="G1019">
            <v>31</v>
          </cell>
          <cell r="H1019" t="str">
            <v/>
          </cell>
          <cell r="I1019">
            <v>0</v>
          </cell>
          <cell r="J1019">
            <v>0</v>
          </cell>
          <cell r="K1019">
            <v>31</v>
          </cell>
          <cell r="L1019">
            <v>2944</v>
          </cell>
          <cell r="M1019">
            <v>91264</v>
          </cell>
        </row>
        <row r="1020">
          <cell r="A1020">
            <v>1029</v>
          </cell>
          <cell r="B1020" t="str">
            <v/>
          </cell>
          <cell r="C1020" t="str">
            <v>JACK DANIELS FIRE 1LTR</v>
          </cell>
          <cell r="D1020" t="str">
            <v/>
          </cell>
          <cell r="E1020" t="str">
            <v/>
          </cell>
          <cell r="F1020" t="str">
            <v>Pcs</v>
          </cell>
          <cell r="G1020">
            <v>410</v>
          </cell>
          <cell r="H1020" t="str">
            <v/>
          </cell>
          <cell r="I1020">
            <v>0</v>
          </cell>
          <cell r="J1020">
            <v>42</v>
          </cell>
          <cell r="K1020">
            <v>368</v>
          </cell>
          <cell r="L1020">
            <v>2680</v>
          </cell>
          <cell r="M1020">
            <v>986240</v>
          </cell>
        </row>
        <row r="1021">
          <cell r="A1021">
            <v>1031</v>
          </cell>
          <cell r="B1021" t="str">
            <v/>
          </cell>
          <cell r="C1021" t="str">
            <v>JACK DANIELS HONEY WHISKY 700ML</v>
          </cell>
          <cell r="D1021" t="str">
            <v/>
          </cell>
          <cell r="E1021" t="str">
            <v/>
          </cell>
          <cell r="F1021" t="str">
            <v>Pcs</v>
          </cell>
          <cell r="G1021">
            <v>2</v>
          </cell>
          <cell r="H1021" t="str">
            <v/>
          </cell>
          <cell r="I1021">
            <v>0</v>
          </cell>
          <cell r="J1021">
            <v>2</v>
          </cell>
          <cell r="K1021">
            <v>0</v>
          </cell>
          <cell r="L1021">
            <v>2100</v>
          </cell>
          <cell r="M1021">
            <v>0</v>
          </cell>
        </row>
        <row r="1022">
          <cell r="A1022">
            <v>1032</v>
          </cell>
          <cell r="B1022" t="str">
            <v/>
          </cell>
          <cell r="C1022" t="str">
            <v>JACK DANIELS LEGACY EDITION 1 1LTR</v>
          </cell>
          <cell r="D1022" t="str">
            <v/>
          </cell>
          <cell r="E1022" t="str">
            <v/>
          </cell>
          <cell r="F1022" t="str">
            <v>Pcs</v>
          </cell>
          <cell r="G1022">
            <v>0</v>
          </cell>
          <cell r="H1022" t="str">
            <v/>
          </cell>
          <cell r="I1022">
            <v>0</v>
          </cell>
          <cell r="J1022">
            <v>0</v>
          </cell>
          <cell r="K1022">
            <v>0</v>
          </cell>
          <cell r="L1022">
            <v>4140</v>
          </cell>
          <cell r="M1022">
            <v>0</v>
          </cell>
        </row>
        <row r="1023">
          <cell r="A1023">
            <v>1022</v>
          </cell>
          <cell r="B1023" t="str">
            <v/>
          </cell>
          <cell r="C1023" t="str">
            <v>JACK DANIEL'S MASTER DISTILLER SERIES WHISKY 1LTR</v>
          </cell>
          <cell r="D1023" t="str">
            <v/>
          </cell>
          <cell r="E1023" t="str">
            <v/>
          </cell>
          <cell r="F1023" t="str">
            <v>Pcs</v>
          </cell>
          <cell r="G1023">
            <v>0</v>
          </cell>
          <cell r="H1023" t="str">
            <v/>
          </cell>
          <cell r="I1023">
            <v>0</v>
          </cell>
          <cell r="J1023">
            <v>0</v>
          </cell>
          <cell r="K1023">
            <v>0</v>
          </cell>
          <cell r="L1023">
            <v>3220</v>
          </cell>
          <cell r="M1023">
            <v>0</v>
          </cell>
        </row>
        <row r="1024">
          <cell r="A1024">
            <v>2330</v>
          </cell>
          <cell r="B1024" t="str">
            <v/>
          </cell>
          <cell r="C1024" t="str">
            <v>JACK DANIELS RYE 1LTR</v>
          </cell>
          <cell r="D1024" t="str">
            <v/>
          </cell>
          <cell r="E1024" t="str">
            <v/>
          </cell>
          <cell r="F1024" t="str">
            <v>Pcs</v>
          </cell>
          <cell r="G1024">
            <v>0</v>
          </cell>
          <cell r="H1024" t="str">
            <v/>
          </cell>
          <cell r="I1024">
            <v>0</v>
          </cell>
          <cell r="J1024">
            <v>0</v>
          </cell>
          <cell r="K1024">
            <v>0</v>
          </cell>
          <cell r="L1024">
            <v>3650</v>
          </cell>
          <cell r="M1024">
            <v>0</v>
          </cell>
        </row>
        <row r="1025">
          <cell r="A1025">
            <v>1034</v>
          </cell>
          <cell r="B1025" t="str">
            <v/>
          </cell>
          <cell r="C1025" t="str">
            <v>JACK DANIELS SINATRA  1LTR</v>
          </cell>
          <cell r="D1025" t="str">
            <v/>
          </cell>
          <cell r="E1025" t="str">
            <v/>
          </cell>
          <cell r="F1025" t="str">
            <v>Pcs</v>
          </cell>
          <cell r="G1025">
            <v>7</v>
          </cell>
          <cell r="H1025" t="str">
            <v/>
          </cell>
          <cell r="I1025">
            <v>0</v>
          </cell>
          <cell r="J1025">
            <v>0</v>
          </cell>
          <cell r="K1025">
            <v>7</v>
          </cell>
          <cell r="L1025">
            <v>15640</v>
          </cell>
          <cell r="M1025">
            <v>109480</v>
          </cell>
        </row>
        <row r="1026">
          <cell r="A1026">
            <v>1035</v>
          </cell>
          <cell r="B1026" t="str">
            <v/>
          </cell>
          <cell r="C1026" t="str">
            <v>JACK DANIELS SINGLE BARREL 750ML</v>
          </cell>
          <cell r="D1026" t="str">
            <v/>
          </cell>
          <cell r="E1026" t="str">
            <v/>
          </cell>
          <cell r="F1026" t="str">
            <v>Pcs</v>
          </cell>
          <cell r="G1026">
            <v>114</v>
          </cell>
          <cell r="H1026" t="str">
            <v/>
          </cell>
          <cell r="I1026">
            <v>0</v>
          </cell>
          <cell r="J1026">
            <v>6</v>
          </cell>
          <cell r="K1026">
            <v>108</v>
          </cell>
          <cell r="L1026">
            <v>4800</v>
          </cell>
          <cell r="M1026">
            <v>518400</v>
          </cell>
        </row>
        <row r="1027">
          <cell r="A1027">
            <v>1036</v>
          </cell>
          <cell r="B1027" t="str">
            <v/>
          </cell>
          <cell r="C1027" t="str">
            <v>JACK DANIELS SOUR MASH NO 7 700ML WHISKY</v>
          </cell>
          <cell r="D1027" t="str">
            <v/>
          </cell>
          <cell r="E1027" t="str">
            <v/>
          </cell>
          <cell r="F1027" t="str">
            <v>Pcs</v>
          </cell>
          <cell r="G1027">
            <v>48</v>
          </cell>
          <cell r="H1027" t="str">
            <v/>
          </cell>
          <cell r="I1027">
            <v>0</v>
          </cell>
          <cell r="J1027">
            <v>0</v>
          </cell>
          <cell r="K1027">
            <v>48</v>
          </cell>
          <cell r="L1027">
            <v>2944</v>
          </cell>
          <cell r="M1027">
            <v>141312</v>
          </cell>
        </row>
        <row r="1028">
          <cell r="A1028">
            <v>1037</v>
          </cell>
          <cell r="B1028" t="str">
            <v/>
          </cell>
          <cell r="C1028" t="str">
            <v>JACK DANIELS SOUR MASH NO 7 LEGACY EDITION 2 WHISKY 750ML</v>
          </cell>
          <cell r="D1028" t="str">
            <v/>
          </cell>
          <cell r="E1028" t="str">
            <v/>
          </cell>
          <cell r="F1028" t="str">
            <v>Pcs</v>
          </cell>
          <cell r="G1028">
            <v>3</v>
          </cell>
          <cell r="H1028" t="str">
            <v/>
          </cell>
          <cell r="I1028">
            <v>0</v>
          </cell>
          <cell r="J1028">
            <v>0</v>
          </cell>
          <cell r="K1028">
            <v>3</v>
          </cell>
          <cell r="L1028">
            <v>2944</v>
          </cell>
          <cell r="M1028">
            <v>8832</v>
          </cell>
        </row>
        <row r="1029">
          <cell r="A1029">
            <v>1039</v>
          </cell>
          <cell r="B1029" t="str">
            <v/>
          </cell>
          <cell r="C1029" t="str">
            <v>JACK DANIELS WHISKY 3LTR</v>
          </cell>
          <cell r="D1029" t="str">
            <v/>
          </cell>
          <cell r="E1029" t="str">
            <v/>
          </cell>
          <cell r="F1029" t="str">
            <v>Pcs</v>
          </cell>
          <cell r="G1029">
            <v>0</v>
          </cell>
          <cell r="H1029" t="str">
            <v/>
          </cell>
          <cell r="I1029">
            <v>0</v>
          </cell>
          <cell r="J1029">
            <v>0</v>
          </cell>
          <cell r="K1029">
            <v>0</v>
          </cell>
          <cell r="L1029">
            <v>12880</v>
          </cell>
          <cell r="M1029">
            <v>0</v>
          </cell>
        </row>
        <row r="1030">
          <cell r="A1030">
            <v>2849</v>
          </cell>
          <cell r="B1030" t="str">
            <v/>
          </cell>
          <cell r="C1030" t="str">
            <v>JAMESON 18YRS 700ML</v>
          </cell>
          <cell r="D1030" t="str">
            <v/>
          </cell>
          <cell r="E1030" t="str">
            <v/>
          </cell>
          <cell r="F1030" t="str">
            <v>Pcs</v>
          </cell>
          <cell r="G1030">
            <v>0</v>
          </cell>
          <cell r="H1030" t="str">
            <v/>
          </cell>
          <cell r="I1030">
            <v>0</v>
          </cell>
          <cell r="J1030">
            <v>0</v>
          </cell>
          <cell r="K1030">
            <v>0</v>
          </cell>
          <cell r="L1030">
            <v>13600</v>
          </cell>
          <cell r="M1030">
            <v>0</v>
          </cell>
        </row>
        <row r="1031">
          <cell r="A1031">
            <v>2935</v>
          </cell>
          <cell r="B1031" t="str">
            <v/>
          </cell>
          <cell r="C1031" t="str">
            <v>JAMESON BLACK BARREL 1L</v>
          </cell>
          <cell r="D1031" t="str">
            <v/>
          </cell>
          <cell r="E1031" t="str">
            <v/>
          </cell>
          <cell r="F1031" t="str">
            <v>Pcs</v>
          </cell>
          <cell r="G1031">
            <v>0</v>
          </cell>
          <cell r="H1031" t="str">
            <v/>
          </cell>
          <cell r="I1031">
            <v>0</v>
          </cell>
          <cell r="J1031">
            <v>0</v>
          </cell>
          <cell r="K1031">
            <v>0</v>
          </cell>
          <cell r="L1031">
            <v>4176</v>
          </cell>
          <cell r="M1031">
            <v>0</v>
          </cell>
        </row>
        <row r="1032">
          <cell r="A1032">
            <v>1057</v>
          </cell>
          <cell r="B1032" t="str">
            <v/>
          </cell>
          <cell r="C1032" t="str">
            <v>JAMESON BLACK BARREL 750ML</v>
          </cell>
          <cell r="D1032" t="str">
            <v/>
          </cell>
          <cell r="E1032" t="str">
            <v/>
          </cell>
          <cell r="F1032" t="str">
            <v>Pcs</v>
          </cell>
          <cell r="G1032">
            <v>234</v>
          </cell>
          <cell r="H1032" t="str">
            <v/>
          </cell>
          <cell r="I1032">
            <v>540</v>
          </cell>
          <cell r="J1032">
            <v>72</v>
          </cell>
          <cell r="K1032">
            <v>702</v>
          </cell>
          <cell r="L1032">
            <v>3800</v>
          </cell>
          <cell r="M1032">
            <v>2667600</v>
          </cell>
        </row>
        <row r="1033">
          <cell r="A1033">
            <v>2797</v>
          </cell>
          <cell r="B1033" t="str">
            <v/>
          </cell>
          <cell r="C1033" t="str">
            <v>JAMESON COLD BREW 700ML</v>
          </cell>
          <cell r="D1033" t="str">
            <v/>
          </cell>
          <cell r="E1033" t="str">
            <v/>
          </cell>
          <cell r="F1033" t="str">
            <v>Pcs</v>
          </cell>
          <cell r="G1033">
            <v>0</v>
          </cell>
          <cell r="H1033" t="str">
            <v/>
          </cell>
          <cell r="I1033">
            <v>0</v>
          </cell>
          <cell r="J1033">
            <v>0</v>
          </cell>
          <cell r="K1033">
            <v>0</v>
          </cell>
          <cell r="L1033">
            <v>2730</v>
          </cell>
          <cell r="M1033">
            <v>0</v>
          </cell>
        </row>
        <row r="1034">
          <cell r="A1034">
            <v>1064</v>
          </cell>
          <cell r="B1034" t="str">
            <v/>
          </cell>
          <cell r="C1034" t="str">
            <v>JAMESON IPA 750ML</v>
          </cell>
          <cell r="D1034" t="str">
            <v/>
          </cell>
          <cell r="E1034" t="str">
            <v/>
          </cell>
          <cell r="F1034" t="str">
            <v>Pcs</v>
          </cell>
          <cell r="G1034">
            <v>0</v>
          </cell>
          <cell r="H1034" t="str">
            <v/>
          </cell>
          <cell r="I1034">
            <v>0</v>
          </cell>
          <cell r="J1034">
            <v>0</v>
          </cell>
          <cell r="K1034">
            <v>0</v>
          </cell>
          <cell r="L1034">
            <v>4140</v>
          </cell>
          <cell r="M1034">
            <v>0</v>
          </cell>
        </row>
        <row r="1035">
          <cell r="A1035">
            <v>1065</v>
          </cell>
          <cell r="B1035" t="str">
            <v/>
          </cell>
          <cell r="C1035" t="str">
            <v>JAMESON IRISH WHISKY 1LTR</v>
          </cell>
          <cell r="D1035" t="str">
            <v/>
          </cell>
          <cell r="E1035" t="str">
            <v/>
          </cell>
          <cell r="F1035" t="str">
            <v>Pcs</v>
          </cell>
          <cell r="G1035">
            <v>108</v>
          </cell>
          <cell r="H1035" t="str">
            <v/>
          </cell>
          <cell r="I1035">
            <v>0</v>
          </cell>
          <cell r="J1035">
            <v>108</v>
          </cell>
          <cell r="K1035">
            <v>0</v>
          </cell>
          <cell r="L1035">
            <v>2780.26</v>
          </cell>
          <cell r="M1035">
            <v>0</v>
          </cell>
        </row>
        <row r="1036">
          <cell r="A1036">
            <v>1066</v>
          </cell>
          <cell r="B1036" t="str">
            <v/>
          </cell>
          <cell r="C1036" t="str">
            <v>JAMESON IRISH WHISKY 350ML</v>
          </cell>
          <cell r="D1036" t="str">
            <v/>
          </cell>
          <cell r="E1036" t="str">
            <v/>
          </cell>
          <cell r="F1036" t="str">
            <v>Pcs</v>
          </cell>
          <cell r="G1036">
            <v>0</v>
          </cell>
          <cell r="H1036" t="str">
            <v/>
          </cell>
          <cell r="I1036">
            <v>0</v>
          </cell>
          <cell r="J1036">
            <v>0</v>
          </cell>
          <cell r="K1036">
            <v>0</v>
          </cell>
          <cell r="L1036">
            <v>1162.28</v>
          </cell>
          <cell r="M1036">
            <v>0</v>
          </cell>
        </row>
        <row r="1037">
          <cell r="A1037">
            <v>1067</v>
          </cell>
          <cell r="B1037" t="str">
            <v/>
          </cell>
          <cell r="C1037" t="str">
            <v>JAMESON IRISH WHISKY 750ML</v>
          </cell>
          <cell r="D1037" t="str">
            <v/>
          </cell>
          <cell r="E1037" t="str">
            <v/>
          </cell>
          <cell r="F1037" t="str">
            <v>Pcs</v>
          </cell>
          <cell r="G1037">
            <v>923</v>
          </cell>
          <cell r="H1037" t="str">
            <v/>
          </cell>
          <cell r="I1037">
            <v>0</v>
          </cell>
          <cell r="J1037">
            <v>216</v>
          </cell>
          <cell r="K1037">
            <v>707</v>
          </cell>
          <cell r="L1037">
            <v>2300</v>
          </cell>
          <cell r="M1037">
            <v>1626100</v>
          </cell>
        </row>
        <row r="1038">
          <cell r="A1038">
            <v>2798</v>
          </cell>
          <cell r="B1038" t="str">
            <v/>
          </cell>
          <cell r="C1038" t="str">
            <v>JAMESON ORANGE 700ML</v>
          </cell>
          <cell r="D1038" t="str">
            <v/>
          </cell>
          <cell r="E1038" t="str">
            <v/>
          </cell>
          <cell r="F1038" t="str">
            <v>Pcs</v>
          </cell>
          <cell r="G1038">
            <v>0</v>
          </cell>
          <cell r="H1038" t="str">
            <v/>
          </cell>
          <cell r="I1038">
            <v>0</v>
          </cell>
          <cell r="J1038">
            <v>0</v>
          </cell>
          <cell r="K1038">
            <v>0</v>
          </cell>
          <cell r="L1038">
            <v>2253</v>
          </cell>
          <cell r="M1038">
            <v>0</v>
          </cell>
        </row>
        <row r="1039">
          <cell r="A1039">
            <v>2574</v>
          </cell>
          <cell r="B1039" t="str">
            <v/>
          </cell>
          <cell r="C1039" t="str">
            <v>JAMESON SINGLE  POT STILL 750ML</v>
          </cell>
          <cell r="D1039" t="str">
            <v/>
          </cell>
          <cell r="E1039" t="str">
            <v/>
          </cell>
          <cell r="F1039" t="str">
            <v>Pcs</v>
          </cell>
          <cell r="G1039">
            <v>36</v>
          </cell>
          <cell r="H1039" t="str">
            <v/>
          </cell>
          <cell r="I1039">
            <v>0</v>
          </cell>
          <cell r="J1039">
            <v>0</v>
          </cell>
          <cell r="K1039">
            <v>36</v>
          </cell>
          <cell r="L1039">
            <v>5500</v>
          </cell>
          <cell r="M1039">
            <v>198000</v>
          </cell>
        </row>
        <row r="1040">
          <cell r="A1040">
            <v>1068</v>
          </cell>
          <cell r="B1040" t="str">
            <v/>
          </cell>
          <cell r="C1040" t="str">
            <v>JAMESON STOUT 750ML</v>
          </cell>
          <cell r="D1040" t="str">
            <v/>
          </cell>
          <cell r="E1040" t="str">
            <v/>
          </cell>
          <cell r="F1040" t="str">
            <v>Pcs</v>
          </cell>
          <cell r="G1040">
            <v>168</v>
          </cell>
          <cell r="H1040" t="str">
            <v/>
          </cell>
          <cell r="I1040">
            <v>0</v>
          </cell>
          <cell r="J1040">
            <v>0</v>
          </cell>
          <cell r="K1040">
            <v>168</v>
          </cell>
          <cell r="L1040">
            <v>3000</v>
          </cell>
          <cell r="M1040">
            <v>504000</v>
          </cell>
        </row>
        <row r="1041">
          <cell r="A1041">
            <v>2965</v>
          </cell>
          <cell r="B1041" t="str">
            <v/>
          </cell>
          <cell r="C1041" t="str">
            <v>JAMESON TRIPLE TRIPLE MARSALA LITRE</v>
          </cell>
          <cell r="D1041" t="str">
            <v/>
          </cell>
          <cell r="E1041" t="str">
            <v/>
          </cell>
          <cell r="F1041" t="str">
            <v>Pcs</v>
          </cell>
          <cell r="G1041">
            <v>3</v>
          </cell>
          <cell r="H1041" t="str">
            <v/>
          </cell>
          <cell r="I1041">
            <v>0</v>
          </cell>
          <cell r="J1041">
            <v>3</v>
          </cell>
          <cell r="K1041">
            <v>0</v>
          </cell>
          <cell r="L1041">
            <v>4500</v>
          </cell>
          <cell r="M1041">
            <v>0</v>
          </cell>
        </row>
        <row r="1042">
          <cell r="A1042">
            <v>1069</v>
          </cell>
          <cell r="B1042" t="str">
            <v/>
          </cell>
          <cell r="C1042" t="str">
            <v>JAMESON WHISKY  4.5LTR</v>
          </cell>
          <cell r="D1042" t="str">
            <v/>
          </cell>
          <cell r="E1042" t="str">
            <v/>
          </cell>
          <cell r="F1042" t="str">
            <v>Pcs</v>
          </cell>
          <cell r="G1042">
            <v>0</v>
          </cell>
          <cell r="H1042" t="str">
            <v/>
          </cell>
          <cell r="I1042">
            <v>0</v>
          </cell>
          <cell r="J1042">
            <v>0</v>
          </cell>
          <cell r="K1042">
            <v>0</v>
          </cell>
          <cell r="L1042">
            <v>14000</v>
          </cell>
          <cell r="M1042">
            <v>0</v>
          </cell>
        </row>
        <row r="1043">
          <cell r="A1043">
            <v>1015</v>
          </cell>
          <cell r="B1043" t="str">
            <v/>
          </cell>
          <cell r="C1043" t="str">
            <v>J&amp;B RARE WHISKY 1LTR</v>
          </cell>
          <cell r="D1043" t="str">
            <v/>
          </cell>
          <cell r="E1043" t="str">
            <v/>
          </cell>
          <cell r="F1043" t="str">
            <v>Pcs</v>
          </cell>
          <cell r="G1043">
            <v>232</v>
          </cell>
          <cell r="H1043" t="str">
            <v/>
          </cell>
          <cell r="I1043">
            <v>0</v>
          </cell>
          <cell r="J1043">
            <v>28</v>
          </cell>
          <cell r="K1043">
            <v>204</v>
          </cell>
          <cell r="L1043">
            <v>1600</v>
          </cell>
          <cell r="M1043">
            <v>326400</v>
          </cell>
        </row>
        <row r="1044">
          <cell r="A1044">
            <v>1016</v>
          </cell>
          <cell r="B1044" t="str">
            <v/>
          </cell>
          <cell r="C1044" t="str">
            <v>J&amp;B RARE WHISKY 200ML</v>
          </cell>
          <cell r="D1044" t="str">
            <v/>
          </cell>
          <cell r="E1044" t="str">
            <v/>
          </cell>
          <cell r="F1044" t="str">
            <v>Pcs</v>
          </cell>
          <cell r="G1044">
            <v>0</v>
          </cell>
          <cell r="H1044" t="str">
            <v/>
          </cell>
          <cell r="I1044">
            <v>0</v>
          </cell>
          <cell r="J1044">
            <v>0</v>
          </cell>
          <cell r="K1044">
            <v>0</v>
          </cell>
          <cell r="L1044">
            <v>368</v>
          </cell>
          <cell r="M1044">
            <v>0</v>
          </cell>
        </row>
        <row r="1045">
          <cell r="A1045">
            <v>1018</v>
          </cell>
          <cell r="B1045" t="str">
            <v/>
          </cell>
          <cell r="C1045" t="str">
            <v>J&amp;B RARE WHISKY 750ML</v>
          </cell>
          <cell r="D1045" t="str">
            <v/>
          </cell>
          <cell r="E1045" t="str">
            <v/>
          </cell>
          <cell r="F1045" t="str">
            <v>Pcs</v>
          </cell>
          <cell r="G1045">
            <v>0</v>
          </cell>
          <cell r="H1045" t="str">
            <v/>
          </cell>
          <cell r="I1045">
            <v>0</v>
          </cell>
          <cell r="J1045">
            <v>0</v>
          </cell>
          <cell r="K1045">
            <v>0</v>
          </cell>
          <cell r="L1045">
            <v>1472</v>
          </cell>
          <cell r="M1045">
            <v>0</v>
          </cell>
        </row>
        <row r="1046">
          <cell r="A1046">
            <v>2201</v>
          </cell>
          <cell r="B1046" t="str">
            <v/>
          </cell>
          <cell r="C1046" t="str">
            <v>JIM BEAM APPLE 750ML</v>
          </cell>
          <cell r="D1046" t="str">
            <v/>
          </cell>
          <cell r="E1046" t="str">
            <v/>
          </cell>
          <cell r="F1046" t="str">
            <v>Pcs</v>
          </cell>
          <cell r="G1046">
            <v>81</v>
          </cell>
          <cell r="H1046" t="str">
            <v/>
          </cell>
          <cell r="I1046">
            <v>0</v>
          </cell>
          <cell r="J1046">
            <v>0</v>
          </cell>
          <cell r="K1046">
            <v>81</v>
          </cell>
          <cell r="L1046">
            <v>2300</v>
          </cell>
          <cell r="M1046">
            <v>186300</v>
          </cell>
        </row>
        <row r="1047">
          <cell r="A1047">
            <v>2788</v>
          </cell>
          <cell r="B1047" t="str">
            <v/>
          </cell>
          <cell r="C1047" t="str">
            <v>JIM BEAM BLACK CHERRY 700ML</v>
          </cell>
          <cell r="D1047" t="str">
            <v/>
          </cell>
          <cell r="E1047" t="str">
            <v/>
          </cell>
          <cell r="F1047" t="str">
            <v>Pcs</v>
          </cell>
          <cell r="G1047">
            <v>0</v>
          </cell>
          <cell r="H1047" t="str">
            <v/>
          </cell>
          <cell r="I1047">
            <v>0</v>
          </cell>
          <cell r="J1047">
            <v>0</v>
          </cell>
          <cell r="K1047">
            <v>0</v>
          </cell>
          <cell r="L1047">
            <v>2100</v>
          </cell>
          <cell r="M1047">
            <v>0</v>
          </cell>
        </row>
        <row r="1048">
          <cell r="A1048">
            <v>1079</v>
          </cell>
          <cell r="B1048" t="str">
            <v/>
          </cell>
          <cell r="C1048" t="str">
            <v>JIM BEAM BOURBON WHISKY 1LTR</v>
          </cell>
          <cell r="D1048" t="str">
            <v/>
          </cell>
          <cell r="E1048" t="str">
            <v/>
          </cell>
          <cell r="F1048" t="str">
            <v>Pcs</v>
          </cell>
          <cell r="G1048">
            <v>60</v>
          </cell>
          <cell r="H1048" t="str">
            <v/>
          </cell>
          <cell r="I1048">
            <v>0</v>
          </cell>
          <cell r="J1048">
            <v>60</v>
          </cell>
          <cell r="K1048">
            <v>0</v>
          </cell>
          <cell r="L1048">
            <v>1730</v>
          </cell>
          <cell r="M1048">
            <v>0</v>
          </cell>
        </row>
        <row r="1049">
          <cell r="A1049">
            <v>1080</v>
          </cell>
          <cell r="B1049" t="str">
            <v/>
          </cell>
          <cell r="C1049" t="str">
            <v>JIM BEAM BOURBON WHISKY 750ML</v>
          </cell>
          <cell r="D1049" t="str">
            <v/>
          </cell>
          <cell r="E1049" t="str">
            <v/>
          </cell>
          <cell r="F1049" t="str">
            <v>Pcs</v>
          </cell>
          <cell r="G1049">
            <v>162</v>
          </cell>
          <cell r="H1049" t="str">
            <v/>
          </cell>
          <cell r="I1049">
            <v>0</v>
          </cell>
          <cell r="J1049">
            <v>162</v>
          </cell>
          <cell r="K1049">
            <v>0</v>
          </cell>
          <cell r="L1049">
            <v>1600</v>
          </cell>
          <cell r="M1049">
            <v>0</v>
          </cell>
        </row>
        <row r="1050">
          <cell r="A1050">
            <v>1081</v>
          </cell>
          <cell r="B1050" t="str">
            <v/>
          </cell>
          <cell r="C1050" t="str">
            <v>JIM BEAM DEVILS CUT WHISKY 700ml</v>
          </cell>
          <cell r="D1050" t="str">
            <v/>
          </cell>
          <cell r="E1050" t="str">
            <v/>
          </cell>
          <cell r="F1050" t="str">
            <v>Pcs</v>
          </cell>
          <cell r="G1050">
            <v>0</v>
          </cell>
          <cell r="H1050" t="str">
            <v/>
          </cell>
          <cell r="I1050">
            <v>0</v>
          </cell>
          <cell r="J1050">
            <v>0</v>
          </cell>
          <cell r="K1050">
            <v>0</v>
          </cell>
          <cell r="L1050">
            <v>3220</v>
          </cell>
          <cell r="M1050">
            <v>0</v>
          </cell>
        </row>
        <row r="1051">
          <cell r="A1051">
            <v>1082</v>
          </cell>
          <cell r="B1051" t="str">
            <v/>
          </cell>
          <cell r="C1051" t="str">
            <v>JIM BEAM DOUBLE OAK 700ml</v>
          </cell>
          <cell r="D1051" t="str">
            <v/>
          </cell>
          <cell r="E1051" t="str">
            <v/>
          </cell>
          <cell r="F1051" t="str">
            <v>Pcs</v>
          </cell>
          <cell r="G1051">
            <v>0</v>
          </cell>
          <cell r="H1051" t="str">
            <v/>
          </cell>
          <cell r="I1051">
            <v>0</v>
          </cell>
          <cell r="J1051">
            <v>0</v>
          </cell>
          <cell r="K1051">
            <v>0</v>
          </cell>
          <cell r="L1051">
            <v>3220</v>
          </cell>
          <cell r="M1051">
            <v>0</v>
          </cell>
        </row>
        <row r="1052">
          <cell r="A1052">
            <v>2425</v>
          </cell>
          <cell r="B1052" t="str">
            <v/>
          </cell>
          <cell r="C1052" t="str">
            <v>JOHN BARR BLACK WHISKY 1LTR</v>
          </cell>
          <cell r="D1052" t="str">
            <v/>
          </cell>
          <cell r="E1052" t="str">
            <v/>
          </cell>
          <cell r="F1052" t="str">
            <v>Pcs</v>
          </cell>
          <cell r="G1052">
            <v>0</v>
          </cell>
          <cell r="H1052" t="str">
            <v/>
          </cell>
          <cell r="I1052">
            <v>12</v>
          </cell>
          <cell r="J1052">
            <v>12</v>
          </cell>
          <cell r="K1052">
            <v>0</v>
          </cell>
          <cell r="L1052">
            <v>1700</v>
          </cell>
          <cell r="M1052">
            <v>0</v>
          </cell>
        </row>
        <row r="1053">
          <cell r="A1053">
            <v>1091</v>
          </cell>
          <cell r="B1053" t="str">
            <v/>
          </cell>
          <cell r="C1053" t="str">
            <v>JOHN BARR FINEST WHISKY RED 750ML</v>
          </cell>
          <cell r="D1053" t="str">
            <v/>
          </cell>
          <cell r="E1053" t="str">
            <v/>
          </cell>
          <cell r="F1053" t="str">
            <v>Pcs</v>
          </cell>
          <cell r="G1053">
            <v>0</v>
          </cell>
          <cell r="H1053" t="str">
            <v/>
          </cell>
          <cell r="I1053">
            <v>0</v>
          </cell>
          <cell r="J1053">
            <v>0</v>
          </cell>
          <cell r="K1053">
            <v>0</v>
          </cell>
          <cell r="L1053">
            <v>1196</v>
          </cell>
          <cell r="M1053">
            <v>0</v>
          </cell>
        </row>
        <row r="1054">
          <cell r="A1054">
            <v>1092</v>
          </cell>
          <cell r="B1054" t="str">
            <v/>
          </cell>
          <cell r="C1054" t="str">
            <v>JOHN BARR RED WHISKY 1LTR</v>
          </cell>
          <cell r="D1054" t="str">
            <v/>
          </cell>
          <cell r="E1054" t="str">
            <v/>
          </cell>
          <cell r="F1054" t="str">
            <v>Pcs</v>
          </cell>
          <cell r="G1054">
            <v>0</v>
          </cell>
          <cell r="H1054" t="str">
            <v/>
          </cell>
          <cell r="I1054">
            <v>0</v>
          </cell>
          <cell r="J1054">
            <v>0</v>
          </cell>
          <cell r="K1054">
            <v>0</v>
          </cell>
          <cell r="L1054">
            <v>1060</v>
          </cell>
          <cell r="M1054">
            <v>0</v>
          </cell>
        </row>
        <row r="1055">
          <cell r="A1055">
            <v>1093</v>
          </cell>
          <cell r="B1055" t="str">
            <v/>
          </cell>
          <cell r="C1055" t="str">
            <v>JOHN BARR RESERVE WHISKY BLACK 750ML</v>
          </cell>
          <cell r="D1055" t="str">
            <v/>
          </cell>
          <cell r="E1055" t="str">
            <v/>
          </cell>
          <cell r="F1055" t="str">
            <v>Pcs</v>
          </cell>
          <cell r="G1055">
            <v>0</v>
          </cell>
          <cell r="H1055" t="str">
            <v/>
          </cell>
          <cell r="I1055">
            <v>0</v>
          </cell>
          <cell r="J1055">
            <v>0</v>
          </cell>
          <cell r="K1055">
            <v>0</v>
          </cell>
          <cell r="L1055">
            <v>965</v>
          </cell>
          <cell r="M1055">
            <v>0</v>
          </cell>
        </row>
        <row r="1056">
          <cell r="A1056">
            <v>1096</v>
          </cell>
          <cell r="B1056" t="str">
            <v/>
          </cell>
          <cell r="C1056" t="str">
            <v>JOHNNIE WALKER 18YRS WHISKY 1LTR</v>
          </cell>
          <cell r="D1056" t="str">
            <v/>
          </cell>
          <cell r="E1056" t="str">
            <v/>
          </cell>
          <cell r="F1056" t="str">
            <v>Pcs</v>
          </cell>
          <cell r="G1056">
            <v>0</v>
          </cell>
          <cell r="H1056" t="str">
            <v/>
          </cell>
          <cell r="I1056">
            <v>0</v>
          </cell>
          <cell r="J1056">
            <v>0</v>
          </cell>
          <cell r="K1056">
            <v>0</v>
          </cell>
          <cell r="L1056">
            <v>12420</v>
          </cell>
          <cell r="M1056">
            <v>0</v>
          </cell>
        </row>
        <row r="1057">
          <cell r="A1057">
            <v>1097</v>
          </cell>
          <cell r="B1057" t="str">
            <v/>
          </cell>
          <cell r="C1057" t="str">
            <v>JOHNNIE WALKER 18YRS WHISKY 750ML</v>
          </cell>
          <cell r="D1057" t="str">
            <v/>
          </cell>
          <cell r="E1057" t="str">
            <v/>
          </cell>
          <cell r="F1057" t="str">
            <v>Pcs</v>
          </cell>
          <cell r="G1057">
            <v>0</v>
          </cell>
          <cell r="H1057" t="str">
            <v/>
          </cell>
          <cell r="I1057">
            <v>0</v>
          </cell>
          <cell r="J1057">
            <v>0</v>
          </cell>
          <cell r="K1057">
            <v>0</v>
          </cell>
          <cell r="L1057">
            <v>8900</v>
          </cell>
          <cell r="M1057">
            <v>0</v>
          </cell>
        </row>
        <row r="1058">
          <cell r="A1058">
            <v>1098</v>
          </cell>
          <cell r="B1058" t="str">
            <v/>
          </cell>
          <cell r="C1058" t="str">
            <v>JOHNNIE WALKER A SONG OF FIRE 1LTR</v>
          </cell>
          <cell r="D1058" t="str">
            <v/>
          </cell>
          <cell r="E1058" t="str">
            <v/>
          </cell>
          <cell r="F1058" t="str">
            <v>Pcs</v>
          </cell>
          <cell r="G1058">
            <v>19</v>
          </cell>
          <cell r="H1058" t="str">
            <v/>
          </cell>
          <cell r="I1058">
            <v>0</v>
          </cell>
          <cell r="J1058">
            <v>0</v>
          </cell>
          <cell r="K1058">
            <v>19</v>
          </cell>
          <cell r="L1058">
            <v>4140</v>
          </cell>
          <cell r="M1058">
            <v>78660</v>
          </cell>
        </row>
        <row r="1059">
          <cell r="A1059">
            <v>1099</v>
          </cell>
          <cell r="B1059" t="str">
            <v/>
          </cell>
          <cell r="C1059" t="str">
            <v>JOHNNIE WALKER A SONG OF ICE 1LTR</v>
          </cell>
          <cell r="D1059" t="str">
            <v/>
          </cell>
          <cell r="E1059" t="str">
            <v/>
          </cell>
          <cell r="F1059" t="str">
            <v>Pcs</v>
          </cell>
          <cell r="G1059">
            <v>13</v>
          </cell>
          <cell r="H1059" t="str">
            <v/>
          </cell>
          <cell r="I1059">
            <v>0</v>
          </cell>
          <cell r="J1059">
            <v>0</v>
          </cell>
          <cell r="K1059">
            <v>13</v>
          </cell>
          <cell r="L1059">
            <v>4140</v>
          </cell>
          <cell r="M1059">
            <v>53820</v>
          </cell>
        </row>
        <row r="1060">
          <cell r="A1060">
            <v>1101</v>
          </cell>
          <cell r="B1060" t="str">
            <v/>
          </cell>
          <cell r="C1060" t="str">
            <v>JOHNNIE WALKER BLACK LABEL 1LTR</v>
          </cell>
          <cell r="D1060" t="str">
            <v/>
          </cell>
          <cell r="E1060" t="str">
            <v/>
          </cell>
          <cell r="F1060" t="str">
            <v>Pcs</v>
          </cell>
          <cell r="G1060">
            <v>481</v>
          </cell>
          <cell r="H1060" t="str">
            <v/>
          </cell>
          <cell r="I1060">
            <v>0</v>
          </cell>
          <cell r="J1060">
            <v>468</v>
          </cell>
          <cell r="K1060">
            <v>13</v>
          </cell>
          <cell r="L1060">
            <v>3600</v>
          </cell>
          <cell r="M1060">
            <v>46800</v>
          </cell>
        </row>
        <row r="1061">
          <cell r="A1061">
            <v>1105</v>
          </cell>
          <cell r="B1061" t="str">
            <v/>
          </cell>
          <cell r="C1061" t="str">
            <v>JOHNNIE WALKER BLACK LABEL WHISKY 250ML</v>
          </cell>
          <cell r="D1061" t="str">
            <v/>
          </cell>
          <cell r="E1061" t="str">
            <v/>
          </cell>
          <cell r="F1061" t="str">
            <v>Pcs</v>
          </cell>
          <cell r="G1061">
            <v>0</v>
          </cell>
          <cell r="H1061" t="str">
            <v/>
          </cell>
          <cell r="I1061">
            <v>0</v>
          </cell>
          <cell r="J1061">
            <v>0</v>
          </cell>
          <cell r="K1061">
            <v>0</v>
          </cell>
          <cell r="L1061">
            <v>920</v>
          </cell>
          <cell r="M1061">
            <v>0</v>
          </cell>
        </row>
        <row r="1062">
          <cell r="A1062">
            <v>2426</v>
          </cell>
          <cell r="B1062" t="str">
            <v/>
          </cell>
          <cell r="C1062" t="str">
            <v>JOHNNIE WALKER BLACK LABEL WHISKY 375ML</v>
          </cell>
          <cell r="D1062" t="str">
            <v/>
          </cell>
          <cell r="E1062" t="str">
            <v/>
          </cell>
          <cell r="F1062" t="str">
            <v>Pcs</v>
          </cell>
          <cell r="G1062">
            <v>216</v>
          </cell>
          <cell r="H1062" t="str">
            <v/>
          </cell>
          <cell r="I1062">
            <v>240</v>
          </cell>
          <cell r="J1062">
            <v>240</v>
          </cell>
          <cell r="K1062">
            <v>216</v>
          </cell>
          <cell r="L1062">
            <v>1650</v>
          </cell>
          <cell r="M1062">
            <v>356400</v>
          </cell>
        </row>
        <row r="1063">
          <cell r="A1063">
            <v>1107</v>
          </cell>
          <cell r="B1063" t="str">
            <v/>
          </cell>
          <cell r="C1063" t="str">
            <v>JOHNNIE WALKER BLACK LABEL WHISKY 750ML</v>
          </cell>
          <cell r="D1063" t="str">
            <v/>
          </cell>
          <cell r="E1063" t="str">
            <v/>
          </cell>
          <cell r="F1063" t="str">
            <v>Pcs</v>
          </cell>
          <cell r="G1063">
            <v>24</v>
          </cell>
          <cell r="H1063" t="str">
            <v/>
          </cell>
          <cell r="I1063">
            <v>240</v>
          </cell>
          <cell r="J1063">
            <v>228</v>
          </cell>
          <cell r="K1063">
            <v>36</v>
          </cell>
          <cell r="L1063">
            <v>2902.7</v>
          </cell>
          <cell r="M1063">
            <v>104497.2</v>
          </cell>
        </row>
        <row r="1064">
          <cell r="A1064">
            <v>2966</v>
          </cell>
          <cell r="B1064" t="str">
            <v/>
          </cell>
          <cell r="C1064" t="str">
            <v>JOHNNIE WALKER BLACK RUBY LITRE</v>
          </cell>
          <cell r="D1064" t="str">
            <v/>
          </cell>
          <cell r="E1064" t="str">
            <v/>
          </cell>
          <cell r="F1064" t="str">
            <v>Pcs</v>
          </cell>
          <cell r="G1064">
            <v>36</v>
          </cell>
          <cell r="H1064" t="str">
            <v/>
          </cell>
          <cell r="I1064">
            <v>0</v>
          </cell>
          <cell r="J1064">
            <v>0</v>
          </cell>
          <cell r="K1064">
            <v>36</v>
          </cell>
          <cell r="L1064">
            <v>4500</v>
          </cell>
          <cell r="M1064">
            <v>162000</v>
          </cell>
        </row>
        <row r="1065">
          <cell r="A1065">
            <v>1108</v>
          </cell>
          <cell r="B1065" t="str">
            <v/>
          </cell>
          <cell r="C1065" t="str">
            <v>JOHNNIE WALKER BLONDE  750ml</v>
          </cell>
          <cell r="D1065" t="str">
            <v/>
          </cell>
          <cell r="E1065" t="str">
            <v/>
          </cell>
          <cell r="F1065" t="str">
            <v>Pcs</v>
          </cell>
          <cell r="G1065">
            <v>0</v>
          </cell>
          <cell r="H1065" t="str">
            <v/>
          </cell>
          <cell r="I1065">
            <v>0</v>
          </cell>
          <cell r="J1065">
            <v>0</v>
          </cell>
          <cell r="K1065">
            <v>0</v>
          </cell>
          <cell r="L1065">
            <v>2760</v>
          </cell>
          <cell r="M1065">
            <v>0</v>
          </cell>
        </row>
        <row r="1066">
          <cell r="A1066">
            <v>1109</v>
          </cell>
          <cell r="B1066" t="str">
            <v/>
          </cell>
          <cell r="C1066" t="str">
            <v>JOHNNIE WALKER BLUE LABEL 1LTR</v>
          </cell>
          <cell r="D1066" t="str">
            <v/>
          </cell>
          <cell r="E1066" t="str">
            <v/>
          </cell>
          <cell r="F1066" t="str">
            <v>Pcs</v>
          </cell>
          <cell r="G1066">
            <v>114</v>
          </cell>
          <cell r="H1066" t="str">
            <v/>
          </cell>
          <cell r="I1066">
            <v>0</v>
          </cell>
          <cell r="J1066">
            <v>0</v>
          </cell>
          <cell r="K1066">
            <v>114</v>
          </cell>
          <cell r="L1066">
            <v>17554</v>
          </cell>
          <cell r="M1066">
            <v>2001156</v>
          </cell>
        </row>
        <row r="1067">
          <cell r="A1067">
            <v>2202</v>
          </cell>
          <cell r="B1067" t="str">
            <v/>
          </cell>
          <cell r="C1067" t="str">
            <v>JOHNNIE WALKER BLUE LABEL 750ML</v>
          </cell>
          <cell r="D1067" t="str">
            <v/>
          </cell>
          <cell r="E1067" t="str">
            <v/>
          </cell>
          <cell r="F1067" t="str">
            <v>Pcs</v>
          </cell>
          <cell r="G1067">
            <v>42</v>
          </cell>
          <cell r="H1067" t="str">
            <v/>
          </cell>
          <cell r="I1067">
            <v>0</v>
          </cell>
          <cell r="J1067">
            <v>4</v>
          </cell>
          <cell r="K1067">
            <v>38</v>
          </cell>
          <cell r="L1067">
            <v>23000</v>
          </cell>
          <cell r="M1067">
            <v>874000</v>
          </cell>
        </row>
        <row r="1068">
          <cell r="A1068">
            <v>2488</v>
          </cell>
          <cell r="B1068" t="str">
            <v/>
          </cell>
          <cell r="C1068" t="str">
            <v>JOHNNIE WALKER BLUE LABEL GHOST &amp; RARE 750ML</v>
          </cell>
          <cell r="D1068" t="str">
            <v/>
          </cell>
          <cell r="E1068" t="str">
            <v/>
          </cell>
          <cell r="F1068" t="str">
            <v>Pcs</v>
          </cell>
          <cell r="G1068">
            <v>12</v>
          </cell>
          <cell r="H1068" t="str">
            <v/>
          </cell>
          <cell r="I1068">
            <v>0</v>
          </cell>
          <cell r="J1068">
            <v>0</v>
          </cell>
          <cell r="K1068">
            <v>12</v>
          </cell>
          <cell r="L1068">
            <v>45000</v>
          </cell>
          <cell r="M1068">
            <v>540000</v>
          </cell>
        </row>
        <row r="1069">
          <cell r="A1069">
            <v>1110</v>
          </cell>
          <cell r="B1069" t="str">
            <v/>
          </cell>
          <cell r="C1069" t="str">
            <v>JOHNNIE WALKER DOUBLE BLACK 1 LTR</v>
          </cell>
          <cell r="D1069" t="str">
            <v/>
          </cell>
          <cell r="E1069" t="str">
            <v/>
          </cell>
          <cell r="F1069" t="str">
            <v>Pcs</v>
          </cell>
          <cell r="G1069">
            <v>1989</v>
          </cell>
          <cell r="H1069" t="str">
            <v/>
          </cell>
          <cell r="I1069">
            <v>0</v>
          </cell>
          <cell r="J1069">
            <v>72</v>
          </cell>
          <cell r="K1069">
            <v>1917</v>
          </cell>
          <cell r="L1069">
            <v>5000</v>
          </cell>
          <cell r="M1069">
            <v>9585000</v>
          </cell>
        </row>
        <row r="1070">
          <cell r="A1070">
            <v>1111</v>
          </cell>
          <cell r="B1070" t="str">
            <v/>
          </cell>
          <cell r="C1070" t="str">
            <v>JOHNNIE WALKER DOUBLE BLACK 750ML</v>
          </cell>
          <cell r="D1070" t="str">
            <v/>
          </cell>
          <cell r="E1070" t="str">
            <v/>
          </cell>
          <cell r="F1070" t="str">
            <v>Pcs</v>
          </cell>
          <cell r="G1070">
            <v>0</v>
          </cell>
          <cell r="H1070" t="str">
            <v/>
          </cell>
          <cell r="I1070">
            <v>0</v>
          </cell>
          <cell r="J1070">
            <v>0</v>
          </cell>
          <cell r="K1070">
            <v>0</v>
          </cell>
          <cell r="L1070">
            <v>4043.36</v>
          </cell>
          <cell r="M1070">
            <v>0</v>
          </cell>
        </row>
        <row r="1071">
          <cell r="A1071">
            <v>1113</v>
          </cell>
          <cell r="B1071" t="str">
            <v/>
          </cell>
          <cell r="C1071" t="str">
            <v>JOHNNIE WALKER GOLD RESERVE  1LTR</v>
          </cell>
          <cell r="D1071" t="str">
            <v/>
          </cell>
          <cell r="E1071" t="str">
            <v/>
          </cell>
          <cell r="F1071" t="str">
            <v>Pcs</v>
          </cell>
          <cell r="G1071">
            <v>152</v>
          </cell>
          <cell r="H1071" t="str">
            <v/>
          </cell>
          <cell r="I1071">
            <v>0</v>
          </cell>
          <cell r="J1071">
            <v>12</v>
          </cell>
          <cell r="K1071">
            <v>140</v>
          </cell>
          <cell r="L1071">
            <v>6400</v>
          </cell>
          <cell r="M1071">
            <v>896000</v>
          </cell>
        </row>
        <row r="1072">
          <cell r="A1072">
            <v>1114</v>
          </cell>
          <cell r="B1072" t="str">
            <v/>
          </cell>
          <cell r="C1072" t="str">
            <v>JOHNNIE WALKER GOLD RESERVE WHISKY 750ML</v>
          </cell>
          <cell r="D1072" t="str">
            <v/>
          </cell>
          <cell r="E1072" t="str">
            <v/>
          </cell>
          <cell r="F1072" t="str">
            <v>Pcs</v>
          </cell>
          <cell r="G1072">
            <v>341</v>
          </cell>
          <cell r="H1072" t="str">
            <v/>
          </cell>
          <cell r="I1072">
            <v>0</v>
          </cell>
          <cell r="J1072">
            <v>19</v>
          </cell>
          <cell r="K1072">
            <v>322</v>
          </cell>
          <cell r="L1072">
            <v>5200</v>
          </cell>
          <cell r="M1072">
            <v>1674400</v>
          </cell>
        </row>
        <row r="1073">
          <cell r="A1073">
            <v>2355</v>
          </cell>
          <cell r="B1073" t="str">
            <v/>
          </cell>
          <cell r="C1073" t="str">
            <v>JOHNNIE WALKER GREEN LABEL AGED 15YRS 750ML</v>
          </cell>
          <cell r="D1073" t="str">
            <v/>
          </cell>
          <cell r="E1073" t="str">
            <v/>
          </cell>
          <cell r="F1073" t="str">
            <v>Pcs</v>
          </cell>
          <cell r="G1073">
            <v>8</v>
          </cell>
          <cell r="H1073" t="str">
            <v/>
          </cell>
          <cell r="I1073">
            <v>0</v>
          </cell>
          <cell r="J1073">
            <v>6</v>
          </cell>
          <cell r="K1073">
            <v>2</v>
          </cell>
          <cell r="L1073">
            <v>6524</v>
          </cell>
          <cell r="M1073">
            <v>13048</v>
          </cell>
        </row>
        <row r="1074">
          <cell r="A1074">
            <v>1116</v>
          </cell>
          <cell r="B1074" t="str">
            <v/>
          </cell>
          <cell r="C1074" t="str">
            <v>JOHNNIE WALKER ISLAND GREEN WHISKY 1LTR</v>
          </cell>
          <cell r="D1074" t="str">
            <v/>
          </cell>
          <cell r="E1074" t="str">
            <v/>
          </cell>
          <cell r="F1074" t="str">
            <v>Pcs</v>
          </cell>
          <cell r="G1074">
            <v>24</v>
          </cell>
          <cell r="H1074" t="str">
            <v/>
          </cell>
          <cell r="I1074">
            <v>0</v>
          </cell>
          <cell r="J1074">
            <v>6</v>
          </cell>
          <cell r="K1074">
            <v>18</v>
          </cell>
          <cell r="L1074">
            <v>6164</v>
          </cell>
          <cell r="M1074">
            <v>110952</v>
          </cell>
        </row>
        <row r="1075">
          <cell r="A1075">
            <v>2203</v>
          </cell>
          <cell r="B1075" t="str">
            <v/>
          </cell>
          <cell r="C1075" t="str">
            <v>JOHNNIE WALKER KING GEORGE V 750ML</v>
          </cell>
          <cell r="D1075" t="str">
            <v/>
          </cell>
          <cell r="E1075" t="str">
            <v/>
          </cell>
          <cell r="F1075" t="str">
            <v>Pcs</v>
          </cell>
          <cell r="G1075">
            <v>6</v>
          </cell>
          <cell r="H1075" t="str">
            <v/>
          </cell>
          <cell r="I1075">
            <v>0</v>
          </cell>
          <cell r="J1075">
            <v>6</v>
          </cell>
          <cell r="K1075">
            <v>0</v>
          </cell>
          <cell r="L1075">
            <v>59000</v>
          </cell>
          <cell r="M1075">
            <v>0</v>
          </cell>
        </row>
        <row r="1076">
          <cell r="A1076">
            <v>1094</v>
          </cell>
          <cell r="B1076" t="str">
            <v/>
          </cell>
          <cell r="C1076" t="str">
            <v>JOHNNIE WALKER  PLATINUM WHISKY 1LTR</v>
          </cell>
          <cell r="D1076" t="str">
            <v/>
          </cell>
          <cell r="E1076" t="str">
            <v/>
          </cell>
          <cell r="F1076" t="str">
            <v>Pcs</v>
          </cell>
          <cell r="G1076">
            <v>0</v>
          </cell>
          <cell r="H1076" t="str">
            <v/>
          </cell>
          <cell r="I1076">
            <v>0</v>
          </cell>
          <cell r="J1076">
            <v>0</v>
          </cell>
          <cell r="K1076">
            <v>0</v>
          </cell>
          <cell r="L1076">
            <v>9200</v>
          </cell>
          <cell r="M1076">
            <v>0</v>
          </cell>
        </row>
        <row r="1077">
          <cell r="A1077">
            <v>1117</v>
          </cell>
          <cell r="B1077" t="str">
            <v/>
          </cell>
          <cell r="C1077" t="str">
            <v>JOHNNIE WALKER RED LABEL  1LTR</v>
          </cell>
          <cell r="D1077" t="str">
            <v/>
          </cell>
          <cell r="E1077" t="str">
            <v/>
          </cell>
          <cell r="F1077" t="str">
            <v>Pcs</v>
          </cell>
          <cell r="G1077">
            <v>1</v>
          </cell>
          <cell r="H1077" t="str">
            <v/>
          </cell>
          <cell r="I1077">
            <v>0</v>
          </cell>
          <cell r="J1077">
            <v>0</v>
          </cell>
          <cell r="K1077">
            <v>1</v>
          </cell>
          <cell r="L1077">
            <v>1600</v>
          </cell>
          <cell r="M1077">
            <v>1600</v>
          </cell>
        </row>
        <row r="1078">
          <cell r="A1078">
            <v>2296</v>
          </cell>
          <cell r="B1078" t="str">
            <v/>
          </cell>
          <cell r="C1078" t="str">
            <v>JOHNNIE WALKER RED LABEL 500ML</v>
          </cell>
          <cell r="D1078" t="str">
            <v/>
          </cell>
          <cell r="E1078" t="str">
            <v/>
          </cell>
          <cell r="F1078" t="str">
            <v>Pcs</v>
          </cell>
          <cell r="G1078">
            <v>51</v>
          </cell>
          <cell r="H1078" t="str">
            <v/>
          </cell>
          <cell r="I1078">
            <v>0</v>
          </cell>
          <cell r="J1078">
            <v>0</v>
          </cell>
          <cell r="K1078">
            <v>51</v>
          </cell>
          <cell r="L1078">
            <v>1130</v>
          </cell>
          <cell r="M1078">
            <v>57630</v>
          </cell>
        </row>
        <row r="1079">
          <cell r="A1079">
            <v>1118</v>
          </cell>
          <cell r="B1079" t="str">
            <v/>
          </cell>
          <cell r="C1079" t="str">
            <v>JOHNNIE WALKER RED LABEL 750ML</v>
          </cell>
          <cell r="D1079" t="str">
            <v/>
          </cell>
          <cell r="E1079" t="str">
            <v/>
          </cell>
          <cell r="F1079" t="str">
            <v>Pcs</v>
          </cell>
          <cell r="G1079">
            <v>108</v>
          </cell>
          <cell r="H1079" t="str">
            <v/>
          </cell>
          <cell r="I1079">
            <v>0</v>
          </cell>
          <cell r="J1079">
            <v>108</v>
          </cell>
          <cell r="K1079">
            <v>0</v>
          </cell>
          <cell r="L1079">
            <v>1750</v>
          </cell>
          <cell r="M1079">
            <v>0</v>
          </cell>
        </row>
        <row r="1080">
          <cell r="A1080">
            <v>1119</v>
          </cell>
          <cell r="B1080" t="str">
            <v/>
          </cell>
          <cell r="C1080" t="str">
            <v>JOHNNIE WALKER RED LABEL WHISKY 250ML</v>
          </cell>
          <cell r="D1080" t="str">
            <v/>
          </cell>
          <cell r="E1080" t="str">
            <v/>
          </cell>
          <cell r="F1080" t="str">
            <v>Pcs</v>
          </cell>
          <cell r="G1080">
            <v>0</v>
          </cell>
          <cell r="H1080" t="str">
            <v/>
          </cell>
          <cell r="I1080">
            <v>0</v>
          </cell>
          <cell r="J1080">
            <v>0</v>
          </cell>
          <cell r="K1080">
            <v>0</v>
          </cell>
          <cell r="L1080">
            <v>552</v>
          </cell>
          <cell r="M1080">
            <v>0</v>
          </cell>
        </row>
        <row r="1081">
          <cell r="A1081">
            <v>1121</v>
          </cell>
          <cell r="B1081" t="str">
            <v/>
          </cell>
          <cell r="C1081" t="str">
            <v>JOHNNIE WALKER RED LABEL WHISKY 375ML</v>
          </cell>
          <cell r="D1081" t="str">
            <v/>
          </cell>
          <cell r="E1081" t="str">
            <v/>
          </cell>
          <cell r="F1081" t="str">
            <v>Pcs</v>
          </cell>
          <cell r="G1081">
            <v>24</v>
          </cell>
          <cell r="H1081" t="str">
            <v/>
          </cell>
          <cell r="I1081">
            <v>240</v>
          </cell>
          <cell r="J1081">
            <v>120</v>
          </cell>
          <cell r="K1081">
            <v>144</v>
          </cell>
          <cell r="L1081">
            <v>840.26</v>
          </cell>
          <cell r="M1081">
            <v>120997.44</v>
          </cell>
        </row>
        <row r="1082">
          <cell r="A1082">
            <v>1125</v>
          </cell>
          <cell r="B1082" t="str">
            <v/>
          </cell>
          <cell r="C1082" t="str">
            <v>JOHNNIE WALKER SWING 750ML</v>
          </cell>
          <cell r="D1082" t="str">
            <v/>
          </cell>
          <cell r="E1082" t="str">
            <v/>
          </cell>
          <cell r="F1082" t="str">
            <v>Pcs</v>
          </cell>
          <cell r="G1082">
            <v>42</v>
          </cell>
          <cell r="H1082" t="str">
            <v/>
          </cell>
          <cell r="I1082">
            <v>0</v>
          </cell>
          <cell r="J1082">
            <v>0</v>
          </cell>
          <cell r="K1082">
            <v>42</v>
          </cell>
          <cell r="L1082">
            <v>7900</v>
          </cell>
          <cell r="M1082">
            <v>331800</v>
          </cell>
        </row>
        <row r="1083">
          <cell r="A1083">
            <v>1122</v>
          </cell>
          <cell r="B1083" t="str">
            <v/>
          </cell>
          <cell r="C1083" t="str">
            <v>JOHNNIE WALKER WHITE WALKER 1LTR</v>
          </cell>
          <cell r="D1083" t="str">
            <v/>
          </cell>
          <cell r="E1083" t="str">
            <v/>
          </cell>
          <cell r="F1083" t="str">
            <v>Pcs</v>
          </cell>
          <cell r="G1083">
            <v>17</v>
          </cell>
          <cell r="H1083" t="str">
            <v/>
          </cell>
          <cell r="I1083">
            <v>0</v>
          </cell>
          <cell r="J1083">
            <v>0</v>
          </cell>
          <cell r="K1083">
            <v>17</v>
          </cell>
          <cell r="L1083">
            <v>4140</v>
          </cell>
          <cell r="M1083">
            <v>70380</v>
          </cell>
        </row>
        <row r="1084">
          <cell r="A1084">
            <v>2976</v>
          </cell>
          <cell r="B1084" t="str">
            <v/>
          </cell>
          <cell r="C1084" t="str">
            <v>JOHNNIE WALKER XR 19YRS 750ML</v>
          </cell>
          <cell r="D1084" t="str">
            <v/>
          </cell>
          <cell r="E1084" t="str">
            <v/>
          </cell>
          <cell r="F1084" t="str">
            <v>Pcs</v>
          </cell>
          <cell r="G1084">
            <v>14</v>
          </cell>
          <cell r="H1084" t="str">
            <v/>
          </cell>
          <cell r="I1084">
            <v>0</v>
          </cell>
          <cell r="J1084">
            <v>0</v>
          </cell>
          <cell r="K1084">
            <v>14</v>
          </cell>
          <cell r="L1084">
            <v>9000</v>
          </cell>
          <cell r="M1084">
            <v>126000</v>
          </cell>
        </row>
        <row r="1085">
          <cell r="A1085">
            <v>1124</v>
          </cell>
          <cell r="B1085" t="str">
            <v/>
          </cell>
          <cell r="C1085" t="str">
            <v>JOHNNIE WALKER XR 21YRS WHISKY 700ML</v>
          </cell>
          <cell r="D1085" t="str">
            <v/>
          </cell>
          <cell r="E1085" t="str">
            <v/>
          </cell>
          <cell r="F1085" t="str">
            <v>Pcs</v>
          </cell>
          <cell r="G1085">
            <v>5</v>
          </cell>
          <cell r="H1085" t="str">
            <v/>
          </cell>
          <cell r="I1085">
            <v>0</v>
          </cell>
          <cell r="J1085">
            <v>0</v>
          </cell>
          <cell r="K1085">
            <v>5</v>
          </cell>
          <cell r="L1085">
            <v>14000</v>
          </cell>
          <cell r="M1085">
            <v>70000</v>
          </cell>
        </row>
        <row r="1086">
          <cell r="A1086">
            <v>1159</v>
          </cell>
          <cell r="B1086" t="str">
            <v/>
          </cell>
          <cell r="C1086" t="str">
            <v>JURA 12YRS OLD SINGLE MALT WHISKY 700ML</v>
          </cell>
          <cell r="D1086" t="str">
            <v/>
          </cell>
          <cell r="E1086" t="str">
            <v/>
          </cell>
          <cell r="F1086" t="str">
            <v>Pcs</v>
          </cell>
          <cell r="G1086">
            <v>0</v>
          </cell>
          <cell r="H1086" t="str">
            <v/>
          </cell>
          <cell r="I1086">
            <v>0</v>
          </cell>
          <cell r="J1086">
            <v>0</v>
          </cell>
          <cell r="K1086">
            <v>0</v>
          </cell>
          <cell r="L1086">
            <v>5495</v>
          </cell>
          <cell r="M1086">
            <v>0</v>
          </cell>
        </row>
        <row r="1087">
          <cell r="A1087">
            <v>1161</v>
          </cell>
          <cell r="B1087" t="str">
            <v/>
          </cell>
          <cell r="C1087" t="str">
            <v>JURA FRENCH OAK 700ML</v>
          </cell>
          <cell r="D1087" t="str">
            <v/>
          </cell>
          <cell r="E1087" t="str">
            <v/>
          </cell>
          <cell r="F1087" t="str">
            <v>Pcs</v>
          </cell>
          <cell r="G1087">
            <v>6</v>
          </cell>
          <cell r="H1087" t="str">
            <v/>
          </cell>
          <cell r="I1087">
            <v>0</v>
          </cell>
          <cell r="J1087">
            <v>0</v>
          </cell>
          <cell r="K1087">
            <v>6</v>
          </cell>
          <cell r="L1087">
            <v>4800</v>
          </cell>
          <cell r="M1087">
            <v>28800</v>
          </cell>
        </row>
        <row r="1088">
          <cell r="A1088">
            <v>1207</v>
          </cell>
          <cell r="B1088" t="str">
            <v/>
          </cell>
          <cell r="C1088" t="str">
            <v>KING ROBERT II 750ML</v>
          </cell>
          <cell r="D1088" t="str">
            <v/>
          </cell>
          <cell r="E1088" t="str">
            <v/>
          </cell>
          <cell r="F1088" t="str">
            <v>Pcs</v>
          </cell>
          <cell r="G1088">
            <v>0</v>
          </cell>
          <cell r="H1088" t="str">
            <v/>
          </cell>
          <cell r="I1088">
            <v>0</v>
          </cell>
          <cell r="J1088">
            <v>0</v>
          </cell>
          <cell r="K1088">
            <v>0</v>
          </cell>
          <cell r="L1088">
            <v>920</v>
          </cell>
          <cell r="M1088">
            <v>0</v>
          </cell>
        </row>
        <row r="1089">
          <cell r="A1089">
            <v>1210</v>
          </cell>
          <cell r="B1089" t="str">
            <v/>
          </cell>
          <cell r="C1089" t="str">
            <v>KING ROBERT WHISKY 1LTR</v>
          </cell>
          <cell r="D1089" t="str">
            <v/>
          </cell>
          <cell r="E1089" t="str">
            <v/>
          </cell>
          <cell r="F1089" t="str">
            <v>Pcs</v>
          </cell>
          <cell r="G1089">
            <v>24</v>
          </cell>
          <cell r="H1089" t="str">
            <v/>
          </cell>
          <cell r="I1089">
            <v>0</v>
          </cell>
          <cell r="J1089">
            <v>0</v>
          </cell>
          <cell r="K1089">
            <v>24</v>
          </cell>
          <cell r="L1089">
            <v>1288</v>
          </cell>
          <cell r="M1089">
            <v>30912</v>
          </cell>
        </row>
        <row r="1090">
          <cell r="A1090">
            <v>1211</v>
          </cell>
          <cell r="B1090" t="str">
            <v/>
          </cell>
          <cell r="C1090" t="str">
            <v>KING ROBERT WHISKY 750ML</v>
          </cell>
          <cell r="D1090" t="str">
            <v/>
          </cell>
          <cell r="E1090" t="str">
            <v/>
          </cell>
          <cell r="F1090" t="str">
            <v>Pcs</v>
          </cell>
          <cell r="G1090">
            <v>0</v>
          </cell>
          <cell r="H1090" t="str">
            <v/>
          </cell>
          <cell r="I1090">
            <v>0</v>
          </cell>
          <cell r="J1090">
            <v>0</v>
          </cell>
          <cell r="K1090">
            <v>0</v>
          </cell>
          <cell r="L1090">
            <v>920</v>
          </cell>
          <cell r="M1090">
            <v>0</v>
          </cell>
        </row>
        <row r="1091">
          <cell r="A1091">
            <v>2230</v>
          </cell>
          <cell r="B1091" t="str">
            <v/>
          </cell>
          <cell r="C1091" t="str">
            <v>LAGAVULIN ISLAY 12YRS 750ML</v>
          </cell>
          <cell r="D1091" t="str">
            <v/>
          </cell>
          <cell r="E1091" t="str">
            <v/>
          </cell>
          <cell r="F1091" t="str">
            <v>Pcs</v>
          </cell>
          <cell r="G1091">
            <v>0</v>
          </cell>
          <cell r="H1091" t="str">
            <v/>
          </cell>
          <cell r="I1091">
            <v>0</v>
          </cell>
          <cell r="J1091">
            <v>0</v>
          </cell>
          <cell r="K1091">
            <v>0</v>
          </cell>
          <cell r="L1091">
            <v>8800</v>
          </cell>
          <cell r="M1091">
            <v>0</v>
          </cell>
        </row>
        <row r="1092">
          <cell r="A1092">
            <v>1251</v>
          </cell>
          <cell r="B1092" t="str">
            <v/>
          </cell>
          <cell r="C1092" t="str">
            <v>LAGAVULIN ISLAY SINGLE MALT 16YRS 750ML</v>
          </cell>
          <cell r="D1092" t="str">
            <v/>
          </cell>
          <cell r="E1092" t="str">
            <v/>
          </cell>
          <cell r="F1092" t="str">
            <v>Pcs</v>
          </cell>
          <cell r="G1092">
            <v>24</v>
          </cell>
          <cell r="H1092" t="str">
            <v/>
          </cell>
          <cell r="I1092">
            <v>0</v>
          </cell>
          <cell r="J1092">
            <v>0</v>
          </cell>
          <cell r="K1092">
            <v>24</v>
          </cell>
          <cell r="L1092">
            <v>15640</v>
          </cell>
          <cell r="M1092">
            <v>375360</v>
          </cell>
        </row>
        <row r="1093">
          <cell r="A1093">
            <v>2306</v>
          </cell>
          <cell r="B1093" t="str">
            <v/>
          </cell>
          <cell r="C1093" t="str">
            <v>LAMBAY WHISKY 1LTR</v>
          </cell>
          <cell r="D1093" t="str">
            <v/>
          </cell>
          <cell r="E1093" t="str">
            <v/>
          </cell>
          <cell r="F1093" t="str">
            <v>Pcs</v>
          </cell>
          <cell r="G1093">
            <v>0</v>
          </cell>
          <cell r="H1093" t="str">
            <v/>
          </cell>
          <cell r="I1093">
            <v>0</v>
          </cell>
          <cell r="J1093">
            <v>0</v>
          </cell>
          <cell r="K1093">
            <v>0</v>
          </cell>
          <cell r="L1093">
            <v>4200</v>
          </cell>
          <cell r="M1093">
            <v>0</v>
          </cell>
        </row>
        <row r="1094">
          <cell r="A1094">
            <v>2799</v>
          </cell>
          <cell r="B1094" t="str">
            <v/>
          </cell>
          <cell r="C1094" t="str">
            <v>LAPHROAIG 10YEARS 700ML</v>
          </cell>
          <cell r="D1094" t="str">
            <v/>
          </cell>
          <cell r="E1094" t="str">
            <v/>
          </cell>
          <cell r="F1094" t="str">
            <v>Pcs</v>
          </cell>
          <cell r="G1094">
            <v>30</v>
          </cell>
          <cell r="H1094" t="str">
            <v/>
          </cell>
          <cell r="I1094">
            <v>0</v>
          </cell>
          <cell r="J1094">
            <v>0</v>
          </cell>
          <cell r="K1094">
            <v>30</v>
          </cell>
          <cell r="L1094">
            <v>4000</v>
          </cell>
          <cell r="M1094">
            <v>120000</v>
          </cell>
        </row>
        <row r="1095">
          <cell r="A1095">
            <v>2231</v>
          </cell>
          <cell r="B1095" t="str">
            <v/>
          </cell>
          <cell r="C1095" t="str">
            <v>LAPHROAIG 700ML</v>
          </cell>
          <cell r="D1095" t="str">
            <v/>
          </cell>
          <cell r="E1095" t="str">
            <v/>
          </cell>
          <cell r="F1095" t="str">
            <v>Pcs</v>
          </cell>
          <cell r="G1095">
            <v>0</v>
          </cell>
          <cell r="H1095" t="str">
            <v/>
          </cell>
          <cell r="I1095">
            <v>0</v>
          </cell>
          <cell r="J1095">
            <v>0</v>
          </cell>
          <cell r="K1095">
            <v>0</v>
          </cell>
          <cell r="L1095">
            <v>8000</v>
          </cell>
          <cell r="M1095">
            <v>0</v>
          </cell>
        </row>
        <row r="1096">
          <cell r="A1096">
            <v>2232</v>
          </cell>
          <cell r="B1096" t="str">
            <v/>
          </cell>
          <cell r="C1096" t="str">
            <v>LAPHROAIG AN CUAN MOR 700ML</v>
          </cell>
          <cell r="D1096" t="str">
            <v/>
          </cell>
          <cell r="E1096" t="str">
            <v/>
          </cell>
          <cell r="F1096" t="str">
            <v>Pcs</v>
          </cell>
          <cell r="G1096">
            <v>0</v>
          </cell>
          <cell r="H1096" t="str">
            <v/>
          </cell>
          <cell r="I1096">
            <v>0</v>
          </cell>
          <cell r="J1096">
            <v>0</v>
          </cell>
          <cell r="K1096">
            <v>0</v>
          </cell>
          <cell r="L1096">
            <v>8400</v>
          </cell>
          <cell r="M1096">
            <v>0</v>
          </cell>
        </row>
        <row r="1097">
          <cell r="A1097">
            <v>2370</v>
          </cell>
          <cell r="B1097" t="str">
            <v/>
          </cell>
          <cell r="C1097" t="str">
            <v>LAPHROAIG FOUR OAK 1LTR</v>
          </cell>
          <cell r="D1097" t="str">
            <v/>
          </cell>
          <cell r="E1097" t="str">
            <v/>
          </cell>
          <cell r="F1097" t="str">
            <v>Pcs</v>
          </cell>
          <cell r="G1097">
            <v>24</v>
          </cell>
          <cell r="H1097" t="str">
            <v/>
          </cell>
          <cell r="I1097">
            <v>0</v>
          </cell>
          <cell r="J1097">
            <v>0</v>
          </cell>
          <cell r="K1097">
            <v>24</v>
          </cell>
          <cell r="L1097">
            <v>7200</v>
          </cell>
          <cell r="M1097">
            <v>172800</v>
          </cell>
        </row>
        <row r="1098">
          <cell r="A1098">
            <v>1259</v>
          </cell>
          <cell r="B1098" t="str">
            <v/>
          </cell>
          <cell r="C1098" t="str">
            <v>LAPHROAIG FOUR OAK 750ML</v>
          </cell>
          <cell r="D1098" t="str">
            <v/>
          </cell>
          <cell r="E1098" t="str">
            <v/>
          </cell>
          <cell r="F1098" t="str">
            <v>Pcs</v>
          </cell>
          <cell r="G1098">
            <v>0</v>
          </cell>
          <cell r="H1098" t="str">
            <v/>
          </cell>
          <cell r="I1098">
            <v>0</v>
          </cell>
          <cell r="J1098">
            <v>0</v>
          </cell>
          <cell r="K1098">
            <v>0</v>
          </cell>
          <cell r="L1098">
            <v>5060</v>
          </cell>
          <cell r="M1098">
            <v>0</v>
          </cell>
        </row>
        <row r="1099">
          <cell r="A1099">
            <v>1260</v>
          </cell>
          <cell r="B1099" t="str">
            <v/>
          </cell>
          <cell r="C1099" t="str">
            <v>LAPHROAIG PX CASK 1LTR</v>
          </cell>
          <cell r="D1099" t="str">
            <v/>
          </cell>
          <cell r="E1099" t="str">
            <v/>
          </cell>
          <cell r="F1099" t="str">
            <v>Pcs</v>
          </cell>
          <cell r="G1099">
            <v>42</v>
          </cell>
          <cell r="H1099" t="str">
            <v/>
          </cell>
          <cell r="I1099">
            <v>0</v>
          </cell>
          <cell r="J1099">
            <v>0</v>
          </cell>
          <cell r="K1099">
            <v>42</v>
          </cell>
          <cell r="L1099">
            <v>8280</v>
          </cell>
          <cell r="M1099">
            <v>347760</v>
          </cell>
        </row>
        <row r="1100">
          <cell r="A1100">
            <v>1261</v>
          </cell>
          <cell r="B1100" t="str">
            <v/>
          </cell>
          <cell r="C1100" t="str">
            <v>LAPHROAIG QUARTER CASK 750ML</v>
          </cell>
          <cell r="D1100" t="str">
            <v/>
          </cell>
          <cell r="E1100" t="str">
            <v/>
          </cell>
          <cell r="F1100" t="str">
            <v>Pcs</v>
          </cell>
          <cell r="G1100">
            <v>6</v>
          </cell>
          <cell r="H1100" t="str">
            <v/>
          </cell>
          <cell r="I1100">
            <v>0</v>
          </cell>
          <cell r="J1100">
            <v>0</v>
          </cell>
          <cell r="K1100">
            <v>6</v>
          </cell>
          <cell r="L1100">
            <v>5980</v>
          </cell>
          <cell r="M1100">
            <v>35880</v>
          </cell>
        </row>
        <row r="1101">
          <cell r="A1101">
            <v>1265</v>
          </cell>
          <cell r="B1101" t="str">
            <v/>
          </cell>
          <cell r="C1101" t="str">
            <v>LAUDERS SCOTH WHISKY 1LTR</v>
          </cell>
          <cell r="D1101" t="str">
            <v/>
          </cell>
          <cell r="E1101" t="str">
            <v/>
          </cell>
          <cell r="F1101" t="str">
            <v>Pcs</v>
          </cell>
          <cell r="G1101">
            <v>12</v>
          </cell>
          <cell r="H1101" t="str">
            <v/>
          </cell>
          <cell r="I1101">
            <v>0</v>
          </cell>
          <cell r="J1101">
            <v>0</v>
          </cell>
          <cell r="K1101">
            <v>12</v>
          </cell>
          <cell r="L1101">
            <v>1656</v>
          </cell>
          <cell r="M1101">
            <v>19872</v>
          </cell>
        </row>
        <row r="1102">
          <cell r="A1102">
            <v>1367</v>
          </cell>
          <cell r="B1102" t="str">
            <v/>
          </cell>
          <cell r="C1102" t="str">
            <v>MAJOR GUNN'S 1LTR</v>
          </cell>
          <cell r="D1102" t="str">
            <v/>
          </cell>
          <cell r="E1102" t="str">
            <v/>
          </cell>
          <cell r="F1102" t="str">
            <v>Pcs</v>
          </cell>
          <cell r="G1102">
            <v>0</v>
          </cell>
          <cell r="H1102" t="str">
            <v/>
          </cell>
          <cell r="I1102">
            <v>0</v>
          </cell>
          <cell r="J1102">
            <v>0</v>
          </cell>
          <cell r="K1102">
            <v>0</v>
          </cell>
          <cell r="L1102">
            <v>1100</v>
          </cell>
          <cell r="M1102">
            <v>0</v>
          </cell>
        </row>
        <row r="1103">
          <cell r="A1103">
            <v>2870</v>
          </cell>
          <cell r="B1103" t="str">
            <v/>
          </cell>
          <cell r="C1103" t="str">
            <v>MAKER'S MARK 101 1L</v>
          </cell>
          <cell r="D1103" t="str">
            <v/>
          </cell>
          <cell r="E1103" t="str">
            <v/>
          </cell>
          <cell r="F1103" t="str">
            <v>Pcs</v>
          </cell>
          <cell r="G1103">
            <v>54</v>
          </cell>
          <cell r="H1103" t="str">
            <v/>
          </cell>
          <cell r="I1103">
            <v>0</v>
          </cell>
          <cell r="J1103">
            <v>0</v>
          </cell>
          <cell r="K1103">
            <v>54</v>
          </cell>
          <cell r="L1103">
            <v>5000</v>
          </cell>
          <cell r="M1103">
            <v>270000</v>
          </cell>
        </row>
        <row r="1104">
          <cell r="A1104">
            <v>1368</v>
          </cell>
          <cell r="B1104" t="str">
            <v/>
          </cell>
          <cell r="C1104" t="str">
            <v>MAKER'S MARK 750ML</v>
          </cell>
          <cell r="D1104" t="str">
            <v/>
          </cell>
          <cell r="E1104" t="str">
            <v/>
          </cell>
          <cell r="F1104" t="str">
            <v>Pcs</v>
          </cell>
          <cell r="G1104">
            <v>21</v>
          </cell>
          <cell r="H1104" t="str">
            <v/>
          </cell>
          <cell r="I1104">
            <v>0</v>
          </cell>
          <cell r="J1104">
            <v>0</v>
          </cell>
          <cell r="K1104">
            <v>21</v>
          </cell>
          <cell r="L1104">
            <v>3680</v>
          </cell>
          <cell r="M1104">
            <v>77280</v>
          </cell>
        </row>
        <row r="1105">
          <cell r="A1105">
            <v>1369</v>
          </cell>
          <cell r="B1105" t="str">
            <v/>
          </cell>
          <cell r="C1105" t="str">
            <v>MAKERS MARK BOURBON 1LTR</v>
          </cell>
          <cell r="D1105" t="str">
            <v/>
          </cell>
          <cell r="E1105" t="str">
            <v/>
          </cell>
          <cell r="F1105" t="str">
            <v>Pcs</v>
          </cell>
          <cell r="G1105">
            <v>30</v>
          </cell>
          <cell r="H1105" t="str">
            <v/>
          </cell>
          <cell r="I1105">
            <v>0</v>
          </cell>
          <cell r="J1105">
            <v>0</v>
          </cell>
          <cell r="K1105">
            <v>30</v>
          </cell>
          <cell r="L1105">
            <v>4140</v>
          </cell>
          <cell r="M1105">
            <v>124200</v>
          </cell>
        </row>
        <row r="1106">
          <cell r="A1106">
            <v>2800</v>
          </cell>
          <cell r="B1106" t="str">
            <v/>
          </cell>
          <cell r="C1106" t="str">
            <v>MARTEL CORDON BLEU 700ML</v>
          </cell>
          <cell r="D1106" t="str">
            <v/>
          </cell>
          <cell r="E1106" t="str">
            <v/>
          </cell>
          <cell r="F1106" t="str">
            <v>Pcs</v>
          </cell>
          <cell r="G1106">
            <v>26</v>
          </cell>
          <cell r="H1106" t="str">
            <v/>
          </cell>
          <cell r="I1106">
            <v>0</v>
          </cell>
          <cell r="J1106">
            <v>0</v>
          </cell>
          <cell r="K1106">
            <v>26</v>
          </cell>
          <cell r="L1106">
            <v>12916</v>
          </cell>
          <cell r="M1106">
            <v>335816</v>
          </cell>
        </row>
        <row r="1107">
          <cell r="A1107">
            <v>1470</v>
          </cell>
          <cell r="B1107" t="str">
            <v/>
          </cell>
          <cell r="C1107" t="str">
            <v>MONKEY SHOULDER 1LT</v>
          </cell>
          <cell r="D1107" t="str">
            <v/>
          </cell>
          <cell r="E1107" t="str">
            <v/>
          </cell>
          <cell r="F1107" t="str">
            <v>Pcs</v>
          </cell>
          <cell r="G1107">
            <v>6</v>
          </cell>
          <cell r="H1107" t="str">
            <v/>
          </cell>
          <cell r="I1107">
            <v>0</v>
          </cell>
          <cell r="J1107">
            <v>6</v>
          </cell>
          <cell r="K1107">
            <v>0</v>
          </cell>
          <cell r="L1107">
            <v>3742</v>
          </cell>
          <cell r="M1107">
            <v>0</v>
          </cell>
        </row>
        <row r="1108">
          <cell r="A1108">
            <v>1471</v>
          </cell>
          <cell r="B1108" t="str">
            <v/>
          </cell>
          <cell r="C1108" t="str">
            <v>MONKEY SHOULDER 750ML</v>
          </cell>
          <cell r="D1108" t="str">
            <v/>
          </cell>
          <cell r="E1108" t="str">
            <v/>
          </cell>
          <cell r="F1108" t="str">
            <v>Pcs</v>
          </cell>
          <cell r="G1108">
            <v>174</v>
          </cell>
          <cell r="H1108" t="str">
            <v/>
          </cell>
          <cell r="I1108">
            <v>0</v>
          </cell>
          <cell r="J1108">
            <v>18</v>
          </cell>
          <cell r="K1108">
            <v>156</v>
          </cell>
          <cell r="L1108">
            <v>2730</v>
          </cell>
          <cell r="M1108">
            <v>425880</v>
          </cell>
        </row>
        <row r="1109">
          <cell r="A1109">
            <v>1484</v>
          </cell>
          <cell r="B1109" t="str">
            <v/>
          </cell>
          <cell r="C1109" t="str">
            <v>MRDOWELLS NO.1 RESERVE WHISKY 750ML</v>
          </cell>
          <cell r="D1109" t="str">
            <v/>
          </cell>
          <cell r="E1109" t="str">
            <v/>
          </cell>
          <cell r="F1109" t="str">
            <v>Pcs</v>
          </cell>
          <cell r="G1109">
            <v>34</v>
          </cell>
          <cell r="H1109" t="str">
            <v/>
          </cell>
          <cell r="I1109">
            <v>0</v>
          </cell>
          <cell r="J1109">
            <v>0</v>
          </cell>
          <cell r="K1109">
            <v>34</v>
          </cell>
          <cell r="L1109">
            <v>460</v>
          </cell>
          <cell r="M1109">
            <v>15640</v>
          </cell>
        </row>
        <row r="1110">
          <cell r="A1110">
            <v>2278</v>
          </cell>
          <cell r="B1110" t="str">
            <v/>
          </cell>
          <cell r="C1110" t="str">
            <v>MR DOWELS 750ML</v>
          </cell>
          <cell r="D1110" t="str">
            <v/>
          </cell>
          <cell r="E1110" t="str">
            <v/>
          </cell>
          <cell r="F1110" t="str">
            <v>Pcs</v>
          </cell>
          <cell r="G1110">
            <v>1</v>
          </cell>
          <cell r="H1110" t="str">
            <v/>
          </cell>
          <cell r="I1110">
            <v>0</v>
          </cell>
          <cell r="J1110">
            <v>0</v>
          </cell>
          <cell r="K1110">
            <v>1</v>
          </cell>
          <cell r="L1110">
            <v>700</v>
          </cell>
          <cell r="M1110">
            <v>700</v>
          </cell>
        </row>
        <row r="1111">
          <cell r="A1111">
            <v>1495</v>
          </cell>
          <cell r="B1111" t="str">
            <v/>
          </cell>
          <cell r="C1111" t="str">
            <v>NAKED MALT 750ml</v>
          </cell>
          <cell r="D1111" t="str">
            <v/>
          </cell>
          <cell r="E1111" t="str">
            <v/>
          </cell>
          <cell r="F1111" t="str">
            <v>Pcs</v>
          </cell>
          <cell r="G1111">
            <v>0</v>
          </cell>
          <cell r="H1111" t="str">
            <v/>
          </cell>
          <cell r="I1111">
            <v>0</v>
          </cell>
          <cell r="J1111">
            <v>0</v>
          </cell>
          <cell r="K1111">
            <v>0</v>
          </cell>
          <cell r="L1111">
            <v>3680</v>
          </cell>
          <cell r="M1111">
            <v>0</v>
          </cell>
        </row>
        <row r="1112">
          <cell r="A1112">
            <v>1546</v>
          </cell>
          <cell r="B1112" t="str">
            <v/>
          </cell>
          <cell r="C1112" t="str">
            <v>OFFICERS CHOICE 750ML</v>
          </cell>
          <cell r="D1112" t="str">
            <v/>
          </cell>
          <cell r="E1112" t="str">
            <v/>
          </cell>
          <cell r="F1112" t="str">
            <v>Pcs</v>
          </cell>
          <cell r="G1112">
            <v>0</v>
          </cell>
          <cell r="H1112" t="str">
            <v/>
          </cell>
          <cell r="I1112">
            <v>0</v>
          </cell>
          <cell r="J1112">
            <v>0</v>
          </cell>
          <cell r="K1112">
            <v>0</v>
          </cell>
          <cell r="L1112">
            <v>736</v>
          </cell>
          <cell r="M1112">
            <v>0</v>
          </cell>
        </row>
        <row r="1113">
          <cell r="A1113">
            <v>1545</v>
          </cell>
          <cell r="B1113" t="str">
            <v/>
          </cell>
          <cell r="C1113" t="str">
            <v>OFFICER'S CHOICE WHISKY LITRE</v>
          </cell>
          <cell r="D1113" t="str">
            <v/>
          </cell>
          <cell r="E1113" t="str">
            <v/>
          </cell>
          <cell r="F1113" t="str">
            <v>Pcs</v>
          </cell>
          <cell r="G1113">
            <v>0</v>
          </cell>
          <cell r="H1113" t="str">
            <v/>
          </cell>
          <cell r="I1113">
            <v>0</v>
          </cell>
          <cell r="J1113">
            <v>0</v>
          </cell>
          <cell r="K1113">
            <v>0</v>
          </cell>
          <cell r="L1113">
            <v>598</v>
          </cell>
          <cell r="M1113">
            <v>0</v>
          </cell>
        </row>
        <row r="1114">
          <cell r="A1114">
            <v>1550</v>
          </cell>
          <cell r="B1114" t="str">
            <v/>
          </cell>
          <cell r="C1114" t="str">
            <v>OLD FORESTER WHISKY 1ltr</v>
          </cell>
          <cell r="D1114" t="str">
            <v/>
          </cell>
          <cell r="E1114" t="str">
            <v/>
          </cell>
          <cell r="F1114" t="str">
            <v>Pcs</v>
          </cell>
          <cell r="G1114">
            <v>0</v>
          </cell>
          <cell r="H1114" t="str">
            <v/>
          </cell>
          <cell r="I1114">
            <v>0</v>
          </cell>
          <cell r="J1114">
            <v>0</v>
          </cell>
          <cell r="K1114">
            <v>0</v>
          </cell>
          <cell r="L1114">
            <v>3588</v>
          </cell>
          <cell r="M1114">
            <v>0</v>
          </cell>
        </row>
        <row r="1115">
          <cell r="A1115">
            <v>2383</v>
          </cell>
          <cell r="B1115" t="str">
            <v/>
          </cell>
          <cell r="C1115" t="str">
            <v>OLD PULLTENEY WHISKY 1LTR</v>
          </cell>
          <cell r="D1115" t="str">
            <v/>
          </cell>
          <cell r="E1115" t="str">
            <v/>
          </cell>
          <cell r="F1115" t="str">
            <v>Pcs</v>
          </cell>
          <cell r="G1115">
            <v>1</v>
          </cell>
          <cell r="H1115" t="str">
            <v/>
          </cell>
          <cell r="I1115">
            <v>0</v>
          </cell>
          <cell r="J1115">
            <v>0</v>
          </cell>
          <cell r="K1115">
            <v>1</v>
          </cell>
          <cell r="L1115">
            <v>8500</v>
          </cell>
          <cell r="M1115">
            <v>8500</v>
          </cell>
        </row>
        <row r="1116">
          <cell r="A1116">
            <v>1576</v>
          </cell>
          <cell r="B1116" t="str">
            <v/>
          </cell>
          <cell r="C1116" t="str">
            <v>PADDY IRISH WHISKY 375ML</v>
          </cell>
          <cell r="D1116" t="str">
            <v/>
          </cell>
          <cell r="E1116" t="str">
            <v/>
          </cell>
          <cell r="F1116" t="str">
            <v>Pcs</v>
          </cell>
          <cell r="G1116">
            <v>0</v>
          </cell>
          <cell r="H1116" t="str">
            <v/>
          </cell>
          <cell r="I1116">
            <v>0</v>
          </cell>
          <cell r="J1116">
            <v>0</v>
          </cell>
          <cell r="K1116">
            <v>0</v>
          </cell>
          <cell r="L1116">
            <v>552</v>
          </cell>
          <cell r="M1116">
            <v>0</v>
          </cell>
        </row>
        <row r="1117">
          <cell r="A1117">
            <v>1587</v>
          </cell>
          <cell r="B1117" t="str">
            <v/>
          </cell>
          <cell r="C1117" t="str">
            <v>PASSPORT SCOTCH 40% 750ML</v>
          </cell>
          <cell r="D1117" t="str">
            <v/>
          </cell>
          <cell r="E1117" t="str">
            <v/>
          </cell>
          <cell r="F1117" t="str">
            <v>Pcs</v>
          </cell>
          <cell r="G1117">
            <v>0</v>
          </cell>
          <cell r="H1117" t="str">
            <v/>
          </cell>
          <cell r="I1117">
            <v>0</v>
          </cell>
          <cell r="J1117">
            <v>0</v>
          </cell>
          <cell r="K1117">
            <v>0</v>
          </cell>
          <cell r="L1117">
            <v>1012</v>
          </cell>
          <cell r="M1117">
            <v>0</v>
          </cell>
        </row>
        <row r="1118">
          <cell r="A1118">
            <v>1588</v>
          </cell>
          <cell r="B1118" t="str">
            <v/>
          </cell>
          <cell r="C1118" t="str">
            <v>PASSPORT SCOTCH WHISKY 1LTR</v>
          </cell>
          <cell r="D1118" t="str">
            <v/>
          </cell>
          <cell r="E1118" t="str">
            <v/>
          </cell>
          <cell r="F1118" t="str">
            <v>Pcs</v>
          </cell>
          <cell r="G1118">
            <v>0</v>
          </cell>
          <cell r="H1118" t="str">
            <v/>
          </cell>
          <cell r="I1118">
            <v>0</v>
          </cell>
          <cell r="J1118">
            <v>0</v>
          </cell>
          <cell r="K1118">
            <v>0</v>
          </cell>
          <cell r="L1118">
            <v>1748</v>
          </cell>
          <cell r="M1118">
            <v>0</v>
          </cell>
        </row>
        <row r="1119">
          <cell r="A1119">
            <v>1636</v>
          </cell>
          <cell r="B1119" t="str">
            <v/>
          </cell>
          <cell r="C1119" t="str">
            <v>PROPER TWELVE IRISH WHISKY 1LTR</v>
          </cell>
          <cell r="D1119" t="str">
            <v/>
          </cell>
          <cell r="E1119" t="str">
            <v/>
          </cell>
          <cell r="F1119" t="str">
            <v>Pcs</v>
          </cell>
          <cell r="G1119">
            <v>138</v>
          </cell>
          <cell r="H1119" t="str">
            <v/>
          </cell>
          <cell r="I1119">
            <v>0</v>
          </cell>
          <cell r="J1119">
            <v>0</v>
          </cell>
          <cell r="K1119">
            <v>138</v>
          </cell>
          <cell r="L1119">
            <v>4300</v>
          </cell>
          <cell r="M1119">
            <v>593400</v>
          </cell>
        </row>
        <row r="1120">
          <cell r="A1120">
            <v>1660</v>
          </cell>
          <cell r="B1120" t="str">
            <v/>
          </cell>
          <cell r="C1120" t="str">
            <v>RESERVE 7 RARE WHISKY 750ML</v>
          </cell>
          <cell r="D1120" t="str">
            <v/>
          </cell>
          <cell r="E1120" t="str">
            <v/>
          </cell>
          <cell r="F1120" t="str">
            <v>Pcs</v>
          </cell>
          <cell r="G1120">
            <v>0</v>
          </cell>
          <cell r="H1120" t="str">
            <v/>
          </cell>
          <cell r="I1120">
            <v>0</v>
          </cell>
          <cell r="J1120">
            <v>0</v>
          </cell>
          <cell r="K1120">
            <v>0</v>
          </cell>
          <cell r="L1120">
            <v>690</v>
          </cell>
          <cell r="M1120">
            <v>0</v>
          </cell>
        </row>
        <row r="1121">
          <cell r="A1121">
            <v>1703</v>
          </cell>
          <cell r="B1121" t="str">
            <v/>
          </cell>
          <cell r="C1121" t="str">
            <v>ROYAL ARMS BLUE RESERVE BLACK 750ML</v>
          </cell>
          <cell r="D1121" t="str">
            <v/>
          </cell>
          <cell r="E1121" t="str">
            <v/>
          </cell>
          <cell r="F1121" t="str">
            <v>Pcs</v>
          </cell>
          <cell r="G1121">
            <v>0</v>
          </cell>
          <cell r="H1121" t="str">
            <v/>
          </cell>
          <cell r="I1121">
            <v>0</v>
          </cell>
          <cell r="J1121">
            <v>0</v>
          </cell>
          <cell r="K1121">
            <v>0</v>
          </cell>
          <cell r="L1121">
            <v>690</v>
          </cell>
          <cell r="M1121">
            <v>0</v>
          </cell>
        </row>
        <row r="1122">
          <cell r="A1122">
            <v>2244</v>
          </cell>
          <cell r="B1122" t="str">
            <v/>
          </cell>
          <cell r="C1122" t="str">
            <v>ROYAL CHALLENGE 375ML</v>
          </cell>
          <cell r="D1122" t="str">
            <v/>
          </cell>
          <cell r="E1122" t="str">
            <v/>
          </cell>
          <cell r="F1122" t="str">
            <v>Pcs</v>
          </cell>
          <cell r="G1122">
            <v>72</v>
          </cell>
          <cell r="H1122" t="str">
            <v/>
          </cell>
          <cell r="I1122">
            <v>0</v>
          </cell>
          <cell r="J1122">
            <v>24</v>
          </cell>
          <cell r="K1122">
            <v>48</v>
          </cell>
          <cell r="L1122">
            <v>500</v>
          </cell>
          <cell r="M1122">
            <v>24000</v>
          </cell>
        </row>
        <row r="1123">
          <cell r="A1123">
            <v>1704</v>
          </cell>
          <cell r="B1123" t="str">
            <v/>
          </cell>
          <cell r="C1123" t="str">
            <v>ROYAL CHALLENGE AMERICAN PRIDE 750ML</v>
          </cell>
          <cell r="D1123" t="str">
            <v/>
          </cell>
          <cell r="E1123" t="str">
            <v/>
          </cell>
          <cell r="F1123" t="str">
            <v>Pcs</v>
          </cell>
          <cell r="G1123">
            <v>0</v>
          </cell>
          <cell r="H1123" t="str">
            <v/>
          </cell>
          <cell r="I1123">
            <v>0</v>
          </cell>
          <cell r="J1123">
            <v>0</v>
          </cell>
          <cell r="K1123">
            <v>0</v>
          </cell>
          <cell r="L1123">
            <v>1058</v>
          </cell>
          <cell r="M1123">
            <v>0</v>
          </cell>
        </row>
        <row r="1124">
          <cell r="A1124">
            <v>1705</v>
          </cell>
          <cell r="B1124" t="str">
            <v/>
          </cell>
          <cell r="C1124" t="str">
            <v>ROYAL CHALLENGE WHISKY RED 750ML</v>
          </cell>
          <cell r="D1124" t="str">
            <v/>
          </cell>
          <cell r="E1124" t="str">
            <v/>
          </cell>
          <cell r="F1124" t="str">
            <v>Pcs</v>
          </cell>
          <cell r="G1124">
            <v>717</v>
          </cell>
          <cell r="H1124" t="str">
            <v/>
          </cell>
          <cell r="I1124">
            <v>0</v>
          </cell>
          <cell r="J1124">
            <v>0</v>
          </cell>
          <cell r="K1124">
            <v>717</v>
          </cell>
          <cell r="L1124">
            <v>540</v>
          </cell>
          <cell r="M1124">
            <v>387180</v>
          </cell>
        </row>
        <row r="1125">
          <cell r="A1125">
            <v>1706</v>
          </cell>
          <cell r="B1125" t="str">
            <v/>
          </cell>
          <cell r="C1125" t="str">
            <v>ROYAL CIRCLE 1LTR</v>
          </cell>
          <cell r="D1125" t="str">
            <v/>
          </cell>
          <cell r="E1125" t="str">
            <v/>
          </cell>
          <cell r="F1125" t="str">
            <v>Pcs</v>
          </cell>
          <cell r="G1125">
            <v>36</v>
          </cell>
          <cell r="H1125" t="str">
            <v/>
          </cell>
          <cell r="I1125">
            <v>0</v>
          </cell>
          <cell r="J1125">
            <v>24</v>
          </cell>
          <cell r="K1125">
            <v>12</v>
          </cell>
          <cell r="L1125">
            <v>1218.18</v>
          </cell>
          <cell r="M1125">
            <v>14618.16</v>
          </cell>
        </row>
        <row r="1126">
          <cell r="A1126">
            <v>1707</v>
          </cell>
          <cell r="B1126" t="str">
            <v/>
          </cell>
          <cell r="C1126" t="str">
            <v>ROYAL CIRCLE 350ML</v>
          </cell>
          <cell r="D1126" t="str">
            <v/>
          </cell>
          <cell r="E1126" t="str">
            <v/>
          </cell>
          <cell r="F1126" t="str">
            <v>Pcs</v>
          </cell>
          <cell r="G1126">
            <v>72</v>
          </cell>
          <cell r="H1126" t="str">
            <v/>
          </cell>
          <cell r="I1126">
            <v>0</v>
          </cell>
          <cell r="J1126">
            <v>48</v>
          </cell>
          <cell r="K1126">
            <v>24</v>
          </cell>
          <cell r="L1126">
            <v>375</v>
          </cell>
          <cell r="M1126">
            <v>9000</v>
          </cell>
        </row>
        <row r="1127">
          <cell r="A1127">
            <v>1708</v>
          </cell>
          <cell r="B1127" t="str">
            <v/>
          </cell>
          <cell r="C1127" t="str">
            <v>ROYAL CIRCLE 750ML</v>
          </cell>
          <cell r="D1127" t="str">
            <v/>
          </cell>
          <cell r="E1127" t="str">
            <v/>
          </cell>
          <cell r="F1127" t="str">
            <v>Pcs</v>
          </cell>
          <cell r="G1127">
            <v>72</v>
          </cell>
          <cell r="H1127" t="str">
            <v/>
          </cell>
          <cell r="I1127">
            <v>0</v>
          </cell>
          <cell r="J1127">
            <v>24</v>
          </cell>
          <cell r="K1127">
            <v>48</v>
          </cell>
          <cell r="L1127">
            <v>1087.27</v>
          </cell>
          <cell r="M1127">
            <v>52188.96</v>
          </cell>
        </row>
        <row r="1128">
          <cell r="A1128">
            <v>2842</v>
          </cell>
          <cell r="B1128" t="str">
            <v/>
          </cell>
          <cell r="C1128" t="str">
            <v>ROYAL CIRCLE HONEY 750ML  </v>
          </cell>
          <cell r="D1128" t="str">
            <v/>
          </cell>
          <cell r="E1128" t="str">
            <v/>
          </cell>
          <cell r="F1128" t="str">
            <v>Pcs</v>
          </cell>
          <cell r="G1128">
            <v>0</v>
          </cell>
          <cell r="H1128" t="str">
            <v/>
          </cell>
          <cell r="I1128">
            <v>0</v>
          </cell>
          <cell r="J1128">
            <v>0</v>
          </cell>
          <cell r="K1128">
            <v>0</v>
          </cell>
          <cell r="L1128">
            <v>1087.27</v>
          </cell>
          <cell r="M1128">
            <v>0</v>
          </cell>
        </row>
        <row r="1129">
          <cell r="A1129">
            <v>1716</v>
          </cell>
          <cell r="B1129" t="str">
            <v/>
          </cell>
          <cell r="C1129" t="str">
            <v>ROYAL WHYTEHALL HONEY 1LTR</v>
          </cell>
          <cell r="D1129" t="str">
            <v/>
          </cell>
          <cell r="E1129" t="str">
            <v/>
          </cell>
          <cell r="F1129" t="str">
            <v>Pcs</v>
          </cell>
          <cell r="G1129">
            <v>120</v>
          </cell>
          <cell r="H1129" t="str">
            <v/>
          </cell>
          <cell r="I1129">
            <v>10</v>
          </cell>
          <cell r="J1129">
            <v>72</v>
          </cell>
          <cell r="K1129">
            <v>58</v>
          </cell>
          <cell r="L1129">
            <v>1350</v>
          </cell>
          <cell r="M1129">
            <v>78300</v>
          </cell>
        </row>
        <row r="1130">
          <cell r="A1130">
            <v>2825</v>
          </cell>
          <cell r="B1130" t="str">
            <v/>
          </cell>
          <cell r="C1130" t="str">
            <v>SAZERAC RYE 700ML</v>
          </cell>
          <cell r="D1130" t="str">
            <v/>
          </cell>
          <cell r="E1130" t="str">
            <v/>
          </cell>
          <cell r="F1130" t="str">
            <v>Pcs</v>
          </cell>
          <cell r="G1130">
            <v>12</v>
          </cell>
          <cell r="H1130" t="str">
            <v/>
          </cell>
          <cell r="I1130">
            <v>0</v>
          </cell>
          <cell r="J1130">
            <v>0</v>
          </cell>
          <cell r="K1130">
            <v>12</v>
          </cell>
          <cell r="L1130">
            <v>2600</v>
          </cell>
          <cell r="M1130">
            <v>31200</v>
          </cell>
        </row>
        <row r="1131">
          <cell r="A1131">
            <v>1774</v>
          </cell>
          <cell r="B1131" t="str">
            <v/>
          </cell>
          <cell r="C1131" t="str">
            <v>SCOTTISH LEADER ORIGINAL 1LTR</v>
          </cell>
          <cell r="D1131" t="str">
            <v/>
          </cell>
          <cell r="E1131" t="str">
            <v/>
          </cell>
          <cell r="F1131" t="str">
            <v>Pcs</v>
          </cell>
          <cell r="G1131">
            <v>0</v>
          </cell>
          <cell r="H1131" t="str">
            <v/>
          </cell>
          <cell r="I1131">
            <v>0</v>
          </cell>
          <cell r="J1131">
            <v>0</v>
          </cell>
          <cell r="K1131">
            <v>0</v>
          </cell>
          <cell r="L1131">
            <v>1472</v>
          </cell>
          <cell r="M1131">
            <v>0</v>
          </cell>
        </row>
        <row r="1132">
          <cell r="A1132">
            <v>1775</v>
          </cell>
          <cell r="B1132" t="str">
            <v/>
          </cell>
          <cell r="C1132" t="str">
            <v>SCOTTISH LEADER ORIGINAL 700ML</v>
          </cell>
          <cell r="D1132" t="str">
            <v/>
          </cell>
          <cell r="E1132" t="str">
            <v/>
          </cell>
          <cell r="F1132" t="str">
            <v>Pcs</v>
          </cell>
          <cell r="G1132">
            <v>0</v>
          </cell>
          <cell r="H1132" t="str">
            <v/>
          </cell>
          <cell r="I1132">
            <v>0</v>
          </cell>
          <cell r="J1132">
            <v>0</v>
          </cell>
          <cell r="K1132">
            <v>0</v>
          </cell>
          <cell r="L1132">
            <v>1196</v>
          </cell>
          <cell r="M1132">
            <v>0</v>
          </cell>
        </row>
        <row r="1133">
          <cell r="A1133">
            <v>1772</v>
          </cell>
          <cell r="B1133" t="str">
            <v/>
          </cell>
          <cell r="C1133" t="str">
            <v>SCOTTISH STAG 1LTR</v>
          </cell>
          <cell r="D1133" t="str">
            <v/>
          </cell>
          <cell r="E1133" t="str">
            <v/>
          </cell>
          <cell r="F1133" t="str">
            <v>Pcs</v>
          </cell>
          <cell r="G1133">
            <v>41</v>
          </cell>
          <cell r="H1133" t="str">
            <v/>
          </cell>
          <cell r="I1133">
            <v>0</v>
          </cell>
          <cell r="J1133">
            <v>6</v>
          </cell>
          <cell r="K1133">
            <v>35</v>
          </cell>
          <cell r="L1133">
            <v>1500</v>
          </cell>
          <cell r="M1133">
            <v>52500</v>
          </cell>
        </row>
        <row r="1134">
          <cell r="A1134">
            <v>2246</v>
          </cell>
          <cell r="B1134" t="str">
            <v/>
          </cell>
          <cell r="C1134" t="str">
            <v>SHACKLETON 1LTR</v>
          </cell>
          <cell r="D1134" t="str">
            <v/>
          </cell>
          <cell r="E1134" t="str">
            <v/>
          </cell>
          <cell r="F1134" t="str">
            <v>Pcs</v>
          </cell>
          <cell r="G1134">
            <v>12</v>
          </cell>
          <cell r="H1134" t="str">
            <v/>
          </cell>
          <cell r="I1134">
            <v>0</v>
          </cell>
          <cell r="J1134">
            <v>0</v>
          </cell>
          <cell r="K1134">
            <v>12</v>
          </cell>
          <cell r="L1134">
            <v>5300</v>
          </cell>
          <cell r="M1134">
            <v>63600</v>
          </cell>
        </row>
        <row r="1135">
          <cell r="A1135">
            <v>1779</v>
          </cell>
          <cell r="B1135" t="str">
            <v/>
          </cell>
          <cell r="C1135" t="str">
            <v>SHACKLETON BLENDED MALT 700ML</v>
          </cell>
          <cell r="D1135" t="str">
            <v/>
          </cell>
          <cell r="E1135" t="str">
            <v/>
          </cell>
          <cell r="F1135" t="str">
            <v>Pcs</v>
          </cell>
          <cell r="G1135">
            <v>0</v>
          </cell>
          <cell r="H1135" t="str">
            <v/>
          </cell>
          <cell r="I1135">
            <v>0</v>
          </cell>
          <cell r="J1135">
            <v>0</v>
          </cell>
          <cell r="K1135">
            <v>0</v>
          </cell>
          <cell r="L1135">
            <v>3864</v>
          </cell>
          <cell r="M1135">
            <v>0</v>
          </cell>
        </row>
        <row r="1136">
          <cell r="A1136">
            <v>2282</v>
          </cell>
          <cell r="B1136" t="str">
            <v/>
          </cell>
          <cell r="C1136" t="str">
            <v>SINGLETON 12YRS 1LTR</v>
          </cell>
          <cell r="D1136" t="str">
            <v/>
          </cell>
          <cell r="E1136" t="str">
            <v/>
          </cell>
          <cell r="F1136" t="str">
            <v>Pcs</v>
          </cell>
          <cell r="G1136">
            <v>1</v>
          </cell>
          <cell r="H1136" t="str">
            <v/>
          </cell>
          <cell r="I1136">
            <v>0</v>
          </cell>
          <cell r="J1136">
            <v>0</v>
          </cell>
          <cell r="K1136">
            <v>1</v>
          </cell>
          <cell r="L1136">
            <v>6400</v>
          </cell>
          <cell r="M1136">
            <v>6400</v>
          </cell>
        </row>
        <row r="1137">
          <cell r="A1137">
            <v>1799</v>
          </cell>
          <cell r="B1137" t="str">
            <v/>
          </cell>
          <cell r="C1137" t="str">
            <v>SINGLETON 12YRS WHISKY 750ML</v>
          </cell>
          <cell r="D1137" t="str">
            <v/>
          </cell>
          <cell r="E1137" t="str">
            <v/>
          </cell>
          <cell r="F1137" t="str">
            <v>Pcs</v>
          </cell>
          <cell r="G1137">
            <v>243</v>
          </cell>
          <cell r="H1137" t="str">
            <v/>
          </cell>
          <cell r="I1137">
            <v>0</v>
          </cell>
          <cell r="J1137">
            <v>42</v>
          </cell>
          <cell r="K1137">
            <v>201</v>
          </cell>
          <cell r="L1137">
            <v>3250</v>
          </cell>
          <cell r="M1137">
            <v>653250</v>
          </cell>
        </row>
        <row r="1138">
          <cell r="A1138">
            <v>1800</v>
          </cell>
          <cell r="B1138" t="str">
            <v/>
          </cell>
          <cell r="C1138" t="str">
            <v>SINGLETON 21YRS 700ML</v>
          </cell>
          <cell r="D1138" t="str">
            <v/>
          </cell>
          <cell r="E1138" t="str">
            <v/>
          </cell>
          <cell r="F1138" t="str">
            <v>Pcs</v>
          </cell>
          <cell r="G1138">
            <v>0</v>
          </cell>
          <cell r="H1138" t="str">
            <v/>
          </cell>
          <cell r="I1138">
            <v>0</v>
          </cell>
          <cell r="J1138">
            <v>0</v>
          </cell>
          <cell r="K1138">
            <v>0</v>
          </cell>
          <cell r="L1138">
            <v>17800</v>
          </cell>
          <cell r="M1138">
            <v>0</v>
          </cell>
        </row>
        <row r="1139">
          <cell r="A1139">
            <v>2956</v>
          </cell>
          <cell r="B1139" t="str">
            <v/>
          </cell>
          <cell r="C1139" t="str">
            <v>SINGLETON ARTISAN 1L</v>
          </cell>
          <cell r="D1139" t="str">
            <v/>
          </cell>
          <cell r="E1139" t="str">
            <v/>
          </cell>
          <cell r="F1139" t="str">
            <v>Pcs</v>
          </cell>
          <cell r="G1139">
            <v>0</v>
          </cell>
          <cell r="H1139" t="str">
            <v/>
          </cell>
          <cell r="I1139">
            <v>0</v>
          </cell>
          <cell r="J1139">
            <v>0</v>
          </cell>
          <cell r="K1139">
            <v>0</v>
          </cell>
          <cell r="L1139">
            <v>7500</v>
          </cell>
          <cell r="M1139">
            <v>0</v>
          </cell>
        </row>
        <row r="1140">
          <cell r="A1140">
            <v>1801</v>
          </cell>
          <cell r="B1140" t="str">
            <v/>
          </cell>
          <cell r="C1140" t="str">
            <v>SINGLETON DUFFTOWN 15YRS 750ML</v>
          </cell>
          <cell r="D1140" t="str">
            <v/>
          </cell>
          <cell r="E1140" t="str">
            <v/>
          </cell>
          <cell r="F1140" t="str">
            <v>Pcs</v>
          </cell>
          <cell r="G1140">
            <v>0</v>
          </cell>
          <cell r="H1140" t="str">
            <v/>
          </cell>
          <cell r="I1140">
            <v>0</v>
          </cell>
          <cell r="J1140">
            <v>0</v>
          </cell>
          <cell r="K1140">
            <v>0</v>
          </cell>
          <cell r="L1140">
            <v>3643</v>
          </cell>
          <cell r="M1140">
            <v>0</v>
          </cell>
        </row>
        <row r="1141">
          <cell r="A1141">
            <v>1802</v>
          </cell>
          <cell r="B1141" t="str">
            <v/>
          </cell>
          <cell r="C1141" t="str">
            <v>SINGLETON DUFFTOWN 18YRS WHISKY 750ML</v>
          </cell>
          <cell r="D1141" t="str">
            <v/>
          </cell>
          <cell r="E1141" t="str">
            <v/>
          </cell>
          <cell r="F1141" t="str">
            <v>Pcs</v>
          </cell>
          <cell r="G1141">
            <v>0</v>
          </cell>
          <cell r="H1141" t="str">
            <v/>
          </cell>
          <cell r="I1141">
            <v>0</v>
          </cell>
          <cell r="J1141">
            <v>0</v>
          </cell>
          <cell r="K1141">
            <v>0</v>
          </cell>
          <cell r="L1141">
            <v>8280</v>
          </cell>
          <cell r="M1141">
            <v>0</v>
          </cell>
        </row>
        <row r="1142">
          <cell r="A1142">
            <v>2162</v>
          </cell>
          <cell r="B1142" t="str">
            <v/>
          </cell>
          <cell r="C1142" t="str">
            <v>SIR EDWARDS SMOKY  1L</v>
          </cell>
          <cell r="D1142" t="str">
            <v/>
          </cell>
          <cell r="E1142" t="str">
            <v/>
          </cell>
          <cell r="F1142" t="str">
            <v>Pcs</v>
          </cell>
          <cell r="G1142">
            <v>227</v>
          </cell>
          <cell r="H1142" t="str">
            <v/>
          </cell>
          <cell r="I1142">
            <v>0</v>
          </cell>
          <cell r="J1142">
            <v>4</v>
          </cell>
          <cell r="K1142">
            <v>223</v>
          </cell>
          <cell r="L1142">
            <v>1600</v>
          </cell>
          <cell r="M1142">
            <v>356800</v>
          </cell>
        </row>
        <row r="1143">
          <cell r="A1143">
            <v>1805</v>
          </cell>
          <cell r="B1143" t="str">
            <v/>
          </cell>
          <cell r="C1143" t="str">
            <v>SIR EDWARD'S SMOKY WHISKY 750ML</v>
          </cell>
          <cell r="D1143" t="str">
            <v/>
          </cell>
          <cell r="E1143" t="str">
            <v/>
          </cell>
          <cell r="F1143" t="str">
            <v>Pcs</v>
          </cell>
          <cell r="G1143">
            <v>832</v>
          </cell>
          <cell r="H1143" t="str">
            <v/>
          </cell>
          <cell r="I1143">
            <v>0</v>
          </cell>
          <cell r="J1143">
            <v>0</v>
          </cell>
          <cell r="K1143">
            <v>832</v>
          </cell>
          <cell r="L1143">
            <v>1288</v>
          </cell>
          <cell r="M1143">
            <v>1071616</v>
          </cell>
        </row>
        <row r="1144">
          <cell r="A1144">
            <v>1806</v>
          </cell>
          <cell r="B1144" t="str">
            <v/>
          </cell>
          <cell r="C1144" t="str">
            <v>SIR EDWARDS WHISKY  1LTR</v>
          </cell>
          <cell r="D1144" t="str">
            <v/>
          </cell>
          <cell r="E1144" t="str">
            <v/>
          </cell>
          <cell r="F1144" t="str">
            <v>Pcs</v>
          </cell>
          <cell r="G1144">
            <v>735</v>
          </cell>
          <cell r="H1144" t="str">
            <v/>
          </cell>
          <cell r="I1144">
            <v>0</v>
          </cell>
          <cell r="J1144">
            <v>249</v>
          </cell>
          <cell r="K1144">
            <v>486</v>
          </cell>
          <cell r="L1144">
            <v>1380</v>
          </cell>
          <cell r="M1144">
            <v>670680</v>
          </cell>
        </row>
        <row r="1145">
          <cell r="A1145">
            <v>1808</v>
          </cell>
          <cell r="B1145" t="str">
            <v/>
          </cell>
          <cell r="C1145" t="str">
            <v>SIR EDWARDS WHISKY  4.5LTR</v>
          </cell>
          <cell r="D1145" t="str">
            <v/>
          </cell>
          <cell r="E1145" t="str">
            <v/>
          </cell>
          <cell r="F1145" t="str">
            <v>Pcs</v>
          </cell>
          <cell r="G1145">
            <v>0</v>
          </cell>
          <cell r="H1145" t="str">
            <v/>
          </cell>
          <cell r="I1145">
            <v>0</v>
          </cell>
          <cell r="J1145">
            <v>0</v>
          </cell>
          <cell r="K1145">
            <v>0</v>
          </cell>
          <cell r="L1145">
            <v>9660</v>
          </cell>
          <cell r="M1145">
            <v>0</v>
          </cell>
        </row>
        <row r="1146">
          <cell r="A1146">
            <v>1809</v>
          </cell>
          <cell r="B1146" t="str">
            <v/>
          </cell>
          <cell r="C1146" t="str">
            <v>SIR EDWARDS WHISKY  700ML</v>
          </cell>
          <cell r="D1146" t="str">
            <v/>
          </cell>
          <cell r="E1146" t="str">
            <v/>
          </cell>
          <cell r="F1146" t="str">
            <v>Pcs</v>
          </cell>
          <cell r="G1146">
            <v>0</v>
          </cell>
          <cell r="H1146" t="str">
            <v/>
          </cell>
          <cell r="I1146">
            <v>0</v>
          </cell>
          <cell r="J1146">
            <v>0</v>
          </cell>
          <cell r="K1146">
            <v>0</v>
          </cell>
          <cell r="L1146">
            <v>828</v>
          </cell>
          <cell r="M1146">
            <v>0</v>
          </cell>
        </row>
        <row r="1147">
          <cell r="A1147">
            <v>1851</v>
          </cell>
          <cell r="B1147" t="str">
            <v/>
          </cell>
          <cell r="C1147" t="str">
            <v>SOLAN NO. ONE BLACK 750ML</v>
          </cell>
          <cell r="D1147" t="str">
            <v/>
          </cell>
          <cell r="E1147" t="str">
            <v/>
          </cell>
          <cell r="F1147" t="str">
            <v>Pcs</v>
          </cell>
          <cell r="G1147">
            <v>12</v>
          </cell>
          <cell r="H1147" t="str">
            <v/>
          </cell>
          <cell r="I1147">
            <v>0</v>
          </cell>
          <cell r="J1147">
            <v>0</v>
          </cell>
          <cell r="K1147">
            <v>12</v>
          </cell>
          <cell r="L1147">
            <v>736</v>
          </cell>
          <cell r="M1147">
            <v>8832</v>
          </cell>
        </row>
        <row r="1148">
          <cell r="A1148">
            <v>1852</v>
          </cell>
          <cell r="B1148" t="str">
            <v/>
          </cell>
          <cell r="C1148" t="str">
            <v>SOLO AVIATOR 500ML</v>
          </cell>
          <cell r="D1148" t="str">
            <v/>
          </cell>
          <cell r="E1148" t="str">
            <v/>
          </cell>
          <cell r="F1148" t="str">
            <v>Pcs</v>
          </cell>
          <cell r="G1148">
            <v>0</v>
          </cell>
          <cell r="H1148" t="str">
            <v/>
          </cell>
          <cell r="I1148">
            <v>0</v>
          </cell>
          <cell r="J1148">
            <v>0</v>
          </cell>
          <cell r="K1148">
            <v>0</v>
          </cell>
          <cell r="L1148">
            <v>2000</v>
          </cell>
          <cell r="M1148">
            <v>0</v>
          </cell>
        </row>
        <row r="1149">
          <cell r="A1149">
            <v>1853</v>
          </cell>
          <cell r="B1149" t="str">
            <v/>
          </cell>
          <cell r="C1149" t="str">
            <v>SOMETHING SPECIAL 1LTR</v>
          </cell>
          <cell r="D1149" t="str">
            <v/>
          </cell>
          <cell r="E1149" t="str">
            <v/>
          </cell>
          <cell r="F1149" t="str">
            <v>Pcs</v>
          </cell>
          <cell r="G1149">
            <v>24</v>
          </cell>
          <cell r="H1149" t="str">
            <v/>
          </cell>
          <cell r="I1149">
            <v>0</v>
          </cell>
          <cell r="J1149">
            <v>0</v>
          </cell>
          <cell r="K1149">
            <v>24</v>
          </cell>
          <cell r="L1149">
            <v>1600</v>
          </cell>
          <cell r="M1149">
            <v>38400</v>
          </cell>
        </row>
        <row r="1150">
          <cell r="A1150">
            <v>95</v>
          </cell>
          <cell r="B1150" t="str">
            <v/>
          </cell>
          <cell r="C1150" t="str">
            <v>SOUTHERN COMFORT 1LT</v>
          </cell>
          <cell r="D1150" t="str">
            <v/>
          </cell>
          <cell r="E1150" t="str">
            <v/>
          </cell>
          <cell r="F1150" t="str">
            <v>Pcs</v>
          </cell>
          <cell r="G1150">
            <v>131</v>
          </cell>
          <cell r="H1150" t="str">
            <v/>
          </cell>
          <cell r="I1150">
            <v>0</v>
          </cell>
          <cell r="J1150">
            <v>58</v>
          </cell>
          <cell r="K1150">
            <v>73</v>
          </cell>
          <cell r="L1150">
            <v>2024</v>
          </cell>
          <cell r="M1150">
            <v>147752</v>
          </cell>
        </row>
        <row r="1151">
          <cell r="A1151">
            <v>1857</v>
          </cell>
          <cell r="B1151" t="str">
            <v/>
          </cell>
          <cell r="C1151" t="str">
            <v>SOUTHERN COMFORT 350ML</v>
          </cell>
          <cell r="D1151" t="str">
            <v/>
          </cell>
          <cell r="E1151" t="str">
            <v/>
          </cell>
          <cell r="F1151" t="str">
            <v>Pcs</v>
          </cell>
          <cell r="G1151">
            <v>0</v>
          </cell>
          <cell r="H1151" t="str">
            <v/>
          </cell>
          <cell r="I1151">
            <v>0</v>
          </cell>
          <cell r="J1151">
            <v>0</v>
          </cell>
          <cell r="K1151">
            <v>0</v>
          </cell>
          <cell r="L1151">
            <v>828</v>
          </cell>
          <cell r="M1151">
            <v>0</v>
          </cell>
        </row>
        <row r="1152">
          <cell r="A1152">
            <v>1858</v>
          </cell>
          <cell r="B1152" t="str">
            <v/>
          </cell>
          <cell r="C1152" t="str">
            <v>SOUTHERN COMFORT 750ML</v>
          </cell>
          <cell r="D1152" t="str">
            <v/>
          </cell>
          <cell r="E1152" t="str">
            <v/>
          </cell>
          <cell r="F1152" t="str">
            <v>Pcs</v>
          </cell>
          <cell r="G1152">
            <v>207</v>
          </cell>
          <cell r="H1152" t="str">
            <v/>
          </cell>
          <cell r="I1152">
            <v>1680</v>
          </cell>
          <cell r="J1152">
            <v>0</v>
          </cell>
          <cell r="K1152">
            <v>1887</v>
          </cell>
          <cell r="L1152">
            <v>1650</v>
          </cell>
          <cell r="M1152">
            <v>3113550</v>
          </cell>
        </row>
        <row r="1153">
          <cell r="A1153">
            <v>1856</v>
          </cell>
          <cell r="B1153" t="str">
            <v/>
          </cell>
          <cell r="C1153" t="str">
            <v>SOUTHERN COMFORT BLACK 1LT</v>
          </cell>
          <cell r="D1153" t="str">
            <v/>
          </cell>
          <cell r="E1153" t="str">
            <v/>
          </cell>
          <cell r="F1153" t="str">
            <v>Pcs</v>
          </cell>
          <cell r="G1153">
            <v>0</v>
          </cell>
          <cell r="H1153" t="str">
            <v/>
          </cell>
          <cell r="I1153">
            <v>0</v>
          </cell>
          <cell r="J1153">
            <v>0</v>
          </cell>
          <cell r="K1153">
            <v>0</v>
          </cell>
          <cell r="L1153">
            <v>1500</v>
          </cell>
          <cell r="M1153">
            <v>0</v>
          </cell>
        </row>
        <row r="1154">
          <cell r="A1154">
            <v>1859</v>
          </cell>
          <cell r="B1154" t="str">
            <v/>
          </cell>
          <cell r="C1154" t="str">
            <v>SOUTHERN COMFORT BLACK 700ML</v>
          </cell>
          <cell r="D1154" t="str">
            <v/>
          </cell>
          <cell r="E1154" t="str">
            <v/>
          </cell>
          <cell r="F1154" t="str">
            <v>Pcs</v>
          </cell>
          <cell r="G1154">
            <v>0</v>
          </cell>
          <cell r="H1154" t="str">
            <v/>
          </cell>
          <cell r="I1154">
            <v>0</v>
          </cell>
          <cell r="J1154">
            <v>0</v>
          </cell>
          <cell r="K1154">
            <v>0</v>
          </cell>
          <cell r="L1154">
            <v>1656</v>
          </cell>
          <cell r="M1154">
            <v>0</v>
          </cell>
        </row>
        <row r="1155">
          <cell r="A1155">
            <v>1860</v>
          </cell>
          <cell r="B1155" t="str">
            <v/>
          </cell>
          <cell r="C1155" t="str">
            <v>SOUTHERN COMFORT LIME 700ML</v>
          </cell>
          <cell r="D1155" t="str">
            <v/>
          </cell>
          <cell r="E1155" t="str">
            <v/>
          </cell>
          <cell r="F1155" t="str">
            <v>Pcs</v>
          </cell>
          <cell r="G1155">
            <v>114</v>
          </cell>
          <cell r="H1155" t="str">
            <v/>
          </cell>
          <cell r="I1155">
            <v>0</v>
          </cell>
          <cell r="J1155">
            <v>0</v>
          </cell>
          <cell r="K1155">
            <v>114</v>
          </cell>
          <cell r="L1155">
            <v>1656</v>
          </cell>
          <cell r="M1155">
            <v>188784</v>
          </cell>
        </row>
        <row r="1156">
          <cell r="A1156">
            <v>1896</v>
          </cell>
          <cell r="B1156" t="str">
            <v/>
          </cell>
          <cell r="C1156" t="str">
            <v>STRATHISLA 12YRS WHISKY 700ML</v>
          </cell>
          <cell r="D1156" t="str">
            <v/>
          </cell>
          <cell r="E1156" t="str">
            <v/>
          </cell>
          <cell r="F1156" t="str">
            <v>Pcs</v>
          </cell>
          <cell r="G1156">
            <v>0</v>
          </cell>
          <cell r="H1156" t="str">
            <v/>
          </cell>
          <cell r="I1156">
            <v>0</v>
          </cell>
          <cell r="J1156">
            <v>0</v>
          </cell>
          <cell r="K1156">
            <v>0</v>
          </cell>
          <cell r="L1156">
            <v>4140</v>
          </cell>
          <cell r="M1156">
            <v>0</v>
          </cell>
        </row>
        <row r="1157">
          <cell r="A1157">
            <v>1904</v>
          </cell>
          <cell r="B1157" t="str">
            <v/>
          </cell>
          <cell r="C1157" t="str">
            <v>SUPREME VODKA 250ML</v>
          </cell>
          <cell r="D1157" t="str">
            <v/>
          </cell>
          <cell r="E1157" t="str">
            <v/>
          </cell>
          <cell r="F1157" t="str">
            <v>Pcs</v>
          </cell>
          <cell r="G1157">
            <v>0</v>
          </cell>
          <cell r="H1157" t="str">
            <v/>
          </cell>
          <cell r="I1157">
            <v>0</v>
          </cell>
          <cell r="J1157">
            <v>0</v>
          </cell>
          <cell r="K1157">
            <v>0</v>
          </cell>
          <cell r="L1157">
            <v>151.8</v>
          </cell>
          <cell r="M1157">
            <v>0</v>
          </cell>
        </row>
        <row r="1158">
          <cell r="A1158">
            <v>1918</v>
          </cell>
          <cell r="B1158" t="str">
            <v/>
          </cell>
          <cell r="C1158" t="str">
            <v>TALISKER 10YRS WHISKY 1LTR</v>
          </cell>
          <cell r="D1158" t="str">
            <v/>
          </cell>
          <cell r="E1158" t="str">
            <v/>
          </cell>
          <cell r="F1158" t="str">
            <v>Pcs</v>
          </cell>
          <cell r="G1158">
            <v>6</v>
          </cell>
          <cell r="H1158" t="str">
            <v/>
          </cell>
          <cell r="I1158">
            <v>0</v>
          </cell>
          <cell r="J1158">
            <v>0</v>
          </cell>
          <cell r="K1158">
            <v>6</v>
          </cell>
          <cell r="L1158">
            <v>7820</v>
          </cell>
          <cell r="M1158">
            <v>46920</v>
          </cell>
        </row>
        <row r="1159">
          <cell r="A1159">
            <v>1919</v>
          </cell>
          <cell r="B1159" t="str">
            <v/>
          </cell>
          <cell r="C1159" t="str">
            <v>TALISKER 10YRS WHISKY 700ML</v>
          </cell>
          <cell r="D1159" t="str">
            <v/>
          </cell>
          <cell r="E1159" t="str">
            <v/>
          </cell>
          <cell r="F1159" t="str">
            <v>Pcs</v>
          </cell>
          <cell r="G1159">
            <v>42</v>
          </cell>
          <cell r="H1159" t="str">
            <v/>
          </cell>
          <cell r="I1159">
            <v>0</v>
          </cell>
          <cell r="J1159">
            <v>0</v>
          </cell>
          <cell r="K1159">
            <v>42</v>
          </cell>
          <cell r="L1159">
            <v>5980</v>
          </cell>
          <cell r="M1159">
            <v>251160</v>
          </cell>
        </row>
        <row r="1160">
          <cell r="A1160">
            <v>1921</v>
          </cell>
          <cell r="B1160" t="str">
            <v/>
          </cell>
          <cell r="C1160" t="str">
            <v>TALISKER DARK STORM WHISKY 1LTR</v>
          </cell>
          <cell r="D1160" t="str">
            <v/>
          </cell>
          <cell r="E1160" t="str">
            <v/>
          </cell>
          <cell r="F1160" t="str">
            <v>Pcs</v>
          </cell>
          <cell r="G1160">
            <v>52</v>
          </cell>
          <cell r="H1160" t="str">
            <v/>
          </cell>
          <cell r="I1160">
            <v>0</v>
          </cell>
          <cell r="J1160">
            <v>0</v>
          </cell>
          <cell r="K1160">
            <v>52</v>
          </cell>
          <cell r="L1160">
            <v>7820</v>
          </cell>
          <cell r="M1160">
            <v>406640</v>
          </cell>
        </row>
        <row r="1161">
          <cell r="A1161">
            <v>1916</v>
          </cell>
          <cell r="B1161" t="str">
            <v/>
          </cell>
          <cell r="C1161" t="str">
            <v>TALISKER  NEIST POINT 700ml</v>
          </cell>
          <cell r="D1161" t="str">
            <v/>
          </cell>
          <cell r="E1161" t="str">
            <v/>
          </cell>
          <cell r="F1161" t="str">
            <v>Pcs</v>
          </cell>
          <cell r="G1161">
            <v>0</v>
          </cell>
          <cell r="H1161" t="str">
            <v/>
          </cell>
          <cell r="I1161">
            <v>0</v>
          </cell>
          <cell r="J1161">
            <v>0</v>
          </cell>
          <cell r="K1161">
            <v>0</v>
          </cell>
          <cell r="L1161">
            <v>11960</v>
          </cell>
          <cell r="M1161">
            <v>0</v>
          </cell>
        </row>
        <row r="1162">
          <cell r="A1162">
            <v>1917</v>
          </cell>
          <cell r="B1162" t="str">
            <v/>
          </cell>
          <cell r="C1162" t="str">
            <v>TALISKER  PORT RUIGHE WHISKY 700ML</v>
          </cell>
          <cell r="D1162" t="str">
            <v/>
          </cell>
          <cell r="E1162" t="str">
            <v/>
          </cell>
          <cell r="F1162" t="str">
            <v>Pcs</v>
          </cell>
          <cell r="G1162">
            <v>6</v>
          </cell>
          <cell r="H1162" t="str">
            <v/>
          </cell>
          <cell r="I1162">
            <v>0</v>
          </cell>
          <cell r="J1162">
            <v>0</v>
          </cell>
          <cell r="K1162">
            <v>6</v>
          </cell>
          <cell r="L1162">
            <v>3818</v>
          </cell>
          <cell r="M1162">
            <v>22908</v>
          </cell>
        </row>
        <row r="1163">
          <cell r="A1163">
            <v>1922</v>
          </cell>
          <cell r="B1163" t="str">
            <v/>
          </cell>
          <cell r="C1163" t="str">
            <v>TALISKER SINGLE MALT 700ML</v>
          </cell>
          <cell r="D1163" t="str">
            <v/>
          </cell>
          <cell r="E1163" t="str">
            <v/>
          </cell>
          <cell r="F1163" t="str">
            <v>Pcs</v>
          </cell>
          <cell r="G1163">
            <v>0</v>
          </cell>
          <cell r="H1163" t="str">
            <v/>
          </cell>
          <cell r="I1163">
            <v>0</v>
          </cell>
          <cell r="J1163">
            <v>0</v>
          </cell>
          <cell r="K1163">
            <v>0</v>
          </cell>
          <cell r="L1163">
            <v>6800</v>
          </cell>
          <cell r="M1163">
            <v>0</v>
          </cell>
        </row>
        <row r="1164">
          <cell r="A1164">
            <v>1923</v>
          </cell>
          <cell r="B1164" t="str">
            <v/>
          </cell>
          <cell r="C1164" t="str">
            <v>TALISKER SKYE 1ltr</v>
          </cell>
          <cell r="D1164" t="str">
            <v/>
          </cell>
          <cell r="E1164" t="str">
            <v/>
          </cell>
          <cell r="F1164" t="str">
            <v>Pcs</v>
          </cell>
          <cell r="G1164">
            <v>18</v>
          </cell>
          <cell r="H1164" t="str">
            <v/>
          </cell>
          <cell r="I1164">
            <v>0</v>
          </cell>
          <cell r="J1164">
            <v>0</v>
          </cell>
          <cell r="K1164">
            <v>18</v>
          </cell>
          <cell r="L1164">
            <v>4600</v>
          </cell>
          <cell r="M1164">
            <v>82800</v>
          </cell>
        </row>
        <row r="1165">
          <cell r="A1165">
            <v>2384</v>
          </cell>
          <cell r="B1165" t="str">
            <v/>
          </cell>
          <cell r="C1165" t="str">
            <v>TALISKER SKYE 700ML</v>
          </cell>
          <cell r="D1165" t="str">
            <v/>
          </cell>
          <cell r="E1165" t="str">
            <v/>
          </cell>
          <cell r="F1165" t="str">
            <v>Pcs</v>
          </cell>
          <cell r="G1165">
            <v>18</v>
          </cell>
          <cell r="H1165" t="str">
            <v/>
          </cell>
          <cell r="I1165">
            <v>0</v>
          </cell>
          <cell r="J1165">
            <v>0</v>
          </cell>
          <cell r="K1165">
            <v>18</v>
          </cell>
          <cell r="L1165">
            <v>6000</v>
          </cell>
          <cell r="M1165">
            <v>108000</v>
          </cell>
        </row>
        <row r="1166">
          <cell r="A1166">
            <v>1946</v>
          </cell>
          <cell r="B1166" t="str">
            <v/>
          </cell>
          <cell r="C1166" t="str">
            <v>TEACHERS 1LT</v>
          </cell>
          <cell r="D1166" t="str">
            <v/>
          </cell>
          <cell r="E1166" t="str">
            <v/>
          </cell>
          <cell r="F1166" t="str">
            <v>Pcs</v>
          </cell>
          <cell r="G1166">
            <v>287</v>
          </cell>
          <cell r="H1166" t="str">
            <v/>
          </cell>
          <cell r="I1166">
            <v>0</v>
          </cell>
          <cell r="J1166">
            <v>36</v>
          </cell>
          <cell r="K1166">
            <v>251</v>
          </cell>
          <cell r="L1166">
            <v>1636</v>
          </cell>
          <cell r="M1166">
            <v>410636</v>
          </cell>
        </row>
        <row r="1167">
          <cell r="A1167">
            <v>1948</v>
          </cell>
          <cell r="B1167" t="str">
            <v/>
          </cell>
          <cell r="C1167" t="str">
            <v>TEACHERS WHISKY 750ML</v>
          </cell>
          <cell r="D1167" t="str">
            <v/>
          </cell>
          <cell r="E1167" t="str">
            <v/>
          </cell>
          <cell r="F1167" t="str">
            <v>Pcs</v>
          </cell>
          <cell r="G1167">
            <v>60</v>
          </cell>
          <cell r="H1167" t="str">
            <v/>
          </cell>
          <cell r="I1167">
            <v>0</v>
          </cell>
          <cell r="J1167">
            <v>0</v>
          </cell>
          <cell r="K1167">
            <v>60</v>
          </cell>
          <cell r="L1167">
            <v>1288</v>
          </cell>
          <cell r="M1167">
            <v>77280</v>
          </cell>
        </row>
        <row r="1168">
          <cell r="A1168">
            <v>2958</v>
          </cell>
          <cell r="B1168" t="str">
            <v/>
          </cell>
          <cell r="C1168" t="str">
            <v>TEELING WHISKY 700ML</v>
          </cell>
          <cell r="D1168" t="str">
            <v/>
          </cell>
          <cell r="E1168" t="str">
            <v/>
          </cell>
          <cell r="F1168" t="str">
            <v>Pcs</v>
          </cell>
          <cell r="G1168">
            <v>6</v>
          </cell>
          <cell r="H1168" t="str">
            <v/>
          </cell>
          <cell r="I1168">
            <v>0</v>
          </cell>
          <cell r="J1168">
            <v>0</v>
          </cell>
          <cell r="K1168">
            <v>6</v>
          </cell>
          <cell r="L1168">
            <v>2120</v>
          </cell>
          <cell r="M1168">
            <v>12720</v>
          </cell>
        </row>
        <row r="1169">
          <cell r="A1169">
            <v>1961</v>
          </cell>
          <cell r="B1169" t="str">
            <v/>
          </cell>
          <cell r="C1169" t="str">
            <v>THE FAMOUS GROUSE 1LT</v>
          </cell>
          <cell r="D1169" t="str">
            <v/>
          </cell>
          <cell r="E1169" t="str">
            <v/>
          </cell>
          <cell r="F1169" t="str">
            <v>Pcs</v>
          </cell>
          <cell r="G1169">
            <v>602</v>
          </cell>
          <cell r="H1169" t="str">
            <v/>
          </cell>
          <cell r="I1169">
            <v>0</v>
          </cell>
          <cell r="J1169">
            <v>268</v>
          </cell>
          <cell r="K1169">
            <v>334</v>
          </cell>
          <cell r="L1169">
            <v>1900</v>
          </cell>
          <cell r="M1169">
            <v>634600</v>
          </cell>
        </row>
        <row r="1170">
          <cell r="A1170">
            <v>1962</v>
          </cell>
          <cell r="B1170" t="str">
            <v/>
          </cell>
          <cell r="C1170" t="str">
            <v>THE FAMOUS GROUSE 350ML</v>
          </cell>
          <cell r="D1170" t="str">
            <v/>
          </cell>
          <cell r="E1170" t="str">
            <v/>
          </cell>
          <cell r="F1170" t="str">
            <v>Pcs</v>
          </cell>
          <cell r="G1170">
            <v>0</v>
          </cell>
          <cell r="H1170" t="str">
            <v/>
          </cell>
          <cell r="I1170">
            <v>0</v>
          </cell>
          <cell r="J1170">
            <v>0</v>
          </cell>
          <cell r="K1170">
            <v>0</v>
          </cell>
          <cell r="L1170">
            <v>874</v>
          </cell>
          <cell r="M1170">
            <v>0</v>
          </cell>
        </row>
        <row r="1171">
          <cell r="A1171">
            <v>1963</v>
          </cell>
          <cell r="B1171" t="str">
            <v/>
          </cell>
          <cell r="C1171" t="str">
            <v>THE FAMOUS GROUSE 750ML</v>
          </cell>
          <cell r="D1171" t="str">
            <v/>
          </cell>
          <cell r="E1171" t="str">
            <v/>
          </cell>
          <cell r="F1171" t="str">
            <v>Pcs</v>
          </cell>
          <cell r="G1171">
            <v>0</v>
          </cell>
          <cell r="H1171" t="str">
            <v/>
          </cell>
          <cell r="I1171">
            <v>30</v>
          </cell>
          <cell r="J1171">
            <v>30</v>
          </cell>
          <cell r="K1171">
            <v>0</v>
          </cell>
          <cell r="L1171">
            <v>1610</v>
          </cell>
          <cell r="M1171">
            <v>0</v>
          </cell>
        </row>
        <row r="1172">
          <cell r="A1172">
            <v>2271</v>
          </cell>
          <cell r="B1172" t="str">
            <v/>
          </cell>
          <cell r="C1172" t="str">
            <v>THE FAMOUS GROUSE BOURBON CASK 750ML</v>
          </cell>
          <cell r="D1172" t="str">
            <v/>
          </cell>
          <cell r="E1172" t="str">
            <v/>
          </cell>
          <cell r="F1172" t="str">
            <v>Pcs</v>
          </cell>
          <cell r="G1172">
            <v>0</v>
          </cell>
          <cell r="H1172" t="str">
            <v/>
          </cell>
          <cell r="I1172">
            <v>0</v>
          </cell>
          <cell r="J1172">
            <v>0</v>
          </cell>
          <cell r="K1172">
            <v>0</v>
          </cell>
          <cell r="L1172">
            <v>2500</v>
          </cell>
          <cell r="M1172">
            <v>0</v>
          </cell>
        </row>
        <row r="1173">
          <cell r="A1173">
            <v>2489</v>
          </cell>
          <cell r="B1173" t="str">
            <v/>
          </cell>
          <cell r="C1173" t="str">
            <v>THE FAMOUS GROUSE BOURBON CASK LITRE</v>
          </cell>
          <cell r="D1173" t="str">
            <v/>
          </cell>
          <cell r="E1173" t="str">
            <v/>
          </cell>
          <cell r="F1173" t="str">
            <v>Pcs</v>
          </cell>
          <cell r="G1173">
            <v>36</v>
          </cell>
          <cell r="H1173" t="str">
            <v/>
          </cell>
          <cell r="I1173">
            <v>0</v>
          </cell>
          <cell r="J1173">
            <v>0</v>
          </cell>
          <cell r="K1173">
            <v>36</v>
          </cell>
          <cell r="L1173">
            <v>2300</v>
          </cell>
          <cell r="M1173">
            <v>82800</v>
          </cell>
        </row>
        <row r="1174">
          <cell r="A1174">
            <v>2270</v>
          </cell>
          <cell r="B1174" t="str">
            <v/>
          </cell>
          <cell r="C1174" t="str">
            <v>THE FAMOUS GROUSE CHERRY CASK 700ML</v>
          </cell>
          <cell r="D1174" t="str">
            <v/>
          </cell>
          <cell r="E1174" t="str">
            <v/>
          </cell>
          <cell r="F1174" t="str">
            <v>Pcs</v>
          </cell>
          <cell r="G1174">
            <v>18</v>
          </cell>
          <cell r="H1174" t="str">
            <v/>
          </cell>
          <cell r="I1174">
            <v>0</v>
          </cell>
          <cell r="J1174">
            <v>0</v>
          </cell>
          <cell r="K1174">
            <v>18</v>
          </cell>
          <cell r="L1174">
            <v>2500</v>
          </cell>
          <cell r="M1174">
            <v>45000</v>
          </cell>
        </row>
        <row r="1175">
          <cell r="A1175">
            <v>2252</v>
          </cell>
          <cell r="B1175" t="str">
            <v/>
          </cell>
          <cell r="C1175" t="str">
            <v>THE FAMOUS GROUSE SMOKY BLACK 1LTR</v>
          </cell>
          <cell r="D1175" t="str">
            <v/>
          </cell>
          <cell r="E1175" t="str">
            <v/>
          </cell>
          <cell r="F1175" t="str">
            <v>Pcs</v>
          </cell>
          <cell r="G1175">
            <v>24</v>
          </cell>
          <cell r="H1175" t="str">
            <v/>
          </cell>
          <cell r="I1175">
            <v>0</v>
          </cell>
          <cell r="J1175">
            <v>0</v>
          </cell>
          <cell r="K1175">
            <v>24</v>
          </cell>
          <cell r="L1175">
            <v>2400</v>
          </cell>
          <cell r="M1175">
            <v>57600</v>
          </cell>
        </row>
        <row r="1176">
          <cell r="A1176">
            <v>1968</v>
          </cell>
          <cell r="B1176" t="str">
            <v/>
          </cell>
          <cell r="C1176" t="str">
            <v>THE GLENLIVET 12 YO 405 1LT</v>
          </cell>
          <cell r="D1176" t="str">
            <v/>
          </cell>
          <cell r="E1176" t="str">
            <v/>
          </cell>
          <cell r="F1176" t="str">
            <v>Pcs</v>
          </cell>
          <cell r="G1176">
            <v>0</v>
          </cell>
          <cell r="H1176" t="str">
            <v/>
          </cell>
          <cell r="I1176">
            <v>4</v>
          </cell>
          <cell r="J1176">
            <v>4</v>
          </cell>
          <cell r="K1176">
            <v>0</v>
          </cell>
          <cell r="L1176">
            <v>5980</v>
          </cell>
          <cell r="M1176">
            <v>0</v>
          </cell>
        </row>
        <row r="1177">
          <cell r="A1177">
            <v>1969</v>
          </cell>
          <cell r="B1177" t="str">
            <v/>
          </cell>
          <cell r="C1177" t="str">
            <v>THE GLENLIVET 15 YO 40% 1LT</v>
          </cell>
          <cell r="D1177" t="str">
            <v/>
          </cell>
          <cell r="E1177" t="str">
            <v/>
          </cell>
          <cell r="F1177" t="str">
            <v>Pcs</v>
          </cell>
          <cell r="G1177">
            <v>0</v>
          </cell>
          <cell r="H1177" t="str">
            <v/>
          </cell>
          <cell r="I1177">
            <v>0</v>
          </cell>
          <cell r="J1177">
            <v>0</v>
          </cell>
          <cell r="K1177">
            <v>0</v>
          </cell>
          <cell r="L1177">
            <v>11040</v>
          </cell>
          <cell r="M1177">
            <v>0</v>
          </cell>
        </row>
        <row r="1178">
          <cell r="A1178">
            <v>1970</v>
          </cell>
          <cell r="B1178" t="str">
            <v/>
          </cell>
          <cell r="C1178" t="str">
            <v>THE GLENLIVET 15 YO 40% 700ML</v>
          </cell>
          <cell r="D1178" t="str">
            <v/>
          </cell>
          <cell r="E1178" t="str">
            <v/>
          </cell>
          <cell r="F1178" t="str">
            <v>Pcs</v>
          </cell>
          <cell r="G1178">
            <v>102</v>
          </cell>
          <cell r="H1178" t="str">
            <v/>
          </cell>
          <cell r="I1178">
            <v>0</v>
          </cell>
          <cell r="J1178">
            <v>12</v>
          </cell>
          <cell r="K1178">
            <v>90</v>
          </cell>
          <cell r="L1178">
            <v>8000</v>
          </cell>
          <cell r="M1178">
            <v>720000</v>
          </cell>
        </row>
        <row r="1179">
          <cell r="A1179">
            <v>1971</v>
          </cell>
          <cell r="B1179" t="str">
            <v/>
          </cell>
          <cell r="C1179" t="str">
            <v>THE GLENLIVET 18 YO 43% 1LT</v>
          </cell>
          <cell r="D1179" t="str">
            <v/>
          </cell>
          <cell r="E1179" t="str">
            <v/>
          </cell>
          <cell r="F1179" t="str">
            <v>Pcs</v>
          </cell>
          <cell r="G1179">
            <v>0</v>
          </cell>
          <cell r="H1179" t="str">
            <v/>
          </cell>
          <cell r="I1179">
            <v>0</v>
          </cell>
          <cell r="J1179">
            <v>0</v>
          </cell>
          <cell r="K1179">
            <v>0</v>
          </cell>
          <cell r="L1179">
            <v>11800</v>
          </cell>
          <cell r="M1179">
            <v>0</v>
          </cell>
        </row>
        <row r="1180">
          <cell r="A1180">
            <v>1972</v>
          </cell>
          <cell r="B1180" t="str">
            <v/>
          </cell>
          <cell r="C1180" t="str">
            <v>THE GLENLIVET 18 YO 43% 700ML</v>
          </cell>
          <cell r="D1180" t="str">
            <v/>
          </cell>
          <cell r="E1180" t="str">
            <v/>
          </cell>
          <cell r="F1180" t="str">
            <v>Pcs</v>
          </cell>
          <cell r="G1180">
            <v>210</v>
          </cell>
          <cell r="H1180" t="str">
            <v/>
          </cell>
          <cell r="I1180">
            <v>0</v>
          </cell>
          <cell r="J1180">
            <v>0</v>
          </cell>
          <cell r="K1180">
            <v>210</v>
          </cell>
          <cell r="L1180">
            <v>13800</v>
          </cell>
          <cell r="M1180">
            <v>2898000</v>
          </cell>
        </row>
        <row r="1181">
          <cell r="A1181">
            <v>1973</v>
          </cell>
          <cell r="B1181" t="str">
            <v/>
          </cell>
          <cell r="C1181" t="str">
            <v>THE GLENLIVET 21 YO 43% 700ML</v>
          </cell>
          <cell r="D1181" t="str">
            <v/>
          </cell>
          <cell r="E1181" t="str">
            <v/>
          </cell>
          <cell r="F1181" t="str">
            <v>Pcs</v>
          </cell>
          <cell r="G1181">
            <v>11</v>
          </cell>
          <cell r="H1181" t="str">
            <v/>
          </cell>
          <cell r="I1181">
            <v>0</v>
          </cell>
          <cell r="J1181">
            <v>0</v>
          </cell>
          <cell r="K1181">
            <v>11</v>
          </cell>
          <cell r="L1181">
            <v>33120</v>
          </cell>
          <cell r="M1181">
            <v>364320</v>
          </cell>
        </row>
        <row r="1182">
          <cell r="A1182">
            <v>2451</v>
          </cell>
          <cell r="B1182" t="str">
            <v/>
          </cell>
          <cell r="C1182" t="str">
            <v>THE GLENLIVET DOUBLE OAK 12 YO 750ML</v>
          </cell>
          <cell r="D1182" t="str">
            <v/>
          </cell>
          <cell r="E1182" t="str">
            <v/>
          </cell>
          <cell r="F1182" t="str">
            <v>Pcs</v>
          </cell>
          <cell r="G1182">
            <v>0</v>
          </cell>
          <cell r="H1182" t="str">
            <v/>
          </cell>
          <cell r="I1182">
            <v>0</v>
          </cell>
          <cell r="J1182">
            <v>0</v>
          </cell>
          <cell r="K1182">
            <v>0</v>
          </cell>
          <cell r="L1182">
            <v>4600</v>
          </cell>
          <cell r="M1182">
            <v>0</v>
          </cell>
        </row>
        <row r="1183">
          <cell r="A1183">
            <v>1967</v>
          </cell>
          <cell r="B1183" t="str">
            <v/>
          </cell>
          <cell r="C1183" t="str">
            <v>THE GLENLIVET DOUBLE OAK 12 YO WITH GLASS 750ML</v>
          </cell>
          <cell r="D1183" t="str">
            <v/>
          </cell>
          <cell r="E1183" t="str">
            <v/>
          </cell>
          <cell r="F1183" t="str">
            <v>Pcs</v>
          </cell>
          <cell r="G1183">
            <v>0</v>
          </cell>
          <cell r="H1183" t="str">
            <v/>
          </cell>
          <cell r="I1183">
            <v>0</v>
          </cell>
          <cell r="J1183">
            <v>0</v>
          </cell>
          <cell r="K1183">
            <v>0</v>
          </cell>
          <cell r="L1183">
            <v>4600</v>
          </cell>
          <cell r="M1183">
            <v>0</v>
          </cell>
        </row>
        <row r="1184">
          <cell r="A1184">
            <v>1975</v>
          </cell>
          <cell r="B1184" t="str">
            <v/>
          </cell>
          <cell r="C1184" t="str">
            <v>THE GLENLIVET FOUNDERS RESERVE 1LTR</v>
          </cell>
          <cell r="D1184" t="str">
            <v/>
          </cell>
          <cell r="E1184" t="str">
            <v/>
          </cell>
          <cell r="F1184" t="str">
            <v>Pcs</v>
          </cell>
          <cell r="G1184">
            <v>20</v>
          </cell>
          <cell r="H1184" t="str">
            <v/>
          </cell>
          <cell r="I1184">
            <v>0</v>
          </cell>
          <cell r="J1184">
            <v>0</v>
          </cell>
          <cell r="K1184">
            <v>20</v>
          </cell>
          <cell r="L1184">
            <v>5244</v>
          </cell>
          <cell r="M1184">
            <v>104880</v>
          </cell>
        </row>
        <row r="1185">
          <cell r="A1185">
            <v>1976</v>
          </cell>
          <cell r="B1185" t="str">
            <v/>
          </cell>
          <cell r="C1185" t="str">
            <v>THE GLENLIVET FOUNDERS RESERVE WHISKY 700ML</v>
          </cell>
          <cell r="D1185" t="str">
            <v/>
          </cell>
          <cell r="E1185" t="str">
            <v/>
          </cell>
          <cell r="F1185" t="str">
            <v>Pcs</v>
          </cell>
          <cell r="G1185">
            <v>30</v>
          </cell>
          <cell r="H1185" t="str">
            <v/>
          </cell>
          <cell r="I1185">
            <v>0</v>
          </cell>
          <cell r="J1185">
            <v>6</v>
          </cell>
          <cell r="K1185">
            <v>24</v>
          </cell>
          <cell r="L1185">
            <v>4600</v>
          </cell>
          <cell r="M1185">
            <v>110400</v>
          </cell>
        </row>
        <row r="1186">
          <cell r="A1186">
            <v>2450</v>
          </cell>
          <cell r="B1186" t="str">
            <v/>
          </cell>
          <cell r="C1186" t="str">
            <v>THE GLENLIVET GEORGE SMITH 12 YO  750ML</v>
          </cell>
          <cell r="D1186" t="str">
            <v/>
          </cell>
          <cell r="E1186" t="str">
            <v/>
          </cell>
          <cell r="F1186" t="str">
            <v>Pcs</v>
          </cell>
          <cell r="G1186">
            <v>0</v>
          </cell>
          <cell r="H1186" t="str">
            <v/>
          </cell>
          <cell r="I1186">
            <v>0</v>
          </cell>
          <cell r="J1186">
            <v>0</v>
          </cell>
          <cell r="K1186">
            <v>0</v>
          </cell>
          <cell r="L1186">
            <v>4600</v>
          </cell>
          <cell r="M1186">
            <v>0</v>
          </cell>
        </row>
        <row r="1187">
          <cell r="A1187">
            <v>1964</v>
          </cell>
          <cell r="B1187" t="str">
            <v/>
          </cell>
          <cell r="C1187" t="str">
            <v>THE GLEN SILVER'S SINGLE MALT SCOTCH WHISKY 700ML</v>
          </cell>
          <cell r="D1187" t="str">
            <v/>
          </cell>
          <cell r="E1187" t="str">
            <v/>
          </cell>
          <cell r="F1187" t="str">
            <v>Pcs</v>
          </cell>
          <cell r="G1187">
            <v>0</v>
          </cell>
          <cell r="H1187" t="str">
            <v/>
          </cell>
          <cell r="I1187">
            <v>0</v>
          </cell>
          <cell r="J1187">
            <v>0</v>
          </cell>
          <cell r="K1187">
            <v>0</v>
          </cell>
          <cell r="L1187">
            <v>2300</v>
          </cell>
          <cell r="M1187">
            <v>0</v>
          </cell>
        </row>
        <row r="1188">
          <cell r="A1188">
            <v>1338</v>
          </cell>
          <cell r="B1188" t="str">
            <v/>
          </cell>
          <cell r="C1188" t="str">
            <v>THE MACALLAN 12YR 700ML</v>
          </cell>
          <cell r="D1188" t="str">
            <v/>
          </cell>
          <cell r="E1188" t="str">
            <v/>
          </cell>
          <cell r="F1188" t="str">
            <v>Pcs</v>
          </cell>
          <cell r="G1188">
            <v>0</v>
          </cell>
          <cell r="H1188" t="str">
            <v/>
          </cell>
          <cell r="I1188">
            <v>0</v>
          </cell>
          <cell r="J1188">
            <v>0</v>
          </cell>
          <cell r="K1188">
            <v>0</v>
          </cell>
          <cell r="L1188">
            <v>10580</v>
          </cell>
          <cell r="M1188">
            <v>0</v>
          </cell>
        </row>
        <row r="1189">
          <cell r="A1189">
            <v>1339</v>
          </cell>
          <cell r="B1189" t="str">
            <v/>
          </cell>
          <cell r="C1189" t="str">
            <v>THE MACALLAN 15YR 700ML</v>
          </cell>
          <cell r="D1189" t="str">
            <v/>
          </cell>
          <cell r="E1189" t="str">
            <v/>
          </cell>
          <cell r="F1189" t="str">
            <v>Pcs</v>
          </cell>
          <cell r="G1189">
            <v>90</v>
          </cell>
          <cell r="H1189" t="str">
            <v/>
          </cell>
          <cell r="I1189">
            <v>0</v>
          </cell>
          <cell r="J1189">
            <v>6</v>
          </cell>
          <cell r="K1189">
            <v>84</v>
          </cell>
          <cell r="L1189">
            <v>14500</v>
          </cell>
          <cell r="M1189">
            <v>1218000</v>
          </cell>
        </row>
        <row r="1190">
          <cell r="A1190">
            <v>1341</v>
          </cell>
          <cell r="B1190" t="str">
            <v/>
          </cell>
          <cell r="C1190" t="str">
            <v>THE MACALLAN AMBER 1LTR</v>
          </cell>
          <cell r="D1190" t="str">
            <v/>
          </cell>
          <cell r="E1190" t="str">
            <v/>
          </cell>
          <cell r="F1190" t="str">
            <v>Pcs</v>
          </cell>
          <cell r="G1190">
            <v>0</v>
          </cell>
          <cell r="H1190" t="str">
            <v/>
          </cell>
          <cell r="I1190">
            <v>0</v>
          </cell>
          <cell r="J1190">
            <v>0</v>
          </cell>
          <cell r="K1190">
            <v>0</v>
          </cell>
          <cell r="L1190">
            <v>6624</v>
          </cell>
          <cell r="M1190">
            <v>0</v>
          </cell>
        </row>
        <row r="1191">
          <cell r="A1191">
            <v>1342</v>
          </cell>
          <cell r="B1191" t="str">
            <v/>
          </cell>
          <cell r="C1191" t="str">
            <v>THE MACALLAN ENIGMA 700ml</v>
          </cell>
          <cell r="D1191" t="str">
            <v/>
          </cell>
          <cell r="E1191" t="str">
            <v/>
          </cell>
          <cell r="F1191" t="str">
            <v>Pcs</v>
          </cell>
          <cell r="G1191">
            <v>0</v>
          </cell>
          <cell r="H1191" t="str">
            <v/>
          </cell>
          <cell r="I1191">
            <v>0</v>
          </cell>
          <cell r="J1191">
            <v>0</v>
          </cell>
          <cell r="K1191">
            <v>0</v>
          </cell>
          <cell r="L1191">
            <v>27000</v>
          </cell>
          <cell r="M1191">
            <v>0</v>
          </cell>
        </row>
        <row r="1192">
          <cell r="A1192">
            <v>1982</v>
          </cell>
          <cell r="B1192" t="str">
            <v/>
          </cell>
          <cell r="C1192" t="str">
            <v>THE MACALLAN NIGHT ON EARTH WHISKY 700ML</v>
          </cell>
          <cell r="D1192" t="str">
            <v/>
          </cell>
          <cell r="E1192" t="str">
            <v/>
          </cell>
          <cell r="F1192" t="str">
            <v>Pcs</v>
          </cell>
          <cell r="G1192">
            <v>42</v>
          </cell>
          <cell r="H1192" t="str">
            <v/>
          </cell>
          <cell r="I1192">
            <v>0</v>
          </cell>
          <cell r="J1192">
            <v>0</v>
          </cell>
          <cell r="K1192">
            <v>42</v>
          </cell>
          <cell r="L1192">
            <v>11040</v>
          </cell>
          <cell r="M1192">
            <v>463680</v>
          </cell>
        </row>
        <row r="1193">
          <cell r="A1193">
            <v>1983</v>
          </cell>
          <cell r="B1193" t="str">
            <v/>
          </cell>
          <cell r="C1193" t="str">
            <v>THE MACALLAN THE HARMONY COLLECTION WHISKY 700ML</v>
          </cell>
          <cell r="D1193" t="str">
            <v/>
          </cell>
          <cell r="E1193" t="str">
            <v/>
          </cell>
          <cell r="F1193" t="str">
            <v>Pcs</v>
          </cell>
          <cell r="G1193">
            <v>0</v>
          </cell>
          <cell r="H1193" t="str">
            <v/>
          </cell>
          <cell r="I1193">
            <v>0</v>
          </cell>
          <cell r="J1193">
            <v>0</v>
          </cell>
          <cell r="K1193">
            <v>0</v>
          </cell>
          <cell r="L1193">
            <v>19320</v>
          </cell>
          <cell r="M1193">
            <v>0</v>
          </cell>
        </row>
        <row r="1194">
          <cell r="A1194">
            <v>2881</v>
          </cell>
          <cell r="B1194" t="str">
            <v/>
          </cell>
          <cell r="C1194" t="str">
            <v>THE WILSHIRE BLENDED WHISKY 750ML</v>
          </cell>
          <cell r="D1194" t="str">
            <v/>
          </cell>
          <cell r="E1194" t="str">
            <v/>
          </cell>
          <cell r="F1194" t="str">
            <v>Pcs</v>
          </cell>
          <cell r="G1194">
            <v>0</v>
          </cell>
          <cell r="H1194" t="str">
            <v/>
          </cell>
          <cell r="I1194">
            <v>0</v>
          </cell>
          <cell r="J1194">
            <v>0</v>
          </cell>
          <cell r="K1194">
            <v>0</v>
          </cell>
          <cell r="L1194">
            <v>1050</v>
          </cell>
          <cell r="M1194">
            <v>0</v>
          </cell>
        </row>
        <row r="1195">
          <cell r="A1195">
            <v>2954</v>
          </cell>
          <cell r="B1195" t="str">
            <v/>
          </cell>
          <cell r="C1195" t="str">
            <v>THE YAMAZAKI 12YRS 700ML</v>
          </cell>
          <cell r="D1195" t="str">
            <v/>
          </cell>
          <cell r="E1195" t="str">
            <v/>
          </cell>
          <cell r="F1195" t="str">
            <v>Pcs</v>
          </cell>
          <cell r="G1195">
            <v>6</v>
          </cell>
          <cell r="H1195" t="str">
            <v/>
          </cell>
          <cell r="I1195">
            <v>0</v>
          </cell>
          <cell r="J1195">
            <v>0</v>
          </cell>
          <cell r="K1195">
            <v>6</v>
          </cell>
          <cell r="L1195">
            <v>16600</v>
          </cell>
          <cell r="M1195">
            <v>99600</v>
          </cell>
        </row>
        <row r="1196">
          <cell r="A1196">
            <v>2022</v>
          </cell>
          <cell r="B1196" t="str">
            <v/>
          </cell>
          <cell r="C1196" t="str">
            <v>TULLAMORE 750ML</v>
          </cell>
          <cell r="D1196" t="str">
            <v/>
          </cell>
          <cell r="E1196" t="str">
            <v/>
          </cell>
          <cell r="F1196" t="str">
            <v>Pcs</v>
          </cell>
          <cell r="G1196">
            <v>0</v>
          </cell>
          <cell r="H1196" t="str">
            <v/>
          </cell>
          <cell r="I1196">
            <v>0</v>
          </cell>
          <cell r="J1196">
            <v>0</v>
          </cell>
          <cell r="K1196">
            <v>0</v>
          </cell>
          <cell r="L1196">
            <v>2303</v>
          </cell>
          <cell r="M1196">
            <v>0</v>
          </cell>
        </row>
        <row r="1197">
          <cell r="A1197">
            <v>2024</v>
          </cell>
          <cell r="B1197" t="str">
            <v/>
          </cell>
          <cell r="C1197" t="str">
            <v>TULLAMORE DEW 1LTR</v>
          </cell>
          <cell r="D1197" t="str">
            <v/>
          </cell>
          <cell r="E1197" t="str">
            <v/>
          </cell>
          <cell r="F1197" t="str">
            <v>Pcs</v>
          </cell>
          <cell r="G1197">
            <v>273</v>
          </cell>
          <cell r="H1197" t="str">
            <v/>
          </cell>
          <cell r="I1197">
            <v>0</v>
          </cell>
          <cell r="J1197">
            <v>0</v>
          </cell>
          <cell r="K1197">
            <v>273</v>
          </cell>
          <cell r="L1197">
            <v>3100</v>
          </cell>
          <cell r="M1197">
            <v>846300</v>
          </cell>
        </row>
        <row r="1198">
          <cell r="A1198">
            <v>2025</v>
          </cell>
          <cell r="B1198" t="str">
            <v/>
          </cell>
          <cell r="C1198" t="str">
            <v>TULLAMORE DEW WHISKY 700ML</v>
          </cell>
          <cell r="D1198" t="str">
            <v/>
          </cell>
          <cell r="E1198" t="str">
            <v/>
          </cell>
          <cell r="F1198" t="str">
            <v>Pcs</v>
          </cell>
          <cell r="G1198">
            <v>102</v>
          </cell>
          <cell r="H1198" t="str">
            <v/>
          </cell>
          <cell r="I1198">
            <v>0</v>
          </cell>
          <cell r="J1198">
            <v>36</v>
          </cell>
          <cell r="K1198">
            <v>66</v>
          </cell>
          <cell r="L1198">
            <v>2050</v>
          </cell>
          <cell r="M1198">
            <v>135300</v>
          </cell>
        </row>
        <row r="1199">
          <cell r="A1199">
            <v>2290</v>
          </cell>
          <cell r="B1199" t="str">
            <v/>
          </cell>
          <cell r="C1199" t="str">
            <v>TWO KEYS 375ML</v>
          </cell>
          <cell r="D1199" t="str">
            <v/>
          </cell>
          <cell r="E1199" t="str">
            <v/>
          </cell>
          <cell r="F1199" t="str">
            <v>Pcs</v>
          </cell>
          <cell r="G1199">
            <v>0</v>
          </cell>
          <cell r="H1199" t="str">
            <v/>
          </cell>
          <cell r="I1199">
            <v>0</v>
          </cell>
          <cell r="J1199">
            <v>0</v>
          </cell>
          <cell r="K1199">
            <v>0</v>
          </cell>
          <cell r="L1199">
            <v>600</v>
          </cell>
          <cell r="M1199">
            <v>0</v>
          </cell>
        </row>
        <row r="1200">
          <cell r="A1200">
            <v>2035</v>
          </cell>
          <cell r="B1200" t="str">
            <v/>
          </cell>
          <cell r="C1200" t="str">
            <v>TWO KEYS WHISKY 750ML</v>
          </cell>
          <cell r="D1200" t="str">
            <v/>
          </cell>
          <cell r="E1200" t="str">
            <v/>
          </cell>
          <cell r="F1200" t="str">
            <v>Pcs</v>
          </cell>
          <cell r="G1200">
            <v>0</v>
          </cell>
          <cell r="H1200" t="str">
            <v/>
          </cell>
          <cell r="I1200">
            <v>0</v>
          </cell>
          <cell r="J1200">
            <v>0</v>
          </cell>
          <cell r="K1200">
            <v>0</v>
          </cell>
          <cell r="L1200">
            <v>782</v>
          </cell>
          <cell r="M1200">
            <v>0</v>
          </cell>
        </row>
        <row r="1201">
          <cell r="A1201">
            <v>2880</v>
          </cell>
          <cell r="B1201" t="str">
            <v/>
          </cell>
          <cell r="C1201" t="str">
            <v>UPRISE WHISKY &amp; COLA 500ML</v>
          </cell>
          <cell r="D1201" t="str">
            <v/>
          </cell>
          <cell r="E1201" t="str">
            <v/>
          </cell>
          <cell r="F1201" t="str">
            <v>Pcs</v>
          </cell>
          <cell r="G1201">
            <v>0</v>
          </cell>
          <cell r="H1201" t="str">
            <v/>
          </cell>
          <cell r="I1201">
            <v>480</v>
          </cell>
          <cell r="J1201">
            <v>96</v>
          </cell>
          <cell r="K1201">
            <v>384</v>
          </cell>
          <cell r="L1201">
            <v>230</v>
          </cell>
          <cell r="M1201">
            <v>88320</v>
          </cell>
        </row>
        <row r="1202">
          <cell r="A1202">
            <v>2730</v>
          </cell>
          <cell r="B1202" t="str">
            <v/>
          </cell>
          <cell r="C1202" t="str">
            <v>URBAN WHISKY 750ML</v>
          </cell>
          <cell r="D1202" t="str">
            <v/>
          </cell>
          <cell r="E1202" t="str">
            <v/>
          </cell>
          <cell r="F1202" t="str">
            <v>Pcs</v>
          </cell>
          <cell r="G1202">
            <v>0</v>
          </cell>
          <cell r="H1202" t="str">
            <v/>
          </cell>
          <cell r="I1202">
            <v>0</v>
          </cell>
          <cell r="J1202">
            <v>0</v>
          </cell>
          <cell r="K1202">
            <v>0</v>
          </cell>
          <cell r="L1202">
            <v>935</v>
          </cell>
          <cell r="M1202">
            <v>0</v>
          </cell>
        </row>
        <row r="1203">
          <cell r="A1203">
            <v>2044</v>
          </cell>
          <cell r="B1203" t="str">
            <v/>
          </cell>
          <cell r="C1203" t="str">
            <v>VAT 69 1L</v>
          </cell>
          <cell r="D1203" t="str">
            <v/>
          </cell>
          <cell r="E1203" t="str">
            <v/>
          </cell>
          <cell r="F1203" t="str">
            <v>Pcs</v>
          </cell>
          <cell r="G1203">
            <v>0</v>
          </cell>
          <cell r="H1203" t="str">
            <v/>
          </cell>
          <cell r="I1203">
            <v>0</v>
          </cell>
          <cell r="J1203">
            <v>0</v>
          </cell>
          <cell r="K1203">
            <v>0</v>
          </cell>
          <cell r="L1203">
            <v>1400</v>
          </cell>
          <cell r="M1203">
            <v>0</v>
          </cell>
        </row>
        <row r="1204">
          <cell r="A1204">
            <v>2046</v>
          </cell>
          <cell r="B1204" t="str">
            <v/>
          </cell>
          <cell r="C1204" t="str">
            <v>VAT 69 375ML</v>
          </cell>
          <cell r="D1204" t="str">
            <v/>
          </cell>
          <cell r="E1204" t="str">
            <v/>
          </cell>
          <cell r="F1204" t="str">
            <v>Pcs</v>
          </cell>
          <cell r="G1204">
            <v>0</v>
          </cell>
          <cell r="H1204" t="str">
            <v/>
          </cell>
          <cell r="I1204">
            <v>0</v>
          </cell>
          <cell r="J1204">
            <v>0</v>
          </cell>
          <cell r="K1204">
            <v>0</v>
          </cell>
          <cell r="L1204">
            <v>738.72</v>
          </cell>
          <cell r="M1204">
            <v>0</v>
          </cell>
        </row>
        <row r="1205">
          <cell r="A1205">
            <v>2047</v>
          </cell>
          <cell r="B1205" t="str">
            <v/>
          </cell>
          <cell r="C1205" t="str">
            <v>VAT 69 750ML</v>
          </cell>
          <cell r="D1205" t="str">
            <v/>
          </cell>
          <cell r="E1205" t="str">
            <v/>
          </cell>
          <cell r="F1205" t="str">
            <v>Pcs</v>
          </cell>
          <cell r="G1205">
            <v>492</v>
          </cell>
          <cell r="H1205" t="str">
            <v/>
          </cell>
          <cell r="I1205">
            <v>0</v>
          </cell>
          <cell r="J1205">
            <v>84</v>
          </cell>
          <cell r="K1205">
            <v>408</v>
          </cell>
          <cell r="L1205">
            <v>727</v>
          </cell>
          <cell r="M1205">
            <v>296616</v>
          </cell>
        </row>
        <row r="1206">
          <cell r="A1206">
            <v>2090</v>
          </cell>
          <cell r="B1206" t="str">
            <v/>
          </cell>
          <cell r="C1206" t="str">
            <v>WHYTEHALL FIRE(CINAMON) 1LT</v>
          </cell>
          <cell r="D1206" t="str">
            <v/>
          </cell>
          <cell r="E1206" t="str">
            <v/>
          </cell>
          <cell r="F1206" t="str">
            <v>Pcs</v>
          </cell>
          <cell r="G1206">
            <v>0</v>
          </cell>
          <cell r="H1206" t="str">
            <v/>
          </cell>
          <cell r="I1206">
            <v>0</v>
          </cell>
          <cell r="J1206">
            <v>0</v>
          </cell>
          <cell r="K1206">
            <v>0</v>
          </cell>
          <cell r="L1206">
            <v>1350</v>
          </cell>
          <cell r="M1206">
            <v>0</v>
          </cell>
        </row>
        <row r="1207">
          <cell r="A1207">
            <v>2110</v>
          </cell>
          <cell r="B1207" t="str">
            <v/>
          </cell>
          <cell r="C1207" t="str">
            <v>WHYTE &amp; MACKAY WHISKY 1LTR</v>
          </cell>
          <cell r="D1207" t="str">
            <v/>
          </cell>
          <cell r="E1207" t="str">
            <v/>
          </cell>
          <cell r="F1207" t="str">
            <v>Pcs</v>
          </cell>
          <cell r="G1207">
            <v>24</v>
          </cell>
          <cell r="H1207" t="str">
            <v/>
          </cell>
          <cell r="I1207">
            <v>0</v>
          </cell>
          <cell r="J1207">
            <v>0</v>
          </cell>
          <cell r="K1207">
            <v>24</v>
          </cell>
          <cell r="L1207">
            <v>2300</v>
          </cell>
          <cell r="M1207">
            <v>55200</v>
          </cell>
        </row>
        <row r="1208">
          <cell r="A1208">
            <v>2111</v>
          </cell>
          <cell r="B1208" t="str">
            <v/>
          </cell>
          <cell r="C1208" t="str">
            <v>WHYTE &amp; MACKAY WHISKY 350ML</v>
          </cell>
          <cell r="D1208" t="str">
            <v/>
          </cell>
          <cell r="E1208" t="str">
            <v/>
          </cell>
          <cell r="F1208" t="str">
            <v>Pcs</v>
          </cell>
          <cell r="G1208">
            <v>0</v>
          </cell>
          <cell r="H1208" t="str">
            <v/>
          </cell>
          <cell r="I1208">
            <v>0</v>
          </cell>
          <cell r="J1208">
            <v>0</v>
          </cell>
          <cell r="K1208">
            <v>0</v>
          </cell>
          <cell r="L1208">
            <v>700</v>
          </cell>
          <cell r="M1208">
            <v>0</v>
          </cell>
        </row>
        <row r="1209">
          <cell r="A1209">
            <v>2112</v>
          </cell>
          <cell r="B1209" t="str">
            <v/>
          </cell>
          <cell r="C1209" t="str">
            <v>WHYTE &amp; MACKAY WHISKY 750ML</v>
          </cell>
          <cell r="D1209" t="str">
            <v/>
          </cell>
          <cell r="E1209" t="str">
            <v/>
          </cell>
          <cell r="F1209" t="str">
            <v>Pcs</v>
          </cell>
          <cell r="G1209">
            <v>35</v>
          </cell>
          <cell r="H1209" t="str">
            <v/>
          </cell>
          <cell r="I1209">
            <v>0</v>
          </cell>
          <cell r="J1209">
            <v>0</v>
          </cell>
          <cell r="K1209">
            <v>35</v>
          </cell>
          <cell r="L1209">
            <v>1380</v>
          </cell>
          <cell r="M1209">
            <v>48300</v>
          </cell>
        </row>
        <row r="1210">
          <cell r="A1210">
            <v>2853</v>
          </cell>
          <cell r="B1210" t="str">
            <v/>
          </cell>
          <cell r="C1210" t="str">
            <v>WILD TURKEY 101 LITRE</v>
          </cell>
          <cell r="D1210" t="str">
            <v/>
          </cell>
          <cell r="E1210" t="str">
            <v/>
          </cell>
          <cell r="F1210" t="str">
            <v>Pcs</v>
          </cell>
          <cell r="G1210">
            <v>144</v>
          </cell>
          <cell r="H1210" t="str">
            <v/>
          </cell>
          <cell r="I1210">
            <v>0</v>
          </cell>
          <cell r="J1210">
            <v>0</v>
          </cell>
          <cell r="K1210">
            <v>144</v>
          </cell>
          <cell r="L1210">
            <v>2420</v>
          </cell>
          <cell r="M1210">
            <v>348480</v>
          </cell>
        </row>
        <row r="1211">
          <cell r="A1211">
            <v>2116</v>
          </cell>
          <cell r="B1211" t="str">
            <v/>
          </cell>
          <cell r="C1211" t="str">
            <v>WILD TURKEY 750ML</v>
          </cell>
          <cell r="D1211" t="str">
            <v/>
          </cell>
          <cell r="E1211" t="str">
            <v/>
          </cell>
          <cell r="F1211" t="str">
            <v>Pcs</v>
          </cell>
          <cell r="G1211">
            <v>12</v>
          </cell>
          <cell r="H1211" t="str">
            <v/>
          </cell>
          <cell r="I1211">
            <v>0</v>
          </cell>
          <cell r="J1211">
            <v>6</v>
          </cell>
          <cell r="K1211">
            <v>6</v>
          </cell>
          <cell r="L1211">
            <v>2300</v>
          </cell>
          <cell r="M1211">
            <v>13800</v>
          </cell>
        </row>
        <row r="1212">
          <cell r="A1212">
            <v>2121</v>
          </cell>
          <cell r="B1212" t="str">
            <v/>
          </cell>
          <cell r="C1212" t="str">
            <v>WILLIAM LAWSON'S 1LT</v>
          </cell>
          <cell r="D1212" t="str">
            <v/>
          </cell>
          <cell r="E1212" t="str">
            <v/>
          </cell>
          <cell r="F1212" t="str">
            <v>Pcs</v>
          </cell>
          <cell r="G1212">
            <v>307</v>
          </cell>
          <cell r="H1212" t="str">
            <v/>
          </cell>
          <cell r="I1212">
            <v>0</v>
          </cell>
          <cell r="J1212">
            <v>6</v>
          </cell>
          <cell r="K1212">
            <v>301</v>
          </cell>
          <cell r="L1212">
            <v>1600</v>
          </cell>
          <cell r="M1212">
            <v>481600</v>
          </cell>
        </row>
        <row r="1213">
          <cell r="A1213">
            <v>2122</v>
          </cell>
          <cell r="B1213" t="str">
            <v/>
          </cell>
          <cell r="C1213" t="str">
            <v>WILLIAM LAWSON'S 750ML</v>
          </cell>
          <cell r="D1213" t="str">
            <v/>
          </cell>
          <cell r="E1213" t="str">
            <v/>
          </cell>
          <cell r="F1213" t="str">
            <v>Pcs</v>
          </cell>
          <cell r="G1213">
            <v>75</v>
          </cell>
          <cell r="H1213" t="str">
            <v/>
          </cell>
          <cell r="I1213">
            <v>0</v>
          </cell>
          <cell r="J1213">
            <v>12</v>
          </cell>
          <cell r="K1213">
            <v>63</v>
          </cell>
          <cell r="L1213">
            <v>1564</v>
          </cell>
          <cell r="M1213">
            <v>98532</v>
          </cell>
        </row>
        <row r="1214">
          <cell r="A1214">
            <v>2335</v>
          </cell>
          <cell r="B1214" t="str">
            <v/>
          </cell>
          <cell r="C1214" t="str">
            <v>WILLIAM LAWSON'S SPICED 750ML</v>
          </cell>
          <cell r="D1214" t="str">
            <v/>
          </cell>
          <cell r="E1214" t="str">
            <v/>
          </cell>
          <cell r="F1214" t="str">
            <v>Pcs</v>
          </cell>
          <cell r="G1214">
            <v>0</v>
          </cell>
          <cell r="H1214" t="str">
            <v/>
          </cell>
          <cell r="I1214">
            <v>0</v>
          </cell>
          <cell r="J1214">
            <v>0</v>
          </cell>
          <cell r="K1214">
            <v>0</v>
          </cell>
          <cell r="L1214">
            <v>1600</v>
          </cell>
          <cell r="M1214">
            <v>0</v>
          </cell>
        </row>
        <row r="1215">
          <cell r="A1215">
            <v>2129</v>
          </cell>
          <cell r="B1215" t="str">
            <v/>
          </cell>
          <cell r="C1215" t="str">
            <v>WOODFORD RESERVE 1LTR</v>
          </cell>
          <cell r="D1215" t="str">
            <v/>
          </cell>
          <cell r="E1215" t="str">
            <v/>
          </cell>
          <cell r="F1215" t="str">
            <v>Pcs</v>
          </cell>
          <cell r="G1215">
            <v>0</v>
          </cell>
          <cell r="H1215" t="str">
            <v/>
          </cell>
          <cell r="I1215">
            <v>0</v>
          </cell>
          <cell r="J1215">
            <v>0</v>
          </cell>
          <cell r="K1215">
            <v>0</v>
          </cell>
          <cell r="L1215">
            <v>4400</v>
          </cell>
          <cell r="M1215">
            <v>0</v>
          </cell>
        </row>
        <row r="1216">
          <cell r="A1216">
            <v>2130</v>
          </cell>
          <cell r="B1216" t="str">
            <v/>
          </cell>
          <cell r="C1216" t="str">
            <v>WOODFORD RESERVE 700ML</v>
          </cell>
          <cell r="D1216" t="str">
            <v/>
          </cell>
          <cell r="E1216" t="str">
            <v/>
          </cell>
          <cell r="F1216" t="str">
            <v>Pcs</v>
          </cell>
          <cell r="G1216">
            <v>0</v>
          </cell>
          <cell r="H1216" t="str">
            <v/>
          </cell>
          <cell r="I1216">
            <v>0</v>
          </cell>
          <cell r="J1216">
            <v>0</v>
          </cell>
          <cell r="K1216">
            <v>0</v>
          </cell>
          <cell r="L1216">
            <v>4000</v>
          </cell>
          <cell r="M1216">
            <v>0</v>
          </cell>
        </row>
        <row r="1217">
          <cell r="B1217" t="str">
            <v/>
          </cell>
          <cell r="C1217" t="str">
            <v/>
          </cell>
          <cell r="D1217" t="str">
            <v>WHISKY</v>
          </cell>
          <cell r="E1217" t="str">
            <v/>
          </cell>
          <cell r="F1217" t="str">
            <v/>
          </cell>
          <cell r="G1217">
            <v>37124</v>
          </cell>
          <cell r="H1217" t="str">
            <v/>
          </cell>
          <cell r="I1217">
            <v>7934</v>
          </cell>
          <cell r="J1217">
            <v>7214</v>
          </cell>
          <cell r="K1217">
            <v>37844</v>
          </cell>
          <cell r="L1217" t="str">
            <v/>
          </cell>
          <cell r="M1217">
            <v>91377511.32</v>
          </cell>
        </row>
        <row r="1218">
          <cell r="A1218" t="str">
            <v>Class :</v>
          </cell>
          <cell r="B1218" t="str">
            <v>WINES</v>
          </cell>
          <cell r="C1218" t="str">
            <v/>
          </cell>
          <cell r="D1218" t="str">
            <v/>
          </cell>
          <cell r="E1218" t="str">
            <v/>
          </cell>
          <cell r="F1218" t="str">
            <v/>
          </cell>
          <cell r="G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</row>
        <row r="1219">
          <cell r="A1219">
            <v>2</v>
          </cell>
          <cell r="B1219" t="str">
            <v/>
          </cell>
          <cell r="C1219" t="str">
            <v>1659 CLASSIC RED 750ML</v>
          </cell>
          <cell r="D1219" t="str">
            <v/>
          </cell>
          <cell r="E1219" t="str">
            <v/>
          </cell>
          <cell r="F1219" t="str">
            <v>Pcs</v>
          </cell>
          <cell r="G1219">
            <v>4</v>
          </cell>
          <cell r="H1219" t="str">
            <v/>
          </cell>
          <cell r="I1219">
            <v>0</v>
          </cell>
          <cell r="J1219">
            <v>0</v>
          </cell>
          <cell r="K1219">
            <v>4</v>
          </cell>
          <cell r="L1219">
            <v>1656</v>
          </cell>
          <cell r="M1219">
            <v>6624</v>
          </cell>
        </row>
        <row r="1220">
          <cell r="A1220">
            <v>4</v>
          </cell>
          <cell r="B1220" t="str">
            <v/>
          </cell>
          <cell r="C1220" t="str">
            <v>1692 SPIER CREATIVE BLOCK 3 SHIRAZ 750ML</v>
          </cell>
          <cell r="D1220" t="str">
            <v/>
          </cell>
          <cell r="E1220" t="str">
            <v/>
          </cell>
          <cell r="F1220" t="str">
            <v>Pcs</v>
          </cell>
          <cell r="G1220">
            <v>0</v>
          </cell>
          <cell r="H1220" t="str">
            <v/>
          </cell>
          <cell r="I1220">
            <v>0</v>
          </cell>
          <cell r="J1220">
            <v>0</v>
          </cell>
          <cell r="K1220">
            <v>0</v>
          </cell>
          <cell r="L1220">
            <v>3091.2</v>
          </cell>
          <cell r="M1220">
            <v>0</v>
          </cell>
        </row>
        <row r="1221">
          <cell r="A1221">
            <v>2349</v>
          </cell>
          <cell r="B1221" t="str">
            <v/>
          </cell>
          <cell r="C1221" t="str">
            <v>18 CAB SAUV 750ML</v>
          </cell>
          <cell r="D1221" t="str">
            <v/>
          </cell>
          <cell r="E1221" t="str">
            <v/>
          </cell>
          <cell r="F1221" t="str">
            <v>Pcs</v>
          </cell>
          <cell r="G1221">
            <v>5</v>
          </cell>
          <cell r="H1221" t="str">
            <v/>
          </cell>
          <cell r="I1221">
            <v>0</v>
          </cell>
          <cell r="J1221">
            <v>0</v>
          </cell>
          <cell r="K1221">
            <v>5</v>
          </cell>
          <cell r="L1221">
            <v>1100</v>
          </cell>
          <cell r="M1221">
            <v>5500</v>
          </cell>
        </row>
        <row r="1222">
          <cell r="A1222">
            <v>6</v>
          </cell>
          <cell r="B1222" t="str">
            <v/>
          </cell>
          <cell r="C1222" t="str">
            <v>18 CHARDONNAY 750ML</v>
          </cell>
          <cell r="D1222" t="str">
            <v/>
          </cell>
          <cell r="E1222" t="str">
            <v/>
          </cell>
          <cell r="F1222" t="str">
            <v>Pcs</v>
          </cell>
          <cell r="G1222">
            <v>1</v>
          </cell>
          <cell r="H1222" t="str">
            <v/>
          </cell>
          <cell r="I1222">
            <v>0</v>
          </cell>
          <cell r="J1222">
            <v>0</v>
          </cell>
          <cell r="K1222">
            <v>1</v>
          </cell>
          <cell r="L1222">
            <v>1656</v>
          </cell>
          <cell r="M1222">
            <v>1656</v>
          </cell>
        </row>
        <row r="1223">
          <cell r="A1223">
            <v>5</v>
          </cell>
          <cell r="B1223" t="str">
            <v/>
          </cell>
          <cell r="C1223" t="str">
            <v>18 MERLOT 750ML</v>
          </cell>
          <cell r="D1223" t="str">
            <v/>
          </cell>
          <cell r="E1223" t="str">
            <v/>
          </cell>
          <cell r="F1223" t="str">
            <v>Pcs</v>
          </cell>
          <cell r="G1223">
            <v>13</v>
          </cell>
          <cell r="H1223" t="str">
            <v/>
          </cell>
          <cell r="I1223">
            <v>0</v>
          </cell>
          <cell r="J1223">
            <v>0</v>
          </cell>
          <cell r="K1223">
            <v>13</v>
          </cell>
          <cell r="L1223">
            <v>1656</v>
          </cell>
          <cell r="M1223">
            <v>21528</v>
          </cell>
        </row>
        <row r="1224">
          <cell r="A1224">
            <v>11</v>
          </cell>
          <cell r="B1224" t="str">
            <v/>
          </cell>
          <cell r="C1224" t="str">
            <v>2SHARE 750ML</v>
          </cell>
          <cell r="D1224" t="str">
            <v/>
          </cell>
          <cell r="E1224" t="str">
            <v/>
          </cell>
          <cell r="F1224" t="str">
            <v>Pcs</v>
          </cell>
          <cell r="G1224">
            <v>1060</v>
          </cell>
          <cell r="H1224" t="str">
            <v/>
          </cell>
          <cell r="I1224">
            <v>0</v>
          </cell>
          <cell r="J1224">
            <v>0</v>
          </cell>
          <cell r="K1224">
            <v>1060</v>
          </cell>
          <cell r="L1224">
            <v>782</v>
          </cell>
          <cell r="M1224">
            <v>828920</v>
          </cell>
        </row>
        <row r="1225">
          <cell r="A1225">
            <v>12</v>
          </cell>
          <cell r="B1225" t="str">
            <v/>
          </cell>
          <cell r="C1225" t="str">
            <v>35 SOUTH ASSORTED 750ML</v>
          </cell>
          <cell r="D1225" t="str">
            <v/>
          </cell>
          <cell r="E1225" t="str">
            <v/>
          </cell>
          <cell r="F1225" t="str">
            <v>Pcs</v>
          </cell>
          <cell r="G1225">
            <v>138</v>
          </cell>
          <cell r="H1225" t="str">
            <v/>
          </cell>
          <cell r="I1225">
            <v>0</v>
          </cell>
          <cell r="J1225">
            <v>0</v>
          </cell>
          <cell r="K1225">
            <v>138</v>
          </cell>
          <cell r="L1225">
            <v>1702</v>
          </cell>
          <cell r="M1225">
            <v>234876</v>
          </cell>
        </row>
        <row r="1226">
          <cell r="A1226">
            <v>13</v>
          </cell>
          <cell r="B1226" t="str">
            <v/>
          </cell>
          <cell r="C1226" t="str">
            <v>4TH STREET RED 1.5LTR</v>
          </cell>
          <cell r="D1226" t="str">
            <v/>
          </cell>
          <cell r="E1226" t="str">
            <v/>
          </cell>
          <cell r="F1226" t="str">
            <v>Pcs</v>
          </cell>
          <cell r="G1226">
            <v>0</v>
          </cell>
          <cell r="H1226" t="str">
            <v/>
          </cell>
          <cell r="I1226">
            <v>0</v>
          </cell>
          <cell r="J1226">
            <v>0</v>
          </cell>
          <cell r="K1226">
            <v>0</v>
          </cell>
          <cell r="L1226">
            <v>1400</v>
          </cell>
          <cell r="M1226">
            <v>0</v>
          </cell>
        </row>
        <row r="1227">
          <cell r="A1227">
            <v>14</v>
          </cell>
          <cell r="B1227" t="str">
            <v/>
          </cell>
          <cell r="C1227" t="str">
            <v>4TH STREET RED 5LTR</v>
          </cell>
          <cell r="D1227" t="str">
            <v/>
          </cell>
          <cell r="E1227" t="str">
            <v/>
          </cell>
          <cell r="F1227" t="str">
            <v>Pcs</v>
          </cell>
          <cell r="G1227">
            <v>0</v>
          </cell>
          <cell r="H1227" t="str">
            <v/>
          </cell>
          <cell r="I1227">
            <v>0</v>
          </cell>
          <cell r="J1227">
            <v>0</v>
          </cell>
          <cell r="K1227">
            <v>0</v>
          </cell>
          <cell r="L1227">
            <v>3300</v>
          </cell>
          <cell r="M1227">
            <v>0</v>
          </cell>
        </row>
        <row r="1228">
          <cell r="A1228">
            <v>15</v>
          </cell>
          <cell r="B1228" t="str">
            <v/>
          </cell>
          <cell r="C1228" t="str">
            <v>4TH STREET RED 750ML</v>
          </cell>
          <cell r="D1228" t="str">
            <v/>
          </cell>
          <cell r="E1228" t="str">
            <v/>
          </cell>
          <cell r="F1228" t="str">
            <v>Pcs</v>
          </cell>
          <cell r="G1228">
            <v>539</v>
          </cell>
          <cell r="H1228" t="str">
            <v/>
          </cell>
          <cell r="I1228">
            <v>1590</v>
          </cell>
          <cell r="J1228">
            <v>245</v>
          </cell>
          <cell r="K1228">
            <v>1884</v>
          </cell>
          <cell r="L1228">
            <v>780</v>
          </cell>
          <cell r="M1228">
            <v>1469520</v>
          </cell>
        </row>
        <row r="1229">
          <cell r="A1229">
            <v>19</v>
          </cell>
          <cell r="B1229" t="str">
            <v/>
          </cell>
          <cell r="C1229" t="str">
            <v>4TH STREET WHITE 5LTR</v>
          </cell>
          <cell r="D1229" t="str">
            <v/>
          </cell>
          <cell r="E1229" t="str">
            <v/>
          </cell>
          <cell r="F1229" t="str">
            <v>Pcs</v>
          </cell>
          <cell r="G1229">
            <v>0</v>
          </cell>
          <cell r="H1229" t="str">
            <v/>
          </cell>
          <cell r="I1229">
            <v>0</v>
          </cell>
          <cell r="J1229">
            <v>0</v>
          </cell>
          <cell r="K1229">
            <v>0</v>
          </cell>
          <cell r="L1229">
            <v>2930</v>
          </cell>
          <cell r="M1229">
            <v>0</v>
          </cell>
        </row>
        <row r="1230">
          <cell r="A1230">
            <v>20</v>
          </cell>
          <cell r="B1230" t="str">
            <v/>
          </cell>
          <cell r="C1230" t="str">
            <v>4TH STREET WHITE 750ML</v>
          </cell>
          <cell r="D1230" t="str">
            <v/>
          </cell>
          <cell r="E1230" t="str">
            <v/>
          </cell>
          <cell r="F1230" t="str">
            <v>Pcs</v>
          </cell>
          <cell r="G1230">
            <v>25</v>
          </cell>
          <cell r="H1230" t="str">
            <v/>
          </cell>
          <cell r="I1230">
            <v>2063</v>
          </cell>
          <cell r="J1230">
            <v>96</v>
          </cell>
          <cell r="K1230">
            <v>1992</v>
          </cell>
          <cell r="L1230">
            <v>780</v>
          </cell>
          <cell r="M1230">
            <v>1553760</v>
          </cell>
        </row>
        <row r="1231">
          <cell r="A1231">
            <v>24</v>
          </cell>
          <cell r="B1231" t="str">
            <v/>
          </cell>
          <cell r="C1231" t="str">
            <v>5TH CARINO SWEET RED 750ML</v>
          </cell>
          <cell r="D1231" t="str">
            <v/>
          </cell>
          <cell r="E1231" t="str">
            <v/>
          </cell>
          <cell r="F1231" t="str">
            <v>Pcs</v>
          </cell>
          <cell r="G1231">
            <v>2</v>
          </cell>
          <cell r="H1231" t="str">
            <v/>
          </cell>
          <cell r="I1231">
            <v>0</v>
          </cell>
          <cell r="J1231">
            <v>0</v>
          </cell>
          <cell r="K1231">
            <v>2</v>
          </cell>
          <cell r="L1231">
            <v>598</v>
          </cell>
          <cell r="M1231">
            <v>1196</v>
          </cell>
        </row>
        <row r="1232">
          <cell r="A1232">
            <v>25</v>
          </cell>
          <cell r="B1232" t="str">
            <v/>
          </cell>
          <cell r="C1232" t="str">
            <v>5TH CARINO SWEET WHITE 750ML</v>
          </cell>
          <cell r="D1232" t="str">
            <v/>
          </cell>
          <cell r="E1232" t="str">
            <v/>
          </cell>
          <cell r="F1232" t="str">
            <v>Pcs</v>
          </cell>
          <cell r="G1232">
            <v>1</v>
          </cell>
          <cell r="H1232" t="str">
            <v/>
          </cell>
          <cell r="I1232">
            <v>0</v>
          </cell>
          <cell r="J1232">
            <v>0</v>
          </cell>
          <cell r="K1232">
            <v>1</v>
          </cell>
          <cell r="L1232">
            <v>598</v>
          </cell>
          <cell r="M1232">
            <v>598</v>
          </cell>
        </row>
        <row r="1233">
          <cell r="A1233">
            <v>2170</v>
          </cell>
          <cell r="B1233" t="str">
            <v/>
          </cell>
          <cell r="C1233" t="str">
            <v>7EVEN BOUQUET BLANC 750ML</v>
          </cell>
          <cell r="D1233" t="str">
            <v/>
          </cell>
          <cell r="E1233" t="str">
            <v/>
          </cell>
          <cell r="F1233" t="str">
            <v>Pcs</v>
          </cell>
          <cell r="G1233">
            <v>3</v>
          </cell>
          <cell r="H1233" t="str">
            <v/>
          </cell>
          <cell r="I1233">
            <v>0</v>
          </cell>
          <cell r="J1233">
            <v>0</v>
          </cell>
          <cell r="K1233">
            <v>3</v>
          </cell>
          <cell r="L1233">
            <v>860</v>
          </cell>
          <cell r="M1233">
            <v>2580</v>
          </cell>
        </row>
        <row r="1234">
          <cell r="A1234">
            <v>26</v>
          </cell>
          <cell r="B1234" t="str">
            <v/>
          </cell>
          <cell r="C1234" t="str">
            <v>7 HILLS SWEET WHITE 750ml</v>
          </cell>
          <cell r="D1234" t="str">
            <v/>
          </cell>
          <cell r="E1234" t="str">
            <v/>
          </cell>
          <cell r="F1234" t="str">
            <v>Pcs</v>
          </cell>
          <cell r="G1234">
            <v>1</v>
          </cell>
          <cell r="H1234" t="str">
            <v/>
          </cell>
          <cell r="I1234">
            <v>0</v>
          </cell>
          <cell r="J1234">
            <v>0</v>
          </cell>
          <cell r="K1234">
            <v>1</v>
          </cell>
          <cell r="L1234">
            <v>690</v>
          </cell>
          <cell r="M1234">
            <v>690</v>
          </cell>
        </row>
        <row r="1235">
          <cell r="A1235">
            <v>2997</v>
          </cell>
          <cell r="B1235" t="str">
            <v/>
          </cell>
          <cell r="C1235" t="str">
            <v>ADEGAMAE MAR LINDO DRY RED 750ML</v>
          </cell>
          <cell r="D1235" t="str">
            <v/>
          </cell>
          <cell r="E1235" t="str">
            <v/>
          </cell>
          <cell r="F1235" t="str">
            <v>Pcs</v>
          </cell>
          <cell r="G1235">
            <v>990</v>
          </cell>
          <cell r="H1235" t="str">
            <v/>
          </cell>
          <cell r="I1235">
            <v>0</v>
          </cell>
          <cell r="J1235">
            <v>294</v>
          </cell>
          <cell r="K1235">
            <v>696</v>
          </cell>
          <cell r="L1235">
            <v>750</v>
          </cell>
          <cell r="M1235">
            <v>522000</v>
          </cell>
        </row>
        <row r="1236">
          <cell r="A1236">
            <v>2998</v>
          </cell>
          <cell r="B1236" t="str">
            <v/>
          </cell>
          <cell r="C1236" t="str">
            <v>ADEGAMAE MAR LINDO SWEET WHITE 750ML</v>
          </cell>
          <cell r="D1236" t="str">
            <v/>
          </cell>
          <cell r="E1236" t="str">
            <v/>
          </cell>
          <cell r="F1236" t="str">
            <v>Pcs</v>
          </cell>
          <cell r="G1236">
            <v>726</v>
          </cell>
          <cell r="H1236" t="str">
            <v/>
          </cell>
          <cell r="I1236">
            <v>2</v>
          </cell>
          <cell r="J1236">
            <v>12</v>
          </cell>
          <cell r="K1236">
            <v>716</v>
          </cell>
          <cell r="L1236">
            <v>750</v>
          </cell>
          <cell r="M1236">
            <v>537000</v>
          </cell>
        </row>
        <row r="1237">
          <cell r="A1237">
            <v>2993</v>
          </cell>
          <cell r="B1237" t="str">
            <v/>
          </cell>
          <cell r="C1237" t="str">
            <v>ADEGAMAE TERRAS DE LISBOA DRY RED 750ML</v>
          </cell>
          <cell r="D1237" t="str">
            <v/>
          </cell>
          <cell r="E1237" t="str">
            <v/>
          </cell>
          <cell r="F1237" t="str">
            <v>Pcs</v>
          </cell>
          <cell r="G1237">
            <v>724</v>
          </cell>
          <cell r="H1237" t="str">
            <v/>
          </cell>
          <cell r="I1237">
            <v>0</v>
          </cell>
          <cell r="J1237">
            <v>40</v>
          </cell>
          <cell r="K1237">
            <v>684</v>
          </cell>
          <cell r="L1237">
            <v>750</v>
          </cell>
          <cell r="M1237">
            <v>513000</v>
          </cell>
        </row>
        <row r="1238">
          <cell r="A1238">
            <v>2994</v>
          </cell>
          <cell r="B1238" t="str">
            <v/>
          </cell>
          <cell r="C1238" t="str">
            <v>ADEGAMAE TERRAS DE LISBOA SWEET WHITE WINE 850ML</v>
          </cell>
          <cell r="D1238" t="str">
            <v/>
          </cell>
          <cell r="E1238" t="str">
            <v/>
          </cell>
          <cell r="F1238" t="str">
            <v>Pcs</v>
          </cell>
          <cell r="G1238">
            <v>89</v>
          </cell>
          <cell r="H1238" t="str">
            <v/>
          </cell>
          <cell r="I1238">
            <v>619</v>
          </cell>
          <cell r="J1238">
            <v>12</v>
          </cell>
          <cell r="K1238">
            <v>696</v>
          </cell>
          <cell r="L1238">
            <v>750</v>
          </cell>
          <cell r="M1238">
            <v>522000</v>
          </cell>
        </row>
        <row r="1239">
          <cell r="A1239">
            <v>2173</v>
          </cell>
          <cell r="B1239" t="str">
            <v/>
          </cell>
          <cell r="C1239" t="str">
            <v>AG FORTY SEVEN MALBEC SHIRAZ 750ML</v>
          </cell>
          <cell r="D1239" t="str">
            <v/>
          </cell>
          <cell r="E1239" t="str">
            <v/>
          </cell>
          <cell r="F1239" t="str">
            <v>Pcs</v>
          </cell>
          <cell r="G1239">
            <v>12</v>
          </cell>
          <cell r="H1239" t="str">
            <v/>
          </cell>
          <cell r="I1239">
            <v>0</v>
          </cell>
          <cell r="J1239">
            <v>0</v>
          </cell>
          <cell r="K1239">
            <v>12</v>
          </cell>
          <cell r="L1239">
            <v>1600</v>
          </cell>
          <cell r="M1239">
            <v>19200</v>
          </cell>
        </row>
        <row r="1240">
          <cell r="A1240">
            <v>71</v>
          </cell>
          <cell r="B1240" t="str">
            <v/>
          </cell>
          <cell r="C1240" t="str">
            <v>ALAMOS CAB SAUV 750ML</v>
          </cell>
          <cell r="D1240" t="str">
            <v/>
          </cell>
          <cell r="E1240" t="str">
            <v/>
          </cell>
          <cell r="F1240" t="str">
            <v>Pcs</v>
          </cell>
          <cell r="G1240">
            <v>6</v>
          </cell>
          <cell r="H1240" t="str">
            <v/>
          </cell>
          <cell r="I1240">
            <v>0</v>
          </cell>
          <cell r="J1240">
            <v>0</v>
          </cell>
          <cell r="K1240">
            <v>6</v>
          </cell>
          <cell r="L1240">
            <v>900</v>
          </cell>
          <cell r="M1240">
            <v>5400</v>
          </cell>
        </row>
        <row r="1241">
          <cell r="A1241">
            <v>2174</v>
          </cell>
          <cell r="B1241" t="str">
            <v/>
          </cell>
          <cell r="C1241" t="str">
            <v>ALAMOS CHARDONNAY 750ML</v>
          </cell>
          <cell r="D1241" t="str">
            <v/>
          </cell>
          <cell r="E1241" t="str">
            <v/>
          </cell>
          <cell r="F1241" t="str">
            <v>Pcs</v>
          </cell>
          <cell r="G1241">
            <v>0</v>
          </cell>
          <cell r="H1241" t="str">
            <v/>
          </cell>
          <cell r="I1241">
            <v>0</v>
          </cell>
          <cell r="J1241">
            <v>0</v>
          </cell>
          <cell r="K1241">
            <v>0</v>
          </cell>
          <cell r="L1241">
            <v>1300</v>
          </cell>
          <cell r="M1241">
            <v>0</v>
          </cell>
        </row>
        <row r="1242">
          <cell r="A1242">
            <v>72</v>
          </cell>
          <cell r="B1242" t="str">
            <v/>
          </cell>
          <cell r="C1242" t="str">
            <v>ALAMOS MALBEC 750ML</v>
          </cell>
          <cell r="D1242" t="str">
            <v/>
          </cell>
          <cell r="E1242" t="str">
            <v/>
          </cell>
          <cell r="F1242" t="str">
            <v>Pcs</v>
          </cell>
          <cell r="G1242">
            <v>0</v>
          </cell>
          <cell r="H1242" t="str">
            <v/>
          </cell>
          <cell r="I1242">
            <v>0</v>
          </cell>
          <cell r="J1242">
            <v>0</v>
          </cell>
          <cell r="K1242">
            <v>0</v>
          </cell>
          <cell r="L1242">
            <v>1288</v>
          </cell>
          <cell r="M1242">
            <v>0</v>
          </cell>
        </row>
        <row r="1243">
          <cell r="A1243">
            <v>2536</v>
          </cell>
          <cell r="B1243" t="str">
            <v/>
          </cell>
          <cell r="C1243" t="str">
            <v>ALPACA CAB SAUVIGNON 750ML</v>
          </cell>
          <cell r="D1243" t="str">
            <v/>
          </cell>
          <cell r="E1243" t="str">
            <v/>
          </cell>
          <cell r="F1243" t="str">
            <v>Pcs</v>
          </cell>
          <cell r="G1243">
            <v>14</v>
          </cell>
          <cell r="H1243" t="str">
            <v/>
          </cell>
          <cell r="I1243">
            <v>0</v>
          </cell>
          <cell r="J1243">
            <v>12</v>
          </cell>
          <cell r="K1243">
            <v>2</v>
          </cell>
          <cell r="L1243">
            <v>1143</v>
          </cell>
          <cell r="M1243">
            <v>2286</v>
          </cell>
        </row>
        <row r="1244">
          <cell r="A1244">
            <v>2537</v>
          </cell>
          <cell r="B1244" t="str">
            <v/>
          </cell>
          <cell r="C1244" t="str">
            <v>ALPACA CHARDONNAY 750ML</v>
          </cell>
          <cell r="D1244" t="str">
            <v/>
          </cell>
          <cell r="E1244" t="str">
            <v/>
          </cell>
          <cell r="F1244" t="str">
            <v>Pcs</v>
          </cell>
          <cell r="G1244">
            <v>10</v>
          </cell>
          <cell r="H1244" t="str">
            <v/>
          </cell>
          <cell r="I1244">
            <v>0</v>
          </cell>
          <cell r="J1244">
            <v>0</v>
          </cell>
          <cell r="K1244">
            <v>10</v>
          </cell>
          <cell r="L1244">
            <v>1143</v>
          </cell>
          <cell r="M1244">
            <v>11430</v>
          </cell>
        </row>
        <row r="1245">
          <cell r="A1245">
            <v>2538</v>
          </cell>
          <cell r="B1245" t="str">
            <v/>
          </cell>
          <cell r="C1245" t="str">
            <v>ALPACA MERLOT 750ML</v>
          </cell>
          <cell r="D1245" t="str">
            <v/>
          </cell>
          <cell r="E1245" t="str">
            <v/>
          </cell>
          <cell r="F1245" t="str">
            <v>Pcs</v>
          </cell>
          <cell r="G1245">
            <v>2</v>
          </cell>
          <cell r="H1245" t="str">
            <v/>
          </cell>
          <cell r="I1245">
            <v>0</v>
          </cell>
          <cell r="J1245">
            <v>0</v>
          </cell>
          <cell r="K1245">
            <v>2</v>
          </cell>
          <cell r="L1245">
            <v>1143</v>
          </cell>
          <cell r="M1245">
            <v>2286</v>
          </cell>
        </row>
        <row r="1246">
          <cell r="A1246">
            <v>2539</v>
          </cell>
          <cell r="B1246" t="str">
            <v/>
          </cell>
          <cell r="C1246" t="str">
            <v>ALPACA SAUVIGNON BLANC 750ML</v>
          </cell>
          <cell r="D1246" t="str">
            <v/>
          </cell>
          <cell r="E1246" t="str">
            <v/>
          </cell>
          <cell r="F1246" t="str">
            <v>Pcs</v>
          </cell>
          <cell r="G1246">
            <v>2</v>
          </cell>
          <cell r="H1246" t="str">
            <v/>
          </cell>
          <cell r="I1246">
            <v>0</v>
          </cell>
          <cell r="J1246">
            <v>0</v>
          </cell>
          <cell r="K1246">
            <v>2</v>
          </cell>
          <cell r="L1246">
            <v>1143</v>
          </cell>
          <cell r="M1246">
            <v>2286</v>
          </cell>
        </row>
        <row r="1247">
          <cell r="A1247">
            <v>83</v>
          </cell>
          <cell r="B1247" t="str">
            <v/>
          </cell>
          <cell r="C1247" t="str">
            <v>ALTAR WINE 750ml</v>
          </cell>
          <cell r="D1247" t="str">
            <v/>
          </cell>
          <cell r="E1247" t="str">
            <v/>
          </cell>
          <cell r="F1247" t="str">
            <v>Pcs</v>
          </cell>
          <cell r="G1247">
            <v>0</v>
          </cell>
          <cell r="H1247" t="str">
            <v/>
          </cell>
          <cell r="I1247">
            <v>0</v>
          </cell>
          <cell r="J1247">
            <v>0</v>
          </cell>
          <cell r="K1247">
            <v>0</v>
          </cell>
          <cell r="L1247">
            <v>1060</v>
          </cell>
          <cell r="M1247">
            <v>0</v>
          </cell>
        </row>
        <row r="1248">
          <cell r="A1248">
            <v>2175</v>
          </cell>
          <cell r="B1248" t="str">
            <v/>
          </cell>
          <cell r="C1248" t="str">
            <v>AMA LA VIDA SIGNATURE SWT RED 750ML</v>
          </cell>
          <cell r="D1248" t="str">
            <v/>
          </cell>
          <cell r="E1248" t="str">
            <v/>
          </cell>
          <cell r="F1248" t="str">
            <v>Pcs</v>
          </cell>
          <cell r="G1248">
            <v>3</v>
          </cell>
          <cell r="H1248" t="str">
            <v/>
          </cell>
          <cell r="I1248">
            <v>0</v>
          </cell>
          <cell r="J1248">
            <v>0</v>
          </cell>
          <cell r="K1248">
            <v>3</v>
          </cell>
          <cell r="L1248">
            <v>650</v>
          </cell>
          <cell r="M1248">
            <v>1950</v>
          </cell>
        </row>
        <row r="1249">
          <cell r="A1249">
            <v>2301</v>
          </cell>
          <cell r="B1249" t="str">
            <v/>
          </cell>
          <cell r="C1249" t="str">
            <v>AMA LA VIDA SWEET WHITE 750ML</v>
          </cell>
          <cell r="D1249" t="str">
            <v/>
          </cell>
          <cell r="E1249" t="str">
            <v/>
          </cell>
          <cell r="F1249" t="str">
            <v>Pcs</v>
          </cell>
          <cell r="G1249">
            <v>1</v>
          </cell>
          <cell r="H1249" t="str">
            <v/>
          </cell>
          <cell r="I1249">
            <v>0</v>
          </cell>
          <cell r="J1249">
            <v>0</v>
          </cell>
          <cell r="K1249">
            <v>1</v>
          </cell>
          <cell r="L1249">
            <v>650</v>
          </cell>
          <cell r="M1249">
            <v>650</v>
          </cell>
        </row>
        <row r="1250">
          <cell r="A1250">
            <v>84</v>
          </cell>
          <cell r="B1250" t="str">
            <v/>
          </cell>
          <cell r="C1250" t="str">
            <v>AMANI BAY DRY ROSE 750ML</v>
          </cell>
          <cell r="D1250" t="str">
            <v/>
          </cell>
          <cell r="E1250" t="str">
            <v/>
          </cell>
          <cell r="F1250" t="str">
            <v>Pcs</v>
          </cell>
          <cell r="G1250">
            <v>1</v>
          </cell>
          <cell r="H1250" t="str">
            <v/>
          </cell>
          <cell r="I1250">
            <v>0</v>
          </cell>
          <cell r="J1250">
            <v>0</v>
          </cell>
          <cell r="K1250">
            <v>1</v>
          </cell>
          <cell r="L1250">
            <v>690</v>
          </cell>
          <cell r="M1250">
            <v>690</v>
          </cell>
        </row>
        <row r="1251">
          <cell r="A1251">
            <v>85</v>
          </cell>
          <cell r="B1251" t="str">
            <v/>
          </cell>
          <cell r="C1251" t="str">
            <v>AMANI BAY FRESH WHITE 750ML</v>
          </cell>
          <cell r="D1251" t="str">
            <v/>
          </cell>
          <cell r="E1251" t="str">
            <v/>
          </cell>
          <cell r="F1251" t="str">
            <v>Pcs</v>
          </cell>
          <cell r="G1251">
            <v>1</v>
          </cell>
          <cell r="H1251" t="str">
            <v/>
          </cell>
          <cell r="I1251">
            <v>0</v>
          </cell>
          <cell r="J1251">
            <v>0</v>
          </cell>
          <cell r="K1251">
            <v>1</v>
          </cell>
          <cell r="L1251">
            <v>690</v>
          </cell>
          <cell r="M1251">
            <v>690</v>
          </cell>
        </row>
        <row r="1252">
          <cell r="A1252">
            <v>86</v>
          </cell>
          <cell r="B1252" t="str">
            <v/>
          </cell>
          <cell r="C1252" t="str">
            <v>AMANI BAY NATURAL SWEET RED 750ML</v>
          </cell>
          <cell r="D1252" t="str">
            <v/>
          </cell>
          <cell r="E1252" t="str">
            <v/>
          </cell>
          <cell r="F1252" t="str">
            <v>Pcs</v>
          </cell>
          <cell r="G1252">
            <v>1</v>
          </cell>
          <cell r="H1252" t="str">
            <v/>
          </cell>
          <cell r="I1252">
            <v>0</v>
          </cell>
          <cell r="J1252">
            <v>0</v>
          </cell>
          <cell r="K1252">
            <v>1</v>
          </cell>
          <cell r="L1252">
            <v>690</v>
          </cell>
          <cell r="M1252">
            <v>690</v>
          </cell>
        </row>
        <row r="1253">
          <cell r="A1253">
            <v>87</v>
          </cell>
          <cell r="B1253" t="str">
            <v/>
          </cell>
          <cell r="C1253" t="str">
            <v>AMANI BAY NATURAL SWEET ROSE 750ML</v>
          </cell>
          <cell r="D1253" t="str">
            <v/>
          </cell>
          <cell r="E1253" t="str">
            <v/>
          </cell>
          <cell r="F1253" t="str">
            <v>Pcs</v>
          </cell>
          <cell r="G1253">
            <v>1</v>
          </cell>
          <cell r="H1253" t="str">
            <v/>
          </cell>
          <cell r="I1253">
            <v>0</v>
          </cell>
          <cell r="J1253">
            <v>0</v>
          </cell>
          <cell r="K1253">
            <v>1</v>
          </cell>
          <cell r="L1253">
            <v>690</v>
          </cell>
          <cell r="M1253">
            <v>690</v>
          </cell>
        </row>
        <row r="1254">
          <cell r="A1254">
            <v>88</v>
          </cell>
          <cell r="B1254" t="str">
            <v/>
          </cell>
          <cell r="C1254" t="str">
            <v>AMANI BAY NATURAL SWEET WHITE 750ML</v>
          </cell>
          <cell r="D1254" t="str">
            <v/>
          </cell>
          <cell r="E1254" t="str">
            <v/>
          </cell>
          <cell r="F1254" t="str">
            <v>Pcs</v>
          </cell>
          <cell r="G1254">
            <v>1</v>
          </cell>
          <cell r="H1254" t="str">
            <v/>
          </cell>
          <cell r="I1254">
            <v>0</v>
          </cell>
          <cell r="J1254">
            <v>0</v>
          </cell>
          <cell r="K1254">
            <v>1</v>
          </cell>
          <cell r="L1254">
            <v>690</v>
          </cell>
          <cell r="M1254">
            <v>690</v>
          </cell>
        </row>
        <row r="1255">
          <cell r="A1255">
            <v>89</v>
          </cell>
          <cell r="B1255" t="str">
            <v/>
          </cell>
          <cell r="C1255" t="str">
            <v>AMANI BAY SMOOTH RED 750ML</v>
          </cell>
          <cell r="D1255" t="str">
            <v/>
          </cell>
          <cell r="E1255" t="str">
            <v/>
          </cell>
          <cell r="F1255" t="str">
            <v>Pcs</v>
          </cell>
          <cell r="G1255">
            <v>1</v>
          </cell>
          <cell r="H1255" t="str">
            <v/>
          </cell>
          <cell r="I1255">
            <v>0</v>
          </cell>
          <cell r="J1255">
            <v>0</v>
          </cell>
          <cell r="K1255">
            <v>1</v>
          </cell>
          <cell r="L1255">
            <v>782</v>
          </cell>
          <cell r="M1255">
            <v>782</v>
          </cell>
        </row>
        <row r="1256">
          <cell r="A1256">
            <v>2588</v>
          </cell>
          <cell r="B1256" t="str">
            <v/>
          </cell>
          <cell r="C1256" t="str">
            <v>AMARONE VALPOLI RED 750ML</v>
          </cell>
          <cell r="D1256" t="str">
            <v/>
          </cell>
          <cell r="E1256" t="str">
            <v/>
          </cell>
          <cell r="F1256" t="str">
            <v>Pcs</v>
          </cell>
          <cell r="G1256">
            <v>0</v>
          </cell>
          <cell r="H1256" t="str">
            <v/>
          </cell>
          <cell r="I1256">
            <v>0</v>
          </cell>
          <cell r="J1256">
            <v>0</v>
          </cell>
          <cell r="K1256">
            <v>0</v>
          </cell>
          <cell r="L1256">
            <v>4740</v>
          </cell>
          <cell r="M1256">
            <v>0</v>
          </cell>
        </row>
        <row r="1257">
          <cell r="A1257">
            <v>96</v>
          </cell>
          <cell r="B1257" t="str">
            <v/>
          </cell>
          <cell r="C1257" t="str">
            <v>ANDRE MOSCATO 750ML</v>
          </cell>
          <cell r="D1257" t="str">
            <v/>
          </cell>
          <cell r="E1257" t="str">
            <v/>
          </cell>
          <cell r="F1257" t="str">
            <v>Pcs</v>
          </cell>
          <cell r="G1257">
            <v>24</v>
          </cell>
          <cell r="H1257" t="str">
            <v/>
          </cell>
          <cell r="I1257">
            <v>0</v>
          </cell>
          <cell r="J1257">
            <v>0</v>
          </cell>
          <cell r="K1257">
            <v>24</v>
          </cell>
          <cell r="L1257">
            <v>1380</v>
          </cell>
          <cell r="M1257">
            <v>33120</v>
          </cell>
        </row>
        <row r="1258">
          <cell r="A1258">
            <v>2385</v>
          </cell>
          <cell r="B1258" t="str">
            <v/>
          </cell>
          <cell r="C1258" t="str">
            <v>ANDRE MOSCATO SPUMANTE 750ML</v>
          </cell>
          <cell r="D1258" t="str">
            <v/>
          </cell>
          <cell r="E1258" t="str">
            <v/>
          </cell>
          <cell r="F1258" t="str">
            <v>Pcs</v>
          </cell>
          <cell r="G1258">
            <v>72</v>
          </cell>
          <cell r="H1258" t="str">
            <v/>
          </cell>
          <cell r="I1258">
            <v>0</v>
          </cell>
          <cell r="J1258">
            <v>0</v>
          </cell>
          <cell r="K1258">
            <v>72</v>
          </cell>
          <cell r="L1258">
            <v>1100</v>
          </cell>
          <cell r="M1258">
            <v>79200</v>
          </cell>
        </row>
        <row r="1259">
          <cell r="A1259">
            <v>97</v>
          </cell>
          <cell r="B1259" t="str">
            <v/>
          </cell>
          <cell r="C1259" t="str">
            <v>ANDRE RUBY RED 750ML</v>
          </cell>
          <cell r="D1259" t="str">
            <v/>
          </cell>
          <cell r="E1259" t="str">
            <v/>
          </cell>
          <cell r="F1259" t="str">
            <v>Pcs</v>
          </cell>
          <cell r="G1259">
            <v>59</v>
          </cell>
          <cell r="H1259" t="str">
            <v/>
          </cell>
          <cell r="I1259">
            <v>0</v>
          </cell>
          <cell r="J1259">
            <v>0</v>
          </cell>
          <cell r="K1259">
            <v>59</v>
          </cell>
          <cell r="L1259">
            <v>1380</v>
          </cell>
          <cell r="M1259">
            <v>81420</v>
          </cell>
        </row>
        <row r="1260">
          <cell r="A1260">
            <v>98</v>
          </cell>
          <cell r="B1260" t="str">
            <v/>
          </cell>
          <cell r="C1260" t="str">
            <v>ANGELO RED 750ML</v>
          </cell>
          <cell r="D1260" t="str">
            <v/>
          </cell>
          <cell r="E1260" t="str">
            <v/>
          </cell>
          <cell r="F1260" t="str">
            <v>Pcs</v>
          </cell>
          <cell r="G1260">
            <v>3</v>
          </cell>
          <cell r="H1260" t="str">
            <v/>
          </cell>
          <cell r="I1260">
            <v>0</v>
          </cell>
          <cell r="J1260">
            <v>0</v>
          </cell>
          <cell r="K1260">
            <v>3</v>
          </cell>
          <cell r="L1260">
            <v>1104</v>
          </cell>
          <cell r="M1260">
            <v>3312</v>
          </cell>
        </row>
        <row r="1261">
          <cell r="A1261">
            <v>2177</v>
          </cell>
          <cell r="B1261" t="str">
            <v/>
          </cell>
          <cell r="C1261" t="str">
            <v>ANGOVE  MCLAREN VALE SHIRAZ 2016 750ML</v>
          </cell>
          <cell r="D1261" t="str">
            <v/>
          </cell>
          <cell r="E1261" t="str">
            <v/>
          </cell>
          <cell r="F1261" t="str">
            <v>Pcs</v>
          </cell>
          <cell r="G1261">
            <v>3</v>
          </cell>
          <cell r="H1261" t="str">
            <v/>
          </cell>
          <cell r="I1261">
            <v>0</v>
          </cell>
          <cell r="J1261">
            <v>0</v>
          </cell>
          <cell r="K1261">
            <v>3</v>
          </cell>
          <cell r="L1261">
            <v>1450</v>
          </cell>
          <cell r="M1261">
            <v>4350</v>
          </cell>
        </row>
        <row r="1262">
          <cell r="A1262">
            <v>2176</v>
          </cell>
          <cell r="B1262" t="str">
            <v/>
          </cell>
          <cell r="C1262" t="str">
            <v>ANGOVE RIESLING 750ML</v>
          </cell>
          <cell r="D1262" t="str">
            <v/>
          </cell>
          <cell r="E1262" t="str">
            <v/>
          </cell>
          <cell r="F1262" t="str">
            <v>Pcs</v>
          </cell>
          <cell r="G1262">
            <v>12</v>
          </cell>
          <cell r="H1262" t="str">
            <v/>
          </cell>
          <cell r="I1262">
            <v>0</v>
          </cell>
          <cell r="J1262">
            <v>0</v>
          </cell>
          <cell r="K1262">
            <v>12</v>
          </cell>
          <cell r="L1262">
            <v>1400</v>
          </cell>
          <cell r="M1262">
            <v>16800</v>
          </cell>
        </row>
        <row r="1263">
          <cell r="A1263">
            <v>104</v>
          </cell>
          <cell r="B1263" t="str">
            <v/>
          </cell>
          <cell r="C1263" t="str">
            <v>ANGOVE SAV BLANC 750ML</v>
          </cell>
          <cell r="D1263" t="str">
            <v/>
          </cell>
          <cell r="E1263" t="str">
            <v/>
          </cell>
          <cell r="F1263" t="str">
            <v>Pcs</v>
          </cell>
          <cell r="G1263">
            <v>12</v>
          </cell>
          <cell r="H1263" t="str">
            <v/>
          </cell>
          <cell r="I1263">
            <v>0</v>
          </cell>
          <cell r="J1263">
            <v>0</v>
          </cell>
          <cell r="K1263">
            <v>12</v>
          </cell>
          <cell r="L1263">
            <v>1300</v>
          </cell>
          <cell r="M1263">
            <v>15600</v>
          </cell>
        </row>
        <row r="1264">
          <cell r="A1264">
            <v>2178</v>
          </cell>
          <cell r="B1264" t="str">
            <v/>
          </cell>
          <cell r="C1264" t="str">
            <v>ARCADIA DEMI SEC 750ML</v>
          </cell>
          <cell r="D1264" t="str">
            <v/>
          </cell>
          <cell r="E1264" t="str">
            <v/>
          </cell>
          <cell r="F1264" t="str">
            <v>Pcs</v>
          </cell>
          <cell r="G1264">
            <v>1</v>
          </cell>
          <cell r="H1264" t="str">
            <v/>
          </cell>
          <cell r="I1264">
            <v>0</v>
          </cell>
          <cell r="J1264">
            <v>0</v>
          </cell>
          <cell r="K1264">
            <v>1</v>
          </cell>
          <cell r="L1264">
            <v>750</v>
          </cell>
          <cell r="M1264">
            <v>750</v>
          </cell>
        </row>
        <row r="1265">
          <cell r="A1265">
            <v>110</v>
          </cell>
          <cell r="B1265" t="str">
            <v/>
          </cell>
          <cell r="C1265" t="str">
            <v>ARGENTO ORGANIC MALBEC 750ml</v>
          </cell>
          <cell r="D1265" t="str">
            <v/>
          </cell>
          <cell r="E1265" t="str">
            <v/>
          </cell>
          <cell r="F1265" t="str">
            <v>Pcs</v>
          </cell>
          <cell r="G1265">
            <v>30</v>
          </cell>
          <cell r="H1265" t="str">
            <v/>
          </cell>
          <cell r="I1265">
            <v>0</v>
          </cell>
          <cell r="J1265">
            <v>6</v>
          </cell>
          <cell r="K1265">
            <v>24</v>
          </cell>
          <cell r="L1265">
            <v>1564</v>
          </cell>
          <cell r="M1265">
            <v>37536</v>
          </cell>
        </row>
        <row r="1266">
          <cell r="A1266">
            <v>111</v>
          </cell>
          <cell r="B1266" t="str">
            <v/>
          </cell>
          <cell r="C1266" t="str">
            <v>ARGENTO RESERVA MALBEC 750ml</v>
          </cell>
          <cell r="D1266" t="str">
            <v/>
          </cell>
          <cell r="E1266" t="str">
            <v/>
          </cell>
          <cell r="F1266" t="str">
            <v>Pcs</v>
          </cell>
          <cell r="G1266">
            <v>6</v>
          </cell>
          <cell r="H1266" t="str">
            <v/>
          </cell>
          <cell r="I1266">
            <v>0</v>
          </cell>
          <cell r="J1266">
            <v>0</v>
          </cell>
          <cell r="K1266">
            <v>6</v>
          </cell>
          <cell r="L1266">
            <v>1380</v>
          </cell>
          <cell r="M1266">
            <v>8280</v>
          </cell>
        </row>
        <row r="1267">
          <cell r="A1267">
            <v>112</v>
          </cell>
          <cell r="B1267" t="str">
            <v/>
          </cell>
          <cell r="C1267" t="str">
            <v>ARGENTO SHIRAZ 750ml</v>
          </cell>
          <cell r="D1267" t="str">
            <v/>
          </cell>
          <cell r="E1267" t="str">
            <v/>
          </cell>
          <cell r="F1267" t="str">
            <v>Pcs</v>
          </cell>
          <cell r="G1267">
            <v>0</v>
          </cell>
          <cell r="H1267" t="str">
            <v/>
          </cell>
          <cell r="I1267">
            <v>0</v>
          </cell>
          <cell r="J1267">
            <v>0</v>
          </cell>
          <cell r="K1267">
            <v>0</v>
          </cell>
          <cell r="L1267">
            <v>1380</v>
          </cell>
          <cell r="M1267">
            <v>0</v>
          </cell>
        </row>
        <row r="1268">
          <cell r="A1268">
            <v>2207</v>
          </cell>
          <cell r="B1268" t="str">
            <v/>
          </cell>
          <cell r="C1268" t="str">
            <v>ARGENTO TORRONTES 750ML</v>
          </cell>
          <cell r="D1268" t="str">
            <v/>
          </cell>
          <cell r="E1268" t="str">
            <v/>
          </cell>
          <cell r="F1268" t="str">
            <v>Pcs</v>
          </cell>
          <cell r="G1268">
            <v>5</v>
          </cell>
          <cell r="H1268" t="str">
            <v/>
          </cell>
          <cell r="I1268">
            <v>0</v>
          </cell>
          <cell r="J1268">
            <v>0</v>
          </cell>
          <cell r="K1268">
            <v>5</v>
          </cell>
          <cell r="L1268">
            <v>1650</v>
          </cell>
          <cell r="M1268">
            <v>8250</v>
          </cell>
        </row>
        <row r="1269">
          <cell r="A1269">
            <v>113</v>
          </cell>
          <cell r="B1269" t="str">
            <v/>
          </cell>
          <cell r="C1269" t="str">
            <v>ARMAND DE BRIGNAC ROSE 750ML</v>
          </cell>
          <cell r="D1269" t="str">
            <v/>
          </cell>
          <cell r="E1269" t="str">
            <v/>
          </cell>
          <cell r="F1269" t="str">
            <v>Pcs</v>
          </cell>
          <cell r="G1269">
            <v>0</v>
          </cell>
          <cell r="H1269" t="str">
            <v/>
          </cell>
          <cell r="I1269">
            <v>0</v>
          </cell>
          <cell r="J1269">
            <v>0</v>
          </cell>
          <cell r="K1269">
            <v>0</v>
          </cell>
          <cell r="L1269">
            <v>61824</v>
          </cell>
          <cell r="M1269">
            <v>0</v>
          </cell>
        </row>
        <row r="1270">
          <cell r="A1270">
            <v>114</v>
          </cell>
          <cell r="B1270" t="str">
            <v/>
          </cell>
          <cell r="C1270" t="str">
            <v>ARNEGUI RIOJA 750ML</v>
          </cell>
          <cell r="D1270" t="str">
            <v/>
          </cell>
          <cell r="E1270" t="str">
            <v/>
          </cell>
          <cell r="F1270" t="str">
            <v>Pcs</v>
          </cell>
          <cell r="G1270">
            <v>6</v>
          </cell>
          <cell r="H1270" t="str">
            <v/>
          </cell>
          <cell r="I1270">
            <v>0</v>
          </cell>
          <cell r="J1270">
            <v>0</v>
          </cell>
          <cell r="K1270">
            <v>6</v>
          </cell>
          <cell r="L1270">
            <v>1500</v>
          </cell>
          <cell r="M1270">
            <v>9000</v>
          </cell>
        </row>
        <row r="1271">
          <cell r="A1271">
            <v>115</v>
          </cell>
          <cell r="B1271" t="str">
            <v/>
          </cell>
          <cell r="C1271" t="str">
            <v>ARNEGUI VIURA BLANC 750ML</v>
          </cell>
          <cell r="D1271" t="str">
            <v/>
          </cell>
          <cell r="E1271" t="str">
            <v/>
          </cell>
          <cell r="F1271" t="str">
            <v>Pcs</v>
          </cell>
          <cell r="G1271">
            <v>0</v>
          </cell>
          <cell r="H1271" t="str">
            <v/>
          </cell>
          <cell r="I1271">
            <v>0</v>
          </cell>
          <cell r="J1271">
            <v>0</v>
          </cell>
          <cell r="K1271">
            <v>0</v>
          </cell>
          <cell r="L1271">
            <v>700</v>
          </cell>
          <cell r="M1271">
            <v>0</v>
          </cell>
        </row>
        <row r="1272">
          <cell r="A1272">
            <v>116</v>
          </cell>
          <cell r="B1272" t="str">
            <v/>
          </cell>
          <cell r="C1272" t="str">
            <v>ARNISTON BAY RED 750ML</v>
          </cell>
          <cell r="D1272" t="str">
            <v/>
          </cell>
          <cell r="E1272" t="str">
            <v/>
          </cell>
          <cell r="F1272" t="str">
            <v>Pcs</v>
          </cell>
          <cell r="G1272">
            <v>0</v>
          </cell>
          <cell r="H1272" t="str">
            <v/>
          </cell>
          <cell r="I1272">
            <v>0</v>
          </cell>
          <cell r="J1272">
            <v>0</v>
          </cell>
          <cell r="K1272">
            <v>0</v>
          </cell>
          <cell r="L1272">
            <v>2000</v>
          </cell>
          <cell r="M1272">
            <v>0</v>
          </cell>
        </row>
        <row r="1273">
          <cell r="A1273">
            <v>2498</v>
          </cell>
          <cell r="B1273" t="str">
            <v/>
          </cell>
          <cell r="C1273" t="str">
            <v>ARNISTON BAY ROSE 750ML</v>
          </cell>
          <cell r="D1273" t="str">
            <v/>
          </cell>
          <cell r="E1273" t="str">
            <v/>
          </cell>
          <cell r="F1273" t="str">
            <v>Pcs</v>
          </cell>
          <cell r="G1273">
            <v>0</v>
          </cell>
          <cell r="H1273" t="str">
            <v/>
          </cell>
          <cell r="I1273">
            <v>0</v>
          </cell>
          <cell r="J1273">
            <v>0</v>
          </cell>
          <cell r="K1273">
            <v>0</v>
          </cell>
          <cell r="L1273">
            <v>1650</v>
          </cell>
          <cell r="M1273">
            <v>0</v>
          </cell>
        </row>
        <row r="1274">
          <cell r="A1274">
            <v>2500</v>
          </cell>
          <cell r="B1274" t="str">
            <v/>
          </cell>
          <cell r="C1274" t="str">
            <v>ARNISTON BAY SAUVIGNON 750ML</v>
          </cell>
          <cell r="D1274" t="str">
            <v/>
          </cell>
          <cell r="E1274" t="str">
            <v/>
          </cell>
          <cell r="F1274" t="str">
            <v>Pcs</v>
          </cell>
          <cell r="G1274">
            <v>0</v>
          </cell>
          <cell r="H1274" t="str">
            <v/>
          </cell>
          <cell r="I1274">
            <v>0</v>
          </cell>
          <cell r="J1274">
            <v>0</v>
          </cell>
          <cell r="K1274">
            <v>0</v>
          </cell>
          <cell r="L1274">
            <v>1650</v>
          </cell>
          <cell r="M1274">
            <v>0</v>
          </cell>
        </row>
        <row r="1275">
          <cell r="A1275">
            <v>2499</v>
          </cell>
          <cell r="B1275" t="str">
            <v/>
          </cell>
          <cell r="C1275" t="str">
            <v>ARNISTON BAY SHIRAZ 750ML</v>
          </cell>
          <cell r="D1275" t="str">
            <v/>
          </cell>
          <cell r="E1275" t="str">
            <v/>
          </cell>
          <cell r="F1275" t="str">
            <v>Pcs</v>
          </cell>
          <cell r="G1275">
            <v>0</v>
          </cell>
          <cell r="H1275" t="str">
            <v/>
          </cell>
          <cell r="I1275">
            <v>0</v>
          </cell>
          <cell r="J1275">
            <v>0</v>
          </cell>
          <cell r="K1275">
            <v>0</v>
          </cell>
          <cell r="L1275">
            <v>1650</v>
          </cell>
          <cell r="M1275">
            <v>0</v>
          </cell>
        </row>
        <row r="1276">
          <cell r="A1276">
            <v>2514</v>
          </cell>
          <cell r="B1276" t="str">
            <v/>
          </cell>
          <cell r="C1276" t="str">
            <v>ARTHUR METS CREMANT DALSACE ROSE 750ML</v>
          </cell>
          <cell r="D1276" t="str">
            <v/>
          </cell>
          <cell r="E1276" t="str">
            <v/>
          </cell>
          <cell r="F1276" t="str">
            <v>Pcs</v>
          </cell>
          <cell r="G1276">
            <v>12</v>
          </cell>
          <cell r="H1276" t="str">
            <v/>
          </cell>
          <cell r="I1276">
            <v>0</v>
          </cell>
          <cell r="J1276">
            <v>0</v>
          </cell>
          <cell r="K1276">
            <v>12</v>
          </cell>
          <cell r="L1276">
            <v>2230</v>
          </cell>
          <cell r="M1276">
            <v>26760</v>
          </cell>
        </row>
        <row r="1277">
          <cell r="A1277">
            <v>118</v>
          </cell>
          <cell r="B1277" t="str">
            <v/>
          </cell>
          <cell r="C1277" t="str">
            <v>ASCONI AGOR LUX 750ML</v>
          </cell>
          <cell r="D1277" t="str">
            <v/>
          </cell>
          <cell r="E1277" t="str">
            <v/>
          </cell>
          <cell r="F1277" t="str">
            <v>Pcs</v>
          </cell>
          <cell r="G1277">
            <v>18</v>
          </cell>
          <cell r="H1277" t="str">
            <v/>
          </cell>
          <cell r="I1277">
            <v>0</v>
          </cell>
          <cell r="J1277">
            <v>0</v>
          </cell>
          <cell r="K1277">
            <v>18</v>
          </cell>
          <cell r="L1277">
            <v>1550</v>
          </cell>
          <cell r="M1277">
            <v>27900</v>
          </cell>
        </row>
        <row r="1278">
          <cell r="A1278">
            <v>2208</v>
          </cell>
          <cell r="B1278" t="str">
            <v/>
          </cell>
          <cell r="C1278" t="str">
            <v>ASCONI CAB SAUV MERLOT 750ML</v>
          </cell>
          <cell r="D1278" t="str">
            <v/>
          </cell>
          <cell r="E1278" t="str">
            <v/>
          </cell>
          <cell r="F1278" t="str">
            <v>Pcs</v>
          </cell>
          <cell r="G1278">
            <v>0</v>
          </cell>
          <cell r="H1278" t="str">
            <v/>
          </cell>
          <cell r="I1278">
            <v>0</v>
          </cell>
          <cell r="J1278">
            <v>0</v>
          </cell>
          <cell r="K1278">
            <v>0</v>
          </cell>
          <cell r="L1278">
            <v>1050</v>
          </cell>
          <cell r="M1278">
            <v>0</v>
          </cell>
        </row>
        <row r="1279">
          <cell r="A1279">
            <v>2209</v>
          </cell>
          <cell r="B1279" t="str">
            <v/>
          </cell>
          <cell r="C1279" t="str">
            <v>ASCONI CAB SAUV ROSE 750ML</v>
          </cell>
          <cell r="D1279" t="str">
            <v/>
          </cell>
          <cell r="E1279" t="str">
            <v/>
          </cell>
          <cell r="F1279" t="str">
            <v>Pcs</v>
          </cell>
          <cell r="G1279">
            <v>72</v>
          </cell>
          <cell r="H1279" t="str">
            <v/>
          </cell>
          <cell r="I1279">
            <v>0</v>
          </cell>
          <cell r="J1279">
            <v>0</v>
          </cell>
          <cell r="K1279">
            <v>72</v>
          </cell>
          <cell r="L1279">
            <v>1050</v>
          </cell>
          <cell r="M1279">
            <v>75600</v>
          </cell>
        </row>
        <row r="1280">
          <cell r="A1280">
            <v>119</v>
          </cell>
          <cell r="B1280" t="str">
            <v/>
          </cell>
          <cell r="C1280" t="str">
            <v>ASCONI KISS ME NOW CARBERNET 750ML</v>
          </cell>
          <cell r="D1280" t="str">
            <v/>
          </cell>
          <cell r="E1280" t="str">
            <v/>
          </cell>
          <cell r="F1280" t="str">
            <v>Pcs</v>
          </cell>
          <cell r="G1280">
            <v>25</v>
          </cell>
          <cell r="H1280" t="str">
            <v/>
          </cell>
          <cell r="I1280">
            <v>0</v>
          </cell>
          <cell r="J1280">
            <v>0</v>
          </cell>
          <cell r="K1280">
            <v>25</v>
          </cell>
          <cell r="L1280">
            <v>1550</v>
          </cell>
          <cell r="M1280">
            <v>38750</v>
          </cell>
        </row>
        <row r="1281">
          <cell r="A1281">
            <v>120</v>
          </cell>
          <cell r="B1281" t="str">
            <v/>
          </cell>
          <cell r="C1281" t="str">
            <v>ASCONI KISS ME NOW MERLOT 750ML</v>
          </cell>
          <cell r="D1281" t="str">
            <v/>
          </cell>
          <cell r="E1281" t="str">
            <v/>
          </cell>
          <cell r="F1281" t="str">
            <v>Pcs</v>
          </cell>
          <cell r="G1281">
            <v>6</v>
          </cell>
          <cell r="H1281" t="str">
            <v/>
          </cell>
          <cell r="I1281">
            <v>0</v>
          </cell>
          <cell r="J1281">
            <v>0</v>
          </cell>
          <cell r="K1281">
            <v>6</v>
          </cell>
          <cell r="L1281">
            <v>1550</v>
          </cell>
          <cell r="M1281">
            <v>9300</v>
          </cell>
        </row>
        <row r="1282">
          <cell r="A1282">
            <v>121</v>
          </cell>
          <cell r="B1282" t="str">
            <v/>
          </cell>
          <cell r="C1282" t="str">
            <v>ASCONI MOSCATO 750ML</v>
          </cell>
          <cell r="D1282" t="str">
            <v/>
          </cell>
          <cell r="E1282" t="str">
            <v/>
          </cell>
          <cell r="F1282" t="str">
            <v>Pcs</v>
          </cell>
          <cell r="G1282">
            <v>0</v>
          </cell>
          <cell r="H1282" t="str">
            <v/>
          </cell>
          <cell r="I1282">
            <v>0</v>
          </cell>
          <cell r="J1282">
            <v>0</v>
          </cell>
          <cell r="K1282">
            <v>0</v>
          </cell>
          <cell r="L1282">
            <v>1550</v>
          </cell>
          <cell r="M1282">
            <v>0</v>
          </cell>
        </row>
        <row r="1283">
          <cell r="A1283">
            <v>122</v>
          </cell>
          <cell r="B1283" t="str">
            <v/>
          </cell>
          <cell r="C1283" t="str">
            <v>ASCONI MOSCATO ROSE 750ML</v>
          </cell>
          <cell r="D1283" t="str">
            <v/>
          </cell>
          <cell r="E1283" t="str">
            <v/>
          </cell>
          <cell r="F1283" t="str">
            <v>Pcs</v>
          </cell>
          <cell r="G1283">
            <v>55</v>
          </cell>
          <cell r="H1283" t="str">
            <v/>
          </cell>
          <cell r="I1283">
            <v>0</v>
          </cell>
          <cell r="J1283">
            <v>0</v>
          </cell>
          <cell r="K1283">
            <v>55</v>
          </cell>
          <cell r="L1283">
            <v>1550</v>
          </cell>
          <cell r="M1283">
            <v>85250</v>
          </cell>
        </row>
        <row r="1284">
          <cell r="A1284">
            <v>2378</v>
          </cell>
          <cell r="B1284" t="str">
            <v/>
          </cell>
          <cell r="C1284" t="str">
            <v>ASCONI MOSCATO SWEET WHITE 750ML</v>
          </cell>
          <cell r="D1284" t="str">
            <v/>
          </cell>
          <cell r="E1284" t="str">
            <v/>
          </cell>
          <cell r="F1284" t="str">
            <v>Pcs</v>
          </cell>
          <cell r="G1284">
            <v>1</v>
          </cell>
          <cell r="H1284" t="str">
            <v/>
          </cell>
          <cell r="I1284">
            <v>0</v>
          </cell>
          <cell r="J1284">
            <v>0</v>
          </cell>
          <cell r="K1284">
            <v>1</v>
          </cell>
          <cell r="L1284">
            <v>1450</v>
          </cell>
          <cell r="M1284">
            <v>1450</v>
          </cell>
        </row>
        <row r="1285">
          <cell r="A1285">
            <v>2377</v>
          </cell>
          <cell r="B1285" t="str">
            <v/>
          </cell>
          <cell r="C1285" t="str">
            <v>ASCONI MUSCAT SWEET WHITE 750ML</v>
          </cell>
          <cell r="D1285" t="str">
            <v/>
          </cell>
          <cell r="E1285" t="str">
            <v/>
          </cell>
          <cell r="F1285" t="str">
            <v>Pcs</v>
          </cell>
          <cell r="G1285">
            <v>30</v>
          </cell>
          <cell r="H1285" t="str">
            <v/>
          </cell>
          <cell r="I1285">
            <v>0</v>
          </cell>
          <cell r="J1285">
            <v>0</v>
          </cell>
          <cell r="K1285">
            <v>30</v>
          </cell>
          <cell r="L1285">
            <v>1050</v>
          </cell>
          <cell r="M1285">
            <v>31500</v>
          </cell>
        </row>
        <row r="1286">
          <cell r="A1286">
            <v>123</v>
          </cell>
          <cell r="B1286" t="str">
            <v/>
          </cell>
          <cell r="C1286" t="str">
            <v>ASCONI PASTORAL WINE 750ML</v>
          </cell>
          <cell r="D1286" t="str">
            <v/>
          </cell>
          <cell r="E1286" t="str">
            <v/>
          </cell>
          <cell r="F1286" t="str">
            <v>Pcs</v>
          </cell>
          <cell r="G1286">
            <v>0</v>
          </cell>
          <cell r="H1286" t="str">
            <v/>
          </cell>
          <cell r="I1286">
            <v>0</v>
          </cell>
          <cell r="J1286">
            <v>0</v>
          </cell>
          <cell r="K1286">
            <v>0</v>
          </cell>
          <cell r="L1286">
            <v>1550</v>
          </cell>
          <cell r="M1286">
            <v>0</v>
          </cell>
        </row>
        <row r="1287">
          <cell r="A1287">
            <v>2894</v>
          </cell>
          <cell r="B1287" t="str">
            <v/>
          </cell>
          <cell r="C1287" t="str">
            <v>Asconi Prestige Red Semisweet Wine</v>
          </cell>
          <cell r="D1287" t="str">
            <v/>
          </cell>
          <cell r="E1287" t="str">
            <v/>
          </cell>
          <cell r="F1287" t="str">
            <v>Pcs</v>
          </cell>
          <cell r="G1287">
            <v>0</v>
          </cell>
          <cell r="H1287" t="str">
            <v/>
          </cell>
          <cell r="I1287">
            <v>0</v>
          </cell>
          <cell r="J1287">
            <v>0</v>
          </cell>
          <cell r="K1287">
            <v>0</v>
          </cell>
          <cell r="L1287">
            <v>1275</v>
          </cell>
          <cell r="M1287">
            <v>0</v>
          </cell>
        </row>
        <row r="1288">
          <cell r="A1288">
            <v>2893</v>
          </cell>
          <cell r="B1288" t="str">
            <v/>
          </cell>
          <cell r="C1288" t="str">
            <v>Asconi Prestige White Semisweet Wine</v>
          </cell>
          <cell r="D1288" t="str">
            <v/>
          </cell>
          <cell r="E1288" t="str">
            <v/>
          </cell>
          <cell r="F1288" t="str">
            <v>Pcs</v>
          </cell>
          <cell r="G1288">
            <v>0</v>
          </cell>
          <cell r="H1288" t="str">
            <v/>
          </cell>
          <cell r="I1288">
            <v>0</v>
          </cell>
          <cell r="J1288">
            <v>0</v>
          </cell>
          <cell r="K1288">
            <v>0</v>
          </cell>
          <cell r="L1288">
            <v>1275</v>
          </cell>
          <cell r="M1288">
            <v>0</v>
          </cell>
        </row>
        <row r="1289">
          <cell r="A1289">
            <v>124</v>
          </cell>
          <cell r="B1289" t="str">
            <v/>
          </cell>
          <cell r="C1289" t="str">
            <v>ASCONI RED-SEMIDRY WINE 750ML</v>
          </cell>
          <cell r="D1289" t="str">
            <v/>
          </cell>
          <cell r="E1289" t="str">
            <v/>
          </cell>
          <cell r="F1289" t="str">
            <v>Pcs</v>
          </cell>
          <cell r="G1289">
            <v>12</v>
          </cell>
          <cell r="H1289" t="str">
            <v/>
          </cell>
          <cell r="I1289">
            <v>0</v>
          </cell>
          <cell r="J1289">
            <v>0</v>
          </cell>
          <cell r="K1289">
            <v>12</v>
          </cell>
          <cell r="L1289">
            <v>1450</v>
          </cell>
          <cell r="M1289">
            <v>17400</v>
          </cell>
        </row>
        <row r="1290">
          <cell r="A1290">
            <v>2895</v>
          </cell>
          <cell r="B1290" t="str">
            <v/>
          </cell>
          <cell r="C1290" t="str">
            <v>Asconi Sweet Flavored Chocolate Red Wine</v>
          </cell>
          <cell r="D1290" t="str">
            <v/>
          </cell>
          <cell r="E1290" t="str">
            <v/>
          </cell>
          <cell r="F1290" t="str">
            <v>Pcs</v>
          </cell>
          <cell r="G1290">
            <v>0</v>
          </cell>
          <cell r="H1290" t="str">
            <v/>
          </cell>
          <cell r="I1290">
            <v>6</v>
          </cell>
          <cell r="J1290">
            <v>6</v>
          </cell>
          <cell r="K1290">
            <v>0</v>
          </cell>
          <cell r="L1290">
            <v>1530</v>
          </cell>
          <cell r="M1290">
            <v>0</v>
          </cell>
        </row>
        <row r="1291">
          <cell r="A1291">
            <v>2896</v>
          </cell>
          <cell r="B1291" t="str">
            <v/>
          </cell>
          <cell r="C1291" t="str">
            <v>Asconi Sweet Flavored Grapefruit Red Wine</v>
          </cell>
          <cell r="D1291" t="str">
            <v/>
          </cell>
          <cell r="E1291" t="str">
            <v/>
          </cell>
          <cell r="F1291" t="str">
            <v>Pcs</v>
          </cell>
          <cell r="G1291">
            <v>6</v>
          </cell>
          <cell r="H1291" t="str">
            <v/>
          </cell>
          <cell r="I1291">
            <v>0</v>
          </cell>
          <cell r="J1291">
            <v>0</v>
          </cell>
          <cell r="K1291">
            <v>6</v>
          </cell>
          <cell r="L1291">
            <v>1530</v>
          </cell>
          <cell r="M1291">
            <v>9180</v>
          </cell>
        </row>
        <row r="1292">
          <cell r="A1292">
            <v>2897</v>
          </cell>
          <cell r="B1292" t="str">
            <v/>
          </cell>
          <cell r="C1292" t="str">
            <v>Asconi Sweet Flavored Passion Fruit White Wine</v>
          </cell>
          <cell r="D1292" t="str">
            <v/>
          </cell>
          <cell r="E1292" t="str">
            <v/>
          </cell>
          <cell r="F1292" t="str">
            <v>Pcs</v>
          </cell>
          <cell r="G1292">
            <v>6</v>
          </cell>
          <cell r="H1292" t="str">
            <v/>
          </cell>
          <cell r="I1292">
            <v>0</v>
          </cell>
          <cell r="J1292">
            <v>0</v>
          </cell>
          <cell r="K1292">
            <v>6</v>
          </cell>
          <cell r="L1292">
            <v>1530</v>
          </cell>
          <cell r="M1292">
            <v>9180</v>
          </cell>
        </row>
        <row r="1293">
          <cell r="A1293">
            <v>2898</v>
          </cell>
          <cell r="B1293" t="str">
            <v/>
          </cell>
          <cell r="C1293" t="str">
            <v>Asconi Sweet Flavored Peach White Wine</v>
          </cell>
          <cell r="D1293" t="str">
            <v/>
          </cell>
          <cell r="E1293" t="str">
            <v/>
          </cell>
          <cell r="F1293" t="str">
            <v>Pcs</v>
          </cell>
          <cell r="G1293">
            <v>0</v>
          </cell>
          <cell r="H1293" t="str">
            <v/>
          </cell>
          <cell r="I1293">
            <v>0</v>
          </cell>
          <cell r="J1293">
            <v>0</v>
          </cell>
          <cell r="K1293">
            <v>0</v>
          </cell>
          <cell r="L1293">
            <v>1530</v>
          </cell>
          <cell r="M1293">
            <v>0</v>
          </cell>
        </row>
        <row r="1294">
          <cell r="A1294">
            <v>2899</v>
          </cell>
          <cell r="B1294" t="str">
            <v/>
          </cell>
          <cell r="C1294" t="str">
            <v>Asconi Sweet Flavored Strawberry Rose Wine</v>
          </cell>
          <cell r="D1294" t="str">
            <v/>
          </cell>
          <cell r="E1294" t="str">
            <v/>
          </cell>
          <cell r="F1294" t="str">
            <v>Pcs</v>
          </cell>
          <cell r="G1294">
            <v>0</v>
          </cell>
          <cell r="H1294" t="str">
            <v/>
          </cell>
          <cell r="I1294">
            <v>0</v>
          </cell>
          <cell r="J1294">
            <v>0</v>
          </cell>
          <cell r="K1294">
            <v>0</v>
          </cell>
          <cell r="L1294">
            <v>1530</v>
          </cell>
          <cell r="M1294">
            <v>0</v>
          </cell>
        </row>
        <row r="1295">
          <cell r="A1295">
            <v>125</v>
          </cell>
          <cell r="B1295" t="str">
            <v/>
          </cell>
          <cell r="C1295" t="str">
            <v>ASCONI WINERY CAB SAUV 700ML</v>
          </cell>
          <cell r="D1295" t="str">
            <v/>
          </cell>
          <cell r="E1295" t="str">
            <v/>
          </cell>
          <cell r="F1295" t="str">
            <v>Pcs</v>
          </cell>
          <cell r="G1295">
            <v>0</v>
          </cell>
          <cell r="H1295" t="str">
            <v/>
          </cell>
          <cell r="I1295">
            <v>0</v>
          </cell>
          <cell r="J1295">
            <v>0</v>
          </cell>
          <cell r="K1295">
            <v>0</v>
          </cell>
          <cell r="L1295">
            <v>1334</v>
          </cell>
          <cell r="M1295">
            <v>0</v>
          </cell>
        </row>
        <row r="1296">
          <cell r="A1296">
            <v>126</v>
          </cell>
          <cell r="B1296" t="str">
            <v/>
          </cell>
          <cell r="C1296" t="str">
            <v>ASCONI WINERY MERLOT 700ML</v>
          </cell>
          <cell r="D1296" t="str">
            <v/>
          </cell>
          <cell r="E1296" t="str">
            <v/>
          </cell>
          <cell r="F1296" t="str">
            <v>Pcs</v>
          </cell>
          <cell r="G1296">
            <v>0</v>
          </cell>
          <cell r="H1296" t="str">
            <v/>
          </cell>
          <cell r="I1296">
            <v>0</v>
          </cell>
          <cell r="J1296">
            <v>0</v>
          </cell>
          <cell r="K1296">
            <v>0</v>
          </cell>
          <cell r="L1296">
            <v>1334</v>
          </cell>
          <cell r="M1296">
            <v>0</v>
          </cell>
        </row>
        <row r="1297">
          <cell r="A1297">
            <v>127</v>
          </cell>
          <cell r="B1297" t="str">
            <v/>
          </cell>
          <cell r="C1297" t="str">
            <v>ASCONI WINERY MOSCAT 700ML</v>
          </cell>
          <cell r="D1297" t="str">
            <v/>
          </cell>
          <cell r="E1297" t="str">
            <v/>
          </cell>
          <cell r="F1297" t="str">
            <v>Pcs</v>
          </cell>
          <cell r="G1297">
            <v>0</v>
          </cell>
          <cell r="H1297" t="str">
            <v/>
          </cell>
          <cell r="I1297">
            <v>0</v>
          </cell>
          <cell r="J1297">
            <v>0</v>
          </cell>
          <cell r="K1297">
            <v>0</v>
          </cell>
          <cell r="L1297">
            <v>1334</v>
          </cell>
          <cell r="M1297">
            <v>0</v>
          </cell>
        </row>
        <row r="1298">
          <cell r="A1298">
            <v>2386</v>
          </cell>
          <cell r="B1298" t="str">
            <v/>
          </cell>
          <cell r="C1298" t="str">
            <v>AUSTRALIAN BUSH CHARDONNAY 3LTR</v>
          </cell>
          <cell r="D1298" t="str">
            <v/>
          </cell>
          <cell r="E1298" t="str">
            <v/>
          </cell>
          <cell r="F1298" t="str">
            <v>Pcs</v>
          </cell>
          <cell r="G1298">
            <v>8</v>
          </cell>
          <cell r="H1298" t="str">
            <v/>
          </cell>
          <cell r="I1298">
            <v>0</v>
          </cell>
          <cell r="J1298">
            <v>0</v>
          </cell>
          <cell r="K1298">
            <v>8</v>
          </cell>
          <cell r="L1298">
            <v>2300</v>
          </cell>
          <cell r="M1298">
            <v>18400</v>
          </cell>
        </row>
        <row r="1299">
          <cell r="A1299">
            <v>132</v>
          </cell>
          <cell r="B1299" t="str">
            <v/>
          </cell>
          <cell r="C1299" t="str">
            <v>AUSTRALIAN BUSH CHARDONNAY 750ML</v>
          </cell>
          <cell r="D1299" t="str">
            <v/>
          </cell>
          <cell r="E1299" t="str">
            <v/>
          </cell>
          <cell r="F1299" t="str">
            <v>Pcs</v>
          </cell>
          <cell r="G1299">
            <v>24</v>
          </cell>
          <cell r="H1299" t="str">
            <v/>
          </cell>
          <cell r="I1299">
            <v>0</v>
          </cell>
          <cell r="J1299">
            <v>0</v>
          </cell>
          <cell r="K1299">
            <v>24</v>
          </cell>
          <cell r="L1299">
            <v>920</v>
          </cell>
          <cell r="M1299">
            <v>22080</v>
          </cell>
        </row>
        <row r="1300">
          <cell r="A1300">
            <v>133</v>
          </cell>
          <cell r="B1300" t="str">
            <v/>
          </cell>
          <cell r="C1300" t="str">
            <v>AUSTRALIAN BUSH SHIRAZ 3LTR</v>
          </cell>
          <cell r="D1300" t="str">
            <v/>
          </cell>
          <cell r="E1300" t="str">
            <v/>
          </cell>
          <cell r="F1300" t="str">
            <v>Pcs</v>
          </cell>
          <cell r="G1300">
            <v>8</v>
          </cell>
          <cell r="H1300" t="str">
            <v/>
          </cell>
          <cell r="I1300">
            <v>0</v>
          </cell>
          <cell r="J1300">
            <v>0</v>
          </cell>
          <cell r="K1300">
            <v>8</v>
          </cell>
          <cell r="L1300">
            <v>1840</v>
          </cell>
          <cell r="M1300">
            <v>14720</v>
          </cell>
        </row>
        <row r="1301">
          <cell r="A1301">
            <v>134</v>
          </cell>
          <cell r="B1301" t="str">
            <v/>
          </cell>
          <cell r="C1301" t="str">
            <v>AUSTRALIAN BUSH SHIRAZ 750ML</v>
          </cell>
          <cell r="D1301" t="str">
            <v/>
          </cell>
          <cell r="E1301" t="str">
            <v/>
          </cell>
          <cell r="F1301" t="str">
            <v>Pcs</v>
          </cell>
          <cell r="G1301">
            <v>6</v>
          </cell>
          <cell r="H1301" t="str">
            <v/>
          </cell>
          <cell r="I1301">
            <v>0</v>
          </cell>
          <cell r="J1301">
            <v>0</v>
          </cell>
          <cell r="K1301">
            <v>6</v>
          </cell>
          <cell r="L1301">
            <v>920</v>
          </cell>
          <cell r="M1301">
            <v>5520</v>
          </cell>
        </row>
        <row r="1302">
          <cell r="A1302">
            <v>2467</v>
          </cell>
          <cell r="B1302" t="str">
            <v/>
          </cell>
          <cell r="C1302" t="str">
            <v>BACARDI LIMON 1 LITRE</v>
          </cell>
          <cell r="D1302" t="str">
            <v/>
          </cell>
          <cell r="E1302" t="str">
            <v/>
          </cell>
          <cell r="F1302" t="str">
            <v>Pcs</v>
          </cell>
          <cell r="G1302">
            <v>0</v>
          </cell>
          <cell r="H1302" t="str">
            <v/>
          </cell>
          <cell r="I1302">
            <v>0</v>
          </cell>
          <cell r="J1302">
            <v>0</v>
          </cell>
          <cell r="K1302">
            <v>0</v>
          </cell>
          <cell r="L1302">
            <v>1800</v>
          </cell>
          <cell r="M1302">
            <v>0</v>
          </cell>
        </row>
        <row r="1303">
          <cell r="A1303">
            <v>158</v>
          </cell>
          <cell r="B1303" t="str">
            <v/>
          </cell>
          <cell r="C1303" t="str">
            <v>BAIN'S WAY SWEET RED 750ML</v>
          </cell>
          <cell r="D1303" t="str">
            <v/>
          </cell>
          <cell r="E1303" t="str">
            <v/>
          </cell>
          <cell r="F1303" t="str">
            <v>Pcs</v>
          </cell>
          <cell r="G1303">
            <v>48</v>
          </cell>
          <cell r="H1303" t="str">
            <v/>
          </cell>
          <cell r="I1303">
            <v>0</v>
          </cell>
          <cell r="J1303">
            <v>0</v>
          </cell>
          <cell r="K1303">
            <v>48</v>
          </cell>
          <cell r="L1303">
            <v>2760</v>
          </cell>
          <cell r="M1303">
            <v>132480</v>
          </cell>
        </row>
        <row r="1304">
          <cell r="A1304">
            <v>176</v>
          </cell>
          <cell r="B1304" t="str">
            <v/>
          </cell>
          <cell r="C1304" t="str">
            <v>BAREFOOT CHARDONNAY 750ML</v>
          </cell>
          <cell r="D1304" t="str">
            <v/>
          </cell>
          <cell r="E1304" t="str">
            <v/>
          </cell>
          <cell r="F1304" t="str">
            <v>Pcs</v>
          </cell>
          <cell r="G1304">
            <v>9</v>
          </cell>
          <cell r="H1304" t="str">
            <v/>
          </cell>
          <cell r="I1304">
            <v>0</v>
          </cell>
          <cell r="J1304">
            <v>0</v>
          </cell>
          <cell r="K1304">
            <v>9</v>
          </cell>
          <cell r="L1304">
            <v>1104</v>
          </cell>
          <cell r="M1304">
            <v>9936</v>
          </cell>
        </row>
        <row r="1305">
          <cell r="A1305">
            <v>177</v>
          </cell>
          <cell r="B1305" t="str">
            <v/>
          </cell>
          <cell r="C1305" t="str">
            <v>BAREFOOT MERLOT 750ML</v>
          </cell>
          <cell r="D1305" t="str">
            <v/>
          </cell>
          <cell r="E1305" t="str">
            <v/>
          </cell>
          <cell r="F1305" t="str">
            <v>Pcs</v>
          </cell>
          <cell r="G1305">
            <v>0</v>
          </cell>
          <cell r="H1305" t="str">
            <v/>
          </cell>
          <cell r="I1305">
            <v>0</v>
          </cell>
          <cell r="J1305">
            <v>0</v>
          </cell>
          <cell r="K1305">
            <v>0</v>
          </cell>
          <cell r="L1305">
            <v>1104</v>
          </cell>
          <cell r="M1305">
            <v>0</v>
          </cell>
        </row>
        <row r="1306">
          <cell r="A1306">
            <v>178</v>
          </cell>
          <cell r="B1306" t="str">
            <v/>
          </cell>
          <cell r="C1306" t="str">
            <v>BARON D' ARIGNAC ASSORTED 5LTRS</v>
          </cell>
          <cell r="D1306" t="str">
            <v/>
          </cell>
          <cell r="E1306" t="str">
            <v/>
          </cell>
          <cell r="F1306" t="str">
            <v>Pcs</v>
          </cell>
          <cell r="G1306">
            <v>0</v>
          </cell>
          <cell r="H1306" t="str">
            <v/>
          </cell>
          <cell r="I1306">
            <v>0</v>
          </cell>
          <cell r="J1306">
            <v>0</v>
          </cell>
          <cell r="K1306">
            <v>0</v>
          </cell>
          <cell r="L1306">
            <v>2500</v>
          </cell>
          <cell r="M1306">
            <v>0</v>
          </cell>
        </row>
        <row r="1307">
          <cell r="A1307">
            <v>181</v>
          </cell>
          <cell r="B1307" t="str">
            <v/>
          </cell>
          <cell r="C1307" t="str">
            <v>BARON DE LESTAC BORDEAUX 750ML</v>
          </cell>
          <cell r="D1307" t="str">
            <v/>
          </cell>
          <cell r="E1307" t="str">
            <v/>
          </cell>
          <cell r="F1307" t="str">
            <v>Pcs</v>
          </cell>
          <cell r="G1307">
            <v>6</v>
          </cell>
          <cell r="H1307" t="str">
            <v/>
          </cell>
          <cell r="I1307">
            <v>0</v>
          </cell>
          <cell r="J1307">
            <v>0</v>
          </cell>
          <cell r="K1307">
            <v>6</v>
          </cell>
          <cell r="L1307">
            <v>1900</v>
          </cell>
          <cell r="M1307">
            <v>11400</v>
          </cell>
        </row>
        <row r="1308">
          <cell r="A1308">
            <v>2260</v>
          </cell>
          <cell r="B1308" t="str">
            <v/>
          </cell>
          <cell r="C1308" t="str">
            <v>BARON DE LIRONDEAU BLANC 750ML</v>
          </cell>
          <cell r="D1308" t="str">
            <v/>
          </cell>
          <cell r="E1308" t="str">
            <v/>
          </cell>
          <cell r="F1308" t="str">
            <v>Pcs</v>
          </cell>
          <cell r="G1308">
            <v>36</v>
          </cell>
          <cell r="H1308" t="str">
            <v/>
          </cell>
          <cell r="I1308">
            <v>0</v>
          </cell>
          <cell r="J1308">
            <v>0</v>
          </cell>
          <cell r="K1308">
            <v>36</v>
          </cell>
          <cell r="L1308">
            <v>2000</v>
          </cell>
          <cell r="M1308">
            <v>72000</v>
          </cell>
        </row>
        <row r="1309">
          <cell r="A1309">
            <v>2483</v>
          </cell>
          <cell r="B1309" t="str">
            <v/>
          </cell>
          <cell r="C1309" t="str">
            <v>BARON DE RUBI CAB SAV SWEET RED 750ML</v>
          </cell>
          <cell r="D1309" t="str">
            <v/>
          </cell>
          <cell r="E1309" t="str">
            <v/>
          </cell>
          <cell r="F1309" t="str">
            <v>Pcs</v>
          </cell>
          <cell r="G1309">
            <v>0</v>
          </cell>
          <cell r="H1309" t="str">
            <v/>
          </cell>
          <cell r="I1309">
            <v>0</v>
          </cell>
          <cell r="J1309">
            <v>0</v>
          </cell>
          <cell r="K1309">
            <v>0</v>
          </cell>
          <cell r="L1309">
            <v>773</v>
          </cell>
          <cell r="M1309">
            <v>0</v>
          </cell>
        </row>
        <row r="1310">
          <cell r="A1310">
            <v>2484</v>
          </cell>
          <cell r="B1310" t="str">
            <v/>
          </cell>
          <cell r="C1310" t="str">
            <v>BARON DE RUBI SPARKLING WHITE BRUT 750ML</v>
          </cell>
          <cell r="D1310" t="str">
            <v/>
          </cell>
          <cell r="E1310" t="str">
            <v/>
          </cell>
          <cell r="F1310" t="str">
            <v>Pcs</v>
          </cell>
          <cell r="G1310">
            <v>12</v>
          </cell>
          <cell r="H1310" t="str">
            <v/>
          </cell>
          <cell r="I1310">
            <v>0</v>
          </cell>
          <cell r="J1310">
            <v>0</v>
          </cell>
          <cell r="K1310">
            <v>12</v>
          </cell>
          <cell r="L1310">
            <v>902</v>
          </cell>
          <cell r="M1310">
            <v>10824</v>
          </cell>
        </row>
        <row r="1311">
          <cell r="A1311">
            <v>182</v>
          </cell>
          <cell r="B1311" t="str">
            <v/>
          </cell>
          <cell r="C1311" t="str">
            <v>BARON DE VALLS SPARKLING WHITE WINE 750ML</v>
          </cell>
          <cell r="D1311" t="str">
            <v/>
          </cell>
          <cell r="E1311" t="str">
            <v/>
          </cell>
          <cell r="F1311" t="str">
            <v>Pcs</v>
          </cell>
          <cell r="G1311">
            <v>0</v>
          </cell>
          <cell r="H1311" t="str">
            <v/>
          </cell>
          <cell r="I1311">
            <v>0</v>
          </cell>
          <cell r="J1311">
            <v>0</v>
          </cell>
          <cell r="K1311">
            <v>0</v>
          </cell>
          <cell r="L1311">
            <v>1104</v>
          </cell>
          <cell r="M1311">
            <v>0</v>
          </cell>
        </row>
        <row r="1312">
          <cell r="A1312">
            <v>195</v>
          </cell>
          <cell r="B1312" t="str">
            <v/>
          </cell>
          <cell r="C1312" t="str">
            <v>BELLINGHAM HOMESTEAD CHARDONNAY 750ML</v>
          </cell>
          <cell r="D1312" t="str">
            <v/>
          </cell>
          <cell r="E1312" t="str">
            <v/>
          </cell>
          <cell r="F1312" t="str">
            <v>Pcs</v>
          </cell>
          <cell r="G1312">
            <v>12</v>
          </cell>
          <cell r="H1312" t="str">
            <v/>
          </cell>
          <cell r="I1312">
            <v>0</v>
          </cell>
          <cell r="J1312">
            <v>0</v>
          </cell>
          <cell r="K1312">
            <v>12</v>
          </cell>
          <cell r="L1312">
            <v>1350</v>
          </cell>
          <cell r="M1312">
            <v>16200</v>
          </cell>
        </row>
        <row r="1313">
          <cell r="A1313">
            <v>2210</v>
          </cell>
          <cell r="B1313" t="str">
            <v/>
          </cell>
          <cell r="C1313" t="str">
            <v>BELLINGHAM HOMESTEAD GRAND CRU 750ML</v>
          </cell>
          <cell r="D1313" t="str">
            <v/>
          </cell>
          <cell r="E1313" t="str">
            <v/>
          </cell>
          <cell r="F1313" t="str">
            <v>Pcs</v>
          </cell>
          <cell r="G1313">
            <v>8</v>
          </cell>
          <cell r="H1313" t="str">
            <v/>
          </cell>
          <cell r="I1313">
            <v>0</v>
          </cell>
          <cell r="J1313">
            <v>0</v>
          </cell>
          <cell r="K1313">
            <v>8</v>
          </cell>
          <cell r="L1313">
            <v>1700</v>
          </cell>
          <cell r="M1313">
            <v>13600</v>
          </cell>
        </row>
        <row r="1314">
          <cell r="A1314">
            <v>196</v>
          </cell>
          <cell r="B1314" t="str">
            <v/>
          </cell>
          <cell r="C1314" t="str">
            <v>BELLINGHAM HOMESTEAD PINOTAGE 750ML</v>
          </cell>
          <cell r="D1314" t="str">
            <v/>
          </cell>
          <cell r="E1314" t="str">
            <v/>
          </cell>
          <cell r="F1314" t="str">
            <v>Pcs</v>
          </cell>
          <cell r="G1314">
            <v>6</v>
          </cell>
          <cell r="H1314" t="str">
            <v/>
          </cell>
          <cell r="I1314">
            <v>0</v>
          </cell>
          <cell r="J1314">
            <v>0</v>
          </cell>
          <cell r="K1314">
            <v>6</v>
          </cell>
          <cell r="L1314">
            <v>1550</v>
          </cell>
          <cell r="M1314">
            <v>9300</v>
          </cell>
        </row>
        <row r="1315">
          <cell r="A1315">
            <v>197</v>
          </cell>
          <cell r="B1315" t="str">
            <v/>
          </cell>
          <cell r="C1315" t="str">
            <v>BELLINGHAM HOMESTEAD SAUV BLANC 750ML</v>
          </cell>
          <cell r="D1315" t="str">
            <v/>
          </cell>
          <cell r="E1315" t="str">
            <v/>
          </cell>
          <cell r="F1315" t="str">
            <v>Pcs</v>
          </cell>
          <cell r="G1315">
            <v>36</v>
          </cell>
          <cell r="H1315" t="str">
            <v/>
          </cell>
          <cell r="I1315">
            <v>0</v>
          </cell>
          <cell r="J1315">
            <v>0</v>
          </cell>
          <cell r="K1315">
            <v>36</v>
          </cell>
          <cell r="L1315">
            <v>1335</v>
          </cell>
          <cell r="M1315">
            <v>48060</v>
          </cell>
        </row>
        <row r="1316">
          <cell r="A1316">
            <v>2486</v>
          </cell>
          <cell r="B1316" t="str">
            <v/>
          </cell>
          <cell r="C1316" t="str">
            <v>BELLINGHAM PREMIER GRANC CRU 750ML</v>
          </cell>
          <cell r="D1316" t="str">
            <v/>
          </cell>
          <cell r="E1316" t="str">
            <v/>
          </cell>
          <cell r="F1316" t="str">
            <v>Pcs</v>
          </cell>
          <cell r="G1316">
            <v>0</v>
          </cell>
          <cell r="H1316" t="str">
            <v/>
          </cell>
          <cell r="I1316">
            <v>0</v>
          </cell>
          <cell r="J1316">
            <v>0</v>
          </cell>
          <cell r="K1316">
            <v>0</v>
          </cell>
          <cell r="L1316">
            <v>1150</v>
          </cell>
          <cell r="M1316">
            <v>0</v>
          </cell>
        </row>
        <row r="1317">
          <cell r="A1317">
            <v>2262</v>
          </cell>
          <cell r="B1317" t="str">
            <v/>
          </cell>
          <cell r="C1317" t="str">
            <v>BENARD LANCLAS BRUT 750ML</v>
          </cell>
          <cell r="D1317" t="str">
            <v/>
          </cell>
          <cell r="E1317" t="str">
            <v/>
          </cell>
          <cell r="F1317" t="str">
            <v>Pcs</v>
          </cell>
          <cell r="G1317">
            <v>12</v>
          </cell>
          <cell r="H1317" t="str">
            <v/>
          </cell>
          <cell r="I1317">
            <v>0</v>
          </cell>
          <cell r="J1317">
            <v>0</v>
          </cell>
          <cell r="K1317">
            <v>12</v>
          </cell>
          <cell r="L1317">
            <v>900</v>
          </cell>
          <cell r="M1317">
            <v>10800</v>
          </cell>
        </row>
        <row r="1318">
          <cell r="A1318">
            <v>213</v>
          </cell>
          <cell r="B1318" t="str">
            <v/>
          </cell>
          <cell r="C1318" t="str">
            <v>BERKSHIRE 500ML</v>
          </cell>
          <cell r="D1318" t="str">
            <v/>
          </cell>
          <cell r="E1318" t="str">
            <v/>
          </cell>
          <cell r="F1318" t="str">
            <v>Pcs</v>
          </cell>
          <cell r="G1318">
            <v>0</v>
          </cell>
          <cell r="H1318" t="str">
            <v/>
          </cell>
          <cell r="I1318">
            <v>0</v>
          </cell>
          <cell r="J1318">
            <v>0</v>
          </cell>
          <cell r="K1318">
            <v>0</v>
          </cell>
          <cell r="L1318">
            <v>3680</v>
          </cell>
          <cell r="M1318">
            <v>0</v>
          </cell>
        </row>
        <row r="1319">
          <cell r="A1319">
            <v>2460</v>
          </cell>
          <cell r="B1319" t="str">
            <v/>
          </cell>
          <cell r="C1319" t="str">
            <v>B&amp;G AOP CHATEAUNEUF DU PAPE 750ML</v>
          </cell>
          <cell r="D1319" t="str">
            <v/>
          </cell>
          <cell r="E1319" t="str">
            <v/>
          </cell>
          <cell r="F1319" t="str">
            <v>Pcs</v>
          </cell>
          <cell r="G1319">
            <v>22</v>
          </cell>
          <cell r="H1319" t="str">
            <v/>
          </cell>
          <cell r="I1319">
            <v>0</v>
          </cell>
          <cell r="J1319">
            <v>0</v>
          </cell>
          <cell r="K1319">
            <v>22</v>
          </cell>
          <cell r="L1319">
            <v>2923</v>
          </cell>
          <cell r="M1319">
            <v>64306</v>
          </cell>
        </row>
        <row r="1320">
          <cell r="A1320">
            <v>2461</v>
          </cell>
          <cell r="B1320" t="str">
            <v/>
          </cell>
          <cell r="C1320" t="str">
            <v>B&amp;G BISTRO SAUVIGNON BLANC 750ML</v>
          </cell>
          <cell r="D1320" t="str">
            <v/>
          </cell>
          <cell r="E1320" t="str">
            <v/>
          </cell>
          <cell r="F1320" t="str">
            <v>Pcs</v>
          </cell>
          <cell r="G1320">
            <v>18</v>
          </cell>
          <cell r="H1320" t="str">
            <v/>
          </cell>
          <cell r="I1320">
            <v>0</v>
          </cell>
          <cell r="J1320">
            <v>0</v>
          </cell>
          <cell r="K1320">
            <v>18</v>
          </cell>
          <cell r="L1320">
            <v>1060</v>
          </cell>
          <cell r="M1320">
            <v>19080</v>
          </cell>
        </row>
        <row r="1321">
          <cell r="A1321">
            <v>2462</v>
          </cell>
          <cell r="B1321" t="str">
            <v/>
          </cell>
          <cell r="C1321" t="str">
            <v>B&amp;G BORDEAUX MEDOC 750ML</v>
          </cell>
          <cell r="D1321" t="str">
            <v/>
          </cell>
          <cell r="E1321" t="str">
            <v/>
          </cell>
          <cell r="F1321" t="str">
            <v>Pcs</v>
          </cell>
          <cell r="G1321">
            <v>36</v>
          </cell>
          <cell r="H1321" t="str">
            <v/>
          </cell>
          <cell r="I1321">
            <v>0</v>
          </cell>
          <cell r="J1321">
            <v>0</v>
          </cell>
          <cell r="K1321">
            <v>36</v>
          </cell>
          <cell r="L1321">
            <v>1430</v>
          </cell>
          <cell r="M1321">
            <v>51480</v>
          </cell>
        </row>
        <row r="1322">
          <cell r="A1322">
            <v>2463</v>
          </cell>
          <cell r="B1322" t="str">
            <v/>
          </cell>
          <cell r="C1322" t="str">
            <v>B&amp;G BORDEAUX ROUGE 750ML</v>
          </cell>
          <cell r="D1322" t="str">
            <v/>
          </cell>
          <cell r="E1322" t="str">
            <v/>
          </cell>
          <cell r="F1322" t="str">
            <v>Pcs</v>
          </cell>
          <cell r="G1322">
            <v>36</v>
          </cell>
          <cell r="H1322" t="str">
            <v/>
          </cell>
          <cell r="I1322">
            <v>0</v>
          </cell>
          <cell r="J1322">
            <v>0</v>
          </cell>
          <cell r="K1322">
            <v>36</v>
          </cell>
          <cell r="L1322">
            <v>1300</v>
          </cell>
          <cell r="M1322">
            <v>46800</v>
          </cell>
        </row>
        <row r="1323">
          <cell r="A1323">
            <v>2464</v>
          </cell>
          <cell r="B1323" t="str">
            <v/>
          </cell>
          <cell r="C1323" t="str">
            <v>B&amp;G CAB SAV IGP PAYS DOC 750ML</v>
          </cell>
          <cell r="D1323" t="str">
            <v/>
          </cell>
          <cell r="E1323" t="str">
            <v/>
          </cell>
          <cell r="F1323" t="str">
            <v>Pcs</v>
          </cell>
          <cell r="G1323">
            <v>24</v>
          </cell>
          <cell r="H1323" t="str">
            <v/>
          </cell>
          <cell r="I1323">
            <v>0</v>
          </cell>
          <cell r="J1323">
            <v>0</v>
          </cell>
          <cell r="K1323">
            <v>24</v>
          </cell>
          <cell r="L1323">
            <v>970</v>
          </cell>
          <cell r="M1323">
            <v>23280</v>
          </cell>
        </row>
        <row r="1324">
          <cell r="A1324">
            <v>2465</v>
          </cell>
          <cell r="B1324" t="str">
            <v/>
          </cell>
          <cell r="C1324" t="str">
            <v>B&amp;G MALBEC IGP PAYS DOC 750ML</v>
          </cell>
          <cell r="D1324" t="str">
            <v/>
          </cell>
          <cell r="E1324" t="str">
            <v/>
          </cell>
          <cell r="F1324" t="str">
            <v>Pcs</v>
          </cell>
          <cell r="G1324">
            <v>0</v>
          </cell>
          <cell r="H1324" t="str">
            <v/>
          </cell>
          <cell r="I1324">
            <v>0</v>
          </cell>
          <cell r="J1324">
            <v>0</v>
          </cell>
          <cell r="K1324">
            <v>0</v>
          </cell>
          <cell r="L1324">
            <v>1010</v>
          </cell>
          <cell r="M1324">
            <v>0</v>
          </cell>
        </row>
        <row r="1325">
          <cell r="A1325">
            <v>2466</v>
          </cell>
          <cell r="B1325" t="str">
            <v/>
          </cell>
          <cell r="C1325" t="str">
            <v>B&amp;G MERLOT IGP PAYS DOC 750ML</v>
          </cell>
          <cell r="D1325" t="str">
            <v/>
          </cell>
          <cell r="E1325" t="str">
            <v/>
          </cell>
          <cell r="F1325" t="str">
            <v>Pcs</v>
          </cell>
          <cell r="G1325">
            <v>6</v>
          </cell>
          <cell r="H1325" t="str">
            <v/>
          </cell>
          <cell r="I1325">
            <v>0</v>
          </cell>
          <cell r="J1325">
            <v>0</v>
          </cell>
          <cell r="K1325">
            <v>6</v>
          </cell>
          <cell r="L1325">
            <v>1030</v>
          </cell>
          <cell r="M1325">
            <v>6180</v>
          </cell>
        </row>
        <row r="1326">
          <cell r="A1326">
            <v>2263</v>
          </cell>
          <cell r="B1326" t="str">
            <v/>
          </cell>
          <cell r="C1326" t="str">
            <v>BIG OAK RED 1LTR</v>
          </cell>
          <cell r="D1326" t="str">
            <v/>
          </cell>
          <cell r="E1326" t="str">
            <v/>
          </cell>
          <cell r="F1326" t="str">
            <v>Pcs</v>
          </cell>
          <cell r="G1326">
            <v>0</v>
          </cell>
          <cell r="H1326" t="str">
            <v/>
          </cell>
          <cell r="I1326">
            <v>0</v>
          </cell>
          <cell r="J1326">
            <v>0</v>
          </cell>
          <cell r="K1326">
            <v>0</v>
          </cell>
          <cell r="L1326">
            <v>1400</v>
          </cell>
          <cell r="M1326">
            <v>0</v>
          </cell>
        </row>
        <row r="1327">
          <cell r="A1327">
            <v>225</v>
          </cell>
          <cell r="B1327" t="str">
            <v/>
          </cell>
          <cell r="C1327" t="str">
            <v>BIG OAK  RED 750ML</v>
          </cell>
          <cell r="D1327" t="str">
            <v/>
          </cell>
          <cell r="E1327" t="str">
            <v/>
          </cell>
          <cell r="F1327" t="str">
            <v>Pcs</v>
          </cell>
          <cell r="G1327">
            <v>0</v>
          </cell>
          <cell r="H1327" t="str">
            <v/>
          </cell>
          <cell r="I1327">
            <v>0</v>
          </cell>
          <cell r="J1327">
            <v>0</v>
          </cell>
          <cell r="K1327">
            <v>0</v>
          </cell>
          <cell r="L1327">
            <v>1500</v>
          </cell>
          <cell r="M1327">
            <v>0</v>
          </cell>
        </row>
        <row r="1328">
          <cell r="A1328">
            <v>226</v>
          </cell>
          <cell r="B1328" t="str">
            <v/>
          </cell>
          <cell r="C1328" t="str">
            <v>BIRDS N BEES SWEET RED 750ML</v>
          </cell>
          <cell r="D1328" t="str">
            <v/>
          </cell>
          <cell r="E1328" t="str">
            <v/>
          </cell>
          <cell r="F1328" t="str">
            <v>Pcs</v>
          </cell>
          <cell r="G1328">
            <v>0</v>
          </cell>
          <cell r="H1328" t="str">
            <v/>
          </cell>
          <cell r="I1328">
            <v>0</v>
          </cell>
          <cell r="J1328">
            <v>0</v>
          </cell>
          <cell r="K1328">
            <v>0</v>
          </cell>
          <cell r="L1328">
            <v>1084</v>
          </cell>
          <cell r="M1328">
            <v>0</v>
          </cell>
        </row>
        <row r="1329">
          <cell r="A1329">
            <v>227</v>
          </cell>
          <cell r="B1329" t="str">
            <v/>
          </cell>
          <cell r="C1329" t="str">
            <v>BIRDS N BEES SWEET WHITE 750ML</v>
          </cell>
          <cell r="D1329" t="str">
            <v/>
          </cell>
          <cell r="E1329" t="str">
            <v/>
          </cell>
          <cell r="F1329" t="str">
            <v>Pcs</v>
          </cell>
          <cell r="G1329">
            <v>0</v>
          </cell>
          <cell r="H1329" t="str">
            <v/>
          </cell>
          <cell r="I1329">
            <v>0</v>
          </cell>
          <cell r="J1329">
            <v>0</v>
          </cell>
          <cell r="K1329">
            <v>0</v>
          </cell>
          <cell r="L1329">
            <v>1084</v>
          </cell>
          <cell r="M1329">
            <v>0</v>
          </cell>
        </row>
        <row r="1330">
          <cell r="A1330">
            <v>228</v>
          </cell>
          <cell r="B1330" t="str">
            <v/>
          </cell>
          <cell r="C1330" t="str">
            <v> BITOLA RED 750ML</v>
          </cell>
          <cell r="D1330" t="str">
            <v/>
          </cell>
          <cell r="E1330" t="str">
            <v/>
          </cell>
          <cell r="F1330" t="str">
            <v>Pcs</v>
          </cell>
          <cell r="G1330">
            <v>0</v>
          </cell>
          <cell r="H1330" t="str">
            <v/>
          </cell>
          <cell r="I1330">
            <v>0</v>
          </cell>
          <cell r="J1330">
            <v>0</v>
          </cell>
          <cell r="K1330">
            <v>0</v>
          </cell>
          <cell r="L1330">
            <v>782</v>
          </cell>
          <cell r="M1330">
            <v>0</v>
          </cell>
        </row>
        <row r="1331">
          <cell r="A1331">
            <v>233</v>
          </cell>
          <cell r="B1331" t="str">
            <v/>
          </cell>
          <cell r="C1331" t="str">
            <v>BLACK BIRD SWEET RED 750ML</v>
          </cell>
          <cell r="D1331" t="str">
            <v/>
          </cell>
          <cell r="E1331" t="str">
            <v/>
          </cell>
          <cell r="F1331" t="str">
            <v>Pcs</v>
          </cell>
          <cell r="G1331">
            <v>234</v>
          </cell>
          <cell r="H1331" t="str">
            <v/>
          </cell>
          <cell r="I1331">
            <v>0</v>
          </cell>
          <cell r="J1331">
            <v>30</v>
          </cell>
          <cell r="K1331">
            <v>204</v>
          </cell>
          <cell r="L1331">
            <v>849</v>
          </cell>
          <cell r="M1331">
            <v>173196</v>
          </cell>
        </row>
        <row r="1332">
          <cell r="A1332">
            <v>234</v>
          </cell>
          <cell r="B1332" t="str">
            <v/>
          </cell>
          <cell r="C1332" t="str">
            <v>BLACK BIRD SWEET ROSE 750ML</v>
          </cell>
          <cell r="D1332" t="str">
            <v/>
          </cell>
          <cell r="E1332" t="str">
            <v/>
          </cell>
          <cell r="F1332" t="str">
            <v>Pcs</v>
          </cell>
          <cell r="G1332">
            <v>86</v>
          </cell>
          <cell r="H1332" t="str">
            <v/>
          </cell>
          <cell r="I1332">
            <v>0</v>
          </cell>
          <cell r="J1332">
            <v>6</v>
          </cell>
          <cell r="K1332">
            <v>80</v>
          </cell>
          <cell r="L1332">
            <v>828</v>
          </cell>
          <cell r="M1332">
            <v>66240</v>
          </cell>
        </row>
        <row r="1333">
          <cell r="A1333">
            <v>235</v>
          </cell>
          <cell r="B1333" t="str">
            <v/>
          </cell>
          <cell r="C1333" t="str">
            <v>BLACK BIRD SWEET WHITE 750ML</v>
          </cell>
          <cell r="D1333" t="str">
            <v/>
          </cell>
          <cell r="E1333" t="str">
            <v/>
          </cell>
          <cell r="F1333" t="str">
            <v>Pcs</v>
          </cell>
          <cell r="G1333">
            <v>156</v>
          </cell>
          <cell r="H1333" t="str">
            <v/>
          </cell>
          <cell r="I1333">
            <v>0</v>
          </cell>
          <cell r="J1333">
            <v>42</v>
          </cell>
          <cell r="K1333">
            <v>114</v>
          </cell>
          <cell r="L1333">
            <v>828</v>
          </cell>
          <cell r="M1333">
            <v>94392</v>
          </cell>
        </row>
        <row r="1334">
          <cell r="A1334">
            <v>2264</v>
          </cell>
          <cell r="B1334" t="str">
            <v/>
          </cell>
          <cell r="C1334" t="str">
            <v>BLACK STALLION 750ML</v>
          </cell>
          <cell r="D1334" t="str">
            <v/>
          </cell>
          <cell r="E1334" t="str">
            <v/>
          </cell>
          <cell r="F1334" t="str">
            <v>Pcs</v>
          </cell>
          <cell r="G1334">
            <v>1</v>
          </cell>
          <cell r="H1334" t="str">
            <v/>
          </cell>
          <cell r="I1334">
            <v>0</v>
          </cell>
          <cell r="J1334">
            <v>0</v>
          </cell>
          <cell r="K1334">
            <v>1</v>
          </cell>
          <cell r="L1334">
            <v>600</v>
          </cell>
          <cell r="M1334">
            <v>600</v>
          </cell>
        </row>
        <row r="1335">
          <cell r="A1335">
            <v>254</v>
          </cell>
          <cell r="B1335" t="str">
            <v/>
          </cell>
          <cell r="C1335" t="str">
            <v>BOLAND CELLAR CAB SAUV 750ML</v>
          </cell>
          <cell r="D1335" t="str">
            <v/>
          </cell>
          <cell r="E1335" t="str">
            <v/>
          </cell>
          <cell r="F1335" t="str">
            <v>Pcs</v>
          </cell>
          <cell r="G1335">
            <v>0</v>
          </cell>
          <cell r="H1335" t="str">
            <v/>
          </cell>
          <cell r="I1335">
            <v>1</v>
          </cell>
          <cell r="J1335">
            <v>0</v>
          </cell>
          <cell r="K1335">
            <v>1</v>
          </cell>
          <cell r="L1335">
            <v>1461</v>
          </cell>
          <cell r="M1335">
            <v>1461</v>
          </cell>
        </row>
        <row r="1336">
          <cell r="A1336">
            <v>255</v>
          </cell>
          <cell r="B1336" t="str">
            <v/>
          </cell>
          <cell r="C1336" t="str">
            <v>BOLAND CELLAR CAB SHIRAZ 750ML</v>
          </cell>
          <cell r="D1336" t="str">
            <v/>
          </cell>
          <cell r="E1336" t="str">
            <v/>
          </cell>
          <cell r="F1336" t="str">
            <v>Pcs</v>
          </cell>
          <cell r="G1336">
            <v>18</v>
          </cell>
          <cell r="H1336" t="str">
            <v/>
          </cell>
          <cell r="I1336">
            <v>0</v>
          </cell>
          <cell r="J1336">
            <v>0</v>
          </cell>
          <cell r="K1336">
            <v>18</v>
          </cell>
          <cell r="L1336">
            <v>1172</v>
          </cell>
          <cell r="M1336">
            <v>21096</v>
          </cell>
        </row>
        <row r="1337">
          <cell r="A1337">
            <v>2212</v>
          </cell>
          <cell r="B1337" t="str">
            <v/>
          </cell>
          <cell r="C1337" t="str">
            <v>BON VOYAGE 750ML</v>
          </cell>
          <cell r="D1337" t="str">
            <v/>
          </cell>
          <cell r="E1337" t="str">
            <v/>
          </cell>
          <cell r="F1337" t="str">
            <v>Pcs</v>
          </cell>
          <cell r="G1337">
            <v>1</v>
          </cell>
          <cell r="H1337" t="str">
            <v/>
          </cell>
          <cell r="I1337">
            <v>0</v>
          </cell>
          <cell r="J1337">
            <v>0</v>
          </cell>
          <cell r="K1337">
            <v>1</v>
          </cell>
          <cell r="L1337">
            <v>950</v>
          </cell>
          <cell r="M1337">
            <v>950</v>
          </cell>
        </row>
        <row r="1338">
          <cell r="A1338">
            <v>2346</v>
          </cell>
          <cell r="B1338" t="str">
            <v/>
          </cell>
          <cell r="C1338" t="str">
            <v>BOTTEGA GOLD 750ML</v>
          </cell>
          <cell r="D1338" t="str">
            <v/>
          </cell>
          <cell r="E1338" t="str">
            <v/>
          </cell>
          <cell r="F1338" t="str">
            <v>Pcs</v>
          </cell>
          <cell r="G1338">
            <v>0</v>
          </cell>
          <cell r="H1338" t="str">
            <v/>
          </cell>
          <cell r="I1338">
            <v>0</v>
          </cell>
          <cell r="J1338">
            <v>0</v>
          </cell>
          <cell r="K1338">
            <v>0</v>
          </cell>
          <cell r="L1338">
            <v>4720</v>
          </cell>
          <cell r="M1338">
            <v>0</v>
          </cell>
        </row>
        <row r="1339">
          <cell r="A1339">
            <v>271</v>
          </cell>
          <cell r="B1339" t="str">
            <v/>
          </cell>
          <cell r="C1339" t="str">
            <v>BOTTEGA ROSSO 2016 750ml</v>
          </cell>
          <cell r="D1339" t="str">
            <v/>
          </cell>
          <cell r="E1339" t="str">
            <v/>
          </cell>
          <cell r="F1339" t="str">
            <v>Pcs</v>
          </cell>
          <cell r="G1339">
            <v>0</v>
          </cell>
          <cell r="H1339" t="str">
            <v/>
          </cell>
          <cell r="I1339">
            <v>0</v>
          </cell>
          <cell r="J1339">
            <v>0</v>
          </cell>
          <cell r="K1339">
            <v>0</v>
          </cell>
          <cell r="L1339">
            <v>2760</v>
          </cell>
          <cell r="M1339">
            <v>0</v>
          </cell>
        </row>
        <row r="1340">
          <cell r="A1340">
            <v>2595</v>
          </cell>
          <cell r="B1340" t="str">
            <v/>
          </cell>
          <cell r="C1340" t="str">
            <v>BOTTEGA VERMOUTH 750ML</v>
          </cell>
          <cell r="D1340" t="str">
            <v/>
          </cell>
          <cell r="E1340" t="str">
            <v/>
          </cell>
          <cell r="F1340" t="str">
            <v>Pcs</v>
          </cell>
          <cell r="G1340">
            <v>0</v>
          </cell>
          <cell r="H1340" t="str">
            <v/>
          </cell>
          <cell r="I1340">
            <v>0</v>
          </cell>
          <cell r="J1340">
            <v>0</v>
          </cell>
          <cell r="K1340">
            <v>0</v>
          </cell>
          <cell r="L1340">
            <v>1500</v>
          </cell>
          <cell r="M1340">
            <v>0</v>
          </cell>
        </row>
        <row r="1341">
          <cell r="A1341">
            <v>2345</v>
          </cell>
          <cell r="B1341" t="str">
            <v/>
          </cell>
          <cell r="C1341" t="str">
            <v>BOTTEGA WHITE GOLD 750ML</v>
          </cell>
          <cell r="D1341" t="str">
            <v/>
          </cell>
          <cell r="E1341" t="str">
            <v/>
          </cell>
          <cell r="F1341" t="str">
            <v>Pcs</v>
          </cell>
          <cell r="G1341">
            <v>0</v>
          </cell>
          <cell r="H1341" t="str">
            <v/>
          </cell>
          <cell r="I1341">
            <v>0</v>
          </cell>
          <cell r="J1341">
            <v>0</v>
          </cell>
          <cell r="K1341">
            <v>0</v>
          </cell>
          <cell r="L1341">
            <v>4720</v>
          </cell>
          <cell r="M1341">
            <v>0</v>
          </cell>
        </row>
        <row r="1342">
          <cell r="A1342">
            <v>277</v>
          </cell>
          <cell r="B1342" t="str">
            <v/>
          </cell>
          <cell r="C1342" t="str">
            <v>BRAZOS MALBEC 750ML</v>
          </cell>
          <cell r="D1342" t="str">
            <v/>
          </cell>
          <cell r="E1342" t="str">
            <v/>
          </cell>
          <cell r="F1342" t="str">
            <v>Pcs</v>
          </cell>
          <cell r="G1342">
            <v>12</v>
          </cell>
          <cell r="H1342" t="str">
            <v/>
          </cell>
          <cell r="I1342">
            <v>0</v>
          </cell>
          <cell r="J1342">
            <v>0</v>
          </cell>
          <cell r="K1342">
            <v>12</v>
          </cell>
          <cell r="L1342">
            <v>1380</v>
          </cell>
          <cell r="M1342">
            <v>16560</v>
          </cell>
        </row>
        <row r="1343">
          <cell r="A1343">
            <v>286</v>
          </cell>
          <cell r="B1343" t="str">
            <v/>
          </cell>
          <cell r="C1343" t="str">
            <v>BRUCE JACK 750ML</v>
          </cell>
          <cell r="D1343" t="str">
            <v/>
          </cell>
          <cell r="E1343" t="str">
            <v/>
          </cell>
          <cell r="F1343" t="str">
            <v>Pcs</v>
          </cell>
          <cell r="G1343">
            <v>0</v>
          </cell>
          <cell r="H1343" t="str">
            <v/>
          </cell>
          <cell r="I1343">
            <v>0</v>
          </cell>
          <cell r="J1343">
            <v>0</v>
          </cell>
          <cell r="K1343">
            <v>0</v>
          </cell>
          <cell r="L1343">
            <v>1380</v>
          </cell>
          <cell r="M1343">
            <v>0</v>
          </cell>
        </row>
        <row r="1344">
          <cell r="A1344">
            <v>287</v>
          </cell>
          <cell r="B1344" t="str">
            <v/>
          </cell>
          <cell r="C1344" t="str">
            <v>BRUCE JACK CABERNET SAUV 2020 750ML</v>
          </cell>
          <cell r="D1344" t="str">
            <v/>
          </cell>
          <cell r="E1344" t="str">
            <v/>
          </cell>
          <cell r="F1344" t="str">
            <v>Pcs</v>
          </cell>
          <cell r="G1344">
            <v>54</v>
          </cell>
          <cell r="H1344" t="str">
            <v/>
          </cell>
          <cell r="I1344">
            <v>0</v>
          </cell>
          <cell r="J1344">
            <v>0</v>
          </cell>
          <cell r="K1344">
            <v>54</v>
          </cell>
          <cell r="L1344">
            <v>1380</v>
          </cell>
          <cell r="M1344">
            <v>74520</v>
          </cell>
        </row>
        <row r="1345">
          <cell r="A1345">
            <v>288</v>
          </cell>
          <cell r="B1345" t="str">
            <v/>
          </cell>
          <cell r="C1345" t="str">
            <v>BRUCE JACK CHARDONNAY 2020 750ML</v>
          </cell>
          <cell r="D1345" t="str">
            <v/>
          </cell>
          <cell r="E1345" t="str">
            <v/>
          </cell>
          <cell r="F1345" t="str">
            <v>Pcs</v>
          </cell>
          <cell r="G1345">
            <v>0</v>
          </cell>
          <cell r="H1345" t="str">
            <v/>
          </cell>
          <cell r="I1345">
            <v>0</v>
          </cell>
          <cell r="J1345">
            <v>0</v>
          </cell>
          <cell r="K1345">
            <v>0</v>
          </cell>
          <cell r="L1345">
            <v>1380</v>
          </cell>
          <cell r="M1345">
            <v>0</v>
          </cell>
        </row>
        <row r="1346">
          <cell r="A1346">
            <v>289</v>
          </cell>
          <cell r="B1346" t="str">
            <v/>
          </cell>
          <cell r="C1346" t="str">
            <v>BRUCE JACK CHENIN BLANC 750ML</v>
          </cell>
          <cell r="D1346" t="str">
            <v/>
          </cell>
          <cell r="E1346" t="str">
            <v/>
          </cell>
          <cell r="F1346" t="str">
            <v>Pcs</v>
          </cell>
          <cell r="G1346">
            <v>18</v>
          </cell>
          <cell r="H1346" t="str">
            <v/>
          </cell>
          <cell r="I1346">
            <v>0</v>
          </cell>
          <cell r="J1346">
            <v>0</v>
          </cell>
          <cell r="K1346">
            <v>18</v>
          </cell>
          <cell r="L1346">
            <v>1380</v>
          </cell>
          <cell r="M1346">
            <v>24840</v>
          </cell>
        </row>
        <row r="1347">
          <cell r="A1347">
            <v>290</v>
          </cell>
          <cell r="B1347" t="str">
            <v/>
          </cell>
          <cell r="C1347" t="str">
            <v>BRUCE JACK MERLOT 750ML</v>
          </cell>
          <cell r="D1347" t="str">
            <v/>
          </cell>
          <cell r="E1347" t="str">
            <v/>
          </cell>
          <cell r="F1347" t="str">
            <v>Pcs</v>
          </cell>
          <cell r="G1347">
            <v>24</v>
          </cell>
          <cell r="H1347" t="str">
            <v/>
          </cell>
          <cell r="I1347">
            <v>0</v>
          </cell>
          <cell r="J1347">
            <v>0</v>
          </cell>
          <cell r="K1347">
            <v>24</v>
          </cell>
          <cell r="L1347">
            <v>1380</v>
          </cell>
          <cell r="M1347">
            <v>33120</v>
          </cell>
        </row>
        <row r="1348">
          <cell r="A1348">
            <v>291</v>
          </cell>
          <cell r="B1348" t="str">
            <v/>
          </cell>
          <cell r="C1348" t="str">
            <v>BRUCE JACK PINOTAGE MALBEC 750ML</v>
          </cell>
          <cell r="D1348" t="str">
            <v/>
          </cell>
          <cell r="E1348" t="str">
            <v/>
          </cell>
          <cell r="F1348" t="str">
            <v>Pcs</v>
          </cell>
          <cell r="G1348">
            <v>37</v>
          </cell>
          <cell r="H1348" t="str">
            <v/>
          </cell>
          <cell r="I1348">
            <v>0</v>
          </cell>
          <cell r="J1348">
            <v>18</v>
          </cell>
          <cell r="K1348">
            <v>19</v>
          </cell>
          <cell r="L1348">
            <v>1380</v>
          </cell>
          <cell r="M1348">
            <v>26220</v>
          </cell>
        </row>
        <row r="1349">
          <cell r="A1349">
            <v>293</v>
          </cell>
          <cell r="B1349" t="str">
            <v/>
          </cell>
          <cell r="C1349" t="str">
            <v>BRUCE JACK RESERVE CHARDONNAY 750ML</v>
          </cell>
          <cell r="D1349" t="str">
            <v/>
          </cell>
          <cell r="E1349" t="str">
            <v/>
          </cell>
          <cell r="F1349" t="str">
            <v>Pcs</v>
          </cell>
          <cell r="G1349">
            <v>78</v>
          </cell>
          <cell r="H1349" t="str">
            <v/>
          </cell>
          <cell r="I1349">
            <v>0</v>
          </cell>
          <cell r="J1349">
            <v>0</v>
          </cell>
          <cell r="K1349">
            <v>78</v>
          </cell>
          <cell r="L1349">
            <v>1150</v>
          </cell>
          <cell r="M1349">
            <v>89700</v>
          </cell>
        </row>
        <row r="1350">
          <cell r="A1350">
            <v>295</v>
          </cell>
          <cell r="B1350" t="str">
            <v/>
          </cell>
          <cell r="C1350" t="str">
            <v>BRUCE JACK RESERVE PINOTAGE 750ML</v>
          </cell>
          <cell r="D1350" t="str">
            <v/>
          </cell>
          <cell r="E1350" t="str">
            <v/>
          </cell>
          <cell r="F1350" t="str">
            <v>Pcs</v>
          </cell>
          <cell r="G1350">
            <v>12</v>
          </cell>
          <cell r="H1350" t="str">
            <v/>
          </cell>
          <cell r="I1350">
            <v>0</v>
          </cell>
          <cell r="J1350">
            <v>0</v>
          </cell>
          <cell r="K1350">
            <v>12</v>
          </cell>
          <cell r="L1350">
            <v>1380</v>
          </cell>
          <cell r="M1350">
            <v>16560</v>
          </cell>
        </row>
        <row r="1351">
          <cell r="A1351">
            <v>296</v>
          </cell>
          <cell r="B1351" t="str">
            <v/>
          </cell>
          <cell r="C1351" t="str">
            <v>BRUCE JACK RESERVE SAUV BLANC 750ML</v>
          </cell>
          <cell r="D1351" t="str">
            <v/>
          </cell>
          <cell r="E1351" t="str">
            <v/>
          </cell>
          <cell r="F1351" t="str">
            <v>Pcs</v>
          </cell>
          <cell r="G1351">
            <v>6</v>
          </cell>
          <cell r="H1351" t="str">
            <v/>
          </cell>
          <cell r="I1351">
            <v>0</v>
          </cell>
          <cell r="J1351">
            <v>0</v>
          </cell>
          <cell r="K1351">
            <v>6</v>
          </cell>
          <cell r="L1351">
            <v>1380</v>
          </cell>
          <cell r="M1351">
            <v>8280</v>
          </cell>
        </row>
        <row r="1352">
          <cell r="A1352">
            <v>285</v>
          </cell>
          <cell r="B1352" t="str">
            <v/>
          </cell>
          <cell r="C1352" t="str">
            <v>BRUCE JACK  SAUV BLANC 2021 750ML</v>
          </cell>
          <cell r="D1352" t="str">
            <v/>
          </cell>
          <cell r="E1352" t="str">
            <v/>
          </cell>
          <cell r="F1352" t="str">
            <v>Pcs</v>
          </cell>
          <cell r="G1352">
            <v>0</v>
          </cell>
          <cell r="H1352" t="str">
            <v/>
          </cell>
          <cell r="I1352">
            <v>0</v>
          </cell>
          <cell r="J1352">
            <v>0</v>
          </cell>
          <cell r="K1352">
            <v>0</v>
          </cell>
          <cell r="L1352">
            <v>1380</v>
          </cell>
          <cell r="M1352">
            <v>0</v>
          </cell>
        </row>
        <row r="1353">
          <cell r="A1353">
            <v>297</v>
          </cell>
          <cell r="B1353" t="str">
            <v/>
          </cell>
          <cell r="C1353" t="str">
            <v>BRUCE JACK SAUV BLANC 750ML</v>
          </cell>
          <cell r="D1353" t="str">
            <v/>
          </cell>
          <cell r="E1353" t="str">
            <v/>
          </cell>
          <cell r="F1353" t="str">
            <v>Pcs</v>
          </cell>
          <cell r="G1353">
            <v>36</v>
          </cell>
          <cell r="H1353" t="str">
            <v/>
          </cell>
          <cell r="I1353">
            <v>0</v>
          </cell>
          <cell r="J1353">
            <v>0</v>
          </cell>
          <cell r="K1353">
            <v>36</v>
          </cell>
          <cell r="L1353">
            <v>1380</v>
          </cell>
          <cell r="M1353">
            <v>49680</v>
          </cell>
        </row>
        <row r="1354">
          <cell r="A1354">
            <v>2523</v>
          </cell>
          <cell r="B1354" t="str">
            <v/>
          </cell>
          <cell r="C1354" t="str">
            <v>BUSHMANSPAD SAUV BLANC 750ML</v>
          </cell>
          <cell r="D1354" t="str">
            <v/>
          </cell>
          <cell r="E1354" t="str">
            <v/>
          </cell>
          <cell r="F1354" t="str">
            <v>Pcs</v>
          </cell>
          <cell r="G1354">
            <v>0</v>
          </cell>
          <cell r="H1354" t="str">
            <v/>
          </cell>
          <cell r="I1354">
            <v>0</v>
          </cell>
          <cell r="J1354">
            <v>0</v>
          </cell>
          <cell r="K1354">
            <v>0</v>
          </cell>
          <cell r="L1354">
            <v>1900</v>
          </cell>
          <cell r="M1354">
            <v>0</v>
          </cell>
        </row>
        <row r="1355">
          <cell r="A1355">
            <v>326</v>
          </cell>
          <cell r="B1355" t="str">
            <v/>
          </cell>
          <cell r="C1355" t="str">
            <v>BUTTERFLY RIDGE CHARDONNAY 750ml</v>
          </cell>
          <cell r="D1355" t="str">
            <v/>
          </cell>
          <cell r="E1355" t="str">
            <v/>
          </cell>
          <cell r="F1355" t="str">
            <v>Pcs</v>
          </cell>
          <cell r="G1355">
            <v>0</v>
          </cell>
          <cell r="H1355" t="str">
            <v/>
          </cell>
          <cell r="I1355">
            <v>0</v>
          </cell>
          <cell r="J1355">
            <v>0</v>
          </cell>
          <cell r="K1355">
            <v>0</v>
          </cell>
          <cell r="L1355">
            <v>1150</v>
          </cell>
          <cell r="M1355">
            <v>0</v>
          </cell>
        </row>
        <row r="1356">
          <cell r="A1356">
            <v>330</v>
          </cell>
          <cell r="B1356" t="str">
            <v/>
          </cell>
          <cell r="C1356" t="str">
            <v>CALIFORNIA ROOTS ROSE 750ML</v>
          </cell>
          <cell r="D1356" t="str">
            <v/>
          </cell>
          <cell r="E1356" t="str">
            <v/>
          </cell>
          <cell r="F1356" t="str">
            <v>Pcs</v>
          </cell>
          <cell r="G1356">
            <v>5</v>
          </cell>
          <cell r="H1356" t="str">
            <v/>
          </cell>
          <cell r="I1356">
            <v>0</v>
          </cell>
          <cell r="J1356">
            <v>0</v>
          </cell>
          <cell r="K1356">
            <v>5</v>
          </cell>
          <cell r="L1356">
            <v>1196</v>
          </cell>
          <cell r="M1356">
            <v>5980</v>
          </cell>
        </row>
        <row r="1357">
          <cell r="A1357">
            <v>335</v>
          </cell>
          <cell r="B1357" t="str">
            <v/>
          </cell>
          <cell r="C1357" t="str">
            <v>CALVET BOURGOGNE CHARDONNAY 750ML</v>
          </cell>
          <cell r="D1357" t="str">
            <v/>
          </cell>
          <cell r="E1357" t="str">
            <v/>
          </cell>
          <cell r="F1357" t="str">
            <v>Pcs</v>
          </cell>
          <cell r="G1357">
            <v>0</v>
          </cell>
          <cell r="H1357" t="str">
            <v/>
          </cell>
          <cell r="I1357">
            <v>0</v>
          </cell>
          <cell r="J1357">
            <v>0</v>
          </cell>
          <cell r="K1357">
            <v>0</v>
          </cell>
          <cell r="L1357">
            <v>1242</v>
          </cell>
          <cell r="M1357">
            <v>0</v>
          </cell>
        </row>
        <row r="1358">
          <cell r="A1358">
            <v>2981</v>
          </cell>
          <cell r="B1358" t="str">
            <v/>
          </cell>
          <cell r="C1358" t="str">
            <v>CALVET CHARDONNAY WHITE 750ML</v>
          </cell>
          <cell r="D1358" t="str">
            <v/>
          </cell>
          <cell r="E1358" t="str">
            <v/>
          </cell>
          <cell r="F1358" t="str">
            <v>Pcs</v>
          </cell>
          <cell r="G1358">
            <v>18</v>
          </cell>
          <cell r="H1358" t="str">
            <v/>
          </cell>
          <cell r="I1358">
            <v>0</v>
          </cell>
          <cell r="J1358">
            <v>0</v>
          </cell>
          <cell r="K1358">
            <v>18</v>
          </cell>
          <cell r="L1358">
            <v>1250</v>
          </cell>
          <cell r="M1358">
            <v>22500</v>
          </cell>
        </row>
        <row r="1359">
          <cell r="A1359">
            <v>2982</v>
          </cell>
          <cell r="B1359" t="str">
            <v/>
          </cell>
          <cell r="C1359" t="str">
            <v>CALVET CINSUALT ROSE 750ML</v>
          </cell>
          <cell r="D1359" t="str">
            <v/>
          </cell>
          <cell r="E1359" t="str">
            <v/>
          </cell>
          <cell r="F1359" t="str">
            <v>Pcs</v>
          </cell>
          <cell r="G1359">
            <v>18</v>
          </cell>
          <cell r="H1359" t="str">
            <v/>
          </cell>
          <cell r="I1359">
            <v>0</v>
          </cell>
          <cell r="J1359">
            <v>0</v>
          </cell>
          <cell r="K1359">
            <v>18</v>
          </cell>
          <cell r="L1359">
            <v>1300</v>
          </cell>
          <cell r="M1359">
            <v>23400</v>
          </cell>
        </row>
        <row r="1360">
          <cell r="A1360">
            <v>344</v>
          </cell>
          <cell r="B1360" t="str">
            <v/>
          </cell>
          <cell r="C1360" t="str">
            <v>CALVET GRANDE RESERVE BORDEAUX 1.5LTR</v>
          </cell>
          <cell r="D1360" t="str">
            <v/>
          </cell>
          <cell r="E1360" t="str">
            <v/>
          </cell>
          <cell r="F1360" t="str">
            <v>Pcs</v>
          </cell>
          <cell r="G1360">
            <v>0</v>
          </cell>
          <cell r="H1360" t="str">
            <v/>
          </cell>
          <cell r="I1360">
            <v>0</v>
          </cell>
          <cell r="J1360">
            <v>0</v>
          </cell>
          <cell r="K1360">
            <v>0</v>
          </cell>
          <cell r="L1360">
            <v>2300</v>
          </cell>
          <cell r="M1360">
            <v>0</v>
          </cell>
        </row>
        <row r="1361">
          <cell r="A1361">
            <v>347</v>
          </cell>
          <cell r="B1361" t="str">
            <v/>
          </cell>
          <cell r="C1361" t="str">
            <v>CALVET RÉSERVE BORDEAUX SAUV BLANC 750ML</v>
          </cell>
          <cell r="D1361" t="str">
            <v/>
          </cell>
          <cell r="E1361" t="str">
            <v/>
          </cell>
          <cell r="F1361" t="str">
            <v>Pcs</v>
          </cell>
          <cell r="G1361">
            <v>0</v>
          </cell>
          <cell r="H1361" t="str">
            <v/>
          </cell>
          <cell r="I1361">
            <v>0</v>
          </cell>
          <cell r="J1361">
            <v>0</v>
          </cell>
          <cell r="K1361">
            <v>0</v>
          </cell>
          <cell r="L1361">
            <v>876.76</v>
          </cell>
          <cell r="M1361">
            <v>0</v>
          </cell>
        </row>
        <row r="1362">
          <cell r="A1362">
            <v>349</v>
          </cell>
          <cell r="B1362" t="str">
            <v/>
          </cell>
          <cell r="C1362" t="str">
            <v>CALVET SANCERRE BLANC 750ML</v>
          </cell>
          <cell r="D1362" t="str">
            <v/>
          </cell>
          <cell r="E1362" t="str">
            <v/>
          </cell>
          <cell r="F1362" t="str">
            <v>Pcs</v>
          </cell>
          <cell r="G1362">
            <v>0</v>
          </cell>
          <cell r="H1362" t="str">
            <v/>
          </cell>
          <cell r="I1362">
            <v>0</v>
          </cell>
          <cell r="J1362">
            <v>0</v>
          </cell>
          <cell r="K1362">
            <v>0</v>
          </cell>
          <cell r="L1362">
            <v>1472</v>
          </cell>
          <cell r="M1362">
            <v>0</v>
          </cell>
        </row>
        <row r="1363">
          <cell r="A1363">
            <v>351</v>
          </cell>
          <cell r="B1363" t="str">
            <v/>
          </cell>
          <cell r="C1363" t="str">
            <v>CALVET VARIETALS CHARDONNAY 750ML</v>
          </cell>
          <cell r="D1363" t="str">
            <v/>
          </cell>
          <cell r="E1363" t="str">
            <v/>
          </cell>
          <cell r="F1363" t="str">
            <v>Pcs</v>
          </cell>
          <cell r="G1363">
            <v>0</v>
          </cell>
          <cell r="H1363" t="str">
            <v/>
          </cell>
          <cell r="I1363">
            <v>0</v>
          </cell>
          <cell r="J1363">
            <v>0</v>
          </cell>
          <cell r="K1363">
            <v>0</v>
          </cell>
          <cell r="L1363">
            <v>1196</v>
          </cell>
          <cell r="M1363">
            <v>0</v>
          </cell>
        </row>
        <row r="1364">
          <cell r="A1364">
            <v>352</v>
          </cell>
          <cell r="B1364" t="str">
            <v/>
          </cell>
          <cell r="C1364" t="str">
            <v>CALVET VARIETALS MERLOT 750ML</v>
          </cell>
          <cell r="D1364" t="str">
            <v/>
          </cell>
          <cell r="E1364" t="str">
            <v/>
          </cell>
          <cell r="F1364" t="str">
            <v>Pcs</v>
          </cell>
          <cell r="G1364">
            <v>0</v>
          </cell>
          <cell r="H1364" t="str">
            <v/>
          </cell>
          <cell r="I1364">
            <v>0</v>
          </cell>
          <cell r="J1364">
            <v>0</v>
          </cell>
          <cell r="K1364">
            <v>0</v>
          </cell>
          <cell r="L1364">
            <v>1196</v>
          </cell>
          <cell r="M1364">
            <v>0</v>
          </cell>
        </row>
        <row r="1365">
          <cell r="A1365">
            <v>353</v>
          </cell>
          <cell r="B1365" t="str">
            <v/>
          </cell>
          <cell r="C1365" t="str">
            <v>CALVET VARIETALS SAUV BLANC 750ML</v>
          </cell>
          <cell r="D1365" t="str">
            <v/>
          </cell>
          <cell r="E1365" t="str">
            <v/>
          </cell>
          <cell r="F1365" t="str">
            <v>Pcs</v>
          </cell>
          <cell r="G1365">
            <v>0</v>
          </cell>
          <cell r="H1365" t="str">
            <v/>
          </cell>
          <cell r="I1365">
            <v>0</v>
          </cell>
          <cell r="J1365">
            <v>0</v>
          </cell>
          <cell r="K1365">
            <v>0</v>
          </cell>
          <cell r="L1365">
            <v>1196</v>
          </cell>
          <cell r="M1365">
            <v>0</v>
          </cell>
        </row>
        <row r="1366">
          <cell r="A1366">
            <v>354</v>
          </cell>
          <cell r="B1366" t="str">
            <v/>
          </cell>
          <cell r="C1366" t="str">
            <v>CALVET VARIETALS SYRAH 750ML</v>
          </cell>
          <cell r="D1366" t="str">
            <v/>
          </cell>
          <cell r="E1366" t="str">
            <v/>
          </cell>
          <cell r="F1366" t="str">
            <v>Pcs</v>
          </cell>
          <cell r="G1366">
            <v>0</v>
          </cell>
          <cell r="H1366" t="str">
            <v/>
          </cell>
          <cell r="I1366">
            <v>0</v>
          </cell>
          <cell r="J1366">
            <v>0</v>
          </cell>
          <cell r="K1366">
            <v>0</v>
          </cell>
          <cell r="L1366">
            <v>1196</v>
          </cell>
          <cell r="M1366">
            <v>0</v>
          </cell>
        </row>
        <row r="1367">
          <cell r="A1367">
            <v>2660</v>
          </cell>
          <cell r="B1367" t="str">
            <v/>
          </cell>
          <cell r="C1367" t="str">
            <v>CANDY FLOSS SWEET RED WINE 750ML</v>
          </cell>
          <cell r="D1367" t="str">
            <v/>
          </cell>
          <cell r="E1367" t="str">
            <v/>
          </cell>
          <cell r="F1367" t="str">
            <v>Pcs</v>
          </cell>
          <cell r="G1367">
            <v>36</v>
          </cell>
          <cell r="H1367" t="str">
            <v/>
          </cell>
          <cell r="I1367">
            <v>0</v>
          </cell>
          <cell r="J1367">
            <v>12</v>
          </cell>
          <cell r="K1367">
            <v>24</v>
          </cell>
          <cell r="L1367">
            <v>850</v>
          </cell>
          <cell r="M1367">
            <v>20400</v>
          </cell>
        </row>
        <row r="1368">
          <cell r="A1368">
            <v>2626</v>
          </cell>
          <cell r="B1368" t="str">
            <v/>
          </cell>
          <cell r="C1368" t="str">
            <v>CANDY FLOSS SWEET WHITE WINE 750ML</v>
          </cell>
          <cell r="D1368" t="str">
            <v/>
          </cell>
          <cell r="E1368" t="str">
            <v/>
          </cell>
          <cell r="F1368" t="str">
            <v>Pcs</v>
          </cell>
          <cell r="G1368">
            <v>108</v>
          </cell>
          <cell r="H1368" t="str">
            <v/>
          </cell>
          <cell r="I1368">
            <v>0</v>
          </cell>
          <cell r="J1368">
            <v>0</v>
          </cell>
          <cell r="K1368">
            <v>108</v>
          </cell>
          <cell r="L1368">
            <v>850</v>
          </cell>
          <cell r="M1368">
            <v>91800</v>
          </cell>
        </row>
        <row r="1369">
          <cell r="A1369">
            <v>2267</v>
          </cell>
          <cell r="B1369" t="str">
            <v/>
          </cell>
          <cell r="C1369" t="str">
            <v>CAPE AUCTION 750ML</v>
          </cell>
          <cell r="D1369" t="str">
            <v/>
          </cell>
          <cell r="E1369" t="str">
            <v/>
          </cell>
          <cell r="F1369" t="str">
            <v>Pcs</v>
          </cell>
          <cell r="G1369">
            <v>2</v>
          </cell>
          <cell r="H1369" t="str">
            <v/>
          </cell>
          <cell r="I1369">
            <v>0</v>
          </cell>
          <cell r="J1369">
            <v>0</v>
          </cell>
          <cell r="K1369">
            <v>2</v>
          </cell>
          <cell r="L1369">
            <v>700</v>
          </cell>
          <cell r="M1369">
            <v>1400</v>
          </cell>
        </row>
        <row r="1370">
          <cell r="A1370">
            <v>2292</v>
          </cell>
          <cell r="B1370" t="str">
            <v/>
          </cell>
          <cell r="C1370" t="str">
            <v>CAPE VELVET CREAM 750ML</v>
          </cell>
          <cell r="D1370" t="str">
            <v/>
          </cell>
          <cell r="E1370" t="str">
            <v/>
          </cell>
          <cell r="F1370" t="str">
            <v>Pcs</v>
          </cell>
          <cell r="G1370">
            <v>0</v>
          </cell>
          <cell r="H1370" t="str">
            <v/>
          </cell>
          <cell r="I1370">
            <v>0</v>
          </cell>
          <cell r="J1370">
            <v>0</v>
          </cell>
          <cell r="K1370">
            <v>0</v>
          </cell>
          <cell r="L1370">
            <v>750</v>
          </cell>
          <cell r="M1370">
            <v>0</v>
          </cell>
        </row>
        <row r="1371">
          <cell r="A1371">
            <v>369</v>
          </cell>
          <cell r="B1371" t="str">
            <v/>
          </cell>
          <cell r="C1371" t="str">
            <v>CAPRICE NATURAL SWEET RED 1LTR</v>
          </cell>
          <cell r="D1371" t="str">
            <v/>
          </cell>
          <cell r="E1371" t="str">
            <v/>
          </cell>
          <cell r="F1371" t="str">
            <v>Pcs</v>
          </cell>
          <cell r="G1371">
            <v>0</v>
          </cell>
          <cell r="H1371" t="str">
            <v/>
          </cell>
          <cell r="I1371">
            <v>252</v>
          </cell>
          <cell r="J1371">
            <v>180</v>
          </cell>
          <cell r="K1371">
            <v>72</v>
          </cell>
          <cell r="L1371">
            <v>868.99</v>
          </cell>
          <cell r="M1371">
            <v>62567.28</v>
          </cell>
        </row>
        <row r="1372">
          <cell r="A1372">
            <v>370</v>
          </cell>
          <cell r="B1372" t="str">
            <v/>
          </cell>
          <cell r="C1372" t="str">
            <v>CAPRICE NATURAL SWT WHITE 1LTR</v>
          </cell>
          <cell r="D1372" t="str">
            <v/>
          </cell>
          <cell r="E1372" t="str">
            <v/>
          </cell>
          <cell r="F1372" t="str">
            <v>Pcs</v>
          </cell>
          <cell r="G1372">
            <v>0</v>
          </cell>
          <cell r="H1372" t="str">
            <v/>
          </cell>
          <cell r="I1372">
            <v>360</v>
          </cell>
          <cell r="J1372">
            <v>168</v>
          </cell>
          <cell r="K1372">
            <v>192</v>
          </cell>
          <cell r="L1372">
            <v>868.99</v>
          </cell>
          <cell r="M1372">
            <v>166846.08</v>
          </cell>
        </row>
        <row r="1373">
          <cell r="A1373">
            <v>371</v>
          </cell>
          <cell r="B1373" t="str">
            <v/>
          </cell>
          <cell r="C1373" t="str">
            <v>CAPRICE RED DRY TETRA 1LTR</v>
          </cell>
          <cell r="D1373" t="str">
            <v/>
          </cell>
          <cell r="E1373" t="str">
            <v/>
          </cell>
          <cell r="F1373" t="str">
            <v>Pcs</v>
          </cell>
          <cell r="G1373">
            <v>96</v>
          </cell>
          <cell r="H1373" t="str">
            <v/>
          </cell>
          <cell r="I1373">
            <v>0</v>
          </cell>
          <cell r="J1373">
            <v>26</v>
          </cell>
          <cell r="K1373">
            <v>70</v>
          </cell>
          <cell r="L1373">
            <v>868.99</v>
          </cell>
          <cell r="M1373">
            <v>60829.3</v>
          </cell>
        </row>
        <row r="1374">
          <cell r="A1374">
            <v>372</v>
          </cell>
          <cell r="B1374" t="str">
            <v/>
          </cell>
          <cell r="C1374" t="str">
            <v>CAPRICE WHITE DRY TETRA 1LTR</v>
          </cell>
          <cell r="D1374" t="str">
            <v/>
          </cell>
          <cell r="E1374" t="str">
            <v/>
          </cell>
          <cell r="F1374" t="str">
            <v>Pcs</v>
          </cell>
          <cell r="G1374">
            <v>84</v>
          </cell>
          <cell r="H1374" t="str">
            <v/>
          </cell>
          <cell r="I1374">
            <v>0</v>
          </cell>
          <cell r="J1374">
            <v>27</v>
          </cell>
          <cell r="K1374">
            <v>57</v>
          </cell>
          <cell r="L1374">
            <v>868.99</v>
          </cell>
          <cell r="M1374">
            <v>49532.43</v>
          </cell>
        </row>
        <row r="1375">
          <cell r="A1375">
            <v>389</v>
          </cell>
          <cell r="B1375" t="str">
            <v/>
          </cell>
          <cell r="C1375" t="str">
            <v>CARLO ROSSI DRY WHITE 3LTR </v>
          </cell>
          <cell r="D1375" t="str">
            <v/>
          </cell>
          <cell r="E1375" t="str">
            <v/>
          </cell>
          <cell r="F1375" t="str">
            <v>Pcs</v>
          </cell>
          <cell r="G1375">
            <v>44</v>
          </cell>
          <cell r="H1375" t="str">
            <v/>
          </cell>
          <cell r="I1375">
            <v>0</v>
          </cell>
          <cell r="J1375">
            <v>0</v>
          </cell>
          <cell r="K1375">
            <v>44</v>
          </cell>
          <cell r="L1375">
            <v>2116</v>
          </cell>
          <cell r="M1375">
            <v>93104</v>
          </cell>
        </row>
        <row r="1376">
          <cell r="A1376">
            <v>390</v>
          </cell>
          <cell r="B1376" t="str">
            <v/>
          </cell>
          <cell r="C1376" t="str">
            <v>CARLO ROSSI PINK MOSCATO 750ML</v>
          </cell>
          <cell r="D1376" t="str">
            <v/>
          </cell>
          <cell r="E1376" t="str">
            <v/>
          </cell>
          <cell r="F1376" t="str">
            <v>Pcs</v>
          </cell>
          <cell r="G1376">
            <v>3</v>
          </cell>
          <cell r="H1376" t="str">
            <v/>
          </cell>
          <cell r="I1376">
            <v>0</v>
          </cell>
          <cell r="J1376">
            <v>0</v>
          </cell>
          <cell r="K1376">
            <v>3</v>
          </cell>
          <cell r="L1376">
            <v>1012</v>
          </cell>
          <cell r="M1376">
            <v>3036</v>
          </cell>
        </row>
        <row r="1377">
          <cell r="A1377">
            <v>391</v>
          </cell>
          <cell r="B1377" t="str">
            <v/>
          </cell>
          <cell r="C1377" t="str">
            <v>CARLO ROSSI RED 1.5LTR</v>
          </cell>
          <cell r="D1377" t="str">
            <v/>
          </cell>
          <cell r="E1377" t="str">
            <v/>
          </cell>
          <cell r="F1377" t="str">
            <v>Pcs</v>
          </cell>
          <cell r="G1377">
            <v>0</v>
          </cell>
          <cell r="H1377" t="str">
            <v/>
          </cell>
          <cell r="I1377">
            <v>0</v>
          </cell>
          <cell r="J1377">
            <v>0</v>
          </cell>
          <cell r="K1377">
            <v>0</v>
          </cell>
          <cell r="L1377">
            <v>1288</v>
          </cell>
          <cell r="M1377">
            <v>0</v>
          </cell>
        </row>
        <row r="1378">
          <cell r="A1378">
            <v>392</v>
          </cell>
          <cell r="B1378" t="str">
            <v/>
          </cell>
          <cell r="C1378" t="str">
            <v>CARLO ROSSI RED WINE 750ML</v>
          </cell>
          <cell r="D1378" t="str">
            <v/>
          </cell>
          <cell r="E1378" t="str">
            <v/>
          </cell>
          <cell r="F1378" t="str">
            <v>Pcs</v>
          </cell>
          <cell r="G1378">
            <v>0</v>
          </cell>
          <cell r="H1378" t="str">
            <v/>
          </cell>
          <cell r="I1378">
            <v>0</v>
          </cell>
          <cell r="J1378">
            <v>0</v>
          </cell>
          <cell r="K1378">
            <v>0</v>
          </cell>
          <cell r="L1378">
            <v>1012</v>
          </cell>
          <cell r="M1378">
            <v>0</v>
          </cell>
        </row>
        <row r="1379">
          <cell r="A1379">
            <v>2213</v>
          </cell>
          <cell r="B1379" t="str">
            <v/>
          </cell>
          <cell r="C1379" t="str">
            <v>CARLO ROSSI ROSE 750ML</v>
          </cell>
          <cell r="D1379" t="str">
            <v/>
          </cell>
          <cell r="E1379" t="str">
            <v/>
          </cell>
          <cell r="F1379" t="str">
            <v>Pcs</v>
          </cell>
          <cell r="G1379">
            <v>0</v>
          </cell>
          <cell r="H1379" t="str">
            <v/>
          </cell>
          <cell r="I1379">
            <v>0</v>
          </cell>
          <cell r="J1379">
            <v>0</v>
          </cell>
          <cell r="K1379">
            <v>0</v>
          </cell>
          <cell r="L1379">
            <v>1000</v>
          </cell>
          <cell r="M1379">
            <v>0</v>
          </cell>
        </row>
        <row r="1380">
          <cell r="A1380">
            <v>393</v>
          </cell>
          <cell r="B1380" t="str">
            <v/>
          </cell>
          <cell r="C1380" t="str">
            <v>CARLO ROSSI ROSEE 1.5LTR</v>
          </cell>
          <cell r="D1380" t="str">
            <v/>
          </cell>
          <cell r="E1380" t="str">
            <v/>
          </cell>
          <cell r="F1380" t="str">
            <v>Pcs</v>
          </cell>
          <cell r="G1380">
            <v>77</v>
          </cell>
          <cell r="H1380" t="str">
            <v/>
          </cell>
          <cell r="I1380">
            <v>0</v>
          </cell>
          <cell r="J1380">
            <v>0</v>
          </cell>
          <cell r="K1380">
            <v>77</v>
          </cell>
          <cell r="L1380">
            <v>1288</v>
          </cell>
          <cell r="M1380">
            <v>99176</v>
          </cell>
        </row>
        <row r="1381">
          <cell r="A1381">
            <v>394</v>
          </cell>
          <cell r="B1381" t="str">
            <v/>
          </cell>
          <cell r="C1381" t="str">
            <v>CARLO ROSSI SWEET RED 3LTR</v>
          </cell>
          <cell r="D1381" t="str">
            <v/>
          </cell>
          <cell r="E1381" t="str">
            <v/>
          </cell>
          <cell r="F1381" t="str">
            <v>Pcs</v>
          </cell>
          <cell r="G1381">
            <v>12</v>
          </cell>
          <cell r="H1381" t="str">
            <v/>
          </cell>
          <cell r="I1381">
            <v>0</v>
          </cell>
          <cell r="J1381">
            <v>0</v>
          </cell>
          <cell r="K1381">
            <v>12</v>
          </cell>
          <cell r="L1381">
            <v>2116</v>
          </cell>
          <cell r="M1381">
            <v>25392</v>
          </cell>
        </row>
        <row r="1382">
          <cell r="A1382">
            <v>395</v>
          </cell>
          <cell r="B1382" t="str">
            <v/>
          </cell>
          <cell r="C1382" t="str">
            <v>CARLO ROSSI WHITE 1.5LTR</v>
          </cell>
          <cell r="D1382" t="str">
            <v/>
          </cell>
          <cell r="E1382" t="str">
            <v/>
          </cell>
          <cell r="F1382" t="str">
            <v>Pcs</v>
          </cell>
          <cell r="G1382">
            <v>84</v>
          </cell>
          <cell r="H1382" t="str">
            <v/>
          </cell>
          <cell r="I1382">
            <v>0</v>
          </cell>
          <cell r="J1382">
            <v>0</v>
          </cell>
          <cell r="K1382">
            <v>84</v>
          </cell>
          <cell r="L1382">
            <v>1288</v>
          </cell>
          <cell r="M1382">
            <v>108192</v>
          </cell>
        </row>
        <row r="1383">
          <cell r="A1383">
            <v>396</v>
          </cell>
          <cell r="B1383" t="str">
            <v/>
          </cell>
          <cell r="C1383" t="str">
            <v>CARLO ROSSI WHITE 750ML</v>
          </cell>
          <cell r="D1383" t="str">
            <v/>
          </cell>
          <cell r="E1383" t="str">
            <v/>
          </cell>
          <cell r="F1383" t="str">
            <v>Pcs</v>
          </cell>
          <cell r="G1383">
            <v>170</v>
          </cell>
          <cell r="H1383" t="str">
            <v/>
          </cell>
          <cell r="I1383">
            <v>0</v>
          </cell>
          <cell r="J1383">
            <v>0</v>
          </cell>
          <cell r="K1383">
            <v>170</v>
          </cell>
          <cell r="L1383">
            <v>1012</v>
          </cell>
          <cell r="M1383">
            <v>172040</v>
          </cell>
        </row>
        <row r="1384">
          <cell r="A1384">
            <v>397</v>
          </cell>
          <cell r="B1384" t="str">
            <v/>
          </cell>
          <cell r="C1384" t="str">
            <v>CARMELA SPARKLING SWEET WINE 750ML</v>
          </cell>
          <cell r="D1384" t="str">
            <v/>
          </cell>
          <cell r="E1384" t="str">
            <v/>
          </cell>
          <cell r="F1384" t="str">
            <v>Pcs</v>
          </cell>
          <cell r="G1384">
            <v>1</v>
          </cell>
          <cell r="H1384" t="str">
            <v/>
          </cell>
          <cell r="I1384">
            <v>0</v>
          </cell>
          <cell r="J1384">
            <v>0</v>
          </cell>
          <cell r="K1384">
            <v>1</v>
          </cell>
          <cell r="L1384">
            <v>2024</v>
          </cell>
          <cell r="M1384">
            <v>2024</v>
          </cell>
        </row>
        <row r="1385">
          <cell r="A1385">
            <v>398</v>
          </cell>
          <cell r="B1385" t="str">
            <v/>
          </cell>
          <cell r="C1385" t="str">
            <v>CARNIVOR 750ML</v>
          </cell>
          <cell r="D1385" t="str">
            <v/>
          </cell>
          <cell r="E1385" t="str">
            <v/>
          </cell>
          <cell r="F1385" t="str">
            <v>Pcs</v>
          </cell>
          <cell r="G1385">
            <v>0</v>
          </cell>
          <cell r="H1385" t="str">
            <v/>
          </cell>
          <cell r="I1385">
            <v>0</v>
          </cell>
          <cell r="J1385">
            <v>0</v>
          </cell>
          <cell r="K1385">
            <v>0</v>
          </cell>
          <cell r="L1385">
            <v>1564</v>
          </cell>
          <cell r="M1385">
            <v>0</v>
          </cell>
        </row>
        <row r="1386">
          <cell r="A1386">
            <v>399</v>
          </cell>
          <cell r="B1386" t="str">
            <v/>
          </cell>
          <cell r="C1386" t="str">
            <v>CASA BUENA SWEET RED 1LTR</v>
          </cell>
          <cell r="D1386" t="str">
            <v/>
          </cell>
          <cell r="E1386" t="str">
            <v/>
          </cell>
          <cell r="F1386" t="str">
            <v>Pcs</v>
          </cell>
          <cell r="G1386">
            <v>0</v>
          </cell>
          <cell r="H1386" t="str">
            <v/>
          </cell>
          <cell r="I1386">
            <v>240</v>
          </cell>
          <cell r="J1386">
            <v>120</v>
          </cell>
          <cell r="K1386">
            <v>120</v>
          </cell>
          <cell r="L1386">
            <v>711.9</v>
          </cell>
          <cell r="M1386">
            <v>85428</v>
          </cell>
        </row>
        <row r="1387">
          <cell r="A1387">
            <v>400</v>
          </cell>
          <cell r="B1387" t="str">
            <v/>
          </cell>
          <cell r="C1387" t="str">
            <v>CASA BUENA SWEET WHITE 1LTR</v>
          </cell>
          <cell r="D1387" t="str">
            <v/>
          </cell>
          <cell r="E1387" t="str">
            <v/>
          </cell>
          <cell r="F1387" t="str">
            <v>Pcs</v>
          </cell>
          <cell r="G1387">
            <v>48</v>
          </cell>
          <cell r="H1387" t="str">
            <v/>
          </cell>
          <cell r="I1387">
            <v>120</v>
          </cell>
          <cell r="J1387">
            <v>48</v>
          </cell>
          <cell r="K1387">
            <v>120</v>
          </cell>
          <cell r="L1387">
            <v>711.9</v>
          </cell>
          <cell r="M1387">
            <v>85428</v>
          </cell>
        </row>
        <row r="1388">
          <cell r="A1388">
            <v>408</v>
          </cell>
          <cell r="B1388" t="str">
            <v/>
          </cell>
          <cell r="C1388" t="str">
            <v>CASALDOMO CUVEE BRUT 750ML </v>
          </cell>
          <cell r="D1388" t="str">
            <v/>
          </cell>
          <cell r="E1388" t="str">
            <v/>
          </cell>
          <cell r="F1388" t="str">
            <v>Pcs</v>
          </cell>
          <cell r="G1388">
            <v>0</v>
          </cell>
          <cell r="H1388" t="str">
            <v/>
          </cell>
          <cell r="I1388">
            <v>0</v>
          </cell>
          <cell r="J1388">
            <v>0</v>
          </cell>
          <cell r="K1388">
            <v>0</v>
          </cell>
          <cell r="L1388">
            <v>1380</v>
          </cell>
          <cell r="M1388">
            <v>0</v>
          </cell>
        </row>
        <row r="1389">
          <cell r="A1389">
            <v>407</v>
          </cell>
          <cell r="B1389" t="str">
            <v/>
          </cell>
          <cell r="C1389" t="str">
            <v>CASAL MENDES RED 750ML</v>
          </cell>
          <cell r="D1389" t="str">
            <v/>
          </cell>
          <cell r="E1389" t="str">
            <v/>
          </cell>
          <cell r="F1389" t="str">
            <v>Pcs</v>
          </cell>
          <cell r="G1389">
            <v>6</v>
          </cell>
          <cell r="H1389" t="str">
            <v/>
          </cell>
          <cell r="I1389">
            <v>0</v>
          </cell>
          <cell r="J1389">
            <v>0</v>
          </cell>
          <cell r="K1389">
            <v>6</v>
          </cell>
          <cell r="L1389">
            <v>1000</v>
          </cell>
          <cell r="M1389">
            <v>6000</v>
          </cell>
        </row>
        <row r="1390">
          <cell r="A1390">
            <v>1751</v>
          </cell>
          <cell r="B1390" t="str">
            <v/>
          </cell>
          <cell r="C1390" t="str">
            <v>CASAL MENDES SANGRIA 750ML</v>
          </cell>
          <cell r="D1390" t="str">
            <v/>
          </cell>
          <cell r="E1390" t="str">
            <v/>
          </cell>
          <cell r="F1390" t="str">
            <v>Pcs</v>
          </cell>
          <cell r="G1390">
            <v>5</v>
          </cell>
          <cell r="H1390" t="str">
            <v/>
          </cell>
          <cell r="I1390">
            <v>0</v>
          </cell>
          <cell r="J1390">
            <v>0</v>
          </cell>
          <cell r="K1390">
            <v>5</v>
          </cell>
          <cell r="L1390">
            <v>1104</v>
          </cell>
          <cell r="M1390">
            <v>5520</v>
          </cell>
        </row>
        <row r="1391">
          <cell r="A1391">
            <v>402</v>
          </cell>
          <cell r="B1391" t="str">
            <v/>
          </cell>
          <cell r="C1391" t="str">
            <v>CASA MIGOS MESCAL 700ML</v>
          </cell>
          <cell r="D1391" t="str">
            <v/>
          </cell>
          <cell r="E1391" t="str">
            <v/>
          </cell>
          <cell r="F1391" t="str">
            <v>Pcs</v>
          </cell>
          <cell r="G1391">
            <v>0</v>
          </cell>
          <cell r="H1391" t="str">
            <v/>
          </cell>
          <cell r="I1391">
            <v>0</v>
          </cell>
          <cell r="J1391">
            <v>0</v>
          </cell>
          <cell r="K1391">
            <v>0</v>
          </cell>
          <cell r="L1391">
            <v>10580</v>
          </cell>
          <cell r="M1391">
            <v>0</v>
          </cell>
        </row>
        <row r="1392">
          <cell r="A1392">
            <v>403</v>
          </cell>
          <cell r="B1392" t="str">
            <v/>
          </cell>
          <cell r="C1392" t="str">
            <v>CASA MIGOS REPOSADO 1LTR</v>
          </cell>
          <cell r="D1392" t="str">
            <v/>
          </cell>
          <cell r="E1392" t="str">
            <v/>
          </cell>
          <cell r="F1392" t="str">
            <v>Pcs</v>
          </cell>
          <cell r="G1392">
            <v>0</v>
          </cell>
          <cell r="H1392" t="str">
            <v/>
          </cell>
          <cell r="I1392">
            <v>0</v>
          </cell>
          <cell r="J1392">
            <v>0</v>
          </cell>
          <cell r="K1392">
            <v>0</v>
          </cell>
          <cell r="L1392">
            <v>11800</v>
          </cell>
          <cell r="M1392">
            <v>0</v>
          </cell>
        </row>
        <row r="1393">
          <cell r="A1393">
            <v>404</v>
          </cell>
          <cell r="B1393" t="str">
            <v/>
          </cell>
          <cell r="C1393" t="str">
            <v>CASA SOLIS CAB SAUV 750ML</v>
          </cell>
          <cell r="D1393" t="str">
            <v/>
          </cell>
          <cell r="E1393" t="str">
            <v/>
          </cell>
          <cell r="F1393" t="str">
            <v>Pcs</v>
          </cell>
          <cell r="G1393">
            <v>54</v>
          </cell>
          <cell r="H1393" t="str">
            <v/>
          </cell>
          <cell r="I1393">
            <v>0</v>
          </cell>
          <cell r="J1393">
            <v>0</v>
          </cell>
          <cell r="K1393">
            <v>54</v>
          </cell>
          <cell r="L1393">
            <v>782</v>
          </cell>
          <cell r="M1393">
            <v>42228</v>
          </cell>
        </row>
        <row r="1394">
          <cell r="A1394">
            <v>2214</v>
          </cell>
          <cell r="B1394" t="str">
            <v/>
          </cell>
          <cell r="C1394" t="str">
            <v>CASA SOLIS CHARDONNAY 750ML</v>
          </cell>
          <cell r="D1394" t="str">
            <v/>
          </cell>
          <cell r="E1394" t="str">
            <v/>
          </cell>
          <cell r="F1394" t="str">
            <v>Pcs</v>
          </cell>
          <cell r="G1394">
            <v>30</v>
          </cell>
          <cell r="H1394" t="str">
            <v/>
          </cell>
          <cell r="I1394">
            <v>0</v>
          </cell>
          <cell r="J1394">
            <v>0</v>
          </cell>
          <cell r="K1394">
            <v>30</v>
          </cell>
          <cell r="L1394">
            <v>800</v>
          </cell>
          <cell r="M1394">
            <v>24000</v>
          </cell>
        </row>
        <row r="1395">
          <cell r="A1395">
            <v>405</v>
          </cell>
          <cell r="B1395" t="str">
            <v/>
          </cell>
          <cell r="C1395" t="str">
            <v>CASA SOLIS MERLOT 750ML</v>
          </cell>
          <cell r="D1395" t="str">
            <v/>
          </cell>
          <cell r="E1395" t="str">
            <v/>
          </cell>
          <cell r="F1395" t="str">
            <v>Pcs</v>
          </cell>
          <cell r="G1395">
            <v>43</v>
          </cell>
          <cell r="H1395" t="str">
            <v/>
          </cell>
          <cell r="I1395">
            <v>0</v>
          </cell>
          <cell r="J1395">
            <v>0</v>
          </cell>
          <cell r="K1395">
            <v>43</v>
          </cell>
          <cell r="L1395">
            <v>782</v>
          </cell>
          <cell r="M1395">
            <v>33626</v>
          </cell>
        </row>
        <row r="1396">
          <cell r="A1396">
            <v>406</v>
          </cell>
          <cell r="B1396" t="str">
            <v/>
          </cell>
          <cell r="C1396" t="str">
            <v>CASA SOLIS SAUV BLANC 750ML</v>
          </cell>
          <cell r="D1396" t="str">
            <v/>
          </cell>
          <cell r="E1396" t="str">
            <v/>
          </cell>
          <cell r="F1396" t="str">
            <v>Pcs</v>
          </cell>
          <cell r="G1396">
            <v>42</v>
          </cell>
          <cell r="H1396" t="str">
            <v/>
          </cell>
          <cell r="I1396">
            <v>0</v>
          </cell>
          <cell r="J1396">
            <v>0</v>
          </cell>
          <cell r="K1396">
            <v>42</v>
          </cell>
          <cell r="L1396">
            <v>782</v>
          </cell>
          <cell r="M1396">
            <v>32844</v>
          </cell>
        </row>
        <row r="1397">
          <cell r="A1397">
            <v>409</v>
          </cell>
          <cell r="B1397" t="str">
            <v/>
          </cell>
          <cell r="C1397" t="str">
            <v>CASILELLERO DEL DIABLO 750ML</v>
          </cell>
          <cell r="D1397" t="str">
            <v/>
          </cell>
          <cell r="E1397" t="str">
            <v/>
          </cell>
          <cell r="F1397" t="str">
            <v>Pcs</v>
          </cell>
          <cell r="G1397">
            <v>1</v>
          </cell>
          <cell r="H1397" t="str">
            <v/>
          </cell>
          <cell r="I1397">
            <v>0</v>
          </cell>
          <cell r="J1397">
            <v>0</v>
          </cell>
          <cell r="K1397">
            <v>1</v>
          </cell>
          <cell r="L1397">
            <v>1380</v>
          </cell>
          <cell r="M1397">
            <v>1380</v>
          </cell>
        </row>
        <row r="1398">
          <cell r="A1398">
            <v>410</v>
          </cell>
          <cell r="B1398" t="str">
            <v/>
          </cell>
          <cell r="C1398" t="str">
            <v>CASTEL SYRAH 750ML</v>
          </cell>
          <cell r="D1398" t="str">
            <v/>
          </cell>
          <cell r="E1398" t="str">
            <v/>
          </cell>
          <cell r="F1398" t="str">
            <v>Pcs</v>
          </cell>
          <cell r="G1398">
            <v>0</v>
          </cell>
          <cell r="H1398" t="str">
            <v/>
          </cell>
          <cell r="I1398">
            <v>0</v>
          </cell>
          <cell r="J1398">
            <v>0</v>
          </cell>
          <cell r="K1398">
            <v>0</v>
          </cell>
          <cell r="L1398">
            <v>1196</v>
          </cell>
          <cell r="M1398">
            <v>0</v>
          </cell>
        </row>
        <row r="1399">
          <cell r="A1399">
            <v>2540</v>
          </cell>
          <cell r="B1399" t="str">
            <v/>
          </cell>
          <cell r="C1399" t="str">
            <v>CASTILLO DE FERRER BRUT SPARKLING 750ML</v>
          </cell>
          <cell r="D1399" t="str">
            <v/>
          </cell>
          <cell r="E1399" t="str">
            <v/>
          </cell>
          <cell r="F1399" t="str">
            <v>Pcs</v>
          </cell>
          <cell r="G1399">
            <v>0</v>
          </cell>
          <cell r="H1399" t="str">
            <v/>
          </cell>
          <cell r="I1399">
            <v>0</v>
          </cell>
          <cell r="J1399">
            <v>0</v>
          </cell>
          <cell r="K1399">
            <v>0</v>
          </cell>
          <cell r="L1399">
            <v>1196</v>
          </cell>
          <cell r="M1399">
            <v>0</v>
          </cell>
        </row>
        <row r="1400">
          <cell r="A1400">
            <v>2542</v>
          </cell>
          <cell r="B1400" t="str">
            <v/>
          </cell>
          <cell r="C1400" t="str">
            <v>CASTILLO DE FERRER RED DRY 750ML</v>
          </cell>
          <cell r="D1400" t="str">
            <v/>
          </cell>
          <cell r="E1400" t="str">
            <v/>
          </cell>
          <cell r="F1400" t="str">
            <v>Packets</v>
          </cell>
          <cell r="G1400">
            <v>0</v>
          </cell>
          <cell r="H1400" t="str">
            <v/>
          </cell>
          <cell r="I1400">
            <v>0</v>
          </cell>
          <cell r="J1400">
            <v>0</v>
          </cell>
          <cell r="K1400">
            <v>0</v>
          </cell>
          <cell r="L1400">
            <v>960</v>
          </cell>
          <cell r="M1400">
            <v>0</v>
          </cell>
        </row>
        <row r="1401">
          <cell r="A1401">
            <v>2541</v>
          </cell>
          <cell r="B1401" t="str">
            <v/>
          </cell>
          <cell r="C1401" t="str">
            <v>CASTILLO DE FERRER RED SWEET 750ML</v>
          </cell>
          <cell r="D1401" t="str">
            <v/>
          </cell>
          <cell r="E1401" t="str">
            <v/>
          </cell>
          <cell r="F1401" t="str">
            <v>Pcs</v>
          </cell>
          <cell r="G1401">
            <v>0</v>
          </cell>
          <cell r="H1401" t="str">
            <v/>
          </cell>
          <cell r="I1401">
            <v>0</v>
          </cell>
          <cell r="J1401">
            <v>0</v>
          </cell>
          <cell r="K1401">
            <v>0</v>
          </cell>
          <cell r="L1401">
            <v>960</v>
          </cell>
          <cell r="M1401">
            <v>0</v>
          </cell>
        </row>
        <row r="1402">
          <cell r="A1402">
            <v>2543</v>
          </cell>
          <cell r="B1402" t="str">
            <v/>
          </cell>
          <cell r="C1402" t="str">
            <v>CASTILLO DE FERRER WHITE SWEET 750ML 750ML</v>
          </cell>
          <cell r="D1402" t="str">
            <v/>
          </cell>
          <cell r="E1402" t="str">
            <v/>
          </cell>
          <cell r="F1402" t="str">
            <v>Pcs</v>
          </cell>
          <cell r="G1402">
            <v>0</v>
          </cell>
          <cell r="H1402" t="str">
            <v/>
          </cell>
          <cell r="I1402">
            <v>0</v>
          </cell>
          <cell r="J1402">
            <v>0</v>
          </cell>
          <cell r="K1402">
            <v>0</v>
          </cell>
          <cell r="L1402">
            <v>960</v>
          </cell>
          <cell r="M1402">
            <v>0</v>
          </cell>
        </row>
        <row r="1403">
          <cell r="A1403">
            <v>2181</v>
          </cell>
          <cell r="B1403" t="str">
            <v/>
          </cell>
          <cell r="C1403" t="str">
            <v>CASTILLO DEL CHARDONNAY 750ML</v>
          </cell>
          <cell r="D1403" t="str">
            <v/>
          </cell>
          <cell r="E1403" t="str">
            <v/>
          </cell>
          <cell r="F1403" t="str">
            <v>Pcs</v>
          </cell>
          <cell r="G1403">
            <v>0</v>
          </cell>
          <cell r="H1403" t="str">
            <v/>
          </cell>
          <cell r="I1403">
            <v>0</v>
          </cell>
          <cell r="J1403">
            <v>0</v>
          </cell>
          <cell r="K1403">
            <v>0</v>
          </cell>
          <cell r="L1403">
            <v>1400</v>
          </cell>
          <cell r="M1403">
            <v>0</v>
          </cell>
        </row>
        <row r="1404">
          <cell r="A1404">
            <v>2182</v>
          </cell>
          <cell r="B1404" t="str">
            <v/>
          </cell>
          <cell r="C1404" t="str">
            <v>CASTILLO DEL DIABLO MERLOT 750ML</v>
          </cell>
          <cell r="D1404" t="str">
            <v/>
          </cell>
          <cell r="E1404" t="str">
            <v/>
          </cell>
          <cell r="F1404" t="str">
            <v>Pcs</v>
          </cell>
          <cell r="G1404">
            <v>0</v>
          </cell>
          <cell r="H1404" t="str">
            <v/>
          </cell>
          <cell r="I1404">
            <v>0</v>
          </cell>
          <cell r="J1404">
            <v>0</v>
          </cell>
          <cell r="K1404">
            <v>0</v>
          </cell>
          <cell r="L1404">
            <v>1400</v>
          </cell>
          <cell r="M1404">
            <v>0</v>
          </cell>
        </row>
        <row r="1405">
          <cell r="A1405">
            <v>411</v>
          </cell>
          <cell r="B1405" t="str">
            <v/>
          </cell>
          <cell r="C1405" t="str">
            <v>CASTILLO DEL MOLINA SAUV BLANC 750ML</v>
          </cell>
          <cell r="D1405" t="str">
            <v/>
          </cell>
          <cell r="E1405" t="str">
            <v/>
          </cell>
          <cell r="F1405" t="str">
            <v>Pcs</v>
          </cell>
          <cell r="G1405">
            <v>0</v>
          </cell>
          <cell r="H1405" t="str">
            <v/>
          </cell>
          <cell r="I1405">
            <v>0</v>
          </cell>
          <cell r="J1405">
            <v>0</v>
          </cell>
          <cell r="K1405">
            <v>0</v>
          </cell>
          <cell r="L1405">
            <v>1380</v>
          </cell>
          <cell r="M1405">
            <v>0</v>
          </cell>
        </row>
        <row r="1406">
          <cell r="A1406">
            <v>413</v>
          </cell>
          <cell r="B1406" t="str">
            <v/>
          </cell>
          <cell r="C1406" t="str">
            <v>CATENA CAB SAUV 750ML</v>
          </cell>
          <cell r="D1406" t="str">
            <v/>
          </cell>
          <cell r="E1406" t="str">
            <v/>
          </cell>
          <cell r="F1406" t="str">
            <v>Pcs</v>
          </cell>
          <cell r="G1406">
            <v>102</v>
          </cell>
          <cell r="H1406" t="str">
            <v/>
          </cell>
          <cell r="I1406">
            <v>0</v>
          </cell>
          <cell r="J1406">
            <v>0</v>
          </cell>
          <cell r="K1406">
            <v>102</v>
          </cell>
          <cell r="L1406">
            <v>2392</v>
          </cell>
          <cell r="M1406">
            <v>243984</v>
          </cell>
        </row>
        <row r="1407">
          <cell r="A1407">
            <v>414</v>
          </cell>
          <cell r="B1407" t="str">
            <v/>
          </cell>
          <cell r="C1407" t="str">
            <v>CATENA CHARDONNAY 750ML</v>
          </cell>
          <cell r="D1407" t="str">
            <v/>
          </cell>
          <cell r="E1407" t="str">
            <v/>
          </cell>
          <cell r="F1407" t="str">
            <v>Pcs</v>
          </cell>
          <cell r="G1407">
            <v>30</v>
          </cell>
          <cell r="H1407" t="str">
            <v/>
          </cell>
          <cell r="I1407">
            <v>0</v>
          </cell>
          <cell r="J1407">
            <v>0</v>
          </cell>
          <cell r="K1407">
            <v>30</v>
          </cell>
          <cell r="L1407">
            <v>2392</v>
          </cell>
          <cell r="M1407">
            <v>71760</v>
          </cell>
        </row>
        <row r="1408">
          <cell r="A1408">
            <v>415</v>
          </cell>
          <cell r="B1408" t="str">
            <v/>
          </cell>
          <cell r="C1408" t="str">
            <v>CATENA MALBEC 750ML</v>
          </cell>
          <cell r="D1408" t="str">
            <v/>
          </cell>
          <cell r="E1408" t="str">
            <v/>
          </cell>
          <cell r="F1408" t="str">
            <v>Pcs</v>
          </cell>
          <cell r="G1408">
            <v>0</v>
          </cell>
          <cell r="H1408" t="str">
            <v/>
          </cell>
          <cell r="I1408">
            <v>0</v>
          </cell>
          <cell r="J1408">
            <v>0</v>
          </cell>
          <cell r="K1408">
            <v>0</v>
          </cell>
          <cell r="L1408">
            <v>1000</v>
          </cell>
          <cell r="M1408">
            <v>0</v>
          </cell>
        </row>
        <row r="1409">
          <cell r="A1409">
            <v>423</v>
          </cell>
          <cell r="B1409" t="str">
            <v/>
          </cell>
          <cell r="C1409" t="str">
            <v>CELLAR J'BURG RED 5LTR</v>
          </cell>
          <cell r="D1409" t="str">
            <v/>
          </cell>
          <cell r="E1409" t="str">
            <v/>
          </cell>
          <cell r="F1409" t="str">
            <v>Pcs</v>
          </cell>
          <cell r="G1409">
            <v>154</v>
          </cell>
          <cell r="H1409" t="str">
            <v/>
          </cell>
          <cell r="I1409">
            <v>0</v>
          </cell>
          <cell r="J1409">
            <v>91</v>
          </cell>
          <cell r="K1409">
            <v>63</v>
          </cell>
          <cell r="L1409">
            <v>3300</v>
          </cell>
          <cell r="M1409">
            <v>207900</v>
          </cell>
        </row>
        <row r="1410">
          <cell r="A1410">
            <v>424</v>
          </cell>
          <cell r="B1410" t="str">
            <v/>
          </cell>
          <cell r="C1410" t="str">
            <v>CELLAR J'BURG RED 750ML</v>
          </cell>
          <cell r="D1410" t="str">
            <v/>
          </cell>
          <cell r="E1410" t="str">
            <v/>
          </cell>
          <cell r="F1410" t="str">
            <v>Pcs</v>
          </cell>
          <cell r="G1410">
            <v>116</v>
          </cell>
          <cell r="H1410" t="str">
            <v/>
          </cell>
          <cell r="I1410">
            <v>294</v>
          </cell>
          <cell r="J1410">
            <v>410</v>
          </cell>
          <cell r="K1410">
            <v>0</v>
          </cell>
          <cell r="L1410">
            <v>795</v>
          </cell>
          <cell r="M1410">
            <v>0</v>
          </cell>
        </row>
        <row r="1411">
          <cell r="A1411">
            <v>425</v>
          </cell>
          <cell r="B1411" t="str">
            <v/>
          </cell>
          <cell r="C1411" t="str">
            <v>CELLAR J'BURG WHITE 5LTR</v>
          </cell>
          <cell r="D1411" t="str">
            <v/>
          </cell>
          <cell r="E1411" t="str">
            <v/>
          </cell>
          <cell r="F1411" t="str">
            <v>Pcs</v>
          </cell>
          <cell r="G1411">
            <v>437</v>
          </cell>
          <cell r="H1411" t="str">
            <v/>
          </cell>
          <cell r="I1411">
            <v>0</v>
          </cell>
          <cell r="J1411">
            <v>42</v>
          </cell>
          <cell r="K1411">
            <v>395</v>
          </cell>
          <cell r="L1411">
            <v>3300</v>
          </cell>
          <cell r="M1411">
            <v>1303500</v>
          </cell>
        </row>
        <row r="1412">
          <cell r="A1412">
            <v>426</v>
          </cell>
          <cell r="B1412" t="str">
            <v/>
          </cell>
          <cell r="C1412" t="str">
            <v>CELLAR J'BURG WHITE 750ML</v>
          </cell>
          <cell r="D1412" t="str">
            <v/>
          </cell>
          <cell r="E1412" t="str">
            <v/>
          </cell>
          <cell r="F1412" t="str">
            <v>Pcs</v>
          </cell>
          <cell r="G1412">
            <v>988</v>
          </cell>
          <cell r="H1412" t="str">
            <v/>
          </cell>
          <cell r="I1412">
            <v>1204</v>
          </cell>
          <cell r="J1412">
            <v>168</v>
          </cell>
          <cell r="K1412">
            <v>2024</v>
          </cell>
          <cell r="L1412">
            <v>795</v>
          </cell>
          <cell r="M1412">
            <v>1609080</v>
          </cell>
        </row>
        <row r="1413">
          <cell r="A1413">
            <v>2521</v>
          </cell>
          <cell r="B1413" t="str">
            <v/>
          </cell>
          <cell r="C1413" t="str">
            <v>CHALK ROAD CHARDONAY 750ML</v>
          </cell>
          <cell r="D1413" t="str">
            <v/>
          </cell>
          <cell r="E1413" t="str">
            <v/>
          </cell>
          <cell r="F1413" t="str">
            <v>Pcs</v>
          </cell>
          <cell r="G1413">
            <v>0</v>
          </cell>
          <cell r="H1413" t="str">
            <v/>
          </cell>
          <cell r="I1413">
            <v>0</v>
          </cell>
          <cell r="J1413">
            <v>0</v>
          </cell>
          <cell r="K1413">
            <v>0</v>
          </cell>
          <cell r="L1413">
            <v>1470</v>
          </cell>
          <cell r="M1413">
            <v>0</v>
          </cell>
        </row>
        <row r="1414">
          <cell r="A1414">
            <v>2522</v>
          </cell>
          <cell r="B1414" t="str">
            <v/>
          </cell>
          <cell r="C1414" t="str">
            <v>CHALK ROAD SAV BLANC 750ML</v>
          </cell>
          <cell r="D1414" t="str">
            <v/>
          </cell>
          <cell r="E1414" t="str">
            <v/>
          </cell>
          <cell r="F1414" t="str">
            <v>Pcs</v>
          </cell>
          <cell r="G1414">
            <v>0</v>
          </cell>
          <cell r="H1414" t="str">
            <v/>
          </cell>
          <cell r="I1414">
            <v>0</v>
          </cell>
          <cell r="J1414">
            <v>0</v>
          </cell>
          <cell r="K1414">
            <v>0</v>
          </cell>
          <cell r="L1414">
            <v>1470</v>
          </cell>
          <cell r="M1414">
            <v>0</v>
          </cell>
        </row>
        <row r="1415">
          <cell r="A1415">
            <v>428</v>
          </cell>
          <cell r="B1415" t="str">
            <v/>
          </cell>
          <cell r="C1415" t="str">
            <v>CHAMDOR RED  750ML</v>
          </cell>
          <cell r="D1415" t="str">
            <v/>
          </cell>
          <cell r="E1415" t="str">
            <v/>
          </cell>
          <cell r="F1415" t="str">
            <v>Pcs</v>
          </cell>
          <cell r="G1415">
            <v>0</v>
          </cell>
          <cell r="H1415" t="str">
            <v/>
          </cell>
          <cell r="I1415">
            <v>0</v>
          </cell>
          <cell r="J1415">
            <v>0</v>
          </cell>
          <cell r="K1415">
            <v>0</v>
          </cell>
          <cell r="L1415">
            <v>709.9</v>
          </cell>
          <cell r="M1415">
            <v>0</v>
          </cell>
        </row>
        <row r="1416">
          <cell r="A1416">
            <v>430</v>
          </cell>
          <cell r="B1416" t="str">
            <v/>
          </cell>
          <cell r="C1416" t="str">
            <v>CHAMDOR WHITE 750ML</v>
          </cell>
          <cell r="D1416" t="str">
            <v/>
          </cell>
          <cell r="E1416" t="str">
            <v/>
          </cell>
          <cell r="F1416" t="str">
            <v>Pcs</v>
          </cell>
          <cell r="G1416">
            <v>74</v>
          </cell>
          <cell r="H1416" t="str">
            <v/>
          </cell>
          <cell r="I1416">
            <v>0</v>
          </cell>
          <cell r="J1416">
            <v>26</v>
          </cell>
          <cell r="K1416">
            <v>48</v>
          </cell>
          <cell r="L1416">
            <v>709.914</v>
          </cell>
          <cell r="M1416">
            <v>34075.872</v>
          </cell>
        </row>
        <row r="1417">
          <cell r="A1417">
            <v>435</v>
          </cell>
          <cell r="B1417" t="str">
            <v/>
          </cell>
          <cell r="C1417" t="str">
            <v>CHANGE GRENACHE-SYRAH ROSE (ORGANIC) 750ML</v>
          </cell>
          <cell r="D1417" t="str">
            <v/>
          </cell>
          <cell r="E1417" t="str">
            <v/>
          </cell>
          <cell r="F1417" t="str">
            <v>Pcs</v>
          </cell>
          <cell r="G1417">
            <v>0</v>
          </cell>
          <cell r="H1417" t="str">
            <v/>
          </cell>
          <cell r="I1417">
            <v>0</v>
          </cell>
          <cell r="J1417">
            <v>0</v>
          </cell>
          <cell r="K1417">
            <v>0</v>
          </cell>
          <cell r="L1417">
            <v>1656</v>
          </cell>
          <cell r="M1417">
            <v>0</v>
          </cell>
        </row>
        <row r="1418">
          <cell r="A1418">
            <v>2373</v>
          </cell>
          <cell r="B1418" t="str">
            <v/>
          </cell>
          <cell r="C1418" t="str">
            <v>CHARLES HEIDESECK ROSE 750ML</v>
          </cell>
          <cell r="D1418" t="str">
            <v/>
          </cell>
          <cell r="E1418" t="str">
            <v/>
          </cell>
          <cell r="F1418" t="str">
            <v>Pcs</v>
          </cell>
          <cell r="G1418">
            <v>0</v>
          </cell>
          <cell r="H1418" t="str">
            <v/>
          </cell>
          <cell r="I1418">
            <v>0</v>
          </cell>
          <cell r="J1418">
            <v>0</v>
          </cell>
          <cell r="K1418">
            <v>0</v>
          </cell>
          <cell r="L1418">
            <v>8500</v>
          </cell>
          <cell r="M1418">
            <v>0</v>
          </cell>
        </row>
        <row r="1419">
          <cell r="A1419">
            <v>443</v>
          </cell>
          <cell r="B1419" t="str">
            <v/>
          </cell>
          <cell r="C1419" t="str">
            <v>CHARLES HEIDSECK BLANC DE BLANC 750ml</v>
          </cell>
          <cell r="D1419" t="str">
            <v/>
          </cell>
          <cell r="E1419" t="str">
            <v/>
          </cell>
          <cell r="F1419" t="str">
            <v>Pcs</v>
          </cell>
          <cell r="G1419">
            <v>0</v>
          </cell>
          <cell r="H1419" t="str">
            <v/>
          </cell>
          <cell r="I1419">
            <v>0</v>
          </cell>
          <cell r="J1419">
            <v>0</v>
          </cell>
          <cell r="K1419">
            <v>0</v>
          </cell>
          <cell r="L1419">
            <v>8740</v>
          </cell>
          <cell r="M1419">
            <v>0</v>
          </cell>
        </row>
        <row r="1420">
          <cell r="A1420">
            <v>2387</v>
          </cell>
          <cell r="B1420" t="str">
            <v/>
          </cell>
          <cell r="C1420" t="str">
            <v>CHILINERO RED 750ML</v>
          </cell>
          <cell r="D1420" t="str">
            <v/>
          </cell>
          <cell r="E1420" t="str">
            <v/>
          </cell>
          <cell r="F1420" t="str">
            <v>Pcs</v>
          </cell>
          <cell r="G1420">
            <v>12</v>
          </cell>
          <cell r="H1420" t="str">
            <v/>
          </cell>
          <cell r="I1420">
            <v>0</v>
          </cell>
          <cell r="J1420">
            <v>0</v>
          </cell>
          <cell r="K1420">
            <v>12</v>
          </cell>
          <cell r="L1420">
            <v>1000</v>
          </cell>
          <cell r="M1420">
            <v>12000</v>
          </cell>
        </row>
        <row r="1421">
          <cell r="A1421">
            <v>2184</v>
          </cell>
          <cell r="B1421" t="str">
            <v/>
          </cell>
          <cell r="C1421" t="str">
            <v>CHILINERO WHITE 750ML</v>
          </cell>
          <cell r="D1421" t="str">
            <v/>
          </cell>
          <cell r="E1421" t="str">
            <v/>
          </cell>
          <cell r="F1421" t="str">
            <v>Pcs</v>
          </cell>
          <cell r="G1421">
            <v>9</v>
          </cell>
          <cell r="H1421" t="str">
            <v/>
          </cell>
          <cell r="I1421">
            <v>0</v>
          </cell>
          <cell r="J1421">
            <v>0</v>
          </cell>
          <cell r="K1421">
            <v>9</v>
          </cell>
          <cell r="L1421">
            <v>850</v>
          </cell>
          <cell r="M1421">
            <v>7650</v>
          </cell>
        </row>
        <row r="1422">
          <cell r="A1422">
            <v>2662</v>
          </cell>
          <cell r="B1422" t="str">
            <v/>
          </cell>
          <cell r="C1422" t="str">
            <v>CH VALAC MEDIUM SWEET RED 750ML</v>
          </cell>
          <cell r="D1422" t="str">
            <v/>
          </cell>
          <cell r="E1422" t="str">
            <v/>
          </cell>
          <cell r="F1422" t="str">
            <v>Pcs</v>
          </cell>
          <cell r="G1422">
            <v>31</v>
          </cell>
          <cell r="H1422" t="str">
            <v/>
          </cell>
          <cell r="I1422">
            <v>0</v>
          </cell>
          <cell r="J1422">
            <v>0</v>
          </cell>
          <cell r="K1422">
            <v>31</v>
          </cell>
          <cell r="L1422">
            <v>800</v>
          </cell>
          <cell r="M1422">
            <v>24800</v>
          </cell>
        </row>
        <row r="1423">
          <cell r="A1423">
            <v>2663</v>
          </cell>
          <cell r="B1423" t="str">
            <v/>
          </cell>
          <cell r="C1423" t="str">
            <v>CH VALAC MEDIUM SWEET WHITE 750ML</v>
          </cell>
          <cell r="D1423" t="str">
            <v/>
          </cell>
          <cell r="E1423" t="str">
            <v/>
          </cell>
          <cell r="F1423" t="str">
            <v>Pcs</v>
          </cell>
          <cell r="G1423">
            <v>37</v>
          </cell>
          <cell r="H1423" t="str">
            <v/>
          </cell>
          <cell r="I1423">
            <v>0</v>
          </cell>
          <cell r="J1423">
            <v>0</v>
          </cell>
          <cell r="K1423">
            <v>37</v>
          </cell>
          <cell r="L1423">
            <v>680</v>
          </cell>
          <cell r="M1423">
            <v>25160</v>
          </cell>
        </row>
        <row r="1424">
          <cell r="A1424">
            <v>2664</v>
          </cell>
          <cell r="B1424" t="str">
            <v/>
          </cell>
          <cell r="C1424" t="str">
            <v>CH VALAC RED 750ML</v>
          </cell>
          <cell r="D1424" t="str">
            <v/>
          </cell>
          <cell r="E1424" t="str">
            <v/>
          </cell>
          <cell r="F1424" t="str">
            <v>Pcs</v>
          </cell>
          <cell r="G1424">
            <v>31</v>
          </cell>
          <cell r="H1424" t="str">
            <v/>
          </cell>
          <cell r="I1424">
            <v>0</v>
          </cell>
          <cell r="J1424">
            <v>12</v>
          </cell>
          <cell r="K1424">
            <v>19</v>
          </cell>
          <cell r="L1424">
            <v>800</v>
          </cell>
          <cell r="M1424">
            <v>15200</v>
          </cell>
        </row>
        <row r="1425">
          <cell r="A1425">
            <v>503</v>
          </cell>
          <cell r="B1425" t="str">
            <v/>
          </cell>
          <cell r="C1425" t="str">
            <v>COCKBURN FINE TAWNY 1LTR</v>
          </cell>
          <cell r="D1425" t="str">
            <v/>
          </cell>
          <cell r="E1425" t="str">
            <v/>
          </cell>
          <cell r="F1425" t="str">
            <v>Pcs</v>
          </cell>
          <cell r="G1425">
            <v>4</v>
          </cell>
          <cell r="H1425" t="str">
            <v/>
          </cell>
          <cell r="I1425">
            <v>0</v>
          </cell>
          <cell r="J1425">
            <v>0</v>
          </cell>
          <cell r="K1425">
            <v>4</v>
          </cell>
          <cell r="L1425">
            <v>2500</v>
          </cell>
          <cell r="M1425">
            <v>10000</v>
          </cell>
        </row>
        <row r="1426">
          <cell r="A1426">
            <v>523</v>
          </cell>
          <cell r="B1426" t="str">
            <v/>
          </cell>
          <cell r="C1426" t="str">
            <v>CONSIGNIA CHARDONNAY 750ML</v>
          </cell>
          <cell r="D1426" t="str">
            <v/>
          </cell>
          <cell r="E1426" t="str">
            <v/>
          </cell>
          <cell r="F1426" t="str">
            <v>Pcs</v>
          </cell>
          <cell r="G1426">
            <v>18</v>
          </cell>
          <cell r="H1426" t="str">
            <v/>
          </cell>
          <cell r="I1426">
            <v>0</v>
          </cell>
          <cell r="J1426">
            <v>0</v>
          </cell>
          <cell r="K1426">
            <v>18</v>
          </cell>
          <cell r="L1426">
            <v>1240</v>
          </cell>
          <cell r="M1426">
            <v>22320</v>
          </cell>
        </row>
        <row r="1427">
          <cell r="A1427">
            <v>2186</v>
          </cell>
          <cell r="B1427" t="str">
            <v/>
          </cell>
          <cell r="C1427" t="str">
            <v>CONSIGNIA  MERLOT 750ML</v>
          </cell>
          <cell r="D1427" t="str">
            <v/>
          </cell>
          <cell r="E1427" t="str">
            <v/>
          </cell>
          <cell r="F1427" t="str">
            <v>Pcs</v>
          </cell>
          <cell r="G1427">
            <v>60</v>
          </cell>
          <cell r="H1427" t="str">
            <v/>
          </cell>
          <cell r="I1427">
            <v>0</v>
          </cell>
          <cell r="J1427">
            <v>0</v>
          </cell>
          <cell r="K1427">
            <v>60</v>
          </cell>
          <cell r="L1427">
            <v>1400</v>
          </cell>
          <cell r="M1427">
            <v>84000</v>
          </cell>
        </row>
        <row r="1428">
          <cell r="A1428">
            <v>524</v>
          </cell>
          <cell r="B1428" t="str">
            <v/>
          </cell>
          <cell r="C1428" t="str">
            <v>CONSIGNIA ROSE 750ML</v>
          </cell>
          <cell r="D1428" t="str">
            <v/>
          </cell>
          <cell r="E1428" t="str">
            <v/>
          </cell>
          <cell r="F1428" t="str">
            <v>Pcs</v>
          </cell>
          <cell r="G1428">
            <v>0</v>
          </cell>
          <cell r="H1428" t="str">
            <v/>
          </cell>
          <cell r="I1428">
            <v>0</v>
          </cell>
          <cell r="J1428">
            <v>0</v>
          </cell>
          <cell r="K1428">
            <v>0</v>
          </cell>
          <cell r="L1428">
            <v>1240</v>
          </cell>
          <cell r="M1428">
            <v>0</v>
          </cell>
        </row>
        <row r="1429">
          <cell r="A1429">
            <v>525</v>
          </cell>
          <cell r="B1429" t="str">
            <v/>
          </cell>
          <cell r="C1429" t="str">
            <v>CONSIGNIA SHIRAZ 750ML</v>
          </cell>
          <cell r="D1429" t="str">
            <v/>
          </cell>
          <cell r="E1429" t="str">
            <v/>
          </cell>
          <cell r="F1429" t="str">
            <v>Pcs</v>
          </cell>
          <cell r="G1429">
            <v>12</v>
          </cell>
          <cell r="H1429" t="str">
            <v/>
          </cell>
          <cell r="I1429">
            <v>0</v>
          </cell>
          <cell r="J1429">
            <v>12</v>
          </cell>
          <cell r="K1429">
            <v>0</v>
          </cell>
          <cell r="L1429">
            <v>1240</v>
          </cell>
          <cell r="M1429">
            <v>0</v>
          </cell>
        </row>
        <row r="1430">
          <cell r="A1430">
            <v>547</v>
          </cell>
          <cell r="B1430" t="str">
            <v/>
          </cell>
          <cell r="C1430" t="str">
            <v>CREMA NOBILE AL CIOCCOLATA 750ML</v>
          </cell>
          <cell r="D1430" t="str">
            <v/>
          </cell>
          <cell r="E1430" t="str">
            <v/>
          </cell>
          <cell r="F1430" t="str">
            <v>Pcs</v>
          </cell>
          <cell r="G1430">
            <v>0</v>
          </cell>
          <cell r="H1430" t="str">
            <v/>
          </cell>
          <cell r="I1430">
            <v>0</v>
          </cell>
          <cell r="J1430">
            <v>0</v>
          </cell>
          <cell r="K1430">
            <v>0</v>
          </cell>
          <cell r="L1430">
            <v>1288</v>
          </cell>
          <cell r="M1430">
            <v>0</v>
          </cell>
        </row>
        <row r="1431">
          <cell r="A1431">
            <v>549</v>
          </cell>
          <cell r="B1431" t="str">
            <v/>
          </cell>
          <cell r="C1431" t="str">
            <v>CULEMBORG CAPE RED 1.5LTR</v>
          </cell>
          <cell r="D1431" t="str">
            <v/>
          </cell>
          <cell r="E1431" t="str">
            <v/>
          </cell>
          <cell r="F1431" t="str">
            <v>Pcs</v>
          </cell>
          <cell r="G1431">
            <v>0</v>
          </cell>
          <cell r="H1431" t="str">
            <v/>
          </cell>
          <cell r="I1431">
            <v>0</v>
          </cell>
          <cell r="J1431">
            <v>0</v>
          </cell>
          <cell r="K1431">
            <v>0</v>
          </cell>
          <cell r="L1431">
            <v>1564</v>
          </cell>
          <cell r="M1431">
            <v>0</v>
          </cell>
        </row>
        <row r="1432">
          <cell r="A1432">
            <v>552</v>
          </cell>
          <cell r="B1432" t="str">
            <v/>
          </cell>
          <cell r="C1432" t="str">
            <v>CULEMBORG MERLOT 750ML</v>
          </cell>
          <cell r="D1432" t="str">
            <v/>
          </cell>
          <cell r="E1432" t="str">
            <v/>
          </cell>
          <cell r="F1432" t="str">
            <v>Pcs</v>
          </cell>
          <cell r="G1432">
            <v>0</v>
          </cell>
          <cell r="H1432" t="str">
            <v/>
          </cell>
          <cell r="I1432">
            <v>0</v>
          </cell>
          <cell r="J1432">
            <v>0</v>
          </cell>
          <cell r="K1432">
            <v>0</v>
          </cell>
          <cell r="L1432">
            <v>782</v>
          </cell>
          <cell r="M1432">
            <v>0</v>
          </cell>
        </row>
        <row r="1433">
          <cell r="A1433">
            <v>553</v>
          </cell>
          <cell r="B1433" t="str">
            <v/>
          </cell>
          <cell r="C1433" t="str">
            <v>CULEMBORG S.A RED 750ML</v>
          </cell>
          <cell r="D1433" t="str">
            <v/>
          </cell>
          <cell r="E1433" t="str">
            <v/>
          </cell>
          <cell r="F1433" t="str">
            <v>Pcs</v>
          </cell>
          <cell r="G1433">
            <v>9</v>
          </cell>
          <cell r="H1433" t="str">
            <v/>
          </cell>
          <cell r="I1433">
            <v>0</v>
          </cell>
          <cell r="J1433">
            <v>0</v>
          </cell>
          <cell r="K1433">
            <v>9</v>
          </cell>
          <cell r="L1433">
            <v>782</v>
          </cell>
          <cell r="M1433">
            <v>7038</v>
          </cell>
        </row>
        <row r="1434">
          <cell r="A1434">
            <v>596</v>
          </cell>
          <cell r="B1434" t="str">
            <v/>
          </cell>
          <cell r="C1434" t="str">
            <v>DELUSH SWEET RED 750ML</v>
          </cell>
          <cell r="D1434" t="str">
            <v/>
          </cell>
          <cell r="E1434" t="str">
            <v/>
          </cell>
          <cell r="F1434" t="str">
            <v>Pcs</v>
          </cell>
          <cell r="G1434">
            <v>537</v>
          </cell>
          <cell r="H1434" t="str">
            <v/>
          </cell>
          <cell r="I1434">
            <v>0</v>
          </cell>
          <cell r="J1434">
            <v>0</v>
          </cell>
          <cell r="K1434">
            <v>537</v>
          </cell>
          <cell r="L1434">
            <v>750</v>
          </cell>
          <cell r="M1434">
            <v>402750</v>
          </cell>
        </row>
        <row r="1435">
          <cell r="A1435">
            <v>597</v>
          </cell>
          <cell r="B1435" t="str">
            <v/>
          </cell>
          <cell r="C1435" t="str">
            <v>DELUSH SWEET ROSE 750ML</v>
          </cell>
          <cell r="D1435" t="str">
            <v/>
          </cell>
          <cell r="E1435" t="str">
            <v/>
          </cell>
          <cell r="F1435" t="str">
            <v>Pcs</v>
          </cell>
          <cell r="G1435">
            <v>36</v>
          </cell>
          <cell r="H1435" t="str">
            <v/>
          </cell>
          <cell r="I1435">
            <v>0</v>
          </cell>
          <cell r="J1435">
            <v>12</v>
          </cell>
          <cell r="K1435">
            <v>24</v>
          </cell>
          <cell r="L1435">
            <v>672</v>
          </cell>
          <cell r="M1435">
            <v>16128</v>
          </cell>
        </row>
        <row r="1436">
          <cell r="A1436">
            <v>598</v>
          </cell>
          <cell r="B1436" t="str">
            <v/>
          </cell>
          <cell r="C1436" t="str">
            <v>DELUSH SWEET WHITE 750ML</v>
          </cell>
          <cell r="D1436" t="str">
            <v/>
          </cell>
          <cell r="E1436" t="str">
            <v/>
          </cell>
          <cell r="F1436" t="str">
            <v>Pcs</v>
          </cell>
          <cell r="G1436">
            <v>228</v>
          </cell>
          <cell r="H1436" t="str">
            <v/>
          </cell>
          <cell r="I1436">
            <v>0</v>
          </cell>
          <cell r="J1436">
            <v>0</v>
          </cell>
          <cell r="K1436">
            <v>228</v>
          </cell>
          <cell r="L1436">
            <v>672</v>
          </cell>
          <cell r="M1436">
            <v>153216</v>
          </cell>
        </row>
        <row r="1437">
          <cell r="A1437">
            <v>614</v>
          </cell>
          <cell r="B1437" t="str">
            <v/>
          </cell>
          <cell r="C1437" t="str">
            <v>DOM PERIGNON ROSE 750ML</v>
          </cell>
          <cell r="D1437" t="str">
            <v/>
          </cell>
          <cell r="E1437" t="str">
            <v/>
          </cell>
          <cell r="F1437" t="str">
            <v>Pcs</v>
          </cell>
          <cell r="G1437">
            <v>10</v>
          </cell>
          <cell r="H1437" t="str">
            <v/>
          </cell>
          <cell r="I1437">
            <v>0</v>
          </cell>
          <cell r="J1437">
            <v>0</v>
          </cell>
          <cell r="K1437">
            <v>10</v>
          </cell>
          <cell r="L1437">
            <v>47840</v>
          </cell>
          <cell r="M1437">
            <v>478400</v>
          </cell>
        </row>
        <row r="1438">
          <cell r="A1438">
            <v>2332</v>
          </cell>
          <cell r="B1438" t="str">
            <v/>
          </cell>
          <cell r="C1438" t="str">
            <v>DOMPO SWT RED 750ML</v>
          </cell>
          <cell r="D1438" t="str">
            <v/>
          </cell>
          <cell r="E1438" t="str">
            <v/>
          </cell>
          <cell r="F1438" t="str">
            <v>Pcs</v>
          </cell>
          <cell r="G1438">
            <v>0</v>
          </cell>
          <cell r="H1438" t="str">
            <v/>
          </cell>
          <cell r="I1438">
            <v>0</v>
          </cell>
          <cell r="J1438">
            <v>0</v>
          </cell>
          <cell r="K1438">
            <v>0</v>
          </cell>
          <cell r="L1438">
            <v>1060</v>
          </cell>
          <cell r="M1438">
            <v>0</v>
          </cell>
        </row>
        <row r="1439">
          <cell r="A1439">
            <v>2333</v>
          </cell>
          <cell r="B1439" t="str">
            <v/>
          </cell>
          <cell r="C1439" t="str">
            <v>DOMPO SWT ROSE 750ML</v>
          </cell>
          <cell r="D1439" t="str">
            <v/>
          </cell>
          <cell r="E1439" t="str">
            <v/>
          </cell>
          <cell r="F1439" t="str">
            <v>Pcs</v>
          </cell>
          <cell r="G1439">
            <v>12</v>
          </cell>
          <cell r="H1439" t="str">
            <v/>
          </cell>
          <cell r="I1439">
            <v>0</v>
          </cell>
          <cell r="J1439">
            <v>0</v>
          </cell>
          <cell r="K1439">
            <v>12</v>
          </cell>
          <cell r="L1439">
            <v>1060</v>
          </cell>
          <cell r="M1439">
            <v>12720</v>
          </cell>
        </row>
        <row r="1440">
          <cell r="A1440">
            <v>2334</v>
          </cell>
          <cell r="B1440" t="str">
            <v/>
          </cell>
          <cell r="C1440" t="str">
            <v>DOMPO SWT WHITE 750ML</v>
          </cell>
          <cell r="D1440" t="str">
            <v/>
          </cell>
          <cell r="E1440" t="str">
            <v/>
          </cell>
          <cell r="F1440" t="str">
            <v>Pcs</v>
          </cell>
          <cell r="G1440">
            <v>0</v>
          </cell>
          <cell r="H1440" t="str">
            <v/>
          </cell>
          <cell r="I1440">
            <v>0</v>
          </cell>
          <cell r="J1440">
            <v>0</v>
          </cell>
          <cell r="K1440">
            <v>0</v>
          </cell>
          <cell r="L1440">
            <v>1060</v>
          </cell>
          <cell r="M1440">
            <v>0</v>
          </cell>
        </row>
        <row r="1441">
          <cell r="A1441">
            <v>632</v>
          </cell>
          <cell r="B1441" t="str">
            <v/>
          </cell>
          <cell r="C1441" t="str">
            <v>DOUGLAS GREEN MERLOT 750ML</v>
          </cell>
          <cell r="D1441" t="str">
            <v/>
          </cell>
          <cell r="E1441" t="str">
            <v/>
          </cell>
          <cell r="F1441" t="str">
            <v>Pcs</v>
          </cell>
          <cell r="G1441">
            <v>3</v>
          </cell>
          <cell r="H1441" t="str">
            <v/>
          </cell>
          <cell r="I1441">
            <v>0</v>
          </cell>
          <cell r="J1441">
            <v>0</v>
          </cell>
          <cell r="K1441">
            <v>3</v>
          </cell>
          <cell r="L1441">
            <v>1104</v>
          </cell>
          <cell r="M1441">
            <v>3312</v>
          </cell>
        </row>
        <row r="1442">
          <cell r="A1442">
            <v>638</v>
          </cell>
          <cell r="B1442" t="str">
            <v/>
          </cell>
          <cell r="C1442" t="str">
            <v>DROSTDY HOF CLARET 3LTR</v>
          </cell>
          <cell r="D1442" t="str">
            <v/>
          </cell>
          <cell r="E1442" t="str">
            <v/>
          </cell>
          <cell r="F1442" t="str">
            <v>Pcs</v>
          </cell>
          <cell r="G1442">
            <v>82</v>
          </cell>
          <cell r="H1442" t="str">
            <v/>
          </cell>
          <cell r="I1442">
            <v>0</v>
          </cell>
          <cell r="J1442">
            <v>0</v>
          </cell>
          <cell r="K1442">
            <v>82</v>
          </cell>
          <cell r="L1442">
            <v>1850</v>
          </cell>
          <cell r="M1442">
            <v>151700</v>
          </cell>
        </row>
        <row r="1443">
          <cell r="A1443">
            <v>643</v>
          </cell>
          <cell r="B1443" t="str">
            <v/>
          </cell>
          <cell r="C1443" t="str">
            <v>DROSTDY-HOF CLARET 750ML</v>
          </cell>
          <cell r="D1443" t="str">
            <v/>
          </cell>
          <cell r="E1443" t="str">
            <v/>
          </cell>
          <cell r="F1443" t="str">
            <v>Pcs</v>
          </cell>
          <cell r="G1443">
            <v>90</v>
          </cell>
          <cell r="H1443" t="str">
            <v/>
          </cell>
          <cell r="I1443">
            <v>336</v>
          </cell>
          <cell r="J1443">
            <v>367</v>
          </cell>
          <cell r="K1443">
            <v>59</v>
          </cell>
          <cell r="L1443">
            <v>780</v>
          </cell>
          <cell r="M1443">
            <v>46020</v>
          </cell>
        </row>
        <row r="1444">
          <cell r="A1444">
            <v>644</v>
          </cell>
          <cell r="B1444" t="str">
            <v/>
          </cell>
          <cell r="C1444" t="str">
            <v>DROSTDY-HOF G/CRU 5LTR</v>
          </cell>
          <cell r="D1444" t="str">
            <v/>
          </cell>
          <cell r="E1444" t="str">
            <v/>
          </cell>
          <cell r="F1444" t="str">
            <v>Pcs</v>
          </cell>
          <cell r="G1444">
            <v>0</v>
          </cell>
          <cell r="H1444" t="str">
            <v/>
          </cell>
          <cell r="I1444">
            <v>0</v>
          </cell>
          <cell r="J1444">
            <v>0</v>
          </cell>
          <cell r="K1444">
            <v>0</v>
          </cell>
          <cell r="L1444">
            <v>3200</v>
          </cell>
          <cell r="M1444">
            <v>0</v>
          </cell>
        </row>
        <row r="1445">
          <cell r="A1445">
            <v>645</v>
          </cell>
          <cell r="B1445" t="str">
            <v/>
          </cell>
          <cell r="C1445" t="str">
            <v>DROSTDY-HOF G/CRU 750ML</v>
          </cell>
          <cell r="D1445" t="str">
            <v/>
          </cell>
          <cell r="E1445" t="str">
            <v/>
          </cell>
          <cell r="F1445" t="str">
            <v>Pcs</v>
          </cell>
          <cell r="G1445">
            <v>0</v>
          </cell>
          <cell r="H1445" t="str">
            <v/>
          </cell>
          <cell r="I1445">
            <v>0</v>
          </cell>
          <cell r="J1445">
            <v>0</v>
          </cell>
          <cell r="K1445">
            <v>0</v>
          </cell>
          <cell r="L1445">
            <v>780</v>
          </cell>
          <cell r="M1445">
            <v>0</v>
          </cell>
        </row>
        <row r="1446">
          <cell r="A1446">
            <v>639</v>
          </cell>
          <cell r="B1446" t="str">
            <v/>
          </cell>
          <cell r="C1446" t="str">
            <v>DROSTDY HOF RED 375ML</v>
          </cell>
          <cell r="D1446" t="str">
            <v/>
          </cell>
          <cell r="E1446" t="str">
            <v/>
          </cell>
          <cell r="F1446" t="str">
            <v>Pcs</v>
          </cell>
          <cell r="G1446">
            <v>48</v>
          </cell>
          <cell r="H1446" t="str">
            <v/>
          </cell>
          <cell r="I1446">
            <v>0</v>
          </cell>
          <cell r="J1446">
            <v>0</v>
          </cell>
          <cell r="K1446">
            <v>48</v>
          </cell>
          <cell r="L1446">
            <v>360</v>
          </cell>
          <cell r="M1446">
            <v>17280</v>
          </cell>
        </row>
        <row r="1447">
          <cell r="A1447">
            <v>640</v>
          </cell>
          <cell r="B1447" t="str">
            <v/>
          </cell>
          <cell r="C1447" t="str">
            <v>DROSTDY HOF WHITE 375ML</v>
          </cell>
          <cell r="D1447" t="str">
            <v/>
          </cell>
          <cell r="E1447" t="str">
            <v/>
          </cell>
          <cell r="F1447" t="str">
            <v>Pcs</v>
          </cell>
          <cell r="G1447">
            <v>0</v>
          </cell>
          <cell r="H1447" t="str">
            <v/>
          </cell>
          <cell r="I1447">
            <v>0</v>
          </cell>
          <cell r="J1447">
            <v>0</v>
          </cell>
          <cell r="K1447">
            <v>0</v>
          </cell>
          <cell r="L1447">
            <v>360</v>
          </cell>
          <cell r="M1447">
            <v>0</v>
          </cell>
        </row>
        <row r="1448">
          <cell r="A1448">
            <v>642</v>
          </cell>
          <cell r="B1448" t="str">
            <v/>
          </cell>
          <cell r="C1448" t="str">
            <v>DROSTDY HOF WHITE 3LTR</v>
          </cell>
          <cell r="D1448" t="str">
            <v/>
          </cell>
          <cell r="E1448" t="str">
            <v/>
          </cell>
          <cell r="F1448" t="str">
            <v>Pcs</v>
          </cell>
          <cell r="G1448">
            <v>2</v>
          </cell>
          <cell r="H1448" t="str">
            <v/>
          </cell>
          <cell r="I1448">
            <v>0</v>
          </cell>
          <cell r="J1448">
            <v>0</v>
          </cell>
          <cell r="K1448">
            <v>2</v>
          </cell>
          <cell r="L1448">
            <v>1850</v>
          </cell>
          <cell r="M1448">
            <v>3700</v>
          </cell>
        </row>
        <row r="1449">
          <cell r="A1449">
            <v>641</v>
          </cell>
          <cell r="B1449" t="str">
            <v/>
          </cell>
          <cell r="C1449" t="str">
            <v>DROSTDY RED CLARET 5LTR</v>
          </cell>
          <cell r="D1449" t="str">
            <v/>
          </cell>
          <cell r="E1449" t="str">
            <v/>
          </cell>
          <cell r="F1449" t="str">
            <v>Pcs</v>
          </cell>
          <cell r="G1449">
            <v>0</v>
          </cell>
          <cell r="H1449" t="str">
            <v/>
          </cell>
          <cell r="I1449">
            <v>0</v>
          </cell>
          <cell r="J1449">
            <v>0</v>
          </cell>
          <cell r="K1449">
            <v>0</v>
          </cell>
          <cell r="L1449">
            <v>3500</v>
          </cell>
          <cell r="M1449">
            <v>0</v>
          </cell>
        </row>
        <row r="1450">
          <cell r="A1450">
            <v>2189</v>
          </cell>
          <cell r="B1450" t="str">
            <v/>
          </cell>
          <cell r="C1450" t="str">
            <v>DROSTDY SWEET ROSE 750ML</v>
          </cell>
          <cell r="D1450" t="str">
            <v/>
          </cell>
          <cell r="E1450" t="str">
            <v/>
          </cell>
          <cell r="F1450" t="str">
            <v>Pcs</v>
          </cell>
          <cell r="G1450">
            <v>0</v>
          </cell>
          <cell r="H1450" t="str">
            <v/>
          </cell>
          <cell r="I1450">
            <v>0</v>
          </cell>
          <cell r="J1450">
            <v>0</v>
          </cell>
          <cell r="K1450">
            <v>0</v>
          </cell>
          <cell r="L1450">
            <v>750</v>
          </cell>
          <cell r="M1450">
            <v>0</v>
          </cell>
        </row>
        <row r="1451">
          <cell r="A1451">
            <v>2216</v>
          </cell>
          <cell r="B1451" t="str">
            <v/>
          </cell>
          <cell r="C1451" t="str">
            <v>DUCHESALIA BARBERA 750ML</v>
          </cell>
          <cell r="D1451" t="str">
            <v/>
          </cell>
          <cell r="E1451" t="str">
            <v/>
          </cell>
          <cell r="F1451" t="str">
            <v>Pcs</v>
          </cell>
          <cell r="G1451">
            <v>1</v>
          </cell>
          <cell r="H1451" t="str">
            <v/>
          </cell>
          <cell r="I1451">
            <v>0</v>
          </cell>
          <cell r="J1451">
            <v>0</v>
          </cell>
          <cell r="K1451">
            <v>1</v>
          </cell>
          <cell r="L1451">
            <v>1300</v>
          </cell>
          <cell r="M1451">
            <v>1300</v>
          </cell>
        </row>
        <row r="1452">
          <cell r="A1452">
            <v>646</v>
          </cell>
          <cell r="B1452" t="str">
            <v/>
          </cell>
          <cell r="C1452" t="str">
            <v>DUCHESALIA FRAGOLINO RED 750ML</v>
          </cell>
          <cell r="D1452" t="str">
            <v/>
          </cell>
          <cell r="E1452" t="str">
            <v/>
          </cell>
          <cell r="F1452" t="str">
            <v>Pcs</v>
          </cell>
          <cell r="G1452">
            <v>84</v>
          </cell>
          <cell r="H1452" t="str">
            <v/>
          </cell>
          <cell r="I1452">
            <v>0</v>
          </cell>
          <cell r="J1452">
            <v>42</v>
          </cell>
          <cell r="K1452">
            <v>42</v>
          </cell>
          <cell r="L1452">
            <v>1200</v>
          </cell>
          <cell r="M1452">
            <v>50400</v>
          </cell>
        </row>
        <row r="1453">
          <cell r="A1453">
            <v>647</v>
          </cell>
          <cell r="B1453" t="str">
            <v/>
          </cell>
          <cell r="C1453" t="str">
            <v>DUCHESALIA FRAGOLINO ROSE 750ML</v>
          </cell>
          <cell r="D1453" t="str">
            <v/>
          </cell>
          <cell r="E1453" t="str">
            <v/>
          </cell>
          <cell r="F1453" t="str">
            <v>Pcs</v>
          </cell>
          <cell r="G1453">
            <v>0</v>
          </cell>
          <cell r="H1453" t="str">
            <v/>
          </cell>
          <cell r="I1453">
            <v>0</v>
          </cell>
          <cell r="J1453">
            <v>0</v>
          </cell>
          <cell r="K1453">
            <v>0</v>
          </cell>
          <cell r="L1453">
            <v>1200</v>
          </cell>
          <cell r="M1453">
            <v>0</v>
          </cell>
        </row>
        <row r="1454">
          <cell r="A1454">
            <v>648</v>
          </cell>
          <cell r="B1454" t="str">
            <v/>
          </cell>
          <cell r="C1454" t="str">
            <v>DUCHESALIA FRAGOLINO WHITE 750ML</v>
          </cell>
          <cell r="D1454" t="str">
            <v/>
          </cell>
          <cell r="E1454" t="str">
            <v/>
          </cell>
          <cell r="F1454" t="str">
            <v>Pcs</v>
          </cell>
          <cell r="G1454">
            <v>30</v>
          </cell>
          <cell r="H1454" t="str">
            <v/>
          </cell>
          <cell r="I1454">
            <v>0</v>
          </cell>
          <cell r="J1454">
            <v>30</v>
          </cell>
          <cell r="K1454">
            <v>0</v>
          </cell>
          <cell r="L1454">
            <v>1200</v>
          </cell>
          <cell r="M1454">
            <v>0</v>
          </cell>
        </row>
        <row r="1455">
          <cell r="A1455">
            <v>652</v>
          </cell>
          <cell r="B1455" t="str">
            <v/>
          </cell>
          <cell r="C1455" t="str">
            <v>DURBANVILLE HILLS CAB SAUV 750ML</v>
          </cell>
          <cell r="D1455" t="str">
            <v/>
          </cell>
          <cell r="E1455" t="str">
            <v/>
          </cell>
          <cell r="F1455" t="str">
            <v>Pcs</v>
          </cell>
          <cell r="G1455">
            <v>2</v>
          </cell>
          <cell r="H1455" t="str">
            <v/>
          </cell>
          <cell r="I1455">
            <v>0</v>
          </cell>
          <cell r="J1455">
            <v>0</v>
          </cell>
          <cell r="K1455">
            <v>2</v>
          </cell>
          <cell r="L1455">
            <v>828</v>
          </cell>
          <cell r="M1455">
            <v>1656</v>
          </cell>
        </row>
        <row r="1456">
          <cell r="A1456">
            <v>654</v>
          </cell>
          <cell r="B1456" t="str">
            <v/>
          </cell>
          <cell r="C1456" t="str">
            <v>DURBANVILLE HILLS PINOTAGE 750ML</v>
          </cell>
          <cell r="D1456" t="str">
            <v/>
          </cell>
          <cell r="E1456" t="str">
            <v/>
          </cell>
          <cell r="F1456" t="str">
            <v>Pcs</v>
          </cell>
          <cell r="G1456">
            <v>2</v>
          </cell>
          <cell r="H1456" t="str">
            <v/>
          </cell>
          <cell r="I1456">
            <v>0</v>
          </cell>
          <cell r="J1456">
            <v>0</v>
          </cell>
          <cell r="K1456">
            <v>2</v>
          </cell>
          <cell r="L1456">
            <v>828</v>
          </cell>
          <cell r="M1456">
            <v>1656</v>
          </cell>
        </row>
        <row r="1457">
          <cell r="A1457">
            <v>655</v>
          </cell>
          <cell r="B1457" t="str">
            <v/>
          </cell>
          <cell r="C1457" t="str">
            <v>DURBANVILLE HILLS RESERVE CHARDONNAY 750ML</v>
          </cell>
          <cell r="D1457" t="str">
            <v/>
          </cell>
          <cell r="E1457" t="str">
            <v/>
          </cell>
          <cell r="F1457" t="str">
            <v>Pcs</v>
          </cell>
          <cell r="G1457">
            <v>1</v>
          </cell>
          <cell r="H1457" t="str">
            <v/>
          </cell>
          <cell r="I1457">
            <v>0</v>
          </cell>
          <cell r="J1457">
            <v>0</v>
          </cell>
          <cell r="K1457">
            <v>1</v>
          </cell>
          <cell r="L1457">
            <v>828</v>
          </cell>
          <cell r="M1457">
            <v>828</v>
          </cell>
        </row>
        <row r="1458">
          <cell r="A1458">
            <v>2442</v>
          </cell>
          <cell r="B1458" t="str">
            <v/>
          </cell>
          <cell r="C1458" t="str">
            <v>DURBANVILLE HILLS SAUV BLANC 750ML</v>
          </cell>
          <cell r="D1458" t="str">
            <v/>
          </cell>
          <cell r="E1458" t="str">
            <v/>
          </cell>
          <cell r="F1458" t="str">
            <v>Pcs</v>
          </cell>
          <cell r="G1458">
            <v>2</v>
          </cell>
          <cell r="H1458" t="str">
            <v/>
          </cell>
          <cell r="I1458">
            <v>0</v>
          </cell>
          <cell r="J1458">
            <v>0</v>
          </cell>
          <cell r="K1458">
            <v>2</v>
          </cell>
          <cell r="L1458">
            <v>828</v>
          </cell>
          <cell r="M1458">
            <v>1656</v>
          </cell>
        </row>
        <row r="1459">
          <cell r="A1459">
            <v>2389</v>
          </cell>
          <cell r="B1459" t="str">
            <v/>
          </cell>
          <cell r="C1459" t="str">
            <v>ELECTIO CAB SAUV 750ML</v>
          </cell>
          <cell r="D1459" t="str">
            <v/>
          </cell>
          <cell r="E1459" t="str">
            <v/>
          </cell>
          <cell r="F1459" t="str">
            <v>Pcs</v>
          </cell>
          <cell r="G1459">
            <v>1</v>
          </cell>
          <cell r="H1459" t="str">
            <v/>
          </cell>
          <cell r="I1459">
            <v>0</v>
          </cell>
          <cell r="J1459">
            <v>0</v>
          </cell>
          <cell r="K1459">
            <v>1</v>
          </cell>
          <cell r="L1459">
            <v>1000</v>
          </cell>
          <cell r="M1459">
            <v>1000</v>
          </cell>
        </row>
        <row r="1460">
          <cell r="A1460">
            <v>2390</v>
          </cell>
          <cell r="B1460" t="str">
            <v/>
          </cell>
          <cell r="C1460" t="str">
            <v>ELECTIO MERLOT 750ML</v>
          </cell>
          <cell r="D1460" t="str">
            <v/>
          </cell>
          <cell r="E1460" t="str">
            <v/>
          </cell>
          <cell r="F1460" t="str">
            <v>Pcs</v>
          </cell>
          <cell r="G1460">
            <v>2</v>
          </cell>
          <cell r="H1460" t="str">
            <v/>
          </cell>
          <cell r="I1460">
            <v>0</v>
          </cell>
          <cell r="J1460">
            <v>0</v>
          </cell>
          <cell r="K1460">
            <v>2</v>
          </cell>
          <cell r="L1460">
            <v>1000</v>
          </cell>
          <cell r="M1460">
            <v>2000</v>
          </cell>
        </row>
        <row r="1461">
          <cell r="A1461">
            <v>667</v>
          </cell>
          <cell r="B1461" t="str">
            <v/>
          </cell>
          <cell r="C1461" t="str">
            <v>ESTANCIA MENDOZA 750ML</v>
          </cell>
          <cell r="D1461" t="str">
            <v/>
          </cell>
          <cell r="E1461" t="str">
            <v/>
          </cell>
          <cell r="F1461" t="str">
            <v>Pcs</v>
          </cell>
          <cell r="G1461">
            <v>0</v>
          </cell>
          <cell r="H1461" t="str">
            <v/>
          </cell>
          <cell r="I1461">
            <v>0</v>
          </cell>
          <cell r="J1461">
            <v>0</v>
          </cell>
          <cell r="K1461">
            <v>0</v>
          </cell>
          <cell r="L1461">
            <v>1550</v>
          </cell>
          <cell r="M1461">
            <v>0</v>
          </cell>
        </row>
        <row r="1462">
          <cell r="A1462">
            <v>668</v>
          </cell>
          <cell r="B1462" t="str">
            <v/>
          </cell>
          <cell r="C1462" t="str">
            <v>ESTANCIA MENDOZA MALBEC 750ml</v>
          </cell>
          <cell r="D1462" t="str">
            <v/>
          </cell>
          <cell r="E1462" t="str">
            <v/>
          </cell>
          <cell r="F1462" t="str">
            <v>Pcs</v>
          </cell>
          <cell r="G1462">
            <v>0</v>
          </cell>
          <cell r="H1462" t="str">
            <v/>
          </cell>
          <cell r="I1462">
            <v>0</v>
          </cell>
          <cell r="J1462">
            <v>0</v>
          </cell>
          <cell r="K1462">
            <v>0</v>
          </cell>
          <cell r="L1462">
            <v>1518</v>
          </cell>
          <cell r="M1462">
            <v>0</v>
          </cell>
        </row>
        <row r="1463">
          <cell r="A1463">
            <v>669</v>
          </cell>
          <cell r="B1463" t="str">
            <v/>
          </cell>
          <cell r="C1463" t="str">
            <v>ESTANCIA MENDOZA MERLOT 750ml</v>
          </cell>
          <cell r="D1463" t="str">
            <v/>
          </cell>
          <cell r="E1463" t="str">
            <v/>
          </cell>
          <cell r="F1463" t="str">
            <v>Pcs</v>
          </cell>
          <cell r="G1463">
            <v>0</v>
          </cell>
          <cell r="H1463" t="str">
            <v/>
          </cell>
          <cell r="I1463">
            <v>0</v>
          </cell>
          <cell r="J1463">
            <v>0</v>
          </cell>
          <cell r="K1463">
            <v>0</v>
          </cell>
          <cell r="L1463">
            <v>1518</v>
          </cell>
          <cell r="M1463">
            <v>0</v>
          </cell>
        </row>
        <row r="1464">
          <cell r="A1464">
            <v>2494</v>
          </cell>
          <cell r="B1464" t="str">
            <v/>
          </cell>
          <cell r="C1464" t="str">
            <v>EXPRESION BRUT SPARKLING 750ML</v>
          </cell>
          <cell r="D1464" t="str">
            <v/>
          </cell>
          <cell r="E1464" t="str">
            <v/>
          </cell>
          <cell r="F1464" t="str">
            <v>Pcs</v>
          </cell>
          <cell r="G1464">
            <v>6</v>
          </cell>
          <cell r="H1464" t="str">
            <v/>
          </cell>
          <cell r="I1464">
            <v>0</v>
          </cell>
          <cell r="J1464">
            <v>0</v>
          </cell>
          <cell r="K1464">
            <v>6</v>
          </cell>
          <cell r="L1464">
            <v>1200</v>
          </cell>
          <cell r="M1464">
            <v>7200</v>
          </cell>
        </row>
        <row r="1465">
          <cell r="A1465">
            <v>2495</v>
          </cell>
          <cell r="B1465" t="str">
            <v/>
          </cell>
          <cell r="C1465" t="str">
            <v>EXPRESION SWEET ROSE 750ML</v>
          </cell>
          <cell r="D1465" t="str">
            <v/>
          </cell>
          <cell r="E1465" t="str">
            <v/>
          </cell>
          <cell r="F1465" t="str">
            <v>Pcs</v>
          </cell>
          <cell r="G1465">
            <v>18</v>
          </cell>
          <cell r="H1465" t="str">
            <v/>
          </cell>
          <cell r="I1465">
            <v>0</v>
          </cell>
          <cell r="J1465">
            <v>6</v>
          </cell>
          <cell r="K1465">
            <v>12</v>
          </cell>
          <cell r="L1465">
            <v>1200</v>
          </cell>
          <cell r="M1465">
            <v>14400</v>
          </cell>
        </row>
        <row r="1466">
          <cell r="A1466">
            <v>2594</v>
          </cell>
          <cell r="B1466" t="str">
            <v/>
          </cell>
          <cell r="C1466" t="str">
            <v>EXPRESSION MIMOSA 750ML</v>
          </cell>
          <cell r="D1466" t="str">
            <v/>
          </cell>
          <cell r="E1466" t="str">
            <v/>
          </cell>
          <cell r="F1466" t="str">
            <v>Pcs</v>
          </cell>
          <cell r="G1466">
            <v>0</v>
          </cell>
          <cell r="H1466" t="str">
            <v/>
          </cell>
          <cell r="I1466">
            <v>0</v>
          </cell>
          <cell r="J1466">
            <v>0</v>
          </cell>
          <cell r="K1466">
            <v>0</v>
          </cell>
          <cell r="L1466">
            <v>1200</v>
          </cell>
          <cell r="M1466">
            <v>0</v>
          </cell>
        </row>
        <row r="1467">
          <cell r="A1467">
            <v>2601</v>
          </cell>
          <cell r="B1467" t="str">
            <v/>
          </cell>
          <cell r="C1467" t="str">
            <v> EXPRESSION MOJITO 750ML</v>
          </cell>
          <cell r="D1467" t="str">
            <v/>
          </cell>
          <cell r="E1467" t="str">
            <v/>
          </cell>
          <cell r="F1467" t="str">
            <v>Pcs</v>
          </cell>
          <cell r="G1467">
            <v>0</v>
          </cell>
          <cell r="H1467" t="str">
            <v/>
          </cell>
          <cell r="I1467">
            <v>0</v>
          </cell>
          <cell r="J1467">
            <v>0</v>
          </cell>
          <cell r="K1467">
            <v>0</v>
          </cell>
          <cell r="L1467">
            <v>1200</v>
          </cell>
          <cell r="M1467">
            <v>0</v>
          </cell>
        </row>
        <row r="1468">
          <cell r="A1468">
            <v>2217</v>
          </cell>
          <cell r="B1468" t="str">
            <v/>
          </cell>
          <cell r="C1468" t="str">
            <v>EXPRESSION MOSCATO 750ML</v>
          </cell>
          <cell r="D1468" t="str">
            <v/>
          </cell>
          <cell r="E1468" t="str">
            <v/>
          </cell>
          <cell r="F1468" t="str">
            <v>Pcs</v>
          </cell>
          <cell r="G1468">
            <v>0</v>
          </cell>
          <cell r="H1468" t="str">
            <v/>
          </cell>
          <cell r="I1468">
            <v>0</v>
          </cell>
          <cell r="J1468">
            <v>0</v>
          </cell>
          <cell r="K1468">
            <v>0</v>
          </cell>
          <cell r="L1468">
            <v>1300</v>
          </cell>
          <cell r="M1468">
            <v>0</v>
          </cell>
        </row>
        <row r="1469">
          <cell r="A1469">
            <v>2218</v>
          </cell>
          <cell r="B1469" t="str">
            <v/>
          </cell>
          <cell r="C1469" t="str">
            <v>EXPRESSION PINK ROSE 750ML</v>
          </cell>
          <cell r="D1469" t="str">
            <v/>
          </cell>
          <cell r="E1469" t="str">
            <v/>
          </cell>
          <cell r="F1469" t="str">
            <v>Pcs</v>
          </cell>
          <cell r="G1469">
            <v>0</v>
          </cell>
          <cell r="H1469" t="str">
            <v/>
          </cell>
          <cell r="I1469">
            <v>0</v>
          </cell>
          <cell r="J1469">
            <v>0</v>
          </cell>
          <cell r="K1469">
            <v>0</v>
          </cell>
          <cell r="L1469">
            <v>1280</v>
          </cell>
          <cell r="M1469">
            <v>0</v>
          </cell>
        </row>
        <row r="1470">
          <cell r="A1470">
            <v>670</v>
          </cell>
          <cell r="B1470" t="str">
            <v/>
          </cell>
          <cell r="C1470" t="str">
            <v>EXPRESSION SWEET RED 750ml</v>
          </cell>
          <cell r="D1470" t="str">
            <v/>
          </cell>
          <cell r="E1470" t="str">
            <v/>
          </cell>
          <cell r="F1470" t="str">
            <v>Pcs</v>
          </cell>
          <cell r="G1470">
            <v>112</v>
          </cell>
          <cell r="H1470" t="str">
            <v/>
          </cell>
          <cell r="I1470">
            <v>0</v>
          </cell>
          <cell r="J1470">
            <v>30</v>
          </cell>
          <cell r="K1470">
            <v>82</v>
          </cell>
          <cell r="L1470">
            <v>939</v>
          </cell>
          <cell r="M1470">
            <v>76998</v>
          </cell>
        </row>
        <row r="1471">
          <cell r="A1471">
            <v>671</v>
          </cell>
          <cell r="B1471" t="str">
            <v/>
          </cell>
          <cell r="C1471" t="str">
            <v>EXPRESSION SWEET WHITE  750ml</v>
          </cell>
          <cell r="D1471" t="str">
            <v/>
          </cell>
          <cell r="E1471" t="str">
            <v/>
          </cell>
          <cell r="F1471" t="str">
            <v>Pcs</v>
          </cell>
          <cell r="G1471">
            <v>43</v>
          </cell>
          <cell r="H1471" t="str">
            <v/>
          </cell>
          <cell r="I1471">
            <v>0</v>
          </cell>
          <cell r="J1471">
            <v>12</v>
          </cell>
          <cell r="K1471">
            <v>31</v>
          </cell>
          <cell r="L1471">
            <v>1280</v>
          </cell>
          <cell r="M1471">
            <v>39680</v>
          </cell>
        </row>
        <row r="1472">
          <cell r="A1472">
            <v>672</v>
          </cell>
          <cell r="B1472" t="str">
            <v/>
          </cell>
          <cell r="C1472" t="str">
            <v>FAIRVIEW DARLING SAUV BLANC 750ml</v>
          </cell>
          <cell r="D1472" t="str">
            <v/>
          </cell>
          <cell r="E1472" t="str">
            <v/>
          </cell>
          <cell r="F1472" t="str">
            <v>Pcs</v>
          </cell>
          <cell r="G1472">
            <v>0</v>
          </cell>
          <cell r="H1472" t="str">
            <v/>
          </cell>
          <cell r="I1472">
            <v>0</v>
          </cell>
          <cell r="J1472">
            <v>0</v>
          </cell>
          <cell r="K1472">
            <v>0</v>
          </cell>
          <cell r="L1472">
            <v>1656</v>
          </cell>
          <cell r="M1472">
            <v>0</v>
          </cell>
        </row>
        <row r="1473">
          <cell r="A1473">
            <v>673</v>
          </cell>
          <cell r="B1473" t="str">
            <v/>
          </cell>
          <cell r="C1473" t="str">
            <v>FAIRVIEW GOATS DO ROAM 750ML</v>
          </cell>
          <cell r="D1473" t="str">
            <v/>
          </cell>
          <cell r="E1473" t="str">
            <v/>
          </cell>
          <cell r="F1473" t="str">
            <v>Pcs</v>
          </cell>
          <cell r="G1473">
            <v>4</v>
          </cell>
          <cell r="H1473" t="str">
            <v/>
          </cell>
          <cell r="I1473">
            <v>0</v>
          </cell>
          <cell r="J1473">
            <v>0</v>
          </cell>
          <cell r="K1473">
            <v>4</v>
          </cell>
          <cell r="L1473">
            <v>1104</v>
          </cell>
          <cell r="M1473">
            <v>4416</v>
          </cell>
        </row>
        <row r="1474">
          <cell r="A1474">
            <v>674</v>
          </cell>
          <cell r="B1474" t="str">
            <v/>
          </cell>
          <cell r="C1474" t="str">
            <v>FAIRVIEW SHIRAZ 750ML</v>
          </cell>
          <cell r="D1474" t="str">
            <v/>
          </cell>
          <cell r="E1474" t="str">
            <v/>
          </cell>
          <cell r="F1474" t="str">
            <v>Pcs</v>
          </cell>
          <cell r="G1474">
            <v>21</v>
          </cell>
          <cell r="H1474" t="str">
            <v/>
          </cell>
          <cell r="I1474">
            <v>0</v>
          </cell>
          <cell r="J1474">
            <v>0</v>
          </cell>
          <cell r="K1474">
            <v>21</v>
          </cell>
          <cell r="L1474">
            <v>1656</v>
          </cell>
          <cell r="M1474">
            <v>34776</v>
          </cell>
        </row>
        <row r="1475">
          <cell r="A1475">
            <v>2999</v>
          </cell>
          <cell r="B1475" t="str">
            <v/>
          </cell>
          <cell r="C1475" t="str">
            <v>FANTINEL SPUMANTE ZUCCOLO PROSECCO EXTRA-DRY 750ML</v>
          </cell>
          <cell r="D1475" t="str">
            <v/>
          </cell>
          <cell r="E1475" t="str">
            <v/>
          </cell>
          <cell r="F1475" t="str">
            <v>Pcs</v>
          </cell>
          <cell r="G1475">
            <v>18</v>
          </cell>
          <cell r="H1475" t="str">
            <v/>
          </cell>
          <cell r="I1475">
            <v>0</v>
          </cell>
          <cell r="J1475">
            <v>12</v>
          </cell>
          <cell r="K1475">
            <v>6</v>
          </cell>
          <cell r="L1475">
            <v>1419</v>
          </cell>
          <cell r="M1475">
            <v>8514</v>
          </cell>
        </row>
        <row r="1476">
          <cell r="A1476">
            <v>686</v>
          </cell>
          <cell r="B1476" t="str">
            <v/>
          </cell>
          <cell r="C1476" t="str">
            <v>FESTA ROSE DOLCEE</v>
          </cell>
          <cell r="D1476" t="str">
            <v/>
          </cell>
          <cell r="E1476" t="str">
            <v/>
          </cell>
          <cell r="F1476" t="str">
            <v>Pcs</v>
          </cell>
          <cell r="G1476">
            <v>0</v>
          </cell>
          <cell r="H1476" t="str">
            <v/>
          </cell>
          <cell r="I1476">
            <v>0</v>
          </cell>
          <cell r="J1476">
            <v>0</v>
          </cell>
          <cell r="K1476">
            <v>0</v>
          </cell>
          <cell r="L1476">
            <v>874</v>
          </cell>
          <cell r="M1476">
            <v>0</v>
          </cell>
        </row>
        <row r="1477">
          <cell r="A1477">
            <v>2272</v>
          </cell>
          <cell r="B1477" t="str">
            <v/>
          </cell>
          <cell r="C1477" t="str">
            <v>FINCA LOS ALTOS 750ML</v>
          </cell>
          <cell r="D1477" t="str">
            <v/>
          </cell>
          <cell r="E1477" t="str">
            <v/>
          </cell>
          <cell r="F1477" t="str">
            <v>Pcs</v>
          </cell>
          <cell r="G1477">
            <v>3</v>
          </cell>
          <cell r="H1477" t="str">
            <v/>
          </cell>
          <cell r="I1477">
            <v>0</v>
          </cell>
          <cell r="J1477">
            <v>0</v>
          </cell>
          <cell r="K1477">
            <v>3</v>
          </cell>
          <cell r="L1477">
            <v>900</v>
          </cell>
          <cell r="M1477">
            <v>2700</v>
          </cell>
        </row>
        <row r="1478">
          <cell r="A1478">
            <v>2273</v>
          </cell>
          <cell r="B1478" t="str">
            <v/>
          </cell>
          <cell r="C1478" t="str">
            <v>FIVE'S RESERVE MERLOT ROSE 750ML</v>
          </cell>
          <cell r="D1478" t="str">
            <v/>
          </cell>
          <cell r="E1478" t="str">
            <v/>
          </cell>
          <cell r="F1478" t="str">
            <v>Pcs</v>
          </cell>
          <cell r="G1478">
            <v>0</v>
          </cell>
          <cell r="H1478" t="str">
            <v/>
          </cell>
          <cell r="I1478">
            <v>0</v>
          </cell>
          <cell r="J1478">
            <v>0</v>
          </cell>
          <cell r="K1478">
            <v>0</v>
          </cell>
          <cell r="L1478">
            <v>900</v>
          </cell>
          <cell r="M1478">
            <v>0</v>
          </cell>
        </row>
        <row r="1479">
          <cell r="A1479">
            <v>2448</v>
          </cell>
          <cell r="B1479" t="str">
            <v/>
          </cell>
          <cell r="C1479" t="str">
            <v>FOOTPRINT RED 5LTR</v>
          </cell>
          <cell r="D1479" t="str">
            <v/>
          </cell>
          <cell r="E1479" t="str">
            <v/>
          </cell>
          <cell r="F1479" t="str">
            <v>Pcs</v>
          </cell>
          <cell r="G1479">
            <v>0</v>
          </cell>
          <cell r="H1479" t="str">
            <v/>
          </cell>
          <cell r="I1479">
            <v>0</v>
          </cell>
          <cell r="J1479">
            <v>0</v>
          </cell>
          <cell r="K1479">
            <v>0</v>
          </cell>
          <cell r="L1479">
            <v>3300</v>
          </cell>
          <cell r="M1479">
            <v>0</v>
          </cell>
        </row>
        <row r="1480">
          <cell r="A1480">
            <v>742</v>
          </cell>
          <cell r="B1480" t="str">
            <v/>
          </cell>
          <cell r="C1480" t="str">
            <v>FOOTPRINT WHITE 5LTR</v>
          </cell>
          <cell r="D1480" t="str">
            <v/>
          </cell>
          <cell r="E1480" t="str">
            <v/>
          </cell>
          <cell r="F1480" t="str">
            <v>Pcs</v>
          </cell>
          <cell r="G1480">
            <v>0</v>
          </cell>
          <cell r="H1480" t="str">
            <v/>
          </cell>
          <cell r="I1480">
            <v>0</v>
          </cell>
          <cell r="J1480">
            <v>0</v>
          </cell>
          <cell r="K1480">
            <v>0</v>
          </cell>
          <cell r="L1480">
            <v>3300</v>
          </cell>
          <cell r="M1480">
            <v>0</v>
          </cell>
        </row>
        <row r="1481">
          <cell r="A1481">
            <v>743</v>
          </cell>
          <cell r="B1481" t="str">
            <v/>
          </cell>
          <cell r="C1481" t="str">
            <v>FORMENTERA WHITE OCEAN SWEET 750ML</v>
          </cell>
          <cell r="D1481" t="str">
            <v/>
          </cell>
          <cell r="E1481" t="str">
            <v/>
          </cell>
          <cell r="F1481" t="str">
            <v>Pcs</v>
          </cell>
          <cell r="G1481">
            <v>12</v>
          </cell>
          <cell r="H1481" t="str">
            <v/>
          </cell>
          <cell r="I1481">
            <v>0</v>
          </cell>
          <cell r="J1481">
            <v>0</v>
          </cell>
          <cell r="K1481">
            <v>12</v>
          </cell>
          <cell r="L1481">
            <v>690</v>
          </cell>
          <cell r="M1481">
            <v>8280</v>
          </cell>
        </row>
        <row r="1482">
          <cell r="A1482">
            <v>2372</v>
          </cell>
          <cell r="B1482" t="str">
            <v/>
          </cell>
          <cell r="C1482" t="str">
            <v>FOUR COUSINS CAB SAUV 750ML</v>
          </cell>
          <cell r="D1482" t="str">
            <v/>
          </cell>
          <cell r="E1482" t="str">
            <v/>
          </cell>
          <cell r="F1482" t="str">
            <v>Pcs</v>
          </cell>
          <cell r="G1482">
            <v>0</v>
          </cell>
          <cell r="H1482" t="str">
            <v/>
          </cell>
          <cell r="I1482">
            <v>0</v>
          </cell>
          <cell r="J1482">
            <v>0</v>
          </cell>
          <cell r="K1482">
            <v>0</v>
          </cell>
          <cell r="L1482">
            <v>800</v>
          </cell>
          <cell r="M1482">
            <v>0</v>
          </cell>
        </row>
        <row r="1483">
          <cell r="A1483">
            <v>747</v>
          </cell>
          <cell r="B1483" t="str">
            <v/>
          </cell>
          <cell r="C1483" t="str">
            <v>FOUR COUSINS COLLECTION CAB SAUV 750ml</v>
          </cell>
          <cell r="D1483" t="str">
            <v/>
          </cell>
          <cell r="E1483" t="str">
            <v/>
          </cell>
          <cell r="F1483" t="str">
            <v>Pcs</v>
          </cell>
          <cell r="G1483">
            <v>48</v>
          </cell>
          <cell r="H1483" t="str">
            <v/>
          </cell>
          <cell r="I1483">
            <v>0</v>
          </cell>
          <cell r="J1483">
            <v>0</v>
          </cell>
          <cell r="K1483">
            <v>48</v>
          </cell>
          <cell r="L1483">
            <v>920</v>
          </cell>
          <cell r="M1483">
            <v>44160</v>
          </cell>
        </row>
        <row r="1484">
          <cell r="A1484">
            <v>2397</v>
          </cell>
          <cell r="B1484" t="str">
            <v/>
          </cell>
          <cell r="C1484" t="str">
            <v>FOUR COUSINS DRY RED 5LTR</v>
          </cell>
          <cell r="D1484" t="str">
            <v/>
          </cell>
          <cell r="E1484" t="str">
            <v/>
          </cell>
          <cell r="F1484" t="str">
            <v>Pcs</v>
          </cell>
          <cell r="G1484">
            <v>76</v>
          </cell>
          <cell r="H1484" t="str">
            <v/>
          </cell>
          <cell r="I1484">
            <v>0</v>
          </cell>
          <cell r="J1484">
            <v>0</v>
          </cell>
          <cell r="K1484">
            <v>76</v>
          </cell>
          <cell r="L1484">
            <v>3300</v>
          </cell>
          <cell r="M1484">
            <v>250800</v>
          </cell>
        </row>
        <row r="1485">
          <cell r="A1485">
            <v>750</v>
          </cell>
          <cell r="B1485" t="str">
            <v/>
          </cell>
          <cell r="C1485" t="str">
            <v>FOUR COUSINS RED 750ML</v>
          </cell>
          <cell r="D1485" t="str">
            <v/>
          </cell>
          <cell r="E1485" t="str">
            <v/>
          </cell>
          <cell r="F1485" t="str">
            <v>Pcs</v>
          </cell>
          <cell r="G1485">
            <v>442</v>
          </cell>
          <cell r="H1485" t="str">
            <v/>
          </cell>
          <cell r="I1485">
            <v>456</v>
          </cell>
          <cell r="J1485">
            <v>264</v>
          </cell>
          <cell r="K1485">
            <v>634</v>
          </cell>
          <cell r="L1485">
            <v>750</v>
          </cell>
          <cell r="M1485">
            <v>475500</v>
          </cell>
        </row>
        <row r="1486">
          <cell r="A1486">
            <v>751</v>
          </cell>
          <cell r="B1486" t="str">
            <v/>
          </cell>
          <cell r="C1486" t="str">
            <v>FOUR COUSINS RED DRY 1.5LTR</v>
          </cell>
          <cell r="D1486" t="str">
            <v/>
          </cell>
          <cell r="E1486" t="str">
            <v/>
          </cell>
          <cell r="F1486" t="str">
            <v>Pcs</v>
          </cell>
          <cell r="G1486">
            <v>0</v>
          </cell>
          <cell r="H1486" t="str">
            <v/>
          </cell>
          <cell r="I1486">
            <v>0</v>
          </cell>
          <cell r="J1486">
            <v>0</v>
          </cell>
          <cell r="K1486">
            <v>0</v>
          </cell>
          <cell r="L1486">
            <v>1350</v>
          </cell>
          <cell r="M1486">
            <v>0</v>
          </cell>
        </row>
        <row r="1487">
          <cell r="A1487">
            <v>752</v>
          </cell>
          <cell r="B1487" t="str">
            <v/>
          </cell>
          <cell r="C1487" t="str">
            <v>FOUR COUSINS SAUV BLANC 750ml</v>
          </cell>
          <cell r="D1487" t="str">
            <v/>
          </cell>
          <cell r="E1487" t="str">
            <v/>
          </cell>
          <cell r="F1487" t="str">
            <v>Pcs</v>
          </cell>
          <cell r="G1487">
            <v>10</v>
          </cell>
          <cell r="H1487" t="str">
            <v/>
          </cell>
          <cell r="I1487">
            <v>0</v>
          </cell>
          <cell r="J1487">
            <v>0</v>
          </cell>
          <cell r="K1487">
            <v>10</v>
          </cell>
          <cell r="L1487">
            <v>1012</v>
          </cell>
          <cell r="M1487">
            <v>10120</v>
          </cell>
        </row>
        <row r="1488">
          <cell r="A1488">
            <v>753</v>
          </cell>
          <cell r="B1488" t="str">
            <v/>
          </cell>
          <cell r="C1488" t="str">
            <v>FOUR COUSINS SWEET RED 3LTR</v>
          </cell>
          <cell r="D1488" t="str">
            <v/>
          </cell>
          <cell r="E1488" t="str">
            <v/>
          </cell>
          <cell r="F1488" t="str">
            <v>Pcs</v>
          </cell>
          <cell r="G1488">
            <v>2</v>
          </cell>
          <cell r="H1488" t="str">
            <v/>
          </cell>
          <cell r="I1488">
            <v>0</v>
          </cell>
          <cell r="J1488">
            <v>0</v>
          </cell>
          <cell r="K1488">
            <v>2</v>
          </cell>
          <cell r="L1488">
            <v>1300</v>
          </cell>
          <cell r="M1488">
            <v>2600</v>
          </cell>
        </row>
        <row r="1489">
          <cell r="A1489">
            <v>754</v>
          </cell>
          <cell r="B1489" t="str">
            <v/>
          </cell>
          <cell r="C1489" t="str">
            <v>FOUR COUSINS SWEET ROSE 750ML</v>
          </cell>
          <cell r="D1489" t="str">
            <v/>
          </cell>
          <cell r="E1489" t="str">
            <v/>
          </cell>
          <cell r="F1489" t="str">
            <v>Pcs</v>
          </cell>
          <cell r="G1489">
            <v>0</v>
          </cell>
          <cell r="H1489" t="str">
            <v/>
          </cell>
          <cell r="I1489">
            <v>0</v>
          </cell>
          <cell r="J1489">
            <v>0</v>
          </cell>
          <cell r="K1489">
            <v>0</v>
          </cell>
          <cell r="L1489">
            <v>736</v>
          </cell>
          <cell r="M1489">
            <v>0</v>
          </cell>
        </row>
        <row r="1490">
          <cell r="A1490">
            <v>2219</v>
          </cell>
          <cell r="B1490" t="str">
            <v/>
          </cell>
          <cell r="C1490" t="str">
            <v>FOUR COUSINS SWEET SPARKLING BLUSH 750ML</v>
          </cell>
          <cell r="D1490" t="str">
            <v/>
          </cell>
          <cell r="E1490" t="str">
            <v/>
          </cell>
          <cell r="F1490" t="str">
            <v>Pcs</v>
          </cell>
          <cell r="G1490">
            <v>18</v>
          </cell>
          <cell r="H1490" t="str">
            <v/>
          </cell>
          <cell r="I1490">
            <v>0</v>
          </cell>
          <cell r="J1490">
            <v>0</v>
          </cell>
          <cell r="K1490">
            <v>18</v>
          </cell>
          <cell r="L1490">
            <v>1300</v>
          </cell>
          <cell r="M1490">
            <v>23400</v>
          </cell>
        </row>
        <row r="1491">
          <cell r="A1491">
            <v>2220</v>
          </cell>
          <cell r="B1491" t="str">
            <v/>
          </cell>
          <cell r="C1491" t="str">
            <v>FOUR COUSINS SWEET SPARKLING WHITE 750ML</v>
          </cell>
          <cell r="D1491" t="str">
            <v/>
          </cell>
          <cell r="E1491" t="str">
            <v/>
          </cell>
          <cell r="F1491" t="str">
            <v>Pcs</v>
          </cell>
          <cell r="G1491">
            <v>0</v>
          </cell>
          <cell r="H1491" t="str">
            <v/>
          </cell>
          <cell r="I1491">
            <v>0</v>
          </cell>
          <cell r="J1491">
            <v>0</v>
          </cell>
          <cell r="K1491">
            <v>0</v>
          </cell>
          <cell r="L1491">
            <v>1300</v>
          </cell>
          <cell r="M1491">
            <v>0</v>
          </cell>
        </row>
        <row r="1492">
          <cell r="A1492">
            <v>755</v>
          </cell>
          <cell r="B1492" t="str">
            <v/>
          </cell>
          <cell r="C1492" t="str">
            <v>FOUR COUSINS SWEET WHITE 1.5LTR</v>
          </cell>
          <cell r="D1492" t="str">
            <v/>
          </cell>
          <cell r="E1492" t="str">
            <v/>
          </cell>
          <cell r="F1492" t="str">
            <v>Pcs</v>
          </cell>
          <cell r="G1492">
            <v>60</v>
          </cell>
          <cell r="H1492" t="str">
            <v/>
          </cell>
          <cell r="I1492">
            <v>120</v>
          </cell>
          <cell r="J1492">
            <v>0</v>
          </cell>
          <cell r="K1492">
            <v>180</v>
          </cell>
          <cell r="L1492">
            <v>1426</v>
          </cell>
          <cell r="M1492">
            <v>256680</v>
          </cell>
        </row>
        <row r="1493">
          <cell r="A1493">
            <v>745</v>
          </cell>
          <cell r="B1493" t="str">
            <v/>
          </cell>
          <cell r="C1493" t="str">
            <v>FOUR COUSIN SWEET RED 1.5LTR</v>
          </cell>
          <cell r="D1493" t="str">
            <v/>
          </cell>
          <cell r="E1493" t="str">
            <v/>
          </cell>
          <cell r="F1493" t="str">
            <v>Pcs</v>
          </cell>
          <cell r="G1493">
            <v>72</v>
          </cell>
          <cell r="H1493" t="str">
            <v/>
          </cell>
          <cell r="I1493">
            <v>180</v>
          </cell>
          <cell r="J1493">
            <v>6</v>
          </cell>
          <cell r="K1493">
            <v>246</v>
          </cell>
          <cell r="L1493">
            <v>1426</v>
          </cell>
          <cell r="M1493">
            <v>350796</v>
          </cell>
        </row>
        <row r="1494">
          <cell r="A1494">
            <v>746</v>
          </cell>
          <cell r="B1494" t="str">
            <v/>
          </cell>
          <cell r="C1494" t="str">
            <v>FOUR COUSIN SWEET RED 5LTR</v>
          </cell>
          <cell r="D1494" t="str">
            <v/>
          </cell>
          <cell r="E1494" t="str">
            <v/>
          </cell>
          <cell r="F1494" t="str">
            <v>Pcs</v>
          </cell>
          <cell r="G1494">
            <v>0</v>
          </cell>
          <cell r="H1494" t="str">
            <v/>
          </cell>
          <cell r="I1494">
            <v>0</v>
          </cell>
          <cell r="J1494">
            <v>0</v>
          </cell>
          <cell r="K1494">
            <v>0</v>
          </cell>
          <cell r="L1494">
            <v>3128</v>
          </cell>
          <cell r="M1494">
            <v>0</v>
          </cell>
        </row>
        <row r="1495">
          <cell r="A1495">
            <v>757</v>
          </cell>
          <cell r="B1495" t="str">
            <v/>
          </cell>
          <cell r="C1495" t="str">
            <v>FOUR COUSINS WHITE 5LTR</v>
          </cell>
          <cell r="D1495" t="str">
            <v/>
          </cell>
          <cell r="E1495" t="str">
            <v/>
          </cell>
          <cell r="F1495" t="str">
            <v>Pcs</v>
          </cell>
          <cell r="G1495">
            <v>0</v>
          </cell>
          <cell r="H1495" t="str">
            <v/>
          </cell>
          <cell r="I1495">
            <v>0</v>
          </cell>
          <cell r="J1495">
            <v>0</v>
          </cell>
          <cell r="K1495">
            <v>0</v>
          </cell>
          <cell r="L1495">
            <v>3128</v>
          </cell>
          <cell r="M1495">
            <v>0</v>
          </cell>
        </row>
        <row r="1496">
          <cell r="A1496">
            <v>758</v>
          </cell>
          <cell r="B1496" t="str">
            <v/>
          </cell>
          <cell r="C1496" t="str">
            <v>FOUR COUSINS WHITE 750ML</v>
          </cell>
          <cell r="D1496" t="str">
            <v/>
          </cell>
          <cell r="E1496" t="str">
            <v/>
          </cell>
          <cell r="F1496" t="str">
            <v>Pcs</v>
          </cell>
          <cell r="G1496">
            <v>722</v>
          </cell>
          <cell r="H1496" t="str">
            <v/>
          </cell>
          <cell r="I1496">
            <v>1188</v>
          </cell>
          <cell r="J1496">
            <v>87</v>
          </cell>
          <cell r="K1496">
            <v>1823</v>
          </cell>
          <cell r="L1496">
            <v>750</v>
          </cell>
          <cell r="M1496">
            <v>1367250</v>
          </cell>
        </row>
        <row r="1497">
          <cell r="A1497">
            <v>759</v>
          </cell>
          <cell r="B1497" t="str">
            <v/>
          </cell>
          <cell r="C1497" t="str">
            <v>FOUR COUSINS WHITE DRY 1.5LTR</v>
          </cell>
          <cell r="D1497" t="str">
            <v/>
          </cell>
          <cell r="E1497" t="str">
            <v/>
          </cell>
          <cell r="F1497" t="str">
            <v>Pcs</v>
          </cell>
          <cell r="G1497">
            <v>90</v>
          </cell>
          <cell r="H1497" t="str">
            <v/>
          </cell>
          <cell r="I1497">
            <v>180</v>
          </cell>
          <cell r="J1497">
            <v>18</v>
          </cell>
          <cell r="K1497">
            <v>252</v>
          </cell>
          <cell r="L1497">
            <v>1426</v>
          </cell>
          <cell r="M1497">
            <v>359352</v>
          </cell>
        </row>
        <row r="1498">
          <cell r="A1498">
            <v>770</v>
          </cell>
          <cell r="B1498" t="str">
            <v/>
          </cell>
          <cell r="C1498" t="str">
            <v>FRANSCHHOEK CELLAR BRUT ROSE 750ML</v>
          </cell>
          <cell r="D1498" t="str">
            <v/>
          </cell>
          <cell r="E1498" t="str">
            <v/>
          </cell>
          <cell r="F1498" t="str">
            <v>Pcs</v>
          </cell>
          <cell r="G1498">
            <v>0</v>
          </cell>
          <cell r="H1498" t="str">
            <v/>
          </cell>
          <cell r="I1498">
            <v>0</v>
          </cell>
          <cell r="J1498">
            <v>0</v>
          </cell>
          <cell r="K1498">
            <v>0</v>
          </cell>
          <cell r="L1498">
            <v>1798.6</v>
          </cell>
          <cell r="M1498">
            <v>0</v>
          </cell>
        </row>
        <row r="1499">
          <cell r="A1499">
            <v>775</v>
          </cell>
          <cell r="B1499" t="str">
            <v/>
          </cell>
          <cell r="C1499" t="str">
            <v>FRANSCHHOEK CELLAR MERLOT 750ML</v>
          </cell>
          <cell r="D1499" t="str">
            <v/>
          </cell>
          <cell r="E1499" t="str">
            <v/>
          </cell>
          <cell r="F1499" t="str">
            <v>Pcs</v>
          </cell>
          <cell r="G1499">
            <v>0</v>
          </cell>
          <cell r="H1499" t="str">
            <v/>
          </cell>
          <cell r="I1499">
            <v>0</v>
          </cell>
          <cell r="J1499">
            <v>0</v>
          </cell>
          <cell r="K1499">
            <v>0</v>
          </cell>
          <cell r="L1499">
            <v>1104</v>
          </cell>
          <cell r="M1499">
            <v>0</v>
          </cell>
        </row>
        <row r="1500">
          <cell r="A1500">
            <v>781</v>
          </cell>
          <cell r="B1500" t="str">
            <v/>
          </cell>
          <cell r="C1500" t="str">
            <v>FRONTERA AFTER MIDNIGHT 750ML</v>
          </cell>
          <cell r="D1500" t="str">
            <v/>
          </cell>
          <cell r="E1500" t="str">
            <v/>
          </cell>
          <cell r="F1500" t="str">
            <v>Pcs</v>
          </cell>
          <cell r="G1500">
            <v>0</v>
          </cell>
          <cell r="H1500" t="str">
            <v/>
          </cell>
          <cell r="I1500">
            <v>0</v>
          </cell>
          <cell r="J1500">
            <v>0</v>
          </cell>
          <cell r="K1500">
            <v>0</v>
          </cell>
          <cell r="L1500">
            <v>1000</v>
          </cell>
          <cell r="M1500">
            <v>0</v>
          </cell>
        </row>
        <row r="1501">
          <cell r="A1501">
            <v>783</v>
          </cell>
          <cell r="B1501" t="str">
            <v/>
          </cell>
          <cell r="C1501" t="str">
            <v>FRONTERA BRUT 750ML</v>
          </cell>
          <cell r="D1501" t="str">
            <v/>
          </cell>
          <cell r="E1501" t="str">
            <v/>
          </cell>
          <cell r="F1501" t="str">
            <v>Pcs</v>
          </cell>
          <cell r="G1501">
            <v>0</v>
          </cell>
          <cell r="H1501" t="str">
            <v/>
          </cell>
          <cell r="I1501">
            <v>0</v>
          </cell>
          <cell r="J1501">
            <v>0</v>
          </cell>
          <cell r="K1501">
            <v>0</v>
          </cell>
          <cell r="L1501">
            <v>1600</v>
          </cell>
          <cell r="M1501">
            <v>0</v>
          </cell>
        </row>
        <row r="1502">
          <cell r="A1502">
            <v>782</v>
          </cell>
          <cell r="B1502" t="str">
            <v/>
          </cell>
          <cell r="C1502" t="str">
            <v>FRONTERA CAB  BLUSH 750ML</v>
          </cell>
          <cell r="D1502" t="str">
            <v/>
          </cell>
          <cell r="E1502" t="str">
            <v/>
          </cell>
          <cell r="F1502" t="str">
            <v>Pcs</v>
          </cell>
          <cell r="G1502">
            <v>0</v>
          </cell>
          <cell r="H1502" t="str">
            <v/>
          </cell>
          <cell r="I1502">
            <v>0</v>
          </cell>
          <cell r="J1502">
            <v>0</v>
          </cell>
          <cell r="K1502">
            <v>0</v>
          </cell>
          <cell r="L1502">
            <v>1000</v>
          </cell>
          <cell r="M1502">
            <v>0</v>
          </cell>
        </row>
        <row r="1503">
          <cell r="A1503">
            <v>785</v>
          </cell>
          <cell r="B1503" t="str">
            <v/>
          </cell>
          <cell r="C1503" t="str">
            <v>FRONTERA CAB SAUV  1.5LTR</v>
          </cell>
          <cell r="D1503" t="str">
            <v/>
          </cell>
          <cell r="E1503" t="str">
            <v/>
          </cell>
          <cell r="F1503" t="str">
            <v>Pcs</v>
          </cell>
          <cell r="G1503">
            <v>0</v>
          </cell>
          <cell r="H1503" t="str">
            <v/>
          </cell>
          <cell r="I1503">
            <v>0</v>
          </cell>
          <cell r="J1503">
            <v>0</v>
          </cell>
          <cell r="K1503">
            <v>0</v>
          </cell>
          <cell r="L1503">
            <v>1660</v>
          </cell>
          <cell r="M1503">
            <v>0</v>
          </cell>
        </row>
        <row r="1504">
          <cell r="A1504">
            <v>786</v>
          </cell>
          <cell r="B1504" t="str">
            <v/>
          </cell>
          <cell r="C1504" t="str">
            <v>FRONTERA CAB SAUV  750ML</v>
          </cell>
          <cell r="D1504" t="str">
            <v/>
          </cell>
          <cell r="E1504" t="str">
            <v/>
          </cell>
          <cell r="F1504" t="str">
            <v>Pcs</v>
          </cell>
          <cell r="G1504">
            <v>2</v>
          </cell>
          <cell r="H1504" t="str">
            <v/>
          </cell>
          <cell r="I1504">
            <v>0</v>
          </cell>
          <cell r="J1504">
            <v>0</v>
          </cell>
          <cell r="K1504">
            <v>2</v>
          </cell>
          <cell r="L1504">
            <v>978.4</v>
          </cell>
          <cell r="M1504">
            <v>1956.8</v>
          </cell>
        </row>
        <row r="1505">
          <cell r="A1505">
            <v>787</v>
          </cell>
          <cell r="B1505" t="str">
            <v/>
          </cell>
          <cell r="C1505" t="str">
            <v>FRONTERA CHARDONNAY 1.5LTR</v>
          </cell>
          <cell r="D1505" t="str">
            <v/>
          </cell>
          <cell r="E1505" t="str">
            <v/>
          </cell>
          <cell r="F1505" t="str">
            <v>Pcs</v>
          </cell>
          <cell r="G1505">
            <v>42</v>
          </cell>
          <cell r="H1505" t="str">
            <v/>
          </cell>
          <cell r="I1505">
            <v>0</v>
          </cell>
          <cell r="J1505">
            <v>0</v>
          </cell>
          <cell r="K1505">
            <v>42</v>
          </cell>
          <cell r="L1505">
            <v>1660</v>
          </cell>
          <cell r="M1505">
            <v>69720</v>
          </cell>
        </row>
        <row r="1506">
          <cell r="A1506">
            <v>788</v>
          </cell>
          <cell r="B1506" t="str">
            <v/>
          </cell>
          <cell r="C1506" t="str">
            <v>FRONTERA CHARDONNAY 750ML</v>
          </cell>
          <cell r="D1506" t="str">
            <v/>
          </cell>
          <cell r="E1506" t="str">
            <v/>
          </cell>
          <cell r="F1506" t="str">
            <v>Pcs</v>
          </cell>
          <cell r="G1506">
            <v>0</v>
          </cell>
          <cell r="H1506" t="str">
            <v/>
          </cell>
          <cell r="I1506">
            <v>0</v>
          </cell>
          <cell r="J1506">
            <v>0</v>
          </cell>
          <cell r="K1506">
            <v>0</v>
          </cell>
          <cell r="L1506">
            <v>978.4</v>
          </cell>
          <cell r="M1506">
            <v>0</v>
          </cell>
        </row>
        <row r="1507">
          <cell r="A1507">
            <v>789</v>
          </cell>
          <cell r="B1507" t="str">
            <v/>
          </cell>
          <cell r="C1507" t="str">
            <v>FRONTERA LATE HARVEST 750ML</v>
          </cell>
          <cell r="D1507" t="str">
            <v/>
          </cell>
          <cell r="E1507" t="str">
            <v/>
          </cell>
          <cell r="F1507" t="str">
            <v>Pcs</v>
          </cell>
          <cell r="G1507">
            <v>12</v>
          </cell>
          <cell r="H1507" t="str">
            <v/>
          </cell>
          <cell r="I1507">
            <v>0</v>
          </cell>
          <cell r="J1507">
            <v>0</v>
          </cell>
          <cell r="K1507">
            <v>12</v>
          </cell>
          <cell r="L1507">
            <v>978.4</v>
          </cell>
          <cell r="M1507">
            <v>11740.8</v>
          </cell>
        </row>
        <row r="1508">
          <cell r="A1508">
            <v>790</v>
          </cell>
          <cell r="B1508" t="str">
            <v/>
          </cell>
          <cell r="C1508" t="str">
            <v>FRONTERA MERLOT 1.5LTR</v>
          </cell>
          <cell r="D1508" t="str">
            <v/>
          </cell>
          <cell r="E1508" t="str">
            <v/>
          </cell>
          <cell r="F1508" t="str">
            <v>Pcs</v>
          </cell>
          <cell r="G1508">
            <v>48</v>
          </cell>
          <cell r="H1508" t="str">
            <v/>
          </cell>
          <cell r="I1508">
            <v>0</v>
          </cell>
          <cell r="J1508">
            <v>0</v>
          </cell>
          <cell r="K1508">
            <v>48</v>
          </cell>
          <cell r="L1508">
            <v>1660</v>
          </cell>
          <cell r="M1508">
            <v>79680</v>
          </cell>
        </row>
        <row r="1509">
          <cell r="A1509">
            <v>791</v>
          </cell>
          <cell r="B1509" t="str">
            <v/>
          </cell>
          <cell r="C1509" t="str">
            <v>FRONTERA MERLOT 750ML</v>
          </cell>
          <cell r="D1509" t="str">
            <v/>
          </cell>
          <cell r="E1509" t="str">
            <v/>
          </cell>
          <cell r="F1509" t="str">
            <v>Pcs</v>
          </cell>
          <cell r="G1509">
            <v>0</v>
          </cell>
          <cell r="H1509" t="str">
            <v/>
          </cell>
          <cell r="I1509">
            <v>0</v>
          </cell>
          <cell r="J1509">
            <v>0</v>
          </cell>
          <cell r="K1509">
            <v>0</v>
          </cell>
          <cell r="L1509">
            <v>978.4</v>
          </cell>
          <cell r="M1509">
            <v>0</v>
          </cell>
        </row>
        <row r="1510">
          <cell r="A1510">
            <v>794</v>
          </cell>
          <cell r="B1510" t="str">
            <v/>
          </cell>
          <cell r="C1510" t="str">
            <v>FRONTERA SAUV BLANC 1.5LTR</v>
          </cell>
          <cell r="D1510" t="str">
            <v/>
          </cell>
          <cell r="E1510" t="str">
            <v/>
          </cell>
          <cell r="F1510" t="str">
            <v>Pcs</v>
          </cell>
          <cell r="G1510">
            <v>0</v>
          </cell>
          <cell r="H1510" t="str">
            <v/>
          </cell>
          <cell r="I1510">
            <v>0</v>
          </cell>
          <cell r="J1510">
            <v>0</v>
          </cell>
          <cell r="K1510">
            <v>0</v>
          </cell>
          <cell r="L1510">
            <v>1660</v>
          </cell>
          <cell r="M1510">
            <v>0</v>
          </cell>
        </row>
        <row r="1511">
          <cell r="A1511">
            <v>793</v>
          </cell>
          <cell r="B1511" t="str">
            <v/>
          </cell>
          <cell r="C1511" t="str">
            <v>FRONTERA SAUV BLANC  750ML</v>
          </cell>
          <cell r="D1511" t="str">
            <v/>
          </cell>
          <cell r="E1511" t="str">
            <v/>
          </cell>
          <cell r="F1511" t="str">
            <v>Pcs</v>
          </cell>
          <cell r="G1511">
            <v>0</v>
          </cell>
          <cell r="H1511" t="str">
            <v/>
          </cell>
          <cell r="I1511">
            <v>0</v>
          </cell>
          <cell r="J1511">
            <v>0</v>
          </cell>
          <cell r="K1511">
            <v>0</v>
          </cell>
          <cell r="L1511">
            <v>978.4</v>
          </cell>
          <cell r="M1511">
            <v>0</v>
          </cell>
        </row>
        <row r="1512">
          <cell r="A1512">
            <v>796</v>
          </cell>
          <cell r="B1512" t="str">
            <v/>
          </cell>
          <cell r="C1512" t="str">
            <v>FRONTERA SHIRAZ 750ML</v>
          </cell>
          <cell r="D1512" t="str">
            <v/>
          </cell>
          <cell r="E1512" t="str">
            <v/>
          </cell>
          <cell r="F1512" t="str">
            <v>Pcs</v>
          </cell>
          <cell r="G1512">
            <v>1</v>
          </cell>
          <cell r="H1512" t="str">
            <v/>
          </cell>
          <cell r="I1512">
            <v>0</v>
          </cell>
          <cell r="J1512">
            <v>0</v>
          </cell>
          <cell r="K1512">
            <v>1</v>
          </cell>
          <cell r="L1512">
            <v>1000</v>
          </cell>
          <cell r="M1512">
            <v>1000</v>
          </cell>
        </row>
        <row r="1513">
          <cell r="A1513">
            <v>797</v>
          </cell>
          <cell r="B1513" t="str">
            <v/>
          </cell>
          <cell r="C1513" t="str">
            <v>FRONTERA SPARKLING BRUT 750ML</v>
          </cell>
          <cell r="D1513" t="str">
            <v/>
          </cell>
          <cell r="E1513" t="str">
            <v/>
          </cell>
          <cell r="F1513" t="str">
            <v>Pcs</v>
          </cell>
          <cell r="G1513">
            <v>0</v>
          </cell>
          <cell r="H1513" t="str">
            <v/>
          </cell>
          <cell r="I1513">
            <v>0</v>
          </cell>
          <cell r="J1513">
            <v>0</v>
          </cell>
          <cell r="K1513">
            <v>0</v>
          </cell>
          <cell r="L1513">
            <v>1196</v>
          </cell>
          <cell r="M1513">
            <v>0</v>
          </cell>
        </row>
        <row r="1514">
          <cell r="A1514">
            <v>2602</v>
          </cell>
          <cell r="B1514" t="str">
            <v/>
          </cell>
          <cell r="C1514" t="str">
            <v>FRONTERA SPARKLING SWEET ROSE 750ML</v>
          </cell>
          <cell r="D1514" t="str">
            <v/>
          </cell>
          <cell r="E1514" t="str">
            <v/>
          </cell>
          <cell r="F1514" t="str">
            <v>Pcs</v>
          </cell>
          <cell r="G1514">
            <v>54</v>
          </cell>
          <cell r="H1514" t="str">
            <v/>
          </cell>
          <cell r="I1514">
            <v>0</v>
          </cell>
          <cell r="J1514">
            <v>0</v>
          </cell>
          <cell r="K1514">
            <v>54</v>
          </cell>
          <cell r="L1514">
            <v>1042</v>
          </cell>
          <cell r="M1514">
            <v>56268</v>
          </cell>
        </row>
        <row r="1515">
          <cell r="A1515">
            <v>800</v>
          </cell>
          <cell r="B1515" t="str">
            <v/>
          </cell>
          <cell r="C1515" t="str">
            <v>FRONTERA SWEET RED 750ML</v>
          </cell>
          <cell r="D1515" t="str">
            <v/>
          </cell>
          <cell r="E1515" t="str">
            <v/>
          </cell>
          <cell r="F1515" t="str">
            <v>Pcs</v>
          </cell>
          <cell r="G1515">
            <v>0</v>
          </cell>
          <cell r="H1515" t="str">
            <v/>
          </cell>
          <cell r="I1515">
            <v>0</v>
          </cell>
          <cell r="J1515">
            <v>0</v>
          </cell>
          <cell r="K1515">
            <v>0</v>
          </cell>
          <cell r="L1515">
            <v>978.4</v>
          </cell>
          <cell r="M1515">
            <v>0</v>
          </cell>
        </row>
        <row r="1516">
          <cell r="A1516">
            <v>799</v>
          </cell>
          <cell r="B1516" t="str">
            <v/>
          </cell>
          <cell r="C1516" t="str">
            <v>FRONTERA SWEET ROSE 750ML</v>
          </cell>
          <cell r="D1516" t="str">
            <v/>
          </cell>
          <cell r="E1516" t="str">
            <v/>
          </cell>
          <cell r="F1516" t="str">
            <v>Pcs</v>
          </cell>
          <cell r="G1516">
            <v>0</v>
          </cell>
          <cell r="H1516" t="str">
            <v/>
          </cell>
          <cell r="I1516">
            <v>0</v>
          </cell>
          <cell r="J1516">
            <v>0</v>
          </cell>
          <cell r="K1516">
            <v>0</v>
          </cell>
          <cell r="L1516">
            <v>978.4</v>
          </cell>
          <cell r="M1516">
            <v>0</v>
          </cell>
        </row>
        <row r="1517">
          <cell r="A1517">
            <v>803</v>
          </cell>
          <cell r="B1517" t="str">
            <v/>
          </cell>
          <cell r="C1517" t="str">
            <v>GALLO FAMILY CAB SAUV 750ML</v>
          </cell>
          <cell r="D1517" t="str">
            <v/>
          </cell>
          <cell r="E1517" t="str">
            <v/>
          </cell>
          <cell r="F1517" t="str">
            <v>Pcs</v>
          </cell>
          <cell r="G1517">
            <v>0</v>
          </cell>
          <cell r="H1517" t="str">
            <v/>
          </cell>
          <cell r="I1517">
            <v>0</v>
          </cell>
          <cell r="J1517">
            <v>0</v>
          </cell>
          <cell r="K1517">
            <v>0</v>
          </cell>
          <cell r="L1517">
            <v>1104</v>
          </cell>
          <cell r="M1517">
            <v>0</v>
          </cell>
        </row>
        <row r="1518">
          <cell r="A1518">
            <v>807</v>
          </cell>
          <cell r="B1518" t="str">
            <v/>
          </cell>
          <cell r="C1518" t="str">
            <v>GATONEGRO CAB MERLOT 1.5LTR</v>
          </cell>
          <cell r="D1518" t="str">
            <v/>
          </cell>
          <cell r="E1518" t="str">
            <v/>
          </cell>
          <cell r="F1518" t="str">
            <v>Pcs</v>
          </cell>
          <cell r="G1518">
            <v>23</v>
          </cell>
          <cell r="H1518" t="str">
            <v/>
          </cell>
          <cell r="I1518">
            <v>0</v>
          </cell>
          <cell r="J1518">
            <v>0</v>
          </cell>
          <cell r="K1518">
            <v>23</v>
          </cell>
          <cell r="L1518">
            <v>1380</v>
          </cell>
          <cell r="M1518">
            <v>31740</v>
          </cell>
        </row>
        <row r="1519">
          <cell r="A1519">
            <v>2402</v>
          </cell>
          <cell r="B1519" t="str">
            <v/>
          </cell>
          <cell r="C1519" t="str">
            <v>GATO NEGRO CAB SAUV 1.5L</v>
          </cell>
          <cell r="D1519" t="str">
            <v/>
          </cell>
          <cell r="E1519" t="str">
            <v/>
          </cell>
          <cell r="F1519" t="str">
            <v>Pcs</v>
          </cell>
          <cell r="G1519">
            <v>0</v>
          </cell>
          <cell r="H1519" t="str">
            <v/>
          </cell>
          <cell r="I1519">
            <v>0</v>
          </cell>
          <cell r="J1519">
            <v>0</v>
          </cell>
          <cell r="K1519">
            <v>0</v>
          </cell>
          <cell r="L1519">
            <v>1000</v>
          </cell>
          <cell r="M1519">
            <v>0</v>
          </cell>
        </row>
        <row r="1520">
          <cell r="A1520">
            <v>809</v>
          </cell>
          <cell r="B1520" t="str">
            <v/>
          </cell>
          <cell r="C1520" t="str">
            <v>GATONEGRO CAB SAUV 750ML</v>
          </cell>
          <cell r="D1520" t="str">
            <v/>
          </cell>
          <cell r="E1520" t="str">
            <v/>
          </cell>
          <cell r="F1520" t="str">
            <v>Pcs</v>
          </cell>
          <cell r="G1520">
            <v>0</v>
          </cell>
          <cell r="H1520" t="str">
            <v/>
          </cell>
          <cell r="I1520">
            <v>0</v>
          </cell>
          <cell r="J1520">
            <v>0</v>
          </cell>
          <cell r="K1520">
            <v>0</v>
          </cell>
          <cell r="L1520">
            <v>700</v>
          </cell>
          <cell r="M1520">
            <v>0</v>
          </cell>
        </row>
        <row r="1521">
          <cell r="A1521">
            <v>2441</v>
          </cell>
          <cell r="B1521" t="str">
            <v/>
          </cell>
          <cell r="C1521" t="str">
            <v>GATO NEGRO CAB SAUV MERLOT 750ML</v>
          </cell>
          <cell r="D1521" t="str">
            <v/>
          </cell>
          <cell r="E1521" t="str">
            <v/>
          </cell>
          <cell r="F1521" t="str">
            <v>Pcs</v>
          </cell>
          <cell r="G1521">
            <v>0</v>
          </cell>
          <cell r="H1521" t="str">
            <v/>
          </cell>
          <cell r="I1521">
            <v>0</v>
          </cell>
          <cell r="J1521">
            <v>0</v>
          </cell>
          <cell r="K1521">
            <v>0</v>
          </cell>
          <cell r="L1521">
            <v>782</v>
          </cell>
          <cell r="M1521">
            <v>0</v>
          </cell>
        </row>
        <row r="1522">
          <cell r="A1522">
            <v>810</v>
          </cell>
          <cell r="B1522" t="str">
            <v/>
          </cell>
          <cell r="C1522" t="str">
            <v>GATONEGRO CHARDONNAY 1.5LTR</v>
          </cell>
          <cell r="D1522" t="str">
            <v/>
          </cell>
          <cell r="E1522" t="str">
            <v/>
          </cell>
          <cell r="F1522" t="str">
            <v>Pcs</v>
          </cell>
          <cell r="G1522">
            <v>0</v>
          </cell>
          <cell r="H1522" t="str">
            <v/>
          </cell>
          <cell r="I1522">
            <v>0</v>
          </cell>
          <cell r="J1522">
            <v>0</v>
          </cell>
          <cell r="K1522">
            <v>0</v>
          </cell>
          <cell r="L1522">
            <v>1000</v>
          </cell>
          <cell r="M1522">
            <v>0</v>
          </cell>
        </row>
        <row r="1523">
          <cell r="A1523">
            <v>811</v>
          </cell>
          <cell r="B1523" t="str">
            <v/>
          </cell>
          <cell r="C1523" t="str">
            <v>GATONEGRO CHARDONNAY 750ML</v>
          </cell>
          <cell r="D1523" t="str">
            <v/>
          </cell>
          <cell r="E1523" t="str">
            <v/>
          </cell>
          <cell r="F1523" t="str">
            <v>Pcs</v>
          </cell>
          <cell r="G1523">
            <v>57</v>
          </cell>
          <cell r="H1523" t="str">
            <v/>
          </cell>
          <cell r="I1523">
            <v>0</v>
          </cell>
          <cell r="J1523">
            <v>10</v>
          </cell>
          <cell r="K1523">
            <v>47</v>
          </cell>
          <cell r="L1523">
            <v>782</v>
          </cell>
          <cell r="M1523">
            <v>36754</v>
          </cell>
        </row>
        <row r="1524">
          <cell r="A1524">
            <v>2221</v>
          </cell>
          <cell r="B1524" t="str">
            <v/>
          </cell>
          <cell r="C1524" t="str">
            <v>GATO NEGRO CREMENERE 750ML</v>
          </cell>
          <cell r="D1524" t="str">
            <v/>
          </cell>
          <cell r="E1524" t="str">
            <v/>
          </cell>
          <cell r="F1524" t="str">
            <v>Pcs</v>
          </cell>
          <cell r="G1524">
            <v>14</v>
          </cell>
          <cell r="H1524" t="str">
            <v/>
          </cell>
          <cell r="I1524">
            <v>0</v>
          </cell>
          <cell r="J1524">
            <v>0</v>
          </cell>
          <cell r="K1524">
            <v>14</v>
          </cell>
          <cell r="L1524">
            <v>800</v>
          </cell>
          <cell r="M1524">
            <v>11200</v>
          </cell>
        </row>
        <row r="1525">
          <cell r="A1525">
            <v>812</v>
          </cell>
          <cell r="B1525" t="str">
            <v/>
          </cell>
          <cell r="C1525" t="str">
            <v>GATONEGRO MERLOT 1.5LTR</v>
          </cell>
          <cell r="D1525" t="str">
            <v/>
          </cell>
          <cell r="E1525" t="str">
            <v/>
          </cell>
          <cell r="F1525" t="str">
            <v>Pcs</v>
          </cell>
          <cell r="G1525">
            <v>0</v>
          </cell>
          <cell r="H1525" t="str">
            <v/>
          </cell>
          <cell r="I1525">
            <v>0</v>
          </cell>
          <cell r="J1525">
            <v>0</v>
          </cell>
          <cell r="K1525">
            <v>0</v>
          </cell>
          <cell r="L1525">
            <v>1726</v>
          </cell>
          <cell r="M1525">
            <v>0</v>
          </cell>
        </row>
        <row r="1526">
          <cell r="A1526">
            <v>813</v>
          </cell>
          <cell r="B1526" t="str">
            <v/>
          </cell>
          <cell r="C1526" t="str">
            <v>GATONEGRO MERLOT 750ML</v>
          </cell>
          <cell r="D1526" t="str">
            <v/>
          </cell>
          <cell r="E1526" t="str">
            <v/>
          </cell>
          <cell r="F1526" t="str">
            <v>Pcs</v>
          </cell>
          <cell r="G1526">
            <v>1</v>
          </cell>
          <cell r="H1526" t="str">
            <v/>
          </cell>
          <cell r="I1526">
            <v>0</v>
          </cell>
          <cell r="J1526">
            <v>0</v>
          </cell>
          <cell r="K1526">
            <v>1</v>
          </cell>
          <cell r="L1526">
            <v>700</v>
          </cell>
          <cell r="M1526">
            <v>700</v>
          </cell>
        </row>
        <row r="1527">
          <cell r="A1527">
            <v>2222</v>
          </cell>
          <cell r="B1527" t="str">
            <v/>
          </cell>
          <cell r="C1527" t="str">
            <v>GATO NEGRO MOSCATO 750ML</v>
          </cell>
          <cell r="D1527" t="str">
            <v/>
          </cell>
          <cell r="E1527" t="str">
            <v/>
          </cell>
          <cell r="F1527" t="str">
            <v>Pcs</v>
          </cell>
          <cell r="G1527">
            <v>1</v>
          </cell>
          <cell r="H1527" t="str">
            <v/>
          </cell>
          <cell r="I1527">
            <v>0</v>
          </cell>
          <cell r="J1527">
            <v>0</v>
          </cell>
          <cell r="K1527">
            <v>1</v>
          </cell>
          <cell r="L1527">
            <v>800</v>
          </cell>
          <cell r="M1527">
            <v>800</v>
          </cell>
        </row>
        <row r="1528">
          <cell r="A1528">
            <v>814</v>
          </cell>
          <cell r="B1528" t="str">
            <v/>
          </cell>
          <cell r="C1528" t="str">
            <v>GATONEGRO SAUV BLANC 1.5LTR</v>
          </cell>
          <cell r="D1528" t="str">
            <v/>
          </cell>
          <cell r="E1528" t="str">
            <v/>
          </cell>
          <cell r="F1528" t="str">
            <v>Pcs</v>
          </cell>
          <cell r="G1528">
            <v>24</v>
          </cell>
          <cell r="H1528" t="str">
            <v/>
          </cell>
          <cell r="I1528">
            <v>0</v>
          </cell>
          <cell r="J1528">
            <v>6</v>
          </cell>
          <cell r="K1528">
            <v>18</v>
          </cell>
          <cell r="L1528">
            <v>1000</v>
          </cell>
          <cell r="M1528">
            <v>18000</v>
          </cell>
        </row>
        <row r="1529">
          <cell r="A1529">
            <v>805</v>
          </cell>
          <cell r="B1529" t="str">
            <v/>
          </cell>
          <cell r="C1529" t="str">
            <v>GATO NEGRO SAUV BLANC 750ML</v>
          </cell>
          <cell r="D1529" t="str">
            <v/>
          </cell>
          <cell r="E1529" t="str">
            <v/>
          </cell>
          <cell r="F1529" t="str">
            <v>Pcs</v>
          </cell>
          <cell r="G1529">
            <v>4</v>
          </cell>
          <cell r="H1529" t="str">
            <v/>
          </cell>
          <cell r="I1529">
            <v>0</v>
          </cell>
          <cell r="J1529">
            <v>0</v>
          </cell>
          <cell r="K1529">
            <v>4</v>
          </cell>
          <cell r="L1529">
            <v>782</v>
          </cell>
          <cell r="M1529">
            <v>3128</v>
          </cell>
        </row>
        <row r="1530">
          <cell r="A1530">
            <v>815</v>
          </cell>
          <cell r="B1530" t="str">
            <v/>
          </cell>
          <cell r="C1530" t="str">
            <v>GATONEGRO SEMI SWEET RED 750ML</v>
          </cell>
          <cell r="D1530" t="str">
            <v/>
          </cell>
          <cell r="E1530" t="str">
            <v/>
          </cell>
          <cell r="F1530" t="str">
            <v>Pcs</v>
          </cell>
          <cell r="G1530">
            <v>0</v>
          </cell>
          <cell r="H1530" t="str">
            <v/>
          </cell>
          <cell r="I1530">
            <v>0</v>
          </cell>
          <cell r="J1530">
            <v>0</v>
          </cell>
          <cell r="K1530">
            <v>0</v>
          </cell>
          <cell r="L1530">
            <v>782</v>
          </cell>
          <cell r="M1530">
            <v>0</v>
          </cell>
        </row>
        <row r="1531">
          <cell r="A1531">
            <v>806</v>
          </cell>
          <cell r="B1531" t="str">
            <v/>
          </cell>
          <cell r="C1531" t="str">
            <v>GATO NEGRO SEMI SWEET WHITE 750ML</v>
          </cell>
          <cell r="D1531" t="str">
            <v/>
          </cell>
          <cell r="E1531" t="str">
            <v/>
          </cell>
          <cell r="F1531" t="str">
            <v>Pcs</v>
          </cell>
          <cell r="G1531">
            <v>253</v>
          </cell>
          <cell r="H1531" t="str">
            <v/>
          </cell>
          <cell r="I1531">
            <v>0</v>
          </cell>
          <cell r="J1531">
            <v>0</v>
          </cell>
          <cell r="K1531">
            <v>253</v>
          </cell>
          <cell r="L1531">
            <v>782</v>
          </cell>
          <cell r="M1531">
            <v>197846</v>
          </cell>
        </row>
        <row r="1532">
          <cell r="A1532">
            <v>2548</v>
          </cell>
          <cell r="B1532" t="str">
            <v/>
          </cell>
          <cell r="C1532" t="str">
            <v>GINBERYS LONDON DRY GIN  700ML</v>
          </cell>
          <cell r="D1532" t="str">
            <v/>
          </cell>
          <cell r="E1532" t="str">
            <v/>
          </cell>
          <cell r="F1532" t="str">
            <v>Pcs</v>
          </cell>
          <cell r="G1532">
            <v>0</v>
          </cell>
          <cell r="H1532" t="str">
            <v/>
          </cell>
          <cell r="I1532">
            <v>0</v>
          </cell>
          <cell r="J1532">
            <v>0</v>
          </cell>
          <cell r="K1532">
            <v>0</v>
          </cell>
          <cell r="L1532">
            <v>1183</v>
          </cell>
          <cell r="M1532">
            <v>0</v>
          </cell>
        </row>
        <row r="1533">
          <cell r="A1533">
            <v>894</v>
          </cell>
          <cell r="B1533" t="str">
            <v/>
          </cell>
          <cell r="C1533" t="str">
            <v>GRACA WHITE 750ML</v>
          </cell>
          <cell r="D1533" t="str">
            <v/>
          </cell>
          <cell r="E1533" t="str">
            <v/>
          </cell>
          <cell r="F1533" t="str">
            <v>Pcs</v>
          </cell>
          <cell r="G1533">
            <v>162</v>
          </cell>
          <cell r="H1533" t="str">
            <v/>
          </cell>
          <cell r="I1533">
            <v>0</v>
          </cell>
          <cell r="J1533">
            <v>0</v>
          </cell>
          <cell r="K1533">
            <v>162</v>
          </cell>
          <cell r="L1533">
            <v>800</v>
          </cell>
          <cell r="M1533">
            <v>129600</v>
          </cell>
        </row>
        <row r="1534">
          <cell r="A1534">
            <v>897</v>
          </cell>
          <cell r="B1534" t="str">
            <v/>
          </cell>
          <cell r="C1534" t="str">
            <v>GRAHAM BECK BRUT ROSE 750ML</v>
          </cell>
          <cell r="D1534" t="str">
            <v/>
          </cell>
          <cell r="E1534" t="str">
            <v/>
          </cell>
          <cell r="F1534" t="str">
            <v>Pcs</v>
          </cell>
          <cell r="G1534">
            <v>0</v>
          </cell>
          <cell r="H1534" t="str">
            <v/>
          </cell>
          <cell r="I1534">
            <v>0</v>
          </cell>
          <cell r="J1534">
            <v>0</v>
          </cell>
          <cell r="K1534">
            <v>0</v>
          </cell>
          <cell r="L1534">
            <v>2300</v>
          </cell>
          <cell r="M1534">
            <v>0</v>
          </cell>
        </row>
        <row r="1535">
          <cell r="A1535">
            <v>2193</v>
          </cell>
          <cell r="B1535" t="str">
            <v/>
          </cell>
          <cell r="C1535" t="str">
            <v>GRAHAM BECK NECTAR ROSE 750ML</v>
          </cell>
          <cell r="D1535" t="str">
            <v/>
          </cell>
          <cell r="E1535" t="str">
            <v/>
          </cell>
          <cell r="F1535" t="str">
            <v>Pcs</v>
          </cell>
          <cell r="G1535">
            <v>0</v>
          </cell>
          <cell r="H1535" t="str">
            <v/>
          </cell>
          <cell r="I1535">
            <v>0</v>
          </cell>
          <cell r="J1535">
            <v>0</v>
          </cell>
          <cell r="K1535">
            <v>0</v>
          </cell>
          <cell r="L1535">
            <v>2700</v>
          </cell>
          <cell r="M1535">
            <v>0</v>
          </cell>
        </row>
        <row r="1536">
          <cell r="A1536">
            <v>2805</v>
          </cell>
          <cell r="B1536" t="str">
            <v/>
          </cell>
          <cell r="C1536" t="str">
            <v>GRAHAM'S FINE RUBY</v>
          </cell>
          <cell r="D1536" t="str">
            <v/>
          </cell>
          <cell r="E1536" t="str">
            <v/>
          </cell>
          <cell r="F1536" t="str">
            <v>Pcs</v>
          </cell>
          <cell r="G1536">
            <v>60</v>
          </cell>
          <cell r="H1536" t="str">
            <v/>
          </cell>
          <cell r="I1536">
            <v>0</v>
          </cell>
          <cell r="J1536">
            <v>0</v>
          </cell>
          <cell r="K1536">
            <v>60</v>
          </cell>
          <cell r="L1536">
            <v>1388</v>
          </cell>
          <cell r="M1536">
            <v>83280</v>
          </cell>
        </row>
        <row r="1537">
          <cell r="A1537">
            <v>2806</v>
          </cell>
          <cell r="B1537" t="str">
            <v/>
          </cell>
          <cell r="C1537" t="str">
            <v>GRAHAM'S FINE TAWNY 750ML</v>
          </cell>
          <cell r="D1537" t="str">
            <v/>
          </cell>
          <cell r="E1537" t="str">
            <v/>
          </cell>
          <cell r="F1537" t="str">
            <v>Pcs</v>
          </cell>
          <cell r="G1537">
            <v>44</v>
          </cell>
          <cell r="H1537" t="str">
            <v/>
          </cell>
          <cell r="I1537">
            <v>0</v>
          </cell>
          <cell r="J1537">
            <v>0</v>
          </cell>
          <cell r="K1537">
            <v>44</v>
          </cell>
          <cell r="L1537">
            <v>1388</v>
          </cell>
          <cell r="M1537">
            <v>61072</v>
          </cell>
        </row>
        <row r="1538">
          <cell r="A1538">
            <v>2807</v>
          </cell>
          <cell r="B1538" t="str">
            <v/>
          </cell>
          <cell r="C1538" t="str">
            <v>GRAHAM'S FINE WHITE 750ML</v>
          </cell>
          <cell r="D1538" t="str">
            <v/>
          </cell>
          <cell r="E1538" t="str">
            <v/>
          </cell>
          <cell r="F1538" t="str">
            <v>Pcs</v>
          </cell>
          <cell r="G1538">
            <v>17</v>
          </cell>
          <cell r="H1538" t="str">
            <v/>
          </cell>
          <cell r="I1538">
            <v>0</v>
          </cell>
          <cell r="J1538">
            <v>0</v>
          </cell>
          <cell r="K1538">
            <v>17</v>
          </cell>
          <cell r="L1538">
            <v>1388</v>
          </cell>
          <cell r="M1538">
            <v>23596</v>
          </cell>
        </row>
        <row r="1539">
          <cell r="A1539">
            <v>2194</v>
          </cell>
          <cell r="B1539" t="str">
            <v/>
          </cell>
          <cell r="C1539" t="str">
            <v>GRANDE FRANCE BRUT 750ML</v>
          </cell>
          <cell r="D1539" t="str">
            <v/>
          </cell>
          <cell r="E1539" t="str">
            <v/>
          </cell>
          <cell r="F1539" t="str">
            <v>Pcs</v>
          </cell>
          <cell r="G1539">
            <v>0</v>
          </cell>
          <cell r="H1539" t="str">
            <v/>
          </cell>
          <cell r="I1539">
            <v>0</v>
          </cell>
          <cell r="J1539">
            <v>0</v>
          </cell>
          <cell r="K1539">
            <v>0</v>
          </cell>
          <cell r="L1539">
            <v>1900</v>
          </cell>
          <cell r="M1539">
            <v>0</v>
          </cell>
        </row>
        <row r="1540">
          <cell r="A1540">
            <v>2195</v>
          </cell>
          <cell r="B1540" t="str">
            <v/>
          </cell>
          <cell r="C1540" t="str">
            <v>GRANDE FRANCE ROSE 750ML</v>
          </cell>
          <cell r="D1540" t="str">
            <v/>
          </cell>
          <cell r="E1540" t="str">
            <v/>
          </cell>
          <cell r="F1540" t="str">
            <v>Pcs</v>
          </cell>
          <cell r="G1540">
            <v>0</v>
          </cell>
          <cell r="H1540" t="str">
            <v/>
          </cell>
          <cell r="I1540">
            <v>0</v>
          </cell>
          <cell r="J1540">
            <v>0</v>
          </cell>
          <cell r="K1540">
            <v>0</v>
          </cell>
          <cell r="L1540">
            <v>1900</v>
          </cell>
          <cell r="M1540">
            <v>0</v>
          </cell>
        </row>
        <row r="1541">
          <cell r="A1541">
            <v>905</v>
          </cell>
          <cell r="B1541" t="str">
            <v/>
          </cell>
          <cell r="C1541" t="str">
            <v>GRANDE FRANCE SEMI SWEET WHITE 750ML</v>
          </cell>
          <cell r="D1541" t="str">
            <v/>
          </cell>
          <cell r="E1541" t="str">
            <v/>
          </cell>
          <cell r="F1541" t="str">
            <v>Pcs</v>
          </cell>
          <cell r="G1541">
            <v>0</v>
          </cell>
          <cell r="H1541" t="str">
            <v/>
          </cell>
          <cell r="I1541">
            <v>0</v>
          </cell>
          <cell r="J1541">
            <v>0</v>
          </cell>
          <cell r="K1541">
            <v>0</v>
          </cell>
          <cell r="L1541">
            <v>2800</v>
          </cell>
          <cell r="M1541">
            <v>0</v>
          </cell>
        </row>
        <row r="1542">
          <cell r="A1542">
            <v>2923</v>
          </cell>
          <cell r="B1542" t="str">
            <v/>
          </cell>
          <cell r="C1542" t="str">
            <v>GRANDE RESERVE LE LYS ROUGE BORDEAUX RED 750ML</v>
          </cell>
          <cell r="D1542" t="str">
            <v/>
          </cell>
          <cell r="E1542" t="str">
            <v/>
          </cell>
          <cell r="F1542" t="str">
            <v>Pcs</v>
          </cell>
          <cell r="G1542">
            <v>1</v>
          </cell>
          <cell r="H1542" t="str">
            <v/>
          </cell>
          <cell r="I1542">
            <v>24</v>
          </cell>
          <cell r="J1542">
            <v>6</v>
          </cell>
          <cell r="K1542">
            <v>19</v>
          </cell>
          <cell r="L1542">
            <v>850</v>
          </cell>
          <cell r="M1542">
            <v>16150</v>
          </cell>
        </row>
        <row r="1543">
          <cell r="A1543">
            <v>2518</v>
          </cell>
          <cell r="B1543" t="str">
            <v/>
          </cell>
          <cell r="C1543" t="str">
            <v>HAMSINI SWEET RED 750ML</v>
          </cell>
          <cell r="D1543" t="str">
            <v/>
          </cell>
          <cell r="E1543" t="str">
            <v/>
          </cell>
          <cell r="F1543" t="str">
            <v>Pcs</v>
          </cell>
          <cell r="G1543">
            <v>0</v>
          </cell>
          <cell r="H1543" t="str">
            <v/>
          </cell>
          <cell r="I1543">
            <v>0</v>
          </cell>
          <cell r="J1543">
            <v>0</v>
          </cell>
          <cell r="K1543">
            <v>0</v>
          </cell>
          <cell r="L1543">
            <v>1100</v>
          </cell>
          <cell r="M1543">
            <v>0</v>
          </cell>
        </row>
        <row r="1544">
          <cell r="A1544">
            <v>2519</v>
          </cell>
          <cell r="B1544" t="str">
            <v/>
          </cell>
          <cell r="C1544" t="str">
            <v>HAMSINI SWEET WHITE750ML</v>
          </cell>
          <cell r="D1544" t="str">
            <v/>
          </cell>
          <cell r="E1544" t="str">
            <v/>
          </cell>
          <cell r="F1544" t="str">
            <v>Pcs</v>
          </cell>
          <cell r="G1544">
            <v>0</v>
          </cell>
          <cell r="H1544" t="str">
            <v/>
          </cell>
          <cell r="I1544">
            <v>0</v>
          </cell>
          <cell r="J1544">
            <v>0</v>
          </cell>
          <cell r="K1544">
            <v>0</v>
          </cell>
          <cell r="L1544">
            <v>1100</v>
          </cell>
          <cell r="M1544">
            <v>0</v>
          </cell>
        </row>
        <row r="1545">
          <cell r="A1545">
            <v>2512</v>
          </cell>
          <cell r="B1545" t="str">
            <v/>
          </cell>
          <cell r="C1545" t="str">
            <v>HAUTE CABRIERE CHARDONNAY  PINOT 750ML750ML</v>
          </cell>
          <cell r="D1545" t="str">
            <v/>
          </cell>
          <cell r="E1545" t="str">
            <v/>
          </cell>
          <cell r="F1545" t="str">
            <v>Pcs</v>
          </cell>
          <cell r="G1545">
            <v>6</v>
          </cell>
          <cell r="H1545" t="str">
            <v/>
          </cell>
          <cell r="I1545">
            <v>0</v>
          </cell>
          <cell r="J1545">
            <v>0</v>
          </cell>
          <cell r="K1545">
            <v>6</v>
          </cell>
          <cell r="L1545">
            <v>1625</v>
          </cell>
          <cell r="M1545">
            <v>9750</v>
          </cell>
        </row>
        <row r="1546">
          <cell r="A1546">
            <v>2497</v>
          </cell>
          <cell r="B1546" t="str">
            <v/>
          </cell>
          <cell r="C1546" t="str">
            <v>HAUTE CABRIERE UNWOODED CHARDONNAY 750ML</v>
          </cell>
          <cell r="D1546" t="str">
            <v/>
          </cell>
          <cell r="E1546" t="str">
            <v/>
          </cell>
          <cell r="F1546" t="str">
            <v>Pcs</v>
          </cell>
          <cell r="G1546">
            <v>6</v>
          </cell>
          <cell r="H1546" t="str">
            <v/>
          </cell>
          <cell r="I1546">
            <v>0</v>
          </cell>
          <cell r="J1546">
            <v>0</v>
          </cell>
          <cell r="K1546">
            <v>6</v>
          </cell>
          <cell r="L1546">
            <v>1505</v>
          </cell>
          <cell r="M1546">
            <v>9030</v>
          </cell>
        </row>
        <row r="1547">
          <cell r="A1547">
            <v>2517</v>
          </cell>
          <cell r="B1547" t="str">
            <v/>
          </cell>
          <cell r="C1547" t="str">
            <v>HAUTE CABRIERE UNWOODED PINOTNOIR 750ML</v>
          </cell>
          <cell r="D1547" t="str">
            <v/>
          </cell>
          <cell r="E1547" t="str">
            <v/>
          </cell>
          <cell r="F1547" t="str">
            <v>Pcs</v>
          </cell>
          <cell r="G1547">
            <v>0</v>
          </cell>
          <cell r="H1547" t="str">
            <v/>
          </cell>
          <cell r="I1547">
            <v>0</v>
          </cell>
          <cell r="J1547">
            <v>0</v>
          </cell>
          <cell r="K1547">
            <v>0</v>
          </cell>
          <cell r="L1547">
            <v>1625</v>
          </cell>
          <cell r="M1547">
            <v>0</v>
          </cell>
        </row>
        <row r="1548">
          <cell r="A1548">
            <v>968</v>
          </cell>
          <cell r="B1548" t="str">
            <v/>
          </cell>
          <cell r="C1548" t="str">
            <v>HERITAGE AOP LANGUEDOC 750ML</v>
          </cell>
          <cell r="D1548" t="str">
            <v/>
          </cell>
          <cell r="E1548" t="str">
            <v/>
          </cell>
          <cell r="F1548" t="str">
            <v>Pcs</v>
          </cell>
          <cell r="G1548">
            <v>0</v>
          </cell>
          <cell r="H1548" t="str">
            <v/>
          </cell>
          <cell r="I1548">
            <v>0</v>
          </cell>
          <cell r="J1548">
            <v>0</v>
          </cell>
          <cell r="K1548">
            <v>0</v>
          </cell>
          <cell r="L1548">
            <v>1706.6</v>
          </cell>
          <cell r="M1548">
            <v>0</v>
          </cell>
        </row>
        <row r="1549">
          <cell r="A1549">
            <v>1013</v>
          </cell>
          <cell r="B1549" t="str">
            <v/>
          </cell>
          <cell r="C1549" t="str">
            <v>ITINERA PROSECCO 750ML</v>
          </cell>
          <cell r="D1549" t="str">
            <v/>
          </cell>
          <cell r="E1549" t="str">
            <v/>
          </cell>
          <cell r="F1549" t="str">
            <v>Pcs</v>
          </cell>
          <cell r="G1549">
            <v>0</v>
          </cell>
          <cell r="H1549" t="str">
            <v/>
          </cell>
          <cell r="I1549">
            <v>0</v>
          </cell>
          <cell r="J1549">
            <v>0</v>
          </cell>
          <cell r="K1549">
            <v>0</v>
          </cell>
          <cell r="L1549">
            <v>2116</v>
          </cell>
          <cell r="M1549">
            <v>0</v>
          </cell>
        </row>
        <row r="1550">
          <cell r="A1550">
            <v>2439</v>
          </cell>
          <cell r="B1550" t="str">
            <v/>
          </cell>
          <cell r="C1550" t="str">
            <v>JACOB'S CREEK CABERNET SAUVIGNON 750ML</v>
          </cell>
          <cell r="D1550" t="str">
            <v/>
          </cell>
          <cell r="E1550" t="str">
            <v/>
          </cell>
          <cell r="F1550" t="str">
            <v>Pcs</v>
          </cell>
          <cell r="G1550">
            <v>0</v>
          </cell>
          <cell r="H1550" t="str">
            <v/>
          </cell>
          <cell r="I1550">
            <v>0</v>
          </cell>
          <cell r="J1550">
            <v>0</v>
          </cell>
          <cell r="K1550">
            <v>0</v>
          </cell>
          <cell r="L1550">
            <v>1172.08</v>
          </cell>
          <cell r="M1550">
            <v>0</v>
          </cell>
        </row>
        <row r="1551">
          <cell r="A1551">
            <v>1044</v>
          </cell>
          <cell r="B1551" t="str">
            <v/>
          </cell>
          <cell r="C1551" t="str">
            <v>JACOBS CREEK CHARDONNAY</v>
          </cell>
          <cell r="D1551" t="str">
            <v/>
          </cell>
          <cell r="E1551" t="str">
            <v/>
          </cell>
          <cell r="F1551" t="str">
            <v>Pcs</v>
          </cell>
          <cell r="G1551">
            <v>0</v>
          </cell>
          <cell r="H1551" t="str">
            <v/>
          </cell>
          <cell r="I1551">
            <v>0</v>
          </cell>
          <cell r="J1551">
            <v>0</v>
          </cell>
          <cell r="K1551">
            <v>0</v>
          </cell>
          <cell r="L1551">
            <v>1150</v>
          </cell>
          <cell r="M1551">
            <v>0</v>
          </cell>
        </row>
        <row r="1552">
          <cell r="A1552">
            <v>1042</v>
          </cell>
          <cell r="B1552" t="str">
            <v/>
          </cell>
          <cell r="C1552" t="str">
            <v>JACOB'S CREEK CLASSIC SHIRAZ 750ML</v>
          </cell>
          <cell r="D1552" t="str">
            <v/>
          </cell>
          <cell r="E1552" t="str">
            <v/>
          </cell>
          <cell r="F1552" t="str">
            <v>Pcs</v>
          </cell>
          <cell r="G1552">
            <v>0</v>
          </cell>
          <cell r="H1552" t="str">
            <v/>
          </cell>
          <cell r="I1552">
            <v>0</v>
          </cell>
          <cell r="J1552">
            <v>0</v>
          </cell>
          <cell r="K1552">
            <v>0</v>
          </cell>
          <cell r="L1552">
            <v>1150</v>
          </cell>
          <cell r="M1552">
            <v>0</v>
          </cell>
        </row>
        <row r="1553">
          <cell r="A1553">
            <v>1045</v>
          </cell>
          <cell r="B1553" t="str">
            <v/>
          </cell>
          <cell r="C1553" t="str">
            <v>JACOBS CREEK MERLOT 750ML</v>
          </cell>
          <cell r="D1553" t="str">
            <v/>
          </cell>
          <cell r="E1553" t="str">
            <v/>
          </cell>
          <cell r="F1553" t="str">
            <v>Pcs</v>
          </cell>
          <cell r="G1553">
            <v>0</v>
          </cell>
          <cell r="H1553" t="str">
            <v/>
          </cell>
          <cell r="I1553">
            <v>0</v>
          </cell>
          <cell r="J1553">
            <v>0</v>
          </cell>
          <cell r="K1553">
            <v>0</v>
          </cell>
          <cell r="L1553">
            <v>1172.08</v>
          </cell>
          <cell r="M1553">
            <v>0</v>
          </cell>
        </row>
        <row r="1554">
          <cell r="A1554">
            <v>2443</v>
          </cell>
          <cell r="B1554" t="str">
            <v/>
          </cell>
          <cell r="C1554" t="str">
            <v>JACOB'S CREEK RESERVE SHIRAZ 750ML</v>
          </cell>
          <cell r="D1554" t="str">
            <v/>
          </cell>
          <cell r="E1554" t="str">
            <v/>
          </cell>
          <cell r="F1554" t="str">
            <v>Pcs</v>
          </cell>
          <cell r="G1554">
            <v>0</v>
          </cell>
          <cell r="H1554" t="str">
            <v/>
          </cell>
          <cell r="I1554">
            <v>0</v>
          </cell>
          <cell r="J1554">
            <v>0</v>
          </cell>
          <cell r="K1554">
            <v>0</v>
          </cell>
          <cell r="L1554">
            <v>1172.08</v>
          </cell>
          <cell r="M1554">
            <v>0</v>
          </cell>
        </row>
        <row r="1555">
          <cell r="A1555">
            <v>1043</v>
          </cell>
          <cell r="B1555" t="str">
            <v/>
          </cell>
          <cell r="C1555" t="str">
            <v>JACOB'S CREEK ROSE 750ML</v>
          </cell>
          <cell r="D1555" t="str">
            <v/>
          </cell>
          <cell r="E1555" t="str">
            <v/>
          </cell>
          <cell r="F1555" t="str">
            <v>Pcs</v>
          </cell>
          <cell r="G1555">
            <v>0</v>
          </cell>
          <cell r="H1555" t="str">
            <v/>
          </cell>
          <cell r="I1555">
            <v>0</v>
          </cell>
          <cell r="J1555">
            <v>0</v>
          </cell>
          <cell r="K1555">
            <v>0</v>
          </cell>
          <cell r="L1555">
            <v>1150</v>
          </cell>
          <cell r="M1555">
            <v>0</v>
          </cell>
        </row>
        <row r="1556">
          <cell r="A1556">
            <v>2205</v>
          </cell>
          <cell r="B1556" t="str">
            <v/>
          </cell>
          <cell r="C1556" t="str">
            <v>JAM JAR SWEET RED 750ML</v>
          </cell>
          <cell r="D1556" t="str">
            <v/>
          </cell>
          <cell r="E1556" t="str">
            <v/>
          </cell>
          <cell r="F1556" t="str">
            <v>Pcs</v>
          </cell>
          <cell r="G1556">
            <v>0</v>
          </cell>
          <cell r="H1556" t="str">
            <v/>
          </cell>
          <cell r="I1556">
            <v>0</v>
          </cell>
          <cell r="J1556">
            <v>0</v>
          </cell>
          <cell r="K1556">
            <v>0</v>
          </cell>
          <cell r="L1556">
            <v>750</v>
          </cell>
          <cell r="M1556">
            <v>0</v>
          </cell>
        </row>
        <row r="1557">
          <cell r="A1557">
            <v>2382</v>
          </cell>
          <cell r="B1557" t="str">
            <v/>
          </cell>
          <cell r="C1557" t="str">
            <v>JAM JAR SWEET SHIRAZ 750ML</v>
          </cell>
          <cell r="D1557" t="str">
            <v/>
          </cell>
          <cell r="E1557" t="str">
            <v/>
          </cell>
          <cell r="F1557" t="str">
            <v>Pcs</v>
          </cell>
          <cell r="G1557">
            <v>0</v>
          </cell>
          <cell r="H1557" t="str">
            <v/>
          </cell>
          <cell r="I1557">
            <v>0</v>
          </cell>
          <cell r="J1557">
            <v>0</v>
          </cell>
          <cell r="K1557">
            <v>0</v>
          </cell>
          <cell r="L1557">
            <v>1000</v>
          </cell>
          <cell r="M1557">
            <v>0</v>
          </cell>
        </row>
        <row r="1558">
          <cell r="A1558">
            <v>2206</v>
          </cell>
          <cell r="B1558" t="str">
            <v/>
          </cell>
          <cell r="C1558" t="str">
            <v>JAM JAR SWEET WHITE 750ML</v>
          </cell>
          <cell r="D1558" t="str">
            <v/>
          </cell>
          <cell r="E1558" t="str">
            <v/>
          </cell>
          <cell r="F1558" t="str">
            <v>Pcs</v>
          </cell>
          <cell r="G1558">
            <v>0</v>
          </cell>
          <cell r="H1558" t="str">
            <v/>
          </cell>
          <cell r="I1558">
            <v>0</v>
          </cell>
          <cell r="J1558">
            <v>0</v>
          </cell>
          <cell r="K1558">
            <v>0</v>
          </cell>
          <cell r="L1558">
            <v>750</v>
          </cell>
          <cell r="M1558">
            <v>0</v>
          </cell>
        </row>
        <row r="1559">
          <cell r="A1559">
            <v>2590</v>
          </cell>
          <cell r="B1559" t="str">
            <v/>
          </cell>
          <cell r="C1559" t="str">
            <v>JP AZEITAO RED 750ML </v>
          </cell>
          <cell r="D1559" t="str">
            <v/>
          </cell>
          <cell r="E1559" t="str">
            <v/>
          </cell>
          <cell r="F1559" t="str">
            <v>Pcs</v>
          </cell>
          <cell r="G1559">
            <v>12</v>
          </cell>
          <cell r="H1559" t="str">
            <v/>
          </cell>
          <cell r="I1559">
            <v>0</v>
          </cell>
          <cell r="J1559">
            <v>0</v>
          </cell>
          <cell r="K1559">
            <v>12</v>
          </cell>
          <cell r="L1559">
            <v>1390</v>
          </cell>
          <cell r="M1559">
            <v>16680</v>
          </cell>
        </row>
        <row r="1560">
          <cell r="A1560">
            <v>2591</v>
          </cell>
          <cell r="B1560" t="str">
            <v/>
          </cell>
          <cell r="C1560" t="str">
            <v>JP AZEITAO WHITE 750ML </v>
          </cell>
          <cell r="D1560" t="str">
            <v/>
          </cell>
          <cell r="E1560" t="str">
            <v/>
          </cell>
          <cell r="F1560" t="str">
            <v>Pcs</v>
          </cell>
          <cell r="G1560">
            <v>12</v>
          </cell>
          <cell r="H1560" t="str">
            <v/>
          </cell>
          <cell r="I1560">
            <v>0</v>
          </cell>
          <cell r="J1560">
            <v>0</v>
          </cell>
          <cell r="K1560">
            <v>12</v>
          </cell>
          <cell r="L1560">
            <v>1390</v>
          </cell>
          <cell r="M1560">
            <v>16680</v>
          </cell>
        </row>
        <row r="1561">
          <cell r="A1561">
            <v>1144</v>
          </cell>
          <cell r="B1561" t="str">
            <v/>
          </cell>
          <cell r="C1561" t="str">
            <v>JP CHENET FASHION PINEAPPLE 750ML</v>
          </cell>
          <cell r="D1561" t="str">
            <v/>
          </cell>
          <cell r="E1561" t="str">
            <v/>
          </cell>
          <cell r="F1561" t="str">
            <v>Pcs</v>
          </cell>
          <cell r="G1561">
            <v>0</v>
          </cell>
          <cell r="H1561" t="str">
            <v/>
          </cell>
          <cell r="I1561">
            <v>0</v>
          </cell>
          <cell r="J1561">
            <v>0</v>
          </cell>
          <cell r="K1561">
            <v>0</v>
          </cell>
          <cell r="L1561">
            <v>1104</v>
          </cell>
          <cell r="M1561">
            <v>0</v>
          </cell>
        </row>
        <row r="1562">
          <cell r="A1562">
            <v>2204</v>
          </cell>
          <cell r="B1562" t="str">
            <v/>
          </cell>
          <cell r="C1562" t="str">
            <v>JP CHENET ICE EDITION 750ML</v>
          </cell>
          <cell r="D1562" t="str">
            <v/>
          </cell>
          <cell r="E1562" t="str">
            <v/>
          </cell>
          <cell r="F1562" t="str">
            <v>Pcs</v>
          </cell>
          <cell r="G1562">
            <v>1</v>
          </cell>
          <cell r="H1562" t="str">
            <v/>
          </cell>
          <cell r="I1562">
            <v>0</v>
          </cell>
          <cell r="J1562">
            <v>0</v>
          </cell>
          <cell r="K1562">
            <v>1</v>
          </cell>
          <cell r="L1562">
            <v>900</v>
          </cell>
          <cell r="M1562">
            <v>900</v>
          </cell>
        </row>
        <row r="1563">
          <cell r="A1563">
            <v>1147</v>
          </cell>
          <cell r="B1563" t="str">
            <v/>
          </cell>
          <cell r="C1563" t="str">
            <v>JP CHENET ORIGINAL BRUT-SPARKLING 750ML</v>
          </cell>
          <cell r="D1563" t="str">
            <v/>
          </cell>
          <cell r="E1563" t="str">
            <v/>
          </cell>
          <cell r="F1563" t="str">
            <v>Pcs</v>
          </cell>
          <cell r="G1563">
            <v>24</v>
          </cell>
          <cell r="H1563" t="str">
            <v/>
          </cell>
          <cell r="I1563">
            <v>0</v>
          </cell>
          <cell r="J1563">
            <v>0</v>
          </cell>
          <cell r="K1563">
            <v>24</v>
          </cell>
          <cell r="L1563">
            <v>874</v>
          </cell>
          <cell r="M1563">
            <v>20976</v>
          </cell>
        </row>
        <row r="1564">
          <cell r="A1564">
            <v>1151</v>
          </cell>
          <cell r="B1564" t="str">
            <v/>
          </cell>
          <cell r="C1564" t="str">
            <v>JP CHENET ORIGINAL MERLOT ORIGINAL 750ML</v>
          </cell>
          <cell r="D1564" t="str">
            <v/>
          </cell>
          <cell r="E1564" t="str">
            <v/>
          </cell>
          <cell r="F1564" t="str">
            <v>Pcs</v>
          </cell>
          <cell r="G1564">
            <v>6</v>
          </cell>
          <cell r="H1564" t="str">
            <v/>
          </cell>
          <cell r="I1564">
            <v>0</v>
          </cell>
          <cell r="J1564">
            <v>0</v>
          </cell>
          <cell r="K1564">
            <v>6</v>
          </cell>
          <cell r="L1564">
            <v>950</v>
          </cell>
          <cell r="M1564">
            <v>5700</v>
          </cell>
        </row>
        <row r="1565">
          <cell r="A1565">
            <v>1152</v>
          </cell>
          <cell r="B1565" t="str">
            <v/>
          </cell>
          <cell r="C1565" t="str">
            <v>JP CHENET ORIGINAL SAUV BLANC 750ML</v>
          </cell>
          <cell r="D1565" t="str">
            <v/>
          </cell>
          <cell r="E1565" t="str">
            <v/>
          </cell>
          <cell r="F1565" t="str">
            <v>Pcs</v>
          </cell>
          <cell r="G1565">
            <v>13</v>
          </cell>
          <cell r="H1565" t="str">
            <v/>
          </cell>
          <cell r="I1565">
            <v>0</v>
          </cell>
          <cell r="J1565">
            <v>0</v>
          </cell>
          <cell r="K1565">
            <v>13</v>
          </cell>
          <cell r="L1565">
            <v>874</v>
          </cell>
          <cell r="M1565">
            <v>11362</v>
          </cell>
        </row>
        <row r="1566">
          <cell r="A1566">
            <v>1154</v>
          </cell>
          <cell r="B1566" t="str">
            <v/>
          </cell>
          <cell r="C1566" t="str">
            <v>JP CHENET RESERVE CHARDONNAY VIOGNIER 750ML</v>
          </cell>
          <cell r="D1566" t="str">
            <v/>
          </cell>
          <cell r="E1566" t="str">
            <v/>
          </cell>
          <cell r="F1566" t="str">
            <v>Pcs</v>
          </cell>
          <cell r="G1566">
            <v>2</v>
          </cell>
          <cell r="H1566" t="str">
            <v/>
          </cell>
          <cell r="I1566">
            <v>0</v>
          </cell>
          <cell r="J1566">
            <v>0</v>
          </cell>
          <cell r="K1566">
            <v>2</v>
          </cell>
          <cell r="L1566">
            <v>1131.6</v>
          </cell>
          <cell r="M1566">
            <v>2263.2</v>
          </cell>
        </row>
        <row r="1567">
          <cell r="A1567">
            <v>2438</v>
          </cell>
          <cell r="B1567" t="str">
            <v/>
          </cell>
          <cell r="C1567" t="str">
            <v>JURA 18YEARS 700ML</v>
          </cell>
          <cell r="D1567" t="str">
            <v/>
          </cell>
          <cell r="E1567" t="str">
            <v/>
          </cell>
          <cell r="F1567" t="str">
            <v>Pcs</v>
          </cell>
          <cell r="G1567">
            <v>6</v>
          </cell>
          <cell r="H1567" t="str">
            <v/>
          </cell>
          <cell r="I1567">
            <v>0</v>
          </cell>
          <cell r="J1567">
            <v>0</v>
          </cell>
          <cell r="K1567">
            <v>6</v>
          </cell>
          <cell r="L1567">
            <v>7000</v>
          </cell>
          <cell r="M1567">
            <v>42000</v>
          </cell>
        </row>
        <row r="1568">
          <cell r="A1568">
            <v>1173</v>
          </cell>
          <cell r="B1568" t="str">
            <v/>
          </cell>
          <cell r="C1568" t="str">
            <v>KANONKOP KADETTE 750ML</v>
          </cell>
          <cell r="D1568" t="str">
            <v/>
          </cell>
          <cell r="E1568" t="str">
            <v/>
          </cell>
          <cell r="F1568" t="str">
            <v>Pcs</v>
          </cell>
          <cell r="G1568">
            <v>0</v>
          </cell>
          <cell r="H1568" t="str">
            <v/>
          </cell>
          <cell r="I1568">
            <v>0</v>
          </cell>
          <cell r="J1568">
            <v>0</v>
          </cell>
          <cell r="K1568">
            <v>0</v>
          </cell>
          <cell r="L1568">
            <v>2300</v>
          </cell>
          <cell r="M1568">
            <v>0</v>
          </cell>
        </row>
        <row r="1569">
          <cell r="A1569">
            <v>1165</v>
          </cell>
          <cell r="B1569" t="str">
            <v/>
          </cell>
          <cell r="C1569" t="str">
            <v>KANONKOP KADETTE PINOTAGE ROSE 750ml</v>
          </cell>
          <cell r="D1569" t="str">
            <v/>
          </cell>
          <cell r="E1569" t="str">
            <v/>
          </cell>
          <cell r="F1569" t="str">
            <v>Pcs</v>
          </cell>
          <cell r="G1569">
            <v>0</v>
          </cell>
          <cell r="H1569" t="str">
            <v/>
          </cell>
          <cell r="I1569">
            <v>0</v>
          </cell>
          <cell r="J1569">
            <v>0</v>
          </cell>
          <cell r="K1569">
            <v>0</v>
          </cell>
          <cell r="L1569">
            <v>2300</v>
          </cell>
          <cell r="M1569">
            <v>0</v>
          </cell>
        </row>
        <row r="1570">
          <cell r="A1570">
            <v>1213</v>
          </cell>
          <cell r="B1570" t="str">
            <v/>
          </cell>
          <cell r="C1570" t="str">
            <v>KLEINE RUST  SAVIGNON BLANC 1.5LTR</v>
          </cell>
          <cell r="D1570" t="str">
            <v/>
          </cell>
          <cell r="E1570" t="str">
            <v/>
          </cell>
          <cell r="F1570" t="str">
            <v>Pcs</v>
          </cell>
          <cell r="G1570">
            <v>0</v>
          </cell>
          <cell r="H1570" t="str">
            <v/>
          </cell>
          <cell r="I1570">
            <v>0</v>
          </cell>
          <cell r="J1570">
            <v>0</v>
          </cell>
          <cell r="K1570">
            <v>0</v>
          </cell>
          <cell r="L1570">
            <v>2116</v>
          </cell>
          <cell r="M1570">
            <v>0</v>
          </cell>
        </row>
        <row r="1571">
          <cell r="A1571">
            <v>1239</v>
          </cell>
          <cell r="B1571" t="str">
            <v/>
          </cell>
          <cell r="C1571" t="str">
            <v>KWV CAPE RUBY 750ml</v>
          </cell>
          <cell r="D1571" t="str">
            <v/>
          </cell>
          <cell r="E1571" t="str">
            <v/>
          </cell>
          <cell r="F1571" t="str">
            <v>Pcs</v>
          </cell>
          <cell r="G1571">
            <v>0</v>
          </cell>
          <cell r="H1571" t="str">
            <v/>
          </cell>
          <cell r="I1571">
            <v>0</v>
          </cell>
          <cell r="J1571">
            <v>0</v>
          </cell>
          <cell r="K1571">
            <v>0</v>
          </cell>
          <cell r="L1571">
            <v>1656</v>
          </cell>
          <cell r="M1571">
            <v>0</v>
          </cell>
        </row>
        <row r="1572">
          <cell r="A1572">
            <v>1241</v>
          </cell>
          <cell r="B1572" t="str">
            <v/>
          </cell>
          <cell r="C1572" t="str">
            <v>KWV CLASSIC CAB SAUV 750ML</v>
          </cell>
          <cell r="D1572" t="str">
            <v/>
          </cell>
          <cell r="E1572" t="str">
            <v/>
          </cell>
          <cell r="F1572" t="str">
            <v>Pcs</v>
          </cell>
          <cell r="G1572">
            <v>0</v>
          </cell>
          <cell r="H1572" t="str">
            <v/>
          </cell>
          <cell r="I1572">
            <v>0</v>
          </cell>
          <cell r="J1572">
            <v>0</v>
          </cell>
          <cell r="K1572">
            <v>0</v>
          </cell>
          <cell r="L1572">
            <v>1196</v>
          </cell>
          <cell r="M1572">
            <v>0</v>
          </cell>
        </row>
        <row r="1573">
          <cell r="A1573">
            <v>1242</v>
          </cell>
          <cell r="B1573" t="str">
            <v/>
          </cell>
          <cell r="C1573" t="str">
            <v>KWV CLASSIC CHARDONNAY 750ML</v>
          </cell>
          <cell r="D1573" t="str">
            <v/>
          </cell>
          <cell r="E1573" t="str">
            <v/>
          </cell>
          <cell r="F1573" t="str">
            <v>Pcs</v>
          </cell>
          <cell r="G1573">
            <v>8</v>
          </cell>
          <cell r="H1573" t="str">
            <v/>
          </cell>
          <cell r="I1573">
            <v>0</v>
          </cell>
          <cell r="J1573">
            <v>6</v>
          </cell>
          <cell r="K1573">
            <v>2</v>
          </cell>
          <cell r="L1573">
            <v>1196</v>
          </cell>
          <cell r="M1573">
            <v>2392</v>
          </cell>
        </row>
        <row r="1574">
          <cell r="A1574">
            <v>1243</v>
          </cell>
          <cell r="B1574" t="str">
            <v/>
          </cell>
          <cell r="C1574" t="str">
            <v>KWV CLASSIC CHENIN BLANC 750ML</v>
          </cell>
          <cell r="D1574" t="str">
            <v/>
          </cell>
          <cell r="E1574" t="str">
            <v/>
          </cell>
          <cell r="F1574" t="str">
            <v>Pcs</v>
          </cell>
          <cell r="G1574">
            <v>0</v>
          </cell>
          <cell r="H1574" t="str">
            <v/>
          </cell>
          <cell r="I1574">
            <v>0</v>
          </cell>
          <cell r="J1574">
            <v>0</v>
          </cell>
          <cell r="K1574">
            <v>0</v>
          </cell>
          <cell r="L1574">
            <v>1000</v>
          </cell>
          <cell r="M1574">
            <v>0</v>
          </cell>
        </row>
        <row r="1575">
          <cell r="A1575">
            <v>1244</v>
          </cell>
          <cell r="B1575" t="str">
            <v/>
          </cell>
          <cell r="C1575" t="str">
            <v>KWV CLASSIC MERLOT 750ML</v>
          </cell>
          <cell r="D1575" t="str">
            <v/>
          </cell>
          <cell r="E1575" t="str">
            <v/>
          </cell>
          <cell r="F1575" t="str">
            <v>Pcs</v>
          </cell>
          <cell r="G1575">
            <v>96</v>
          </cell>
          <cell r="H1575" t="str">
            <v/>
          </cell>
          <cell r="I1575">
            <v>0</v>
          </cell>
          <cell r="J1575">
            <v>0</v>
          </cell>
          <cell r="K1575">
            <v>96</v>
          </cell>
          <cell r="L1575">
            <v>1196</v>
          </cell>
          <cell r="M1575">
            <v>114816</v>
          </cell>
        </row>
        <row r="1576">
          <cell r="A1576">
            <v>2392</v>
          </cell>
          <cell r="B1576" t="str">
            <v/>
          </cell>
          <cell r="C1576" t="str">
            <v>KWV CLASSIC ROSE 750ML</v>
          </cell>
          <cell r="D1576" t="str">
            <v/>
          </cell>
          <cell r="E1576" t="str">
            <v/>
          </cell>
          <cell r="F1576" t="str">
            <v>Pcs</v>
          </cell>
          <cell r="G1576">
            <v>18</v>
          </cell>
          <cell r="H1576" t="str">
            <v/>
          </cell>
          <cell r="I1576">
            <v>0</v>
          </cell>
          <cell r="J1576">
            <v>0</v>
          </cell>
          <cell r="K1576">
            <v>18</v>
          </cell>
          <cell r="L1576">
            <v>1150</v>
          </cell>
          <cell r="M1576">
            <v>20700</v>
          </cell>
        </row>
        <row r="1577">
          <cell r="A1577">
            <v>1245</v>
          </cell>
          <cell r="B1577" t="str">
            <v/>
          </cell>
          <cell r="C1577" t="str">
            <v>KWV CLASSIC SAUV BLANC 750ML</v>
          </cell>
          <cell r="D1577" t="str">
            <v/>
          </cell>
          <cell r="E1577" t="str">
            <v/>
          </cell>
          <cell r="F1577" t="str">
            <v>Pcs</v>
          </cell>
          <cell r="G1577">
            <v>30</v>
          </cell>
          <cell r="H1577" t="str">
            <v/>
          </cell>
          <cell r="I1577">
            <v>6</v>
          </cell>
          <cell r="J1577">
            <v>0</v>
          </cell>
          <cell r="K1577">
            <v>36</v>
          </cell>
          <cell r="L1577">
            <v>1196</v>
          </cell>
          <cell r="M1577">
            <v>43056</v>
          </cell>
        </row>
        <row r="1578">
          <cell r="A1578">
            <v>1246</v>
          </cell>
          <cell r="B1578" t="str">
            <v/>
          </cell>
          <cell r="C1578" t="str">
            <v>KWV CLASSIC SHIRAZ 750ML</v>
          </cell>
          <cell r="D1578" t="str">
            <v/>
          </cell>
          <cell r="E1578" t="str">
            <v/>
          </cell>
          <cell r="F1578" t="str">
            <v>Pcs</v>
          </cell>
          <cell r="G1578">
            <v>96</v>
          </cell>
          <cell r="H1578" t="str">
            <v/>
          </cell>
          <cell r="I1578">
            <v>0</v>
          </cell>
          <cell r="J1578">
            <v>0</v>
          </cell>
          <cell r="K1578">
            <v>96</v>
          </cell>
          <cell r="L1578">
            <v>1196</v>
          </cell>
          <cell r="M1578">
            <v>114816</v>
          </cell>
        </row>
        <row r="1579">
          <cell r="A1579">
            <v>2227</v>
          </cell>
          <cell r="B1579" t="str">
            <v/>
          </cell>
          <cell r="C1579" t="str">
            <v>KWV CUVEE BRUT 750ML</v>
          </cell>
          <cell r="D1579" t="str">
            <v/>
          </cell>
          <cell r="E1579" t="str">
            <v/>
          </cell>
          <cell r="F1579" t="str">
            <v>Pcs</v>
          </cell>
          <cell r="G1579">
            <v>0</v>
          </cell>
          <cell r="H1579" t="str">
            <v/>
          </cell>
          <cell r="I1579">
            <v>0</v>
          </cell>
          <cell r="J1579">
            <v>0</v>
          </cell>
          <cell r="K1579">
            <v>0</v>
          </cell>
          <cell r="L1579">
            <v>1200</v>
          </cell>
          <cell r="M1579">
            <v>0</v>
          </cell>
        </row>
        <row r="1580">
          <cell r="A1580">
            <v>1248</v>
          </cell>
          <cell r="B1580" t="str">
            <v/>
          </cell>
          <cell r="C1580" t="str">
            <v>KWV PINOTAGE 750ML</v>
          </cell>
          <cell r="D1580" t="str">
            <v/>
          </cell>
          <cell r="E1580" t="str">
            <v/>
          </cell>
          <cell r="F1580" t="str">
            <v>Pcs</v>
          </cell>
          <cell r="G1580">
            <v>57</v>
          </cell>
          <cell r="H1580" t="str">
            <v/>
          </cell>
          <cell r="I1580">
            <v>0</v>
          </cell>
          <cell r="J1580">
            <v>0</v>
          </cell>
          <cell r="K1580">
            <v>57</v>
          </cell>
          <cell r="L1580">
            <v>1200</v>
          </cell>
          <cell r="M1580">
            <v>68400</v>
          </cell>
        </row>
        <row r="1581">
          <cell r="A1581">
            <v>2228</v>
          </cell>
          <cell r="B1581" t="str">
            <v/>
          </cell>
          <cell r="C1581" t="str">
            <v>LA CAPRA CHENIN BLANC 750ML</v>
          </cell>
          <cell r="D1581" t="str">
            <v/>
          </cell>
          <cell r="E1581" t="str">
            <v/>
          </cell>
          <cell r="F1581" t="str">
            <v>Pcs</v>
          </cell>
          <cell r="G1581">
            <v>24</v>
          </cell>
          <cell r="H1581" t="str">
            <v/>
          </cell>
          <cell r="I1581">
            <v>0</v>
          </cell>
          <cell r="J1581">
            <v>0</v>
          </cell>
          <cell r="K1581">
            <v>24</v>
          </cell>
          <cell r="L1581">
            <v>1100</v>
          </cell>
          <cell r="M1581">
            <v>26400</v>
          </cell>
        </row>
        <row r="1582">
          <cell r="A1582">
            <v>2229</v>
          </cell>
          <cell r="B1582" t="str">
            <v/>
          </cell>
          <cell r="C1582" t="str">
            <v>LA CAPRA MERLOT 750ML</v>
          </cell>
          <cell r="D1582" t="str">
            <v/>
          </cell>
          <cell r="E1582" t="str">
            <v/>
          </cell>
          <cell r="F1582" t="str">
            <v>Pcs</v>
          </cell>
          <cell r="G1582">
            <v>5</v>
          </cell>
          <cell r="H1582" t="str">
            <v/>
          </cell>
          <cell r="I1582">
            <v>0</v>
          </cell>
          <cell r="J1582">
            <v>0</v>
          </cell>
          <cell r="K1582">
            <v>5</v>
          </cell>
          <cell r="L1582">
            <v>1100</v>
          </cell>
          <cell r="M1582">
            <v>5500</v>
          </cell>
        </row>
        <row r="1583">
          <cell r="A1583">
            <v>2491</v>
          </cell>
          <cell r="B1583" t="str">
            <v/>
          </cell>
          <cell r="C1583" t="str">
            <v>LA CAPRA SAUV BLANC 750ML</v>
          </cell>
          <cell r="D1583" t="str">
            <v/>
          </cell>
          <cell r="E1583" t="str">
            <v/>
          </cell>
          <cell r="F1583" t="str">
            <v>Pcs</v>
          </cell>
          <cell r="G1583">
            <v>19</v>
          </cell>
          <cell r="H1583" t="str">
            <v/>
          </cell>
          <cell r="I1583">
            <v>0</v>
          </cell>
          <cell r="J1583">
            <v>0</v>
          </cell>
          <cell r="K1583">
            <v>19</v>
          </cell>
          <cell r="L1583">
            <v>1000</v>
          </cell>
          <cell r="M1583">
            <v>19000</v>
          </cell>
        </row>
        <row r="1584">
          <cell r="A1584">
            <v>2945</v>
          </cell>
          <cell r="B1584" t="str">
            <v/>
          </cell>
          <cell r="C1584" t="str">
            <v>LA CONSULTA MALBEC </v>
          </cell>
          <cell r="D1584" t="str">
            <v/>
          </cell>
          <cell r="E1584" t="str">
            <v/>
          </cell>
          <cell r="F1584" t="str">
            <v>Pcs</v>
          </cell>
          <cell r="G1584">
            <v>0</v>
          </cell>
          <cell r="H1584" t="str">
            <v/>
          </cell>
          <cell r="I1584">
            <v>0</v>
          </cell>
          <cell r="J1584">
            <v>0</v>
          </cell>
          <cell r="K1584">
            <v>0</v>
          </cell>
          <cell r="L1584">
            <v>800</v>
          </cell>
          <cell r="M1584">
            <v>0</v>
          </cell>
        </row>
        <row r="1585">
          <cell r="A1585">
            <v>1250</v>
          </cell>
          <cell r="B1585" t="str">
            <v/>
          </cell>
          <cell r="C1585" t="str">
            <v>LA MAUQUELINE 750ML</v>
          </cell>
          <cell r="D1585" t="str">
            <v/>
          </cell>
          <cell r="E1585" t="str">
            <v/>
          </cell>
          <cell r="F1585" t="str">
            <v>Pcs</v>
          </cell>
          <cell r="G1585">
            <v>24</v>
          </cell>
          <cell r="H1585" t="str">
            <v/>
          </cell>
          <cell r="I1585">
            <v>0</v>
          </cell>
          <cell r="J1585">
            <v>0</v>
          </cell>
          <cell r="K1585">
            <v>24</v>
          </cell>
          <cell r="L1585">
            <v>2200</v>
          </cell>
          <cell r="M1585">
            <v>52800</v>
          </cell>
        </row>
        <row r="1586">
          <cell r="A1586">
            <v>1268</v>
          </cell>
          <cell r="B1586" t="str">
            <v/>
          </cell>
          <cell r="C1586" t="str">
            <v>LE BOLICINE PROSECO 750ML</v>
          </cell>
          <cell r="D1586" t="str">
            <v/>
          </cell>
          <cell r="E1586" t="str">
            <v/>
          </cell>
          <cell r="F1586" t="str">
            <v>Pcs</v>
          </cell>
          <cell r="G1586">
            <v>0</v>
          </cell>
          <cell r="H1586" t="str">
            <v/>
          </cell>
          <cell r="I1586">
            <v>0</v>
          </cell>
          <cell r="J1586">
            <v>0</v>
          </cell>
          <cell r="K1586">
            <v>0</v>
          </cell>
          <cell r="L1586">
            <v>2100</v>
          </cell>
          <cell r="M1586">
            <v>0</v>
          </cell>
        </row>
        <row r="1587">
          <cell r="A1587">
            <v>1281</v>
          </cell>
          <cell r="B1587" t="str">
            <v/>
          </cell>
          <cell r="C1587" t="str">
            <v>LEGENDE BLACK 750ML</v>
          </cell>
          <cell r="D1587" t="str">
            <v/>
          </cell>
          <cell r="E1587" t="str">
            <v/>
          </cell>
          <cell r="F1587" t="str">
            <v>Pcs</v>
          </cell>
          <cell r="G1587">
            <v>10</v>
          </cell>
          <cell r="H1587" t="str">
            <v/>
          </cell>
          <cell r="I1587">
            <v>0</v>
          </cell>
          <cell r="J1587">
            <v>0</v>
          </cell>
          <cell r="K1587">
            <v>10</v>
          </cell>
          <cell r="L1587">
            <v>500</v>
          </cell>
          <cell r="M1587">
            <v>5000</v>
          </cell>
        </row>
        <row r="1588">
          <cell r="A1588">
            <v>1282</v>
          </cell>
          <cell r="B1588" t="str">
            <v/>
          </cell>
          <cell r="C1588" t="str">
            <v>LEGENDE MEDOC 750ML</v>
          </cell>
          <cell r="D1588" t="str">
            <v/>
          </cell>
          <cell r="E1588" t="str">
            <v/>
          </cell>
          <cell r="F1588" t="str">
            <v>Pcs</v>
          </cell>
          <cell r="G1588">
            <v>0</v>
          </cell>
          <cell r="H1588" t="str">
            <v/>
          </cell>
          <cell r="I1588">
            <v>0</v>
          </cell>
          <cell r="J1588">
            <v>0</v>
          </cell>
          <cell r="K1588">
            <v>0</v>
          </cell>
          <cell r="L1588">
            <v>2392</v>
          </cell>
          <cell r="M1588">
            <v>0</v>
          </cell>
        </row>
        <row r="1589">
          <cell r="A1589">
            <v>2342</v>
          </cell>
          <cell r="B1589" t="str">
            <v/>
          </cell>
          <cell r="C1589" t="str">
            <v>LELESHWA CHENIN BLANC 750ML</v>
          </cell>
          <cell r="D1589" t="str">
            <v/>
          </cell>
          <cell r="E1589" t="str">
            <v/>
          </cell>
          <cell r="F1589" t="str">
            <v>Pcs</v>
          </cell>
          <cell r="G1589">
            <v>0</v>
          </cell>
          <cell r="H1589" t="str">
            <v/>
          </cell>
          <cell r="I1589">
            <v>0</v>
          </cell>
          <cell r="J1589">
            <v>0</v>
          </cell>
          <cell r="K1589">
            <v>0</v>
          </cell>
          <cell r="L1589">
            <v>820</v>
          </cell>
          <cell r="M1589">
            <v>0</v>
          </cell>
        </row>
        <row r="1590">
          <cell r="A1590">
            <v>1284</v>
          </cell>
          <cell r="B1590" t="str">
            <v/>
          </cell>
          <cell r="C1590" t="str">
            <v>LELESHWA SAUV BLANC 750ml</v>
          </cell>
          <cell r="D1590" t="str">
            <v/>
          </cell>
          <cell r="E1590" t="str">
            <v/>
          </cell>
          <cell r="F1590" t="str">
            <v>Pcs</v>
          </cell>
          <cell r="G1590">
            <v>0</v>
          </cell>
          <cell r="H1590" t="str">
            <v/>
          </cell>
          <cell r="I1590">
            <v>0</v>
          </cell>
          <cell r="J1590">
            <v>0</v>
          </cell>
          <cell r="K1590">
            <v>0</v>
          </cell>
          <cell r="L1590">
            <v>1242</v>
          </cell>
          <cell r="M1590">
            <v>0</v>
          </cell>
        </row>
        <row r="1591">
          <cell r="A1591">
            <v>1285</v>
          </cell>
          <cell r="B1591" t="str">
            <v/>
          </cell>
          <cell r="C1591" t="str">
            <v>LELESHWA SWEET WHITE WINE 750ML</v>
          </cell>
          <cell r="D1591" t="str">
            <v/>
          </cell>
          <cell r="E1591" t="str">
            <v/>
          </cell>
          <cell r="F1591" t="str">
            <v>Pcs</v>
          </cell>
          <cell r="G1591">
            <v>0</v>
          </cell>
          <cell r="H1591" t="str">
            <v/>
          </cell>
          <cell r="I1591">
            <v>0</v>
          </cell>
          <cell r="J1591">
            <v>0</v>
          </cell>
          <cell r="K1591">
            <v>0</v>
          </cell>
          <cell r="L1591">
            <v>1002.95</v>
          </cell>
          <cell r="M1591">
            <v>0</v>
          </cell>
        </row>
        <row r="1592">
          <cell r="A1592">
            <v>2511</v>
          </cell>
          <cell r="B1592" t="str">
            <v/>
          </cell>
          <cell r="C1592" t="str">
            <v>LEOPARDS LEAP  CAB SAuv 750ML</v>
          </cell>
          <cell r="D1592" t="str">
            <v/>
          </cell>
          <cell r="E1592" t="str">
            <v/>
          </cell>
          <cell r="F1592" t="str">
            <v>Pcs</v>
          </cell>
          <cell r="G1592">
            <v>12</v>
          </cell>
          <cell r="H1592" t="str">
            <v/>
          </cell>
          <cell r="I1592">
            <v>0</v>
          </cell>
          <cell r="J1592">
            <v>0</v>
          </cell>
          <cell r="K1592">
            <v>12</v>
          </cell>
          <cell r="L1592">
            <v>1420</v>
          </cell>
          <cell r="M1592">
            <v>17040</v>
          </cell>
        </row>
        <row r="1593">
          <cell r="A1593">
            <v>2510</v>
          </cell>
          <cell r="B1593" t="str">
            <v/>
          </cell>
          <cell r="C1593" t="str">
            <v>LEOPARDS LEAP CAB SAUV  MERLOT 750ML</v>
          </cell>
          <cell r="D1593" t="str">
            <v/>
          </cell>
          <cell r="E1593" t="str">
            <v/>
          </cell>
          <cell r="F1593" t="str">
            <v>Pcs</v>
          </cell>
          <cell r="G1593">
            <v>18</v>
          </cell>
          <cell r="H1593" t="str">
            <v/>
          </cell>
          <cell r="I1593">
            <v>0</v>
          </cell>
          <cell r="J1593">
            <v>0</v>
          </cell>
          <cell r="K1593">
            <v>18</v>
          </cell>
          <cell r="L1593">
            <v>1420</v>
          </cell>
          <cell r="M1593">
            <v>25560</v>
          </cell>
        </row>
        <row r="1594">
          <cell r="A1594">
            <v>2509</v>
          </cell>
          <cell r="B1594" t="str">
            <v/>
          </cell>
          <cell r="C1594" t="str">
            <v>LEOPARDS LEAP CHARDONNAY PINOT NOIR 750ML</v>
          </cell>
          <cell r="D1594" t="str">
            <v/>
          </cell>
          <cell r="E1594" t="str">
            <v/>
          </cell>
          <cell r="F1594" t="str">
            <v>Pcs</v>
          </cell>
          <cell r="G1594">
            <v>24</v>
          </cell>
          <cell r="H1594" t="str">
            <v/>
          </cell>
          <cell r="I1594">
            <v>0</v>
          </cell>
          <cell r="J1594">
            <v>0</v>
          </cell>
          <cell r="K1594">
            <v>24</v>
          </cell>
          <cell r="L1594">
            <v>1420</v>
          </cell>
          <cell r="M1594">
            <v>34080</v>
          </cell>
        </row>
        <row r="1595">
          <cell r="A1595">
            <v>2507</v>
          </cell>
          <cell r="B1595" t="str">
            <v/>
          </cell>
          <cell r="C1595" t="str">
            <v>LEOPARDS LEAP CHENIN BLANC750ML</v>
          </cell>
          <cell r="D1595" t="str">
            <v/>
          </cell>
          <cell r="E1595" t="str">
            <v/>
          </cell>
          <cell r="F1595" t="str">
            <v>Pcs</v>
          </cell>
          <cell r="G1595">
            <v>24</v>
          </cell>
          <cell r="H1595" t="str">
            <v/>
          </cell>
          <cell r="I1595">
            <v>0</v>
          </cell>
          <cell r="J1595">
            <v>0</v>
          </cell>
          <cell r="K1595">
            <v>24</v>
          </cell>
          <cell r="L1595">
            <v>1420</v>
          </cell>
          <cell r="M1595">
            <v>34080</v>
          </cell>
        </row>
        <row r="1596">
          <cell r="A1596">
            <v>2506</v>
          </cell>
          <cell r="B1596" t="str">
            <v/>
          </cell>
          <cell r="C1596" t="str">
            <v>LEOPARDS LEAP MERLOT 750ML</v>
          </cell>
          <cell r="D1596" t="str">
            <v/>
          </cell>
          <cell r="E1596" t="str">
            <v/>
          </cell>
          <cell r="F1596" t="str">
            <v>Pcs</v>
          </cell>
          <cell r="G1596">
            <v>18</v>
          </cell>
          <cell r="H1596" t="str">
            <v/>
          </cell>
          <cell r="I1596">
            <v>0</v>
          </cell>
          <cell r="J1596">
            <v>0</v>
          </cell>
          <cell r="K1596">
            <v>18</v>
          </cell>
          <cell r="L1596">
            <v>1420</v>
          </cell>
          <cell r="M1596">
            <v>25560</v>
          </cell>
        </row>
        <row r="1597">
          <cell r="A1597">
            <v>2505</v>
          </cell>
          <cell r="B1597" t="str">
            <v/>
          </cell>
          <cell r="C1597" t="str">
            <v>LEOPARDS LEAP SAUV BLANC 750ML</v>
          </cell>
          <cell r="D1597" t="str">
            <v/>
          </cell>
          <cell r="E1597" t="str">
            <v/>
          </cell>
          <cell r="F1597" t="str">
            <v>Pcs</v>
          </cell>
          <cell r="G1597">
            <v>12</v>
          </cell>
          <cell r="H1597" t="str">
            <v/>
          </cell>
          <cell r="I1597">
            <v>0</v>
          </cell>
          <cell r="J1597">
            <v>0</v>
          </cell>
          <cell r="K1597">
            <v>12</v>
          </cell>
          <cell r="L1597">
            <v>1420</v>
          </cell>
          <cell r="M1597">
            <v>17040</v>
          </cell>
        </row>
        <row r="1598">
          <cell r="A1598">
            <v>2572</v>
          </cell>
          <cell r="B1598" t="str">
            <v/>
          </cell>
          <cell r="C1598" t="str">
            <v>LIONS DRY WHITE  750ML</v>
          </cell>
          <cell r="D1598" t="str">
            <v/>
          </cell>
          <cell r="E1598" t="str">
            <v/>
          </cell>
          <cell r="F1598" t="str">
            <v>Pcs</v>
          </cell>
          <cell r="G1598">
            <v>30</v>
          </cell>
          <cell r="H1598" t="str">
            <v/>
          </cell>
          <cell r="I1598">
            <v>0</v>
          </cell>
          <cell r="J1598">
            <v>0</v>
          </cell>
          <cell r="K1598">
            <v>30</v>
          </cell>
          <cell r="L1598">
            <v>750</v>
          </cell>
          <cell r="M1598">
            <v>22500</v>
          </cell>
        </row>
        <row r="1599">
          <cell r="A1599">
            <v>2571</v>
          </cell>
          <cell r="B1599" t="str">
            <v/>
          </cell>
          <cell r="C1599" t="str">
            <v>LIONS SWEET WHITE 750ML</v>
          </cell>
          <cell r="D1599" t="str">
            <v/>
          </cell>
          <cell r="E1599" t="str">
            <v/>
          </cell>
          <cell r="F1599" t="str">
            <v>Pcs</v>
          </cell>
          <cell r="G1599">
            <v>30</v>
          </cell>
          <cell r="H1599" t="str">
            <v/>
          </cell>
          <cell r="I1599">
            <v>0</v>
          </cell>
          <cell r="J1599">
            <v>0</v>
          </cell>
          <cell r="K1599">
            <v>30</v>
          </cell>
          <cell r="L1599">
            <v>750</v>
          </cell>
          <cell r="M1599">
            <v>22500</v>
          </cell>
        </row>
        <row r="1600">
          <cell r="A1600">
            <v>1292</v>
          </cell>
          <cell r="B1600" t="str">
            <v/>
          </cell>
          <cell r="C1600" t="str">
            <v>LODEZ CABERENT SAUV BLANC 750ML</v>
          </cell>
          <cell r="D1600" t="str">
            <v/>
          </cell>
          <cell r="E1600" t="str">
            <v/>
          </cell>
          <cell r="F1600" t="str">
            <v>Pcs</v>
          </cell>
          <cell r="G1600">
            <v>18</v>
          </cell>
          <cell r="H1600" t="str">
            <v/>
          </cell>
          <cell r="I1600">
            <v>0</v>
          </cell>
          <cell r="J1600">
            <v>0</v>
          </cell>
          <cell r="K1600">
            <v>18</v>
          </cell>
          <cell r="L1600">
            <v>1039.6</v>
          </cell>
          <cell r="M1600">
            <v>18712.8</v>
          </cell>
        </row>
        <row r="1601">
          <cell r="A1601">
            <v>1293</v>
          </cell>
          <cell r="B1601" t="str">
            <v/>
          </cell>
          <cell r="C1601" t="str">
            <v>LODEZ CHARDONNAY 750ML</v>
          </cell>
          <cell r="D1601" t="str">
            <v/>
          </cell>
          <cell r="E1601" t="str">
            <v/>
          </cell>
          <cell r="F1601" t="str">
            <v>Pcs</v>
          </cell>
          <cell r="G1601">
            <v>0</v>
          </cell>
          <cell r="H1601" t="str">
            <v/>
          </cell>
          <cell r="I1601">
            <v>0</v>
          </cell>
          <cell r="J1601">
            <v>0</v>
          </cell>
          <cell r="K1601">
            <v>0</v>
          </cell>
          <cell r="L1601">
            <v>1104</v>
          </cell>
          <cell r="M1601">
            <v>0</v>
          </cell>
        </row>
        <row r="1602">
          <cell r="A1602">
            <v>1294</v>
          </cell>
          <cell r="B1602" t="str">
            <v/>
          </cell>
          <cell r="C1602" t="str">
            <v>LODEZ CINSAULT ROSE 750ML</v>
          </cell>
          <cell r="D1602" t="str">
            <v/>
          </cell>
          <cell r="E1602" t="str">
            <v/>
          </cell>
          <cell r="F1602" t="str">
            <v>Pcs</v>
          </cell>
          <cell r="G1602">
            <v>0</v>
          </cell>
          <cell r="H1602" t="str">
            <v/>
          </cell>
          <cell r="I1602">
            <v>0</v>
          </cell>
          <cell r="J1602">
            <v>0</v>
          </cell>
          <cell r="K1602">
            <v>0</v>
          </cell>
          <cell r="L1602">
            <v>1039.6</v>
          </cell>
          <cell r="M1602">
            <v>0</v>
          </cell>
        </row>
        <row r="1603">
          <cell r="A1603">
            <v>1295</v>
          </cell>
          <cell r="B1603" t="str">
            <v/>
          </cell>
          <cell r="C1603" t="str">
            <v>LODEZ MERLOT RED 750ML</v>
          </cell>
          <cell r="D1603" t="str">
            <v/>
          </cell>
          <cell r="E1603" t="str">
            <v/>
          </cell>
          <cell r="F1603" t="str">
            <v>Pcs</v>
          </cell>
          <cell r="G1603">
            <v>12</v>
          </cell>
          <cell r="H1603" t="str">
            <v/>
          </cell>
          <cell r="I1603">
            <v>0</v>
          </cell>
          <cell r="J1603">
            <v>0</v>
          </cell>
          <cell r="K1603">
            <v>12</v>
          </cell>
          <cell r="L1603">
            <v>1039.6</v>
          </cell>
          <cell r="M1603">
            <v>12475.2</v>
          </cell>
        </row>
        <row r="1604">
          <cell r="A1604">
            <v>1296</v>
          </cell>
          <cell r="B1604" t="str">
            <v/>
          </cell>
          <cell r="C1604" t="str">
            <v>LODEZ SAUV BLANC 750ML</v>
          </cell>
          <cell r="D1604" t="str">
            <v/>
          </cell>
          <cell r="E1604" t="str">
            <v/>
          </cell>
          <cell r="F1604" t="str">
            <v>Pcs</v>
          </cell>
          <cell r="G1604">
            <v>0</v>
          </cell>
          <cell r="H1604" t="str">
            <v/>
          </cell>
          <cell r="I1604">
            <v>0</v>
          </cell>
          <cell r="J1604">
            <v>0</v>
          </cell>
          <cell r="K1604">
            <v>0</v>
          </cell>
          <cell r="L1604">
            <v>1104</v>
          </cell>
          <cell r="M1604">
            <v>0</v>
          </cell>
        </row>
        <row r="1605">
          <cell r="A1605">
            <v>1297</v>
          </cell>
          <cell r="B1605" t="str">
            <v/>
          </cell>
          <cell r="C1605" t="str">
            <v>LOLIE SWEET RED 750ML</v>
          </cell>
          <cell r="D1605" t="str">
            <v/>
          </cell>
          <cell r="E1605" t="str">
            <v/>
          </cell>
          <cell r="F1605" t="str">
            <v>Pcs</v>
          </cell>
          <cell r="G1605">
            <v>0</v>
          </cell>
          <cell r="H1605" t="str">
            <v/>
          </cell>
          <cell r="I1605">
            <v>0</v>
          </cell>
          <cell r="J1605">
            <v>0</v>
          </cell>
          <cell r="K1605">
            <v>0</v>
          </cell>
          <cell r="L1605">
            <v>1196</v>
          </cell>
          <cell r="M1605">
            <v>0</v>
          </cell>
        </row>
        <row r="1606">
          <cell r="A1606">
            <v>2520</v>
          </cell>
          <cell r="B1606" t="str">
            <v/>
          </cell>
          <cell r="C1606" t="str">
            <v>LOLIE SWEET WHITE 750ML</v>
          </cell>
          <cell r="D1606" t="str">
            <v/>
          </cell>
          <cell r="E1606" t="str">
            <v/>
          </cell>
          <cell r="F1606" t="str">
            <v>Pcs</v>
          </cell>
          <cell r="G1606">
            <v>0</v>
          </cell>
          <cell r="H1606" t="str">
            <v/>
          </cell>
          <cell r="I1606">
            <v>0</v>
          </cell>
          <cell r="J1606">
            <v>0</v>
          </cell>
          <cell r="K1606">
            <v>0</v>
          </cell>
          <cell r="L1606">
            <v>1100</v>
          </cell>
          <cell r="M1606">
            <v>0</v>
          </cell>
        </row>
        <row r="1607">
          <cell r="A1607">
            <v>1327</v>
          </cell>
          <cell r="B1607" t="str">
            <v/>
          </cell>
          <cell r="C1607" t="str">
            <v>LUIS FELIPE WHITE 750ML</v>
          </cell>
          <cell r="D1607" t="str">
            <v/>
          </cell>
          <cell r="E1607" t="str">
            <v/>
          </cell>
          <cell r="F1607" t="str">
            <v>Pcs</v>
          </cell>
          <cell r="G1607">
            <v>1</v>
          </cell>
          <cell r="H1607" t="str">
            <v/>
          </cell>
          <cell r="I1607">
            <v>0</v>
          </cell>
          <cell r="J1607">
            <v>0</v>
          </cell>
          <cell r="K1607">
            <v>1</v>
          </cell>
          <cell r="L1607">
            <v>966</v>
          </cell>
          <cell r="M1607">
            <v>966</v>
          </cell>
        </row>
        <row r="1608">
          <cell r="A1608">
            <v>1359</v>
          </cell>
          <cell r="B1608" t="str">
            <v/>
          </cell>
          <cell r="C1608" t="str">
            <v>MAISON CASTEL CAB SAUV 750ML</v>
          </cell>
          <cell r="D1608" t="str">
            <v/>
          </cell>
          <cell r="E1608" t="str">
            <v/>
          </cell>
          <cell r="F1608" t="str">
            <v>Pcs</v>
          </cell>
          <cell r="G1608">
            <v>0</v>
          </cell>
          <cell r="H1608" t="str">
            <v/>
          </cell>
          <cell r="I1608">
            <v>0</v>
          </cell>
          <cell r="J1608">
            <v>0</v>
          </cell>
          <cell r="K1608">
            <v>0</v>
          </cell>
          <cell r="L1608">
            <v>1100</v>
          </cell>
          <cell r="M1608">
            <v>0</v>
          </cell>
        </row>
        <row r="1609">
          <cell r="A1609">
            <v>2183</v>
          </cell>
          <cell r="B1609" t="str">
            <v/>
          </cell>
          <cell r="C1609" t="str">
            <v>MAISON CASTEL CHABLIS 2022 750ML</v>
          </cell>
          <cell r="D1609" t="str">
            <v/>
          </cell>
          <cell r="E1609" t="str">
            <v/>
          </cell>
          <cell r="F1609" t="str">
            <v>Pcs</v>
          </cell>
          <cell r="G1609">
            <v>30</v>
          </cell>
          <cell r="H1609" t="str">
            <v/>
          </cell>
          <cell r="I1609">
            <v>0</v>
          </cell>
          <cell r="J1609">
            <v>0</v>
          </cell>
          <cell r="K1609">
            <v>30</v>
          </cell>
          <cell r="L1609">
            <v>1250</v>
          </cell>
          <cell r="M1609">
            <v>37500</v>
          </cell>
        </row>
        <row r="1610">
          <cell r="A1610">
            <v>1360</v>
          </cell>
          <cell r="B1610" t="str">
            <v/>
          </cell>
          <cell r="C1610" t="str">
            <v>MAISON CASTEL CUVEE BRUT 750ML</v>
          </cell>
          <cell r="D1610" t="str">
            <v/>
          </cell>
          <cell r="E1610" t="str">
            <v/>
          </cell>
          <cell r="F1610" t="str">
            <v>Pcs</v>
          </cell>
          <cell r="G1610">
            <v>0</v>
          </cell>
          <cell r="H1610" t="str">
            <v/>
          </cell>
          <cell r="I1610">
            <v>0</v>
          </cell>
          <cell r="J1610">
            <v>0</v>
          </cell>
          <cell r="K1610">
            <v>0</v>
          </cell>
          <cell r="L1610">
            <v>1196</v>
          </cell>
          <cell r="M1610">
            <v>0</v>
          </cell>
        </row>
        <row r="1611">
          <cell r="A1611">
            <v>1361</v>
          </cell>
          <cell r="B1611" t="str">
            <v/>
          </cell>
          <cell r="C1611" t="str">
            <v>MAISON CASTEL CUVEE ROSEE  750ML</v>
          </cell>
          <cell r="D1611" t="str">
            <v/>
          </cell>
          <cell r="E1611" t="str">
            <v/>
          </cell>
          <cell r="F1611" t="str">
            <v>Pcs</v>
          </cell>
          <cell r="G1611">
            <v>4</v>
          </cell>
          <cell r="H1611" t="str">
            <v/>
          </cell>
          <cell r="I1611">
            <v>0</v>
          </cell>
          <cell r="J1611">
            <v>0</v>
          </cell>
          <cell r="K1611">
            <v>4</v>
          </cell>
          <cell r="L1611">
            <v>1196</v>
          </cell>
          <cell r="M1611">
            <v>4784</v>
          </cell>
        </row>
        <row r="1612">
          <cell r="A1612">
            <v>1362</v>
          </cell>
          <cell r="B1612" t="str">
            <v/>
          </cell>
          <cell r="C1612" t="str">
            <v>MAISON CASTEL ICE  750ML</v>
          </cell>
          <cell r="D1612" t="str">
            <v/>
          </cell>
          <cell r="E1612" t="str">
            <v/>
          </cell>
          <cell r="F1612" t="str">
            <v>Pcs</v>
          </cell>
          <cell r="G1612">
            <v>0</v>
          </cell>
          <cell r="H1612" t="str">
            <v/>
          </cell>
          <cell r="I1612">
            <v>0</v>
          </cell>
          <cell r="J1612">
            <v>0</v>
          </cell>
          <cell r="K1612">
            <v>0</v>
          </cell>
          <cell r="L1612">
            <v>1104</v>
          </cell>
          <cell r="M1612">
            <v>0</v>
          </cell>
        </row>
        <row r="1613">
          <cell r="A1613">
            <v>1363</v>
          </cell>
          <cell r="B1613" t="str">
            <v/>
          </cell>
          <cell r="C1613" t="str">
            <v>MAISON CASTEL ICE CUVEE BLANC 750ML</v>
          </cell>
          <cell r="D1613" t="str">
            <v/>
          </cell>
          <cell r="E1613" t="str">
            <v/>
          </cell>
          <cell r="F1613" t="str">
            <v>Pcs</v>
          </cell>
          <cell r="G1613">
            <v>28</v>
          </cell>
          <cell r="H1613" t="str">
            <v/>
          </cell>
          <cell r="I1613">
            <v>0</v>
          </cell>
          <cell r="J1613">
            <v>12</v>
          </cell>
          <cell r="K1613">
            <v>16</v>
          </cell>
          <cell r="L1613">
            <v>1196</v>
          </cell>
          <cell r="M1613">
            <v>19136</v>
          </cell>
        </row>
        <row r="1614">
          <cell r="A1614">
            <v>1364</v>
          </cell>
          <cell r="B1614" t="str">
            <v/>
          </cell>
          <cell r="C1614" t="str">
            <v>MAISON CASTEL ICE ROSE  750ML</v>
          </cell>
          <cell r="D1614" t="str">
            <v/>
          </cell>
          <cell r="E1614" t="str">
            <v/>
          </cell>
          <cell r="F1614" t="str">
            <v>Pcs</v>
          </cell>
          <cell r="G1614">
            <v>0</v>
          </cell>
          <cell r="H1614" t="str">
            <v/>
          </cell>
          <cell r="I1614">
            <v>0</v>
          </cell>
          <cell r="J1614">
            <v>0</v>
          </cell>
          <cell r="K1614">
            <v>0</v>
          </cell>
          <cell r="L1614">
            <v>1104</v>
          </cell>
          <cell r="M1614">
            <v>0</v>
          </cell>
        </row>
        <row r="1615">
          <cell r="A1615">
            <v>2233</v>
          </cell>
          <cell r="B1615" t="str">
            <v/>
          </cell>
          <cell r="C1615" t="str">
            <v>MAISON CASTEL MEDOC 750ML</v>
          </cell>
          <cell r="D1615" t="str">
            <v/>
          </cell>
          <cell r="E1615" t="str">
            <v/>
          </cell>
          <cell r="F1615" t="str">
            <v>Pcs</v>
          </cell>
          <cell r="G1615">
            <v>36</v>
          </cell>
          <cell r="H1615" t="str">
            <v/>
          </cell>
          <cell r="I1615">
            <v>0</v>
          </cell>
          <cell r="J1615">
            <v>0</v>
          </cell>
          <cell r="K1615">
            <v>36</v>
          </cell>
          <cell r="L1615">
            <v>1200</v>
          </cell>
          <cell r="M1615">
            <v>43200</v>
          </cell>
        </row>
        <row r="1616">
          <cell r="A1616">
            <v>2235</v>
          </cell>
          <cell r="B1616" t="str">
            <v/>
          </cell>
          <cell r="C1616" t="str">
            <v>MAISON CASTEL MENDOZA 750ML</v>
          </cell>
          <cell r="D1616" t="str">
            <v/>
          </cell>
          <cell r="E1616" t="str">
            <v/>
          </cell>
          <cell r="F1616" t="str">
            <v>Pcs</v>
          </cell>
          <cell r="G1616">
            <v>0</v>
          </cell>
          <cell r="H1616" t="str">
            <v/>
          </cell>
          <cell r="I1616">
            <v>0</v>
          </cell>
          <cell r="J1616">
            <v>0</v>
          </cell>
          <cell r="K1616">
            <v>0</v>
          </cell>
          <cell r="L1616">
            <v>1200</v>
          </cell>
          <cell r="M1616">
            <v>0</v>
          </cell>
        </row>
        <row r="1617">
          <cell r="A1617">
            <v>2400</v>
          </cell>
          <cell r="B1617" t="str">
            <v/>
          </cell>
          <cell r="C1617" t="str">
            <v>MAISON CASTEL MERLOT 750ML</v>
          </cell>
          <cell r="D1617" t="str">
            <v/>
          </cell>
          <cell r="E1617" t="str">
            <v/>
          </cell>
          <cell r="F1617" t="str">
            <v>Pcs</v>
          </cell>
          <cell r="G1617">
            <v>6</v>
          </cell>
          <cell r="H1617" t="str">
            <v/>
          </cell>
          <cell r="I1617">
            <v>0</v>
          </cell>
          <cell r="J1617">
            <v>0</v>
          </cell>
          <cell r="K1617">
            <v>6</v>
          </cell>
          <cell r="L1617">
            <v>1196</v>
          </cell>
          <cell r="M1617">
            <v>7176</v>
          </cell>
        </row>
        <row r="1618">
          <cell r="A1618">
            <v>1365</v>
          </cell>
          <cell r="B1618" t="str">
            <v/>
          </cell>
          <cell r="C1618" t="str">
            <v>MAISON CASTEL PINOT NOIR 750ML</v>
          </cell>
          <cell r="D1618" t="str">
            <v/>
          </cell>
          <cell r="E1618" t="str">
            <v/>
          </cell>
          <cell r="F1618" t="str">
            <v>Pcs</v>
          </cell>
          <cell r="G1618">
            <v>0</v>
          </cell>
          <cell r="H1618" t="str">
            <v/>
          </cell>
          <cell r="I1618">
            <v>0</v>
          </cell>
          <cell r="J1618">
            <v>0</v>
          </cell>
          <cell r="K1618">
            <v>0</v>
          </cell>
          <cell r="L1618">
            <v>800</v>
          </cell>
          <cell r="M1618">
            <v>0</v>
          </cell>
        </row>
        <row r="1619">
          <cell r="A1619">
            <v>1358</v>
          </cell>
          <cell r="B1619" t="str">
            <v/>
          </cell>
          <cell r="C1619" t="str">
            <v>MAISON CASTEL  SAUV BLANC 750ML</v>
          </cell>
          <cell r="D1619" t="str">
            <v/>
          </cell>
          <cell r="E1619" t="str">
            <v/>
          </cell>
          <cell r="F1619" t="str">
            <v>Pcs</v>
          </cell>
          <cell r="G1619">
            <v>39</v>
          </cell>
          <cell r="H1619" t="str">
            <v/>
          </cell>
          <cell r="I1619">
            <v>0</v>
          </cell>
          <cell r="J1619">
            <v>6</v>
          </cell>
          <cell r="K1619">
            <v>33</v>
          </cell>
          <cell r="L1619">
            <v>800</v>
          </cell>
          <cell r="M1619">
            <v>26400</v>
          </cell>
        </row>
        <row r="1620">
          <cell r="A1620">
            <v>2234</v>
          </cell>
          <cell r="B1620" t="str">
            <v/>
          </cell>
          <cell r="C1620" t="str">
            <v>MAISON CASTEL SYRAH 750ML</v>
          </cell>
          <cell r="D1620" t="str">
            <v/>
          </cell>
          <cell r="E1620" t="str">
            <v/>
          </cell>
          <cell r="F1620" t="str">
            <v>Pcs</v>
          </cell>
          <cell r="G1620">
            <v>90</v>
          </cell>
          <cell r="H1620" t="str">
            <v/>
          </cell>
          <cell r="I1620">
            <v>0</v>
          </cell>
          <cell r="J1620">
            <v>0</v>
          </cell>
          <cell r="K1620">
            <v>90</v>
          </cell>
          <cell r="L1620">
            <v>1200</v>
          </cell>
          <cell r="M1620">
            <v>108000</v>
          </cell>
        </row>
        <row r="1621">
          <cell r="A1621">
            <v>1366</v>
          </cell>
          <cell r="B1621" t="str">
            <v/>
          </cell>
          <cell r="C1621" t="str">
            <v>MAISON CASTEL TOURAINE SAUV BLANC 750ML</v>
          </cell>
          <cell r="D1621" t="str">
            <v/>
          </cell>
          <cell r="E1621" t="str">
            <v/>
          </cell>
          <cell r="F1621" t="str">
            <v>Pcs</v>
          </cell>
          <cell r="G1621">
            <v>54</v>
          </cell>
          <cell r="H1621" t="str">
            <v/>
          </cell>
          <cell r="I1621">
            <v>0</v>
          </cell>
          <cell r="J1621">
            <v>0</v>
          </cell>
          <cell r="K1621">
            <v>54</v>
          </cell>
          <cell r="L1621">
            <v>1104</v>
          </cell>
          <cell r="M1621">
            <v>59616</v>
          </cell>
        </row>
        <row r="1622">
          <cell r="A1622">
            <v>2513</v>
          </cell>
          <cell r="B1622" t="str">
            <v/>
          </cell>
          <cell r="C1622" t="str">
            <v>MAJESTY SEMI-SWEET RED WINE</v>
          </cell>
          <cell r="D1622" t="str">
            <v/>
          </cell>
          <cell r="E1622" t="str">
            <v/>
          </cell>
          <cell r="F1622" t="str">
            <v>Pcs</v>
          </cell>
          <cell r="G1622">
            <v>18</v>
          </cell>
          <cell r="H1622" t="str">
            <v/>
          </cell>
          <cell r="I1622">
            <v>0</v>
          </cell>
          <cell r="J1622">
            <v>0</v>
          </cell>
          <cell r="K1622">
            <v>18</v>
          </cell>
          <cell r="L1622">
            <v>820</v>
          </cell>
          <cell r="M1622">
            <v>14760</v>
          </cell>
        </row>
        <row r="1623">
          <cell r="A1623">
            <v>1381</v>
          </cell>
          <cell r="B1623" t="str">
            <v/>
          </cell>
          <cell r="C1623" t="str">
            <v>MANDALA MALBEC 750ml</v>
          </cell>
          <cell r="D1623" t="str">
            <v/>
          </cell>
          <cell r="E1623" t="str">
            <v/>
          </cell>
          <cell r="F1623" t="str">
            <v>Pcs</v>
          </cell>
          <cell r="G1623">
            <v>18</v>
          </cell>
          <cell r="H1623" t="str">
            <v/>
          </cell>
          <cell r="I1623">
            <v>0</v>
          </cell>
          <cell r="J1623">
            <v>0</v>
          </cell>
          <cell r="K1623">
            <v>18</v>
          </cell>
          <cell r="L1623">
            <v>1242</v>
          </cell>
          <cell r="M1623">
            <v>22356</v>
          </cell>
        </row>
        <row r="1624">
          <cell r="A1624">
            <v>1388</v>
          </cell>
          <cell r="B1624" t="str">
            <v/>
          </cell>
          <cell r="C1624" t="str">
            <v>MARA ROSE 750ML</v>
          </cell>
          <cell r="D1624" t="str">
            <v/>
          </cell>
          <cell r="E1624" t="str">
            <v/>
          </cell>
          <cell r="F1624" t="str">
            <v>Pcs</v>
          </cell>
          <cell r="G1624">
            <v>0</v>
          </cell>
          <cell r="H1624" t="str">
            <v/>
          </cell>
          <cell r="I1624">
            <v>0</v>
          </cell>
          <cell r="J1624">
            <v>0</v>
          </cell>
          <cell r="K1624">
            <v>0</v>
          </cell>
          <cell r="L1624">
            <v>920</v>
          </cell>
          <cell r="M1624">
            <v>0</v>
          </cell>
        </row>
        <row r="1625">
          <cell r="A1625">
            <v>2526</v>
          </cell>
          <cell r="B1625" t="str">
            <v/>
          </cell>
          <cell r="C1625" t="str">
            <v>MARQUES CAVA BRUT 750ML</v>
          </cell>
          <cell r="D1625" t="str">
            <v/>
          </cell>
          <cell r="E1625" t="str">
            <v/>
          </cell>
          <cell r="F1625" t="str">
            <v>Pcs</v>
          </cell>
          <cell r="G1625">
            <v>3</v>
          </cell>
          <cell r="H1625" t="str">
            <v/>
          </cell>
          <cell r="I1625">
            <v>0</v>
          </cell>
          <cell r="J1625">
            <v>0</v>
          </cell>
          <cell r="K1625">
            <v>3</v>
          </cell>
          <cell r="L1625">
            <v>1660</v>
          </cell>
          <cell r="M1625">
            <v>4980</v>
          </cell>
        </row>
        <row r="1626">
          <cell r="A1626">
            <v>2527</v>
          </cell>
          <cell r="B1626" t="str">
            <v/>
          </cell>
          <cell r="C1626" t="str">
            <v>MARQUES SEGUNDO ANO 750ML</v>
          </cell>
          <cell r="D1626" t="str">
            <v/>
          </cell>
          <cell r="E1626" t="str">
            <v/>
          </cell>
          <cell r="F1626" t="str">
            <v>Pcs</v>
          </cell>
          <cell r="G1626">
            <v>3</v>
          </cell>
          <cell r="H1626" t="str">
            <v/>
          </cell>
          <cell r="I1626">
            <v>0</v>
          </cell>
          <cell r="J1626">
            <v>0</v>
          </cell>
          <cell r="K1626">
            <v>3</v>
          </cell>
          <cell r="L1626">
            <v>1650</v>
          </cell>
          <cell r="M1626">
            <v>4950</v>
          </cell>
        </row>
        <row r="1627">
          <cell r="A1627">
            <v>1411</v>
          </cell>
          <cell r="B1627" t="str">
            <v/>
          </cell>
          <cell r="C1627" t="str">
            <v>MATEUS 1LTR</v>
          </cell>
          <cell r="D1627" t="str">
            <v/>
          </cell>
          <cell r="E1627" t="str">
            <v/>
          </cell>
          <cell r="F1627" t="str">
            <v>Pcs</v>
          </cell>
          <cell r="G1627">
            <v>97</v>
          </cell>
          <cell r="H1627" t="str">
            <v/>
          </cell>
          <cell r="I1627">
            <v>0</v>
          </cell>
          <cell r="J1627">
            <v>0</v>
          </cell>
          <cell r="K1627">
            <v>97</v>
          </cell>
          <cell r="L1627">
            <v>1100</v>
          </cell>
          <cell r="M1627">
            <v>106700</v>
          </cell>
        </row>
        <row r="1628">
          <cell r="A1628">
            <v>1412</v>
          </cell>
          <cell r="B1628" t="str">
            <v/>
          </cell>
          <cell r="C1628" t="str">
            <v>MATEUS ROSE 1.5LTR</v>
          </cell>
          <cell r="D1628" t="str">
            <v/>
          </cell>
          <cell r="E1628" t="str">
            <v/>
          </cell>
          <cell r="F1628" t="str">
            <v>Pcs</v>
          </cell>
          <cell r="G1628">
            <v>0</v>
          </cell>
          <cell r="H1628" t="str">
            <v/>
          </cell>
          <cell r="I1628">
            <v>0</v>
          </cell>
          <cell r="J1628">
            <v>0</v>
          </cell>
          <cell r="K1628">
            <v>0</v>
          </cell>
          <cell r="L1628">
            <v>2208</v>
          </cell>
          <cell r="M1628">
            <v>0</v>
          </cell>
        </row>
        <row r="1629">
          <cell r="A1629">
            <v>1418</v>
          </cell>
          <cell r="B1629" t="str">
            <v/>
          </cell>
          <cell r="C1629" t="str">
            <v>MENAGE A TROIS ZINFANDEL 2019 750ML</v>
          </cell>
          <cell r="D1629" t="str">
            <v/>
          </cell>
          <cell r="E1629" t="str">
            <v/>
          </cell>
          <cell r="F1629" t="str">
            <v>Pcs</v>
          </cell>
          <cell r="G1629">
            <v>0</v>
          </cell>
          <cell r="H1629" t="str">
            <v/>
          </cell>
          <cell r="I1629">
            <v>0</v>
          </cell>
          <cell r="J1629">
            <v>0</v>
          </cell>
          <cell r="K1629">
            <v>0</v>
          </cell>
          <cell r="L1629">
            <v>1656</v>
          </cell>
          <cell r="M1629">
            <v>0</v>
          </cell>
        </row>
        <row r="1630">
          <cell r="A1630">
            <v>1420</v>
          </cell>
          <cell r="B1630" t="str">
            <v/>
          </cell>
          <cell r="C1630" t="str">
            <v>MESTA RED 750ML</v>
          </cell>
          <cell r="D1630" t="str">
            <v/>
          </cell>
          <cell r="E1630" t="str">
            <v/>
          </cell>
          <cell r="F1630" t="str">
            <v>Pcs</v>
          </cell>
          <cell r="G1630">
            <v>0</v>
          </cell>
          <cell r="H1630" t="str">
            <v/>
          </cell>
          <cell r="I1630">
            <v>0</v>
          </cell>
          <cell r="J1630">
            <v>0</v>
          </cell>
          <cell r="K1630">
            <v>0</v>
          </cell>
          <cell r="L1630">
            <v>1300</v>
          </cell>
          <cell r="M1630">
            <v>0</v>
          </cell>
        </row>
        <row r="1631">
          <cell r="A1631">
            <v>1421</v>
          </cell>
          <cell r="B1631" t="str">
            <v/>
          </cell>
          <cell r="C1631" t="str">
            <v>MESTA ROSE 750ML</v>
          </cell>
          <cell r="D1631" t="str">
            <v/>
          </cell>
          <cell r="E1631" t="str">
            <v/>
          </cell>
          <cell r="F1631" t="str">
            <v>Pcs</v>
          </cell>
          <cell r="G1631">
            <v>0</v>
          </cell>
          <cell r="H1631" t="str">
            <v/>
          </cell>
          <cell r="I1631">
            <v>0</v>
          </cell>
          <cell r="J1631">
            <v>0</v>
          </cell>
          <cell r="K1631">
            <v>0</v>
          </cell>
          <cell r="L1631">
            <v>1300</v>
          </cell>
          <cell r="M1631">
            <v>0</v>
          </cell>
        </row>
        <row r="1632">
          <cell r="A1632">
            <v>1425</v>
          </cell>
          <cell r="B1632" t="str">
            <v/>
          </cell>
          <cell r="C1632" t="str">
            <v>MICHEL TORINO COLECCION MALBEC 750ML</v>
          </cell>
          <cell r="D1632" t="str">
            <v/>
          </cell>
          <cell r="E1632" t="str">
            <v/>
          </cell>
          <cell r="F1632" t="str">
            <v>Pcs</v>
          </cell>
          <cell r="G1632">
            <v>5</v>
          </cell>
          <cell r="H1632" t="str">
            <v/>
          </cell>
          <cell r="I1632">
            <v>0</v>
          </cell>
          <cell r="J1632">
            <v>0</v>
          </cell>
          <cell r="K1632">
            <v>5</v>
          </cell>
          <cell r="L1632">
            <v>984.4</v>
          </cell>
          <cell r="M1632">
            <v>4922</v>
          </cell>
        </row>
        <row r="1633">
          <cell r="A1633">
            <v>1430</v>
          </cell>
          <cell r="B1633" t="str">
            <v/>
          </cell>
          <cell r="C1633" t="str">
            <v>MICHEL TORINO MALBEC 750ML</v>
          </cell>
          <cell r="D1633" t="str">
            <v/>
          </cell>
          <cell r="E1633" t="str">
            <v/>
          </cell>
          <cell r="F1633" t="str">
            <v>Pcs</v>
          </cell>
          <cell r="G1633">
            <v>0</v>
          </cell>
          <cell r="H1633" t="str">
            <v/>
          </cell>
          <cell r="I1633">
            <v>0</v>
          </cell>
          <cell r="J1633">
            <v>0</v>
          </cell>
          <cell r="K1633">
            <v>0</v>
          </cell>
          <cell r="L1633">
            <v>1600</v>
          </cell>
          <cell r="M1633">
            <v>0</v>
          </cell>
        </row>
        <row r="1634">
          <cell r="A1634">
            <v>1431</v>
          </cell>
          <cell r="B1634" t="str">
            <v/>
          </cell>
          <cell r="C1634" t="str">
            <v>MICHEL TORINO TRADITIONAL MALBEC 750ML</v>
          </cell>
          <cell r="D1634" t="str">
            <v/>
          </cell>
          <cell r="E1634" t="str">
            <v/>
          </cell>
          <cell r="F1634" t="str">
            <v>Pcs</v>
          </cell>
          <cell r="G1634">
            <v>0</v>
          </cell>
          <cell r="H1634" t="str">
            <v/>
          </cell>
          <cell r="I1634">
            <v>0</v>
          </cell>
          <cell r="J1634">
            <v>0</v>
          </cell>
          <cell r="K1634">
            <v>0</v>
          </cell>
          <cell r="L1634">
            <v>800.4</v>
          </cell>
          <cell r="M1634">
            <v>0</v>
          </cell>
        </row>
        <row r="1635">
          <cell r="A1635">
            <v>1435</v>
          </cell>
          <cell r="B1635" t="str">
            <v/>
          </cell>
          <cell r="C1635" t="str">
            <v>MIKADO RED 750ML</v>
          </cell>
          <cell r="D1635" t="str">
            <v/>
          </cell>
          <cell r="E1635" t="str">
            <v/>
          </cell>
          <cell r="F1635" t="str">
            <v>Pcs</v>
          </cell>
          <cell r="G1635">
            <v>0</v>
          </cell>
          <cell r="H1635" t="str">
            <v/>
          </cell>
          <cell r="I1635">
            <v>0</v>
          </cell>
          <cell r="J1635">
            <v>0</v>
          </cell>
          <cell r="K1635">
            <v>0</v>
          </cell>
          <cell r="L1635">
            <v>1058</v>
          </cell>
          <cell r="M1635">
            <v>0</v>
          </cell>
        </row>
        <row r="1636">
          <cell r="A1636">
            <v>2356</v>
          </cell>
          <cell r="B1636" t="str">
            <v/>
          </cell>
          <cell r="C1636" t="str">
            <v>MIRADOR DARK BLEND 750ML</v>
          </cell>
          <cell r="D1636" t="str">
            <v/>
          </cell>
          <cell r="E1636" t="str">
            <v/>
          </cell>
          <cell r="F1636" t="str">
            <v>Pcs</v>
          </cell>
          <cell r="G1636">
            <v>60</v>
          </cell>
          <cell r="H1636" t="str">
            <v/>
          </cell>
          <cell r="I1636">
            <v>0</v>
          </cell>
          <cell r="J1636">
            <v>6</v>
          </cell>
          <cell r="K1636">
            <v>54</v>
          </cell>
          <cell r="L1636">
            <v>2153</v>
          </cell>
          <cell r="M1636">
            <v>116262</v>
          </cell>
        </row>
        <row r="1637">
          <cell r="A1637">
            <v>2600</v>
          </cell>
          <cell r="B1637" t="str">
            <v/>
          </cell>
          <cell r="C1637" t="str">
            <v>MIRADO RESERVA 750ML</v>
          </cell>
          <cell r="D1637" t="str">
            <v/>
          </cell>
          <cell r="E1637" t="str">
            <v/>
          </cell>
          <cell r="F1637" t="str">
            <v>Pcs</v>
          </cell>
          <cell r="G1637">
            <v>18</v>
          </cell>
          <cell r="H1637" t="str">
            <v/>
          </cell>
          <cell r="I1637">
            <v>0</v>
          </cell>
          <cell r="J1637">
            <v>0</v>
          </cell>
          <cell r="K1637">
            <v>18</v>
          </cell>
          <cell r="L1637">
            <v>1250</v>
          </cell>
          <cell r="M1637">
            <v>22500</v>
          </cell>
        </row>
        <row r="1638">
          <cell r="A1638">
            <v>1438</v>
          </cell>
          <cell r="B1638" t="str">
            <v/>
          </cell>
          <cell r="C1638" t="str">
            <v>MIRADOR RED 750ML</v>
          </cell>
          <cell r="D1638" t="str">
            <v/>
          </cell>
          <cell r="E1638" t="str">
            <v/>
          </cell>
          <cell r="F1638" t="str">
            <v>Pcs</v>
          </cell>
          <cell r="G1638">
            <v>0</v>
          </cell>
          <cell r="H1638" t="str">
            <v/>
          </cell>
          <cell r="I1638">
            <v>0</v>
          </cell>
          <cell r="J1638">
            <v>0</v>
          </cell>
          <cell r="K1638">
            <v>0</v>
          </cell>
          <cell r="L1638">
            <v>1750</v>
          </cell>
          <cell r="M1638">
            <v>0</v>
          </cell>
        </row>
        <row r="1639">
          <cell r="A1639">
            <v>1457</v>
          </cell>
          <cell r="B1639" t="str">
            <v/>
          </cell>
          <cell r="C1639" t="str">
            <v>MOHANS RESERVE - REDSWEET WINE 750ML</v>
          </cell>
          <cell r="D1639" t="str">
            <v/>
          </cell>
          <cell r="E1639" t="str">
            <v/>
          </cell>
          <cell r="F1639" t="str">
            <v>Pcs</v>
          </cell>
          <cell r="G1639">
            <v>0</v>
          </cell>
          <cell r="H1639" t="str">
            <v/>
          </cell>
          <cell r="I1639">
            <v>0</v>
          </cell>
          <cell r="J1639">
            <v>0</v>
          </cell>
          <cell r="K1639">
            <v>0</v>
          </cell>
          <cell r="L1639">
            <v>598</v>
          </cell>
          <cell r="M1639">
            <v>0</v>
          </cell>
        </row>
        <row r="1640">
          <cell r="A1640">
            <v>1458</v>
          </cell>
          <cell r="B1640" t="str">
            <v/>
          </cell>
          <cell r="C1640" t="str">
            <v>MOHANS RESERVE - WHITE SWEET 750ML</v>
          </cell>
          <cell r="D1640" t="str">
            <v/>
          </cell>
          <cell r="E1640" t="str">
            <v/>
          </cell>
          <cell r="F1640" t="str">
            <v>Pcs</v>
          </cell>
          <cell r="G1640">
            <v>0</v>
          </cell>
          <cell r="H1640" t="str">
            <v/>
          </cell>
          <cell r="I1640">
            <v>0</v>
          </cell>
          <cell r="J1640">
            <v>0</v>
          </cell>
          <cell r="K1640">
            <v>0</v>
          </cell>
          <cell r="L1640">
            <v>598</v>
          </cell>
          <cell r="M1640">
            <v>0</v>
          </cell>
        </row>
        <row r="1641">
          <cell r="A1641">
            <v>1459</v>
          </cell>
          <cell r="B1641" t="str">
            <v/>
          </cell>
          <cell r="C1641" t="str">
            <v>MOILLARD CHABLIS COQUILLAGE 750ML</v>
          </cell>
          <cell r="D1641" t="str">
            <v/>
          </cell>
          <cell r="E1641" t="str">
            <v/>
          </cell>
          <cell r="F1641" t="str">
            <v>Pcs</v>
          </cell>
          <cell r="G1641">
            <v>0</v>
          </cell>
          <cell r="H1641" t="str">
            <v/>
          </cell>
          <cell r="I1641">
            <v>0</v>
          </cell>
          <cell r="J1641">
            <v>0</v>
          </cell>
          <cell r="K1641">
            <v>0</v>
          </cell>
          <cell r="L1641">
            <v>3404</v>
          </cell>
          <cell r="M1641">
            <v>0</v>
          </cell>
        </row>
        <row r="1642">
          <cell r="A1642">
            <v>2277</v>
          </cell>
          <cell r="B1642" t="str">
            <v/>
          </cell>
          <cell r="C1642" t="str">
            <v>MOLINA RESERVA 750ML</v>
          </cell>
          <cell r="D1642" t="str">
            <v/>
          </cell>
          <cell r="E1642" t="str">
            <v/>
          </cell>
          <cell r="F1642" t="str">
            <v>Pcs</v>
          </cell>
          <cell r="G1642">
            <v>66</v>
          </cell>
          <cell r="H1642" t="str">
            <v/>
          </cell>
          <cell r="I1642">
            <v>0</v>
          </cell>
          <cell r="J1642">
            <v>0</v>
          </cell>
          <cell r="K1642">
            <v>66</v>
          </cell>
          <cell r="L1642">
            <v>950</v>
          </cell>
          <cell r="M1642">
            <v>62700</v>
          </cell>
        </row>
        <row r="1643">
          <cell r="A1643">
            <v>1478</v>
          </cell>
          <cell r="B1643" t="str">
            <v/>
          </cell>
          <cell r="C1643" t="str">
            <v>MOSCATEL DE SETUBAL 750ML</v>
          </cell>
          <cell r="D1643" t="str">
            <v/>
          </cell>
          <cell r="E1643" t="str">
            <v/>
          </cell>
          <cell r="F1643" t="str">
            <v>Pcs</v>
          </cell>
          <cell r="G1643">
            <v>12</v>
          </cell>
          <cell r="H1643" t="str">
            <v/>
          </cell>
          <cell r="I1643">
            <v>0</v>
          </cell>
          <cell r="J1643">
            <v>0</v>
          </cell>
          <cell r="K1643">
            <v>12</v>
          </cell>
          <cell r="L1643">
            <v>1564</v>
          </cell>
          <cell r="M1643">
            <v>18768</v>
          </cell>
        </row>
        <row r="1644">
          <cell r="A1644">
            <v>1486</v>
          </cell>
          <cell r="B1644" t="str">
            <v/>
          </cell>
          <cell r="C1644" t="str">
            <v>MUCHO MAS RED 1.5ltrs</v>
          </cell>
          <cell r="D1644" t="str">
            <v/>
          </cell>
          <cell r="E1644" t="str">
            <v/>
          </cell>
          <cell r="F1644" t="str">
            <v>Pcs</v>
          </cell>
          <cell r="G1644">
            <v>2</v>
          </cell>
          <cell r="H1644" t="str">
            <v/>
          </cell>
          <cell r="I1644">
            <v>0</v>
          </cell>
          <cell r="J1644">
            <v>2</v>
          </cell>
          <cell r="K1644">
            <v>0</v>
          </cell>
          <cell r="L1644">
            <v>2900</v>
          </cell>
          <cell r="M1644">
            <v>0</v>
          </cell>
        </row>
        <row r="1645">
          <cell r="A1645">
            <v>1487</v>
          </cell>
          <cell r="B1645" t="str">
            <v/>
          </cell>
          <cell r="C1645" t="str">
            <v>MUCHO MAS RED 750ML</v>
          </cell>
          <cell r="D1645" t="str">
            <v/>
          </cell>
          <cell r="E1645" t="str">
            <v/>
          </cell>
          <cell r="F1645" t="str">
            <v>Pcs</v>
          </cell>
          <cell r="G1645">
            <v>0</v>
          </cell>
          <cell r="H1645" t="str">
            <v/>
          </cell>
          <cell r="I1645">
            <v>0</v>
          </cell>
          <cell r="J1645">
            <v>0</v>
          </cell>
          <cell r="K1645">
            <v>0</v>
          </cell>
          <cell r="L1645">
            <v>1500</v>
          </cell>
          <cell r="M1645">
            <v>0</v>
          </cell>
        </row>
        <row r="1646">
          <cell r="A1646">
            <v>1488</v>
          </cell>
          <cell r="B1646" t="str">
            <v/>
          </cell>
          <cell r="C1646" t="str">
            <v>MUCHO MAS ROSE 750ML</v>
          </cell>
          <cell r="D1646" t="str">
            <v/>
          </cell>
          <cell r="E1646" t="str">
            <v/>
          </cell>
          <cell r="F1646" t="str">
            <v>Pcs</v>
          </cell>
          <cell r="G1646">
            <v>1139</v>
          </cell>
          <cell r="H1646" t="str">
            <v/>
          </cell>
          <cell r="I1646">
            <v>0</v>
          </cell>
          <cell r="J1646">
            <v>0</v>
          </cell>
          <cell r="K1646">
            <v>1139</v>
          </cell>
          <cell r="L1646">
            <v>1500</v>
          </cell>
          <cell r="M1646">
            <v>1708500</v>
          </cell>
        </row>
        <row r="1647">
          <cell r="A1647">
            <v>1489</v>
          </cell>
          <cell r="B1647" t="str">
            <v/>
          </cell>
          <cell r="C1647" t="str">
            <v>MUCHO MAS WHITE 750ML</v>
          </cell>
          <cell r="D1647" t="str">
            <v/>
          </cell>
          <cell r="E1647" t="str">
            <v/>
          </cell>
          <cell r="F1647" t="str">
            <v>Pcs</v>
          </cell>
          <cell r="G1647">
            <v>969</v>
          </cell>
          <cell r="H1647" t="str">
            <v/>
          </cell>
          <cell r="I1647">
            <v>0</v>
          </cell>
          <cell r="J1647">
            <v>46</v>
          </cell>
          <cell r="K1647">
            <v>923</v>
          </cell>
          <cell r="L1647">
            <v>1550</v>
          </cell>
          <cell r="M1647">
            <v>1430650</v>
          </cell>
        </row>
        <row r="1648">
          <cell r="A1648">
            <v>2596</v>
          </cell>
          <cell r="B1648" t="str">
            <v/>
          </cell>
          <cell r="C1648" t="str">
            <v>MURVIEDRO CAB SAV 750ML</v>
          </cell>
          <cell r="D1648" t="str">
            <v/>
          </cell>
          <cell r="E1648" t="str">
            <v/>
          </cell>
          <cell r="F1648" t="str">
            <v>Pcs</v>
          </cell>
          <cell r="G1648">
            <v>26</v>
          </cell>
          <cell r="H1648" t="str">
            <v/>
          </cell>
          <cell r="I1648">
            <v>0</v>
          </cell>
          <cell r="J1648">
            <v>0</v>
          </cell>
          <cell r="K1648">
            <v>26</v>
          </cell>
          <cell r="L1648">
            <v>1250</v>
          </cell>
          <cell r="M1648">
            <v>32500</v>
          </cell>
        </row>
        <row r="1649">
          <cell r="A1649">
            <v>2597</v>
          </cell>
          <cell r="B1649" t="str">
            <v/>
          </cell>
          <cell r="C1649" t="str">
            <v>MURVIEDRO CHARDONNAY 750ML</v>
          </cell>
          <cell r="D1649" t="str">
            <v/>
          </cell>
          <cell r="E1649" t="str">
            <v/>
          </cell>
          <cell r="F1649" t="str">
            <v>Pcs</v>
          </cell>
          <cell r="G1649">
            <v>14</v>
          </cell>
          <cell r="H1649" t="str">
            <v/>
          </cell>
          <cell r="I1649">
            <v>0</v>
          </cell>
          <cell r="J1649">
            <v>0</v>
          </cell>
          <cell r="K1649">
            <v>14</v>
          </cell>
          <cell r="L1649">
            <v>1250</v>
          </cell>
          <cell r="M1649">
            <v>17500</v>
          </cell>
        </row>
        <row r="1650">
          <cell r="A1650">
            <v>2598</v>
          </cell>
          <cell r="B1650" t="str">
            <v/>
          </cell>
          <cell r="C1650" t="str">
            <v>MURVIEDRO TEMPRANILO 750ML</v>
          </cell>
          <cell r="D1650" t="str">
            <v/>
          </cell>
          <cell r="E1650" t="str">
            <v/>
          </cell>
          <cell r="F1650" t="str">
            <v>Pcs</v>
          </cell>
          <cell r="G1650">
            <v>17</v>
          </cell>
          <cell r="H1650" t="str">
            <v/>
          </cell>
          <cell r="I1650">
            <v>0</v>
          </cell>
          <cell r="J1650">
            <v>0</v>
          </cell>
          <cell r="K1650">
            <v>17</v>
          </cell>
          <cell r="L1650">
            <v>1250</v>
          </cell>
          <cell r="M1650">
            <v>21250</v>
          </cell>
        </row>
        <row r="1651">
          <cell r="A1651">
            <v>1490</v>
          </cell>
          <cell r="B1651" t="str">
            <v/>
          </cell>
          <cell r="C1651" t="str">
            <v>MUSCADOR 750ML</v>
          </cell>
          <cell r="D1651" t="str">
            <v/>
          </cell>
          <cell r="E1651" t="str">
            <v/>
          </cell>
          <cell r="F1651" t="str">
            <v>Pcs</v>
          </cell>
          <cell r="G1651">
            <v>60</v>
          </cell>
          <cell r="H1651" t="str">
            <v/>
          </cell>
          <cell r="I1651">
            <v>0</v>
          </cell>
          <cell r="J1651">
            <v>0</v>
          </cell>
          <cell r="K1651">
            <v>60</v>
          </cell>
          <cell r="L1651">
            <v>598</v>
          </cell>
          <cell r="M1651">
            <v>35880</v>
          </cell>
        </row>
        <row r="1652">
          <cell r="A1652">
            <v>2328</v>
          </cell>
          <cell r="B1652" t="str">
            <v/>
          </cell>
          <cell r="C1652" t="str">
            <v>NAKED GROUSE CAB SAUV 750ML</v>
          </cell>
          <cell r="D1652" t="str">
            <v/>
          </cell>
          <cell r="E1652" t="str">
            <v/>
          </cell>
          <cell r="F1652" t="str">
            <v>Pcs</v>
          </cell>
          <cell r="G1652">
            <v>12</v>
          </cell>
          <cell r="H1652" t="str">
            <v/>
          </cell>
          <cell r="I1652">
            <v>0</v>
          </cell>
          <cell r="J1652">
            <v>0</v>
          </cell>
          <cell r="K1652">
            <v>12</v>
          </cell>
          <cell r="L1652">
            <v>1000</v>
          </cell>
          <cell r="M1652">
            <v>12000</v>
          </cell>
        </row>
        <row r="1653">
          <cell r="A1653">
            <v>1496</v>
          </cell>
          <cell r="B1653" t="str">
            <v/>
          </cell>
          <cell r="C1653" t="str">
            <v>NAMAQUA BLANC DE BLANC 5LTR</v>
          </cell>
          <cell r="D1653" t="str">
            <v/>
          </cell>
          <cell r="E1653" t="str">
            <v/>
          </cell>
          <cell r="F1653" t="str">
            <v>Pcs</v>
          </cell>
          <cell r="G1653">
            <v>6</v>
          </cell>
          <cell r="H1653" t="str">
            <v/>
          </cell>
          <cell r="I1653">
            <v>0</v>
          </cell>
          <cell r="J1653">
            <v>0</v>
          </cell>
          <cell r="K1653">
            <v>6</v>
          </cell>
          <cell r="L1653">
            <v>2760</v>
          </cell>
          <cell r="M1653">
            <v>16560</v>
          </cell>
        </row>
        <row r="1654">
          <cell r="A1654">
            <v>1497</v>
          </cell>
          <cell r="B1654" t="str">
            <v/>
          </cell>
          <cell r="C1654" t="str">
            <v>NAMAQUA CAB SAUV 750ML</v>
          </cell>
          <cell r="D1654" t="str">
            <v/>
          </cell>
          <cell r="E1654" t="str">
            <v/>
          </cell>
          <cell r="F1654" t="str">
            <v>Pcs</v>
          </cell>
          <cell r="G1654">
            <v>0</v>
          </cell>
          <cell r="H1654" t="str">
            <v/>
          </cell>
          <cell r="I1654">
            <v>0</v>
          </cell>
          <cell r="J1654">
            <v>0</v>
          </cell>
          <cell r="K1654">
            <v>0</v>
          </cell>
          <cell r="L1654">
            <v>690</v>
          </cell>
          <cell r="M1654">
            <v>0</v>
          </cell>
        </row>
        <row r="1655">
          <cell r="A1655">
            <v>1498</v>
          </cell>
          <cell r="B1655" t="str">
            <v/>
          </cell>
          <cell r="C1655" t="str">
            <v>NAMAQUA DRY RED  5LTR </v>
          </cell>
          <cell r="D1655" t="str">
            <v/>
          </cell>
          <cell r="E1655" t="str">
            <v/>
          </cell>
          <cell r="F1655" t="str">
            <v>Pcs</v>
          </cell>
          <cell r="G1655">
            <v>0</v>
          </cell>
          <cell r="H1655" t="str">
            <v/>
          </cell>
          <cell r="I1655">
            <v>0</v>
          </cell>
          <cell r="J1655">
            <v>0</v>
          </cell>
          <cell r="K1655">
            <v>0</v>
          </cell>
          <cell r="L1655">
            <v>2500</v>
          </cell>
          <cell r="M1655">
            <v>0</v>
          </cell>
        </row>
        <row r="1656">
          <cell r="A1656">
            <v>1499</v>
          </cell>
          <cell r="B1656" t="str">
            <v/>
          </cell>
          <cell r="C1656" t="str">
            <v>NAMAQUA DRY RED 750ML</v>
          </cell>
          <cell r="D1656" t="str">
            <v/>
          </cell>
          <cell r="E1656" t="str">
            <v/>
          </cell>
          <cell r="F1656" t="str">
            <v>Pcs</v>
          </cell>
          <cell r="G1656">
            <v>0</v>
          </cell>
          <cell r="H1656" t="str">
            <v/>
          </cell>
          <cell r="I1656">
            <v>0</v>
          </cell>
          <cell r="J1656">
            <v>0</v>
          </cell>
          <cell r="K1656">
            <v>0</v>
          </cell>
          <cell r="L1656">
            <v>690</v>
          </cell>
          <cell r="M1656">
            <v>0</v>
          </cell>
        </row>
        <row r="1657">
          <cell r="A1657">
            <v>1500</v>
          </cell>
          <cell r="B1657" t="str">
            <v/>
          </cell>
          <cell r="C1657" t="str">
            <v>NAMAQUA JOHANNISBERGER RED 5LTR</v>
          </cell>
          <cell r="D1657" t="str">
            <v/>
          </cell>
          <cell r="E1657" t="str">
            <v/>
          </cell>
          <cell r="F1657" t="str">
            <v>Pcs</v>
          </cell>
          <cell r="G1657">
            <v>0</v>
          </cell>
          <cell r="H1657" t="str">
            <v/>
          </cell>
          <cell r="I1657">
            <v>0</v>
          </cell>
          <cell r="J1657">
            <v>0</v>
          </cell>
          <cell r="K1657">
            <v>0</v>
          </cell>
          <cell r="L1657">
            <v>3804</v>
          </cell>
          <cell r="M1657">
            <v>0</v>
          </cell>
        </row>
        <row r="1658">
          <cell r="A1658">
            <v>1502</v>
          </cell>
          <cell r="B1658" t="str">
            <v/>
          </cell>
          <cell r="C1658" t="str">
            <v>NAMAQUA SWEET RED 5LTR</v>
          </cell>
          <cell r="D1658" t="str">
            <v/>
          </cell>
          <cell r="E1658" t="str">
            <v/>
          </cell>
          <cell r="F1658" t="str">
            <v>Pcs</v>
          </cell>
          <cell r="G1658">
            <v>2</v>
          </cell>
          <cell r="H1658" t="str">
            <v/>
          </cell>
          <cell r="I1658">
            <v>0</v>
          </cell>
          <cell r="J1658">
            <v>1</v>
          </cell>
          <cell r="K1658">
            <v>1</v>
          </cell>
          <cell r="L1658">
            <v>2500</v>
          </cell>
          <cell r="M1658">
            <v>2500</v>
          </cell>
        </row>
        <row r="1659">
          <cell r="A1659">
            <v>1503</v>
          </cell>
          <cell r="B1659" t="str">
            <v/>
          </cell>
          <cell r="C1659" t="str">
            <v>NAMAQUA SWEET RED 750ML</v>
          </cell>
          <cell r="D1659" t="str">
            <v/>
          </cell>
          <cell r="E1659" t="str">
            <v/>
          </cell>
          <cell r="F1659" t="str">
            <v>Pcs</v>
          </cell>
          <cell r="G1659">
            <v>0</v>
          </cell>
          <cell r="H1659" t="str">
            <v/>
          </cell>
          <cell r="I1659">
            <v>0</v>
          </cell>
          <cell r="J1659">
            <v>0</v>
          </cell>
          <cell r="K1659">
            <v>0</v>
          </cell>
          <cell r="L1659">
            <v>700</v>
          </cell>
          <cell r="M1659">
            <v>0</v>
          </cell>
        </row>
        <row r="1660">
          <cell r="A1660">
            <v>1501</v>
          </cell>
          <cell r="B1660" t="str">
            <v/>
          </cell>
          <cell r="C1660" t="str">
            <v>NAMAQUA SWEET WHITE 5LTR</v>
          </cell>
          <cell r="D1660" t="str">
            <v/>
          </cell>
          <cell r="E1660" t="str">
            <v/>
          </cell>
          <cell r="F1660" t="str">
            <v>Pcs</v>
          </cell>
          <cell r="G1660">
            <v>53</v>
          </cell>
          <cell r="H1660" t="str">
            <v/>
          </cell>
          <cell r="I1660">
            <v>0</v>
          </cell>
          <cell r="J1660">
            <v>0</v>
          </cell>
          <cell r="K1660">
            <v>53</v>
          </cell>
          <cell r="L1660">
            <v>2500</v>
          </cell>
          <cell r="M1660">
            <v>132500</v>
          </cell>
        </row>
        <row r="1661">
          <cell r="A1661">
            <v>2163</v>
          </cell>
          <cell r="B1661" t="str">
            <v/>
          </cell>
          <cell r="C1661" t="str">
            <v>NAMAQUA SWEET WHITE 750ML</v>
          </cell>
          <cell r="D1661" t="str">
            <v/>
          </cell>
          <cell r="E1661" t="str">
            <v/>
          </cell>
          <cell r="F1661" t="str">
            <v>Pcs</v>
          </cell>
          <cell r="G1661">
            <v>0</v>
          </cell>
          <cell r="H1661" t="str">
            <v/>
          </cell>
          <cell r="I1661">
            <v>0</v>
          </cell>
          <cell r="J1661">
            <v>0</v>
          </cell>
          <cell r="K1661">
            <v>0</v>
          </cell>
          <cell r="L1661">
            <v>700</v>
          </cell>
          <cell r="M1661">
            <v>0</v>
          </cell>
        </row>
        <row r="1662">
          <cell r="A1662">
            <v>2238</v>
          </cell>
          <cell r="B1662" t="str">
            <v/>
          </cell>
          <cell r="C1662" t="str">
            <v>NAMAQUA SWT ROSE 5LTR</v>
          </cell>
          <cell r="D1662" t="str">
            <v/>
          </cell>
          <cell r="E1662" t="str">
            <v/>
          </cell>
          <cell r="F1662" t="str">
            <v>Pcs</v>
          </cell>
          <cell r="G1662">
            <v>0</v>
          </cell>
          <cell r="H1662" t="str">
            <v/>
          </cell>
          <cell r="I1662">
            <v>0</v>
          </cell>
          <cell r="J1662">
            <v>0</v>
          </cell>
          <cell r="K1662">
            <v>0</v>
          </cell>
          <cell r="L1662">
            <v>2500</v>
          </cell>
          <cell r="M1662">
            <v>0</v>
          </cell>
        </row>
        <row r="1663">
          <cell r="A1663">
            <v>1504</v>
          </cell>
          <cell r="B1663" t="str">
            <v/>
          </cell>
          <cell r="C1663" t="str">
            <v>NATURALYS CAB SAUV 750ML</v>
          </cell>
          <cell r="D1663" t="str">
            <v/>
          </cell>
          <cell r="E1663" t="str">
            <v/>
          </cell>
          <cell r="F1663" t="str">
            <v>Pcs</v>
          </cell>
          <cell r="G1663">
            <v>0</v>
          </cell>
          <cell r="H1663" t="str">
            <v/>
          </cell>
          <cell r="I1663">
            <v>0</v>
          </cell>
          <cell r="J1663">
            <v>0</v>
          </cell>
          <cell r="K1663">
            <v>0</v>
          </cell>
          <cell r="L1663">
            <v>1104</v>
          </cell>
          <cell r="M1663">
            <v>0</v>
          </cell>
        </row>
        <row r="1664">
          <cell r="A1664">
            <v>2239</v>
          </cell>
          <cell r="B1664" t="str">
            <v/>
          </cell>
          <cell r="C1664" t="str">
            <v>NATURALYS MERLOT 750ML</v>
          </cell>
          <cell r="D1664" t="str">
            <v/>
          </cell>
          <cell r="E1664" t="str">
            <v/>
          </cell>
          <cell r="F1664" t="str">
            <v>Pcs</v>
          </cell>
          <cell r="G1664">
            <v>0</v>
          </cell>
          <cell r="H1664" t="str">
            <v/>
          </cell>
          <cell r="I1664">
            <v>0</v>
          </cell>
          <cell r="J1664">
            <v>0</v>
          </cell>
          <cell r="K1664">
            <v>0</v>
          </cell>
          <cell r="L1664">
            <v>1700</v>
          </cell>
          <cell r="M1664">
            <v>0</v>
          </cell>
        </row>
        <row r="1665">
          <cell r="A1665">
            <v>1508</v>
          </cell>
          <cell r="B1665" t="str">
            <v/>
          </cell>
          <cell r="C1665" t="str">
            <v>NEDERBERG (5600) CAB SAUV 750ML</v>
          </cell>
          <cell r="D1665" t="str">
            <v/>
          </cell>
          <cell r="E1665" t="str">
            <v/>
          </cell>
          <cell r="F1665" t="str">
            <v>Pcs</v>
          </cell>
          <cell r="G1665">
            <v>0</v>
          </cell>
          <cell r="H1665" t="str">
            <v/>
          </cell>
          <cell r="I1665">
            <v>0</v>
          </cell>
          <cell r="J1665">
            <v>0</v>
          </cell>
          <cell r="K1665">
            <v>0</v>
          </cell>
          <cell r="L1665">
            <v>1250</v>
          </cell>
          <cell r="M1665">
            <v>0</v>
          </cell>
        </row>
        <row r="1666">
          <cell r="A1666">
            <v>1509</v>
          </cell>
          <cell r="B1666" t="str">
            <v/>
          </cell>
          <cell r="C1666" t="str">
            <v>NEDERBURG - BARONE 750ML</v>
          </cell>
          <cell r="D1666" t="str">
            <v/>
          </cell>
          <cell r="E1666" t="str">
            <v/>
          </cell>
          <cell r="F1666" t="str">
            <v>Pcs</v>
          </cell>
          <cell r="G1666">
            <v>0</v>
          </cell>
          <cell r="H1666" t="str">
            <v/>
          </cell>
          <cell r="I1666">
            <v>0</v>
          </cell>
          <cell r="J1666">
            <v>0</v>
          </cell>
          <cell r="K1666">
            <v>0</v>
          </cell>
          <cell r="L1666">
            <v>1334</v>
          </cell>
          <cell r="M1666">
            <v>0</v>
          </cell>
        </row>
        <row r="1667">
          <cell r="A1667">
            <v>1510</v>
          </cell>
          <cell r="B1667" t="str">
            <v/>
          </cell>
          <cell r="C1667" t="str">
            <v>NEDERBURG - CAB SAUV 250ML</v>
          </cell>
          <cell r="D1667" t="str">
            <v/>
          </cell>
          <cell r="E1667" t="str">
            <v/>
          </cell>
          <cell r="F1667" t="str">
            <v>Pcs</v>
          </cell>
          <cell r="G1667">
            <v>0</v>
          </cell>
          <cell r="H1667" t="str">
            <v/>
          </cell>
          <cell r="I1667">
            <v>0</v>
          </cell>
          <cell r="J1667">
            <v>0</v>
          </cell>
          <cell r="K1667">
            <v>0</v>
          </cell>
          <cell r="L1667">
            <v>460</v>
          </cell>
          <cell r="M1667">
            <v>0</v>
          </cell>
        </row>
        <row r="1668">
          <cell r="A1668">
            <v>1511</v>
          </cell>
          <cell r="B1668" t="str">
            <v/>
          </cell>
          <cell r="C1668" t="str">
            <v>NEDERBURG - CAB SAUV 750ML</v>
          </cell>
          <cell r="D1668" t="str">
            <v/>
          </cell>
          <cell r="E1668" t="str">
            <v/>
          </cell>
          <cell r="F1668" t="str">
            <v>Pcs</v>
          </cell>
          <cell r="G1668">
            <v>270</v>
          </cell>
          <cell r="H1668" t="str">
            <v/>
          </cell>
          <cell r="I1668">
            <v>900</v>
          </cell>
          <cell r="J1668">
            <v>132</v>
          </cell>
          <cell r="K1668">
            <v>1038</v>
          </cell>
          <cell r="L1668">
            <v>1300</v>
          </cell>
          <cell r="M1668">
            <v>1349400</v>
          </cell>
        </row>
        <row r="1669">
          <cell r="A1669">
            <v>1512</v>
          </cell>
          <cell r="B1669" t="str">
            <v/>
          </cell>
          <cell r="C1669" t="str">
            <v>NEDERBURG - CHARDONNAY 750ML</v>
          </cell>
          <cell r="D1669" t="str">
            <v/>
          </cell>
          <cell r="E1669" t="str">
            <v/>
          </cell>
          <cell r="F1669" t="str">
            <v>Pcs</v>
          </cell>
          <cell r="G1669">
            <v>67</v>
          </cell>
          <cell r="H1669" t="str">
            <v/>
          </cell>
          <cell r="I1669">
            <v>0</v>
          </cell>
          <cell r="J1669">
            <v>54</v>
          </cell>
          <cell r="K1669">
            <v>13</v>
          </cell>
          <cell r="L1669">
            <v>1250</v>
          </cell>
          <cell r="M1669">
            <v>16250</v>
          </cell>
        </row>
        <row r="1670">
          <cell r="A1670">
            <v>2850</v>
          </cell>
          <cell r="B1670" t="str">
            <v/>
          </cell>
          <cell r="C1670" t="str">
            <v>NEDERBURG CUVEE BRUT 750ML</v>
          </cell>
          <cell r="D1670" t="str">
            <v/>
          </cell>
          <cell r="E1670" t="str">
            <v/>
          </cell>
          <cell r="F1670" t="str">
            <v>Pcs</v>
          </cell>
          <cell r="G1670">
            <v>60</v>
          </cell>
          <cell r="H1670" t="str">
            <v/>
          </cell>
          <cell r="I1670">
            <v>210</v>
          </cell>
          <cell r="J1670">
            <v>24</v>
          </cell>
          <cell r="K1670">
            <v>246</v>
          </cell>
          <cell r="L1670">
            <v>1100</v>
          </cell>
          <cell r="M1670">
            <v>270600</v>
          </cell>
        </row>
        <row r="1671">
          <cell r="A1671">
            <v>1513</v>
          </cell>
          <cell r="B1671" t="str">
            <v/>
          </cell>
          <cell r="C1671" t="str">
            <v>NEDERBURG - DUET 750ML</v>
          </cell>
          <cell r="D1671" t="str">
            <v/>
          </cell>
          <cell r="E1671" t="str">
            <v/>
          </cell>
          <cell r="F1671" t="str">
            <v>Pcs</v>
          </cell>
          <cell r="G1671">
            <v>84</v>
          </cell>
          <cell r="H1671" t="str">
            <v/>
          </cell>
          <cell r="I1671">
            <v>0</v>
          </cell>
          <cell r="J1671">
            <v>0</v>
          </cell>
          <cell r="K1671">
            <v>84</v>
          </cell>
          <cell r="L1671">
            <v>1334</v>
          </cell>
          <cell r="M1671">
            <v>112056</v>
          </cell>
        </row>
        <row r="1672">
          <cell r="A1672">
            <v>1514</v>
          </cell>
          <cell r="B1672" t="str">
            <v/>
          </cell>
          <cell r="C1672" t="str">
            <v>NEDERBURG - EDELROOD 750ML</v>
          </cell>
          <cell r="D1672" t="str">
            <v/>
          </cell>
          <cell r="E1672" t="str">
            <v/>
          </cell>
          <cell r="F1672" t="str">
            <v>Pcs</v>
          </cell>
          <cell r="G1672">
            <v>0</v>
          </cell>
          <cell r="H1672" t="str">
            <v/>
          </cell>
          <cell r="I1672">
            <v>0</v>
          </cell>
          <cell r="J1672">
            <v>0</v>
          </cell>
          <cell r="K1672">
            <v>0</v>
          </cell>
          <cell r="L1672">
            <v>1334</v>
          </cell>
          <cell r="M1672">
            <v>0</v>
          </cell>
        </row>
        <row r="1673">
          <cell r="A1673">
            <v>1515</v>
          </cell>
          <cell r="B1673" t="str">
            <v/>
          </cell>
          <cell r="C1673" t="str">
            <v>NEDERBURG - LYRIC 750ML</v>
          </cell>
          <cell r="D1673" t="str">
            <v/>
          </cell>
          <cell r="E1673" t="str">
            <v/>
          </cell>
          <cell r="F1673" t="str">
            <v>Pcs</v>
          </cell>
          <cell r="G1673">
            <v>114</v>
          </cell>
          <cell r="H1673" t="str">
            <v/>
          </cell>
          <cell r="I1673">
            <v>0</v>
          </cell>
          <cell r="J1673">
            <v>6</v>
          </cell>
          <cell r="K1673">
            <v>108</v>
          </cell>
          <cell r="L1673">
            <v>1334</v>
          </cell>
          <cell r="M1673">
            <v>144072</v>
          </cell>
        </row>
        <row r="1674">
          <cell r="A1674">
            <v>1516</v>
          </cell>
          <cell r="B1674" t="str">
            <v/>
          </cell>
          <cell r="C1674" t="str">
            <v>NEDERBURG - MANOR HOUSE SHIRAZ 750ML</v>
          </cell>
          <cell r="D1674" t="str">
            <v/>
          </cell>
          <cell r="E1674" t="str">
            <v/>
          </cell>
          <cell r="F1674" t="str">
            <v>Pcs</v>
          </cell>
          <cell r="G1674">
            <v>0</v>
          </cell>
          <cell r="H1674" t="str">
            <v/>
          </cell>
          <cell r="I1674">
            <v>0</v>
          </cell>
          <cell r="J1674">
            <v>0</v>
          </cell>
          <cell r="K1674">
            <v>0</v>
          </cell>
          <cell r="L1674">
            <v>1334</v>
          </cell>
          <cell r="M1674">
            <v>0</v>
          </cell>
        </row>
        <row r="1675">
          <cell r="A1675">
            <v>1517</v>
          </cell>
          <cell r="B1675" t="str">
            <v/>
          </cell>
          <cell r="C1675" t="str">
            <v>NEDERBURG - MERLOT 750ML</v>
          </cell>
          <cell r="D1675" t="str">
            <v/>
          </cell>
          <cell r="E1675" t="str">
            <v/>
          </cell>
          <cell r="F1675" t="str">
            <v>Pcs</v>
          </cell>
          <cell r="G1675">
            <v>198</v>
          </cell>
          <cell r="H1675" t="str">
            <v/>
          </cell>
          <cell r="I1675">
            <v>300</v>
          </cell>
          <cell r="J1675">
            <v>36</v>
          </cell>
          <cell r="K1675">
            <v>462</v>
          </cell>
          <cell r="L1675">
            <v>1250</v>
          </cell>
          <cell r="M1675">
            <v>577500</v>
          </cell>
        </row>
        <row r="1676">
          <cell r="A1676">
            <v>1518</v>
          </cell>
          <cell r="B1676" t="str">
            <v/>
          </cell>
          <cell r="C1676" t="str">
            <v>NEDERBURG - PINOTAGE 750ML</v>
          </cell>
          <cell r="D1676" t="str">
            <v/>
          </cell>
          <cell r="E1676" t="str">
            <v/>
          </cell>
          <cell r="F1676" t="str">
            <v>Pcs</v>
          </cell>
          <cell r="G1676">
            <v>0</v>
          </cell>
          <cell r="H1676" t="str">
            <v/>
          </cell>
          <cell r="I1676">
            <v>0</v>
          </cell>
          <cell r="J1676">
            <v>0</v>
          </cell>
          <cell r="K1676">
            <v>0</v>
          </cell>
          <cell r="L1676">
            <v>1250</v>
          </cell>
          <cell r="M1676">
            <v>0</v>
          </cell>
        </row>
        <row r="1677">
          <cell r="A1677">
            <v>1519</v>
          </cell>
          <cell r="B1677" t="str">
            <v/>
          </cell>
          <cell r="C1677" t="str">
            <v>NEDERBURG - RIESLING 750ML</v>
          </cell>
          <cell r="D1677" t="str">
            <v/>
          </cell>
          <cell r="E1677" t="str">
            <v/>
          </cell>
          <cell r="F1677" t="str">
            <v>Pcs</v>
          </cell>
          <cell r="G1677">
            <v>0</v>
          </cell>
          <cell r="H1677" t="str">
            <v/>
          </cell>
          <cell r="I1677">
            <v>0</v>
          </cell>
          <cell r="J1677">
            <v>0</v>
          </cell>
          <cell r="K1677">
            <v>0</v>
          </cell>
          <cell r="L1677">
            <v>1334</v>
          </cell>
          <cell r="M1677">
            <v>0</v>
          </cell>
        </row>
        <row r="1678">
          <cell r="A1678">
            <v>1520</v>
          </cell>
          <cell r="B1678" t="str">
            <v/>
          </cell>
          <cell r="C1678" t="str">
            <v>NEDERBURG - ROSE 750 ML</v>
          </cell>
          <cell r="D1678" t="str">
            <v/>
          </cell>
          <cell r="E1678" t="str">
            <v/>
          </cell>
          <cell r="F1678" t="str">
            <v>Pcs</v>
          </cell>
          <cell r="G1678">
            <v>0</v>
          </cell>
          <cell r="H1678" t="str">
            <v/>
          </cell>
          <cell r="I1678">
            <v>0</v>
          </cell>
          <cell r="J1678">
            <v>0</v>
          </cell>
          <cell r="K1678">
            <v>0</v>
          </cell>
          <cell r="L1678">
            <v>1180</v>
          </cell>
          <cell r="M1678">
            <v>0</v>
          </cell>
        </row>
        <row r="1679">
          <cell r="A1679">
            <v>1521</v>
          </cell>
          <cell r="B1679" t="str">
            <v/>
          </cell>
          <cell r="C1679" t="str">
            <v>NEDERBURG - SAUV. BLANC 750 ML</v>
          </cell>
          <cell r="D1679" t="str">
            <v/>
          </cell>
          <cell r="E1679" t="str">
            <v/>
          </cell>
          <cell r="F1679" t="str">
            <v>Pcs</v>
          </cell>
          <cell r="G1679">
            <v>0</v>
          </cell>
          <cell r="H1679" t="str">
            <v/>
          </cell>
          <cell r="I1679">
            <v>426</v>
          </cell>
          <cell r="J1679">
            <v>6</v>
          </cell>
          <cell r="K1679">
            <v>420</v>
          </cell>
          <cell r="L1679">
            <v>1334</v>
          </cell>
          <cell r="M1679">
            <v>560280</v>
          </cell>
        </row>
        <row r="1680">
          <cell r="A1680">
            <v>1522</v>
          </cell>
          <cell r="B1680" t="str">
            <v/>
          </cell>
          <cell r="C1680" t="str">
            <v>NEDERBURG - SHIRAZ 750ML</v>
          </cell>
          <cell r="D1680" t="str">
            <v/>
          </cell>
          <cell r="E1680" t="str">
            <v/>
          </cell>
          <cell r="F1680" t="str">
            <v>Pcs</v>
          </cell>
          <cell r="G1680">
            <v>0</v>
          </cell>
          <cell r="H1680" t="str">
            <v/>
          </cell>
          <cell r="I1680">
            <v>0</v>
          </cell>
          <cell r="J1680">
            <v>0</v>
          </cell>
          <cell r="K1680">
            <v>0</v>
          </cell>
          <cell r="L1680">
            <v>1334</v>
          </cell>
          <cell r="M1680">
            <v>0</v>
          </cell>
        </row>
        <row r="1681">
          <cell r="A1681">
            <v>1531</v>
          </cell>
          <cell r="B1681" t="str">
            <v/>
          </cell>
          <cell r="C1681" t="str">
            <v>NOBLE DRY RED 750ML</v>
          </cell>
          <cell r="D1681" t="str">
            <v/>
          </cell>
          <cell r="E1681" t="str">
            <v/>
          </cell>
          <cell r="F1681" t="str">
            <v>Pcs</v>
          </cell>
          <cell r="G1681">
            <v>6</v>
          </cell>
          <cell r="H1681" t="str">
            <v/>
          </cell>
          <cell r="I1681">
            <v>0</v>
          </cell>
          <cell r="J1681">
            <v>0</v>
          </cell>
          <cell r="K1681">
            <v>6</v>
          </cell>
          <cell r="L1681">
            <v>920</v>
          </cell>
          <cell r="M1681">
            <v>5520</v>
          </cell>
        </row>
        <row r="1682">
          <cell r="A1682">
            <v>1532</v>
          </cell>
          <cell r="B1682" t="str">
            <v/>
          </cell>
          <cell r="C1682" t="str">
            <v>NOBLE ROSE 750ML</v>
          </cell>
          <cell r="D1682" t="str">
            <v/>
          </cell>
          <cell r="E1682" t="str">
            <v/>
          </cell>
          <cell r="F1682" t="str">
            <v>Pcs</v>
          </cell>
          <cell r="G1682">
            <v>3</v>
          </cell>
          <cell r="H1682" t="str">
            <v/>
          </cell>
          <cell r="I1682">
            <v>0</v>
          </cell>
          <cell r="J1682">
            <v>0</v>
          </cell>
          <cell r="K1682">
            <v>3</v>
          </cell>
          <cell r="L1682">
            <v>920</v>
          </cell>
          <cell r="M1682">
            <v>2760</v>
          </cell>
        </row>
        <row r="1683">
          <cell r="A1683">
            <v>1533</v>
          </cell>
          <cell r="B1683" t="str">
            <v/>
          </cell>
          <cell r="C1683" t="str">
            <v>NOBLE SWEET RED 750ML</v>
          </cell>
          <cell r="D1683" t="str">
            <v/>
          </cell>
          <cell r="E1683" t="str">
            <v/>
          </cell>
          <cell r="F1683" t="str">
            <v>Pcs</v>
          </cell>
          <cell r="G1683">
            <v>0</v>
          </cell>
          <cell r="H1683" t="str">
            <v/>
          </cell>
          <cell r="I1683">
            <v>0</v>
          </cell>
          <cell r="J1683">
            <v>0</v>
          </cell>
          <cell r="K1683">
            <v>0</v>
          </cell>
          <cell r="L1683">
            <v>920</v>
          </cell>
          <cell r="M1683">
            <v>0</v>
          </cell>
        </row>
        <row r="1684">
          <cell r="A1684">
            <v>1534</v>
          </cell>
          <cell r="B1684" t="str">
            <v/>
          </cell>
          <cell r="C1684" t="str">
            <v>NOBLE WHITE 750ML</v>
          </cell>
          <cell r="D1684" t="str">
            <v/>
          </cell>
          <cell r="E1684" t="str">
            <v/>
          </cell>
          <cell r="F1684" t="str">
            <v>Pcs</v>
          </cell>
          <cell r="G1684">
            <v>1</v>
          </cell>
          <cell r="H1684" t="str">
            <v/>
          </cell>
          <cell r="I1684">
            <v>0</v>
          </cell>
          <cell r="J1684">
            <v>0</v>
          </cell>
          <cell r="K1684">
            <v>1</v>
          </cell>
          <cell r="L1684">
            <v>920</v>
          </cell>
          <cell r="M1684">
            <v>920</v>
          </cell>
        </row>
        <row r="1685">
          <cell r="A1685">
            <v>1535</v>
          </cell>
          <cell r="B1685" t="str">
            <v/>
          </cell>
          <cell r="C1685" t="str">
            <v>NOTOLA RED 750ML</v>
          </cell>
          <cell r="D1685" t="str">
            <v/>
          </cell>
          <cell r="E1685" t="str">
            <v/>
          </cell>
          <cell r="F1685" t="str">
            <v>Pcs</v>
          </cell>
          <cell r="G1685">
            <v>17</v>
          </cell>
          <cell r="H1685" t="str">
            <v/>
          </cell>
          <cell r="I1685">
            <v>0</v>
          </cell>
          <cell r="J1685">
            <v>0</v>
          </cell>
          <cell r="K1685">
            <v>17</v>
          </cell>
          <cell r="L1685">
            <v>2300</v>
          </cell>
          <cell r="M1685">
            <v>39100</v>
          </cell>
        </row>
        <row r="1686">
          <cell r="A1686">
            <v>2545</v>
          </cell>
          <cell r="B1686" t="str">
            <v/>
          </cell>
          <cell r="C1686" t="str">
            <v>OLENAISHU RED DRY 750ML</v>
          </cell>
          <cell r="D1686" t="str">
            <v/>
          </cell>
          <cell r="E1686" t="str">
            <v/>
          </cell>
          <cell r="F1686" t="str">
            <v>Pcs</v>
          </cell>
          <cell r="G1686">
            <v>0</v>
          </cell>
          <cell r="H1686" t="str">
            <v/>
          </cell>
          <cell r="I1686">
            <v>0</v>
          </cell>
          <cell r="J1686">
            <v>0</v>
          </cell>
          <cell r="K1686">
            <v>0</v>
          </cell>
          <cell r="L1686">
            <v>1192</v>
          </cell>
          <cell r="M1686">
            <v>0</v>
          </cell>
        </row>
        <row r="1687">
          <cell r="A1687">
            <v>2546</v>
          </cell>
          <cell r="B1687" t="str">
            <v/>
          </cell>
          <cell r="C1687" t="str">
            <v>OLENAISHU RED SWEET 750ML</v>
          </cell>
          <cell r="D1687" t="str">
            <v/>
          </cell>
          <cell r="E1687" t="str">
            <v/>
          </cell>
          <cell r="F1687" t="str">
            <v>Pcs</v>
          </cell>
          <cell r="G1687">
            <v>0</v>
          </cell>
          <cell r="H1687" t="str">
            <v/>
          </cell>
          <cell r="I1687">
            <v>0</v>
          </cell>
          <cell r="J1687">
            <v>0</v>
          </cell>
          <cell r="K1687">
            <v>0</v>
          </cell>
          <cell r="L1687">
            <v>1164</v>
          </cell>
          <cell r="M1687">
            <v>0</v>
          </cell>
        </row>
        <row r="1688">
          <cell r="A1688">
            <v>2547</v>
          </cell>
          <cell r="B1688" t="str">
            <v/>
          </cell>
          <cell r="C1688" t="str">
            <v>OLENAISHU WHITE SWEET 750ML</v>
          </cell>
          <cell r="D1688" t="str">
            <v/>
          </cell>
          <cell r="E1688" t="str">
            <v/>
          </cell>
          <cell r="F1688" t="str">
            <v>Pcs</v>
          </cell>
          <cell r="G1688">
            <v>0</v>
          </cell>
          <cell r="H1688" t="str">
            <v/>
          </cell>
          <cell r="I1688">
            <v>0</v>
          </cell>
          <cell r="J1688">
            <v>0</v>
          </cell>
          <cell r="K1688">
            <v>0</v>
          </cell>
          <cell r="L1688">
            <v>1192</v>
          </cell>
          <cell r="M1688">
            <v>0</v>
          </cell>
        </row>
        <row r="1689">
          <cell r="A1689">
            <v>2550</v>
          </cell>
          <cell r="B1689" t="str">
            <v/>
          </cell>
          <cell r="C1689" t="str">
            <v>OLEPASU DRY RED 750ML</v>
          </cell>
          <cell r="D1689" t="str">
            <v/>
          </cell>
          <cell r="E1689" t="str">
            <v/>
          </cell>
          <cell r="F1689" t="str">
            <v>Pcs</v>
          </cell>
          <cell r="G1689">
            <v>0</v>
          </cell>
          <cell r="H1689" t="str">
            <v/>
          </cell>
          <cell r="I1689">
            <v>0</v>
          </cell>
          <cell r="J1689">
            <v>0</v>
          </cell>
          <cell r="K1689">
            <v>0</v>
          </cell>
          <cell r="L1689">
            <v>904</v>
          </cell>
          <cell r="M1689">
            <v>0</v>
          </cell>
        </row>
        <row r="1690">
          <cell r="A1690">
            <v>2532</v>
          </cell>
          <cell r="B1690" t="str">
            <v/>
          </cell>
          <cell r="C1690" t="str">
            <v>OLEPASU ROSSO AL CIOCCOLATO 750ML</v>
          </cell>
          <cell r="D1690" t="str">
            <v/>
          </cell>
          <cell r="E1690" t="str">
            <v/>
          </cell>
          <cell r="F1690" t="str">
            <v>Pcs</v>
          </cell>
          <cell r="G1690">
            <v>0</v>
          </cell>
          <cell r="H1690" t="str">
            <v/>
          </cell>
          <cell r="I1690">
            <v>0</v>
          </cell>
          <cell r="J1690">
            <v>0</v>
          </cell>
          <cell r="K1690">
            <v>0</v>
          </cell>
          <cell r="L1690">
            <v>1158</v>
          </cell>
          <cell r="M1690">
            <v>0</v>
          </cell>
        </row>
        <row r="1691">
          <cell r="A1691">
            <v>2551</v>
          </cell>
          <cell r="B1691" t="str">
            <v/>
          </cell>
          <cell r="C1691" t="str">
            <v>OLEPASU SWEET RED 750ML</v>
          </cell>
          <cell r="D1691" t="str">
            <v/>
          </cell>
          <cell r="E1691" t="str">
            <v/>
          </cell>
          <cell r="F1691" t="str">
            <v>Pcs</v>
          </cell>
          <cell r="G1691">
            <v>0</v>
          </cell>
          <cell r="H1691" t="str">
            <v/>
          </cell>
          <cell r="I1691">
            <v>0</v>
          </cell>
          <cell r="J1691">
            <v>0</v>
          </cell>
          <cell r="K1691">
            <v>0</v>
          </cell>
          <cell r="L1691">
            <v>904</v>
          </cell>
          <cell r="M1691">
            <v>0</v>
          </cell>
        </row>
        <row r="1692">
          <cell r="A1692">
            <v>2552</v>
          </cell>
          <cell r="B1692" t="str">
            <v/>
          </cell>
          <cell r="C1692" t="str">
            <v>OLEPASU SWEET WHITE750ML</v>
          </cell>
          <cell r="D1692" t="str">
            <v/>
          </cell>
          <cell r="E1692" t="str">
            <v/>
          </cell>
          <cell r="F1692" t="str">
            <v>Pcs</v>
          </cell>
          <cell r="G1692">
            <v>0</v>
          </cell>
          <cell r="H1692" t="str">
            <v/>
          </cell>
          <cell r="I1692">
            <v>0</v>
          </cell>
          <cell r="J1692">
            <v>0</v>
          </cell>
          <cell r="K1692">
            <v>0</v>
          </cell>
          <cell r="L1692">
            <v>904</v>
          </cell>
          <cell r="M1692">
            <v>0</v>
          </cell>
        </row>
        <row r="1693">
          <cell r="A1693">
            <v>1564</v>
          </cell>
          <cell r="B1693" t="str">
            <v/>
          </cell>
          <cell r="C1693" t="str">
            <v>OMBRE ROSE 750ML</v>
          </cell>
          <cell r="D1693" t="str">
            <v/>
          </cell>
          <cell r="E1693" t="str">
            <v/>
          </cell>
          <cell r="F1693" t="str">
            <v>Pcs</v>
          </cell>
          <cell r="G1693">
            <v>0</v>
          </cell>
          <cell r="H1693" t="str">
            <v/>
          </cell>
          <cell r="I1693">
            <v>0</v>
          </cell>
          <cell r="J1693">
            <v>0</v>
          </cell>
          <cell r="K1693">
            <v>0</v>
          </cell>
          <cell r="L1693">
            <v>966</v>
          </cell>
          <cell r="M1693">
            <v>0</v>
          </cell>
        </row>
        <row r="1694">
          <cell r="A1694">
            <v>1568</v>
          </cell>
          <cell r="B1694" t="str">
            <v/>
          </cell>
          <cell r="C1694" t="str">
            <v>OREANDA CHARDONNAY 750ML</v>
          </cell>
          <cell r="D1694" t="str">
            <v/>
          </cell>
          <cell r="E1694" t="str">
            <v/>
          </cell>
          <cell r="F1694" t="str">
            <v>Pcs</v>
          </cell>
          <cell r="G1694">
            <v>0</v>
          </cell>
          <cell r="H1694" t="str">
            <v/>
          </cell>
          <cell r="I1694">
            <v>0</v>
          </cell>
          <cell r="J1694">
            <v>0</v>
          </cell>
          <cell r="K1694">
            <v>0</v>
          </cell>
          <cell r="L1694">
            <v>920</v>
          </cell>
          <cell r="M1694">
            <v>0</v>
          </cell>
        </row>
        <row r="1695">
          <cell r="A1695">
            <v>1569</v>
          </cell>
          <cell r="B1695" t="str">
            <v/>
          </cell>
          <cell r="C1695" t="str">
            <v>OREANDA CRYSTAL BRUT 750ML</v>
          </cell>
          <cell r="D1695" t="str">
            <v/>
          </cell>
          <cell r="E1695" t="str">
            <v/>
          </cell>
          <cell r="F1695" t="str">
            <v>Pcs</v>
          </cell>
          <cell r="G1695">
            <v>0</v>
          </cell>
          <cell r="H1695" t="str">
            <v/>
          </cell>
          <cell r="I1695">
            <v>0</v>
          </cell>
          <cell r="J1695">
            <v>0</v>
          </cell>
          <cell r="K1695">
            <v>0</v>
          </cell>
          <cell r="L1695">
            <v>920</v>
          </cell>
          <cell r="M1695">
            <v>0</v>
          </cell>
        </row>
        <row r="1696">
          <cell r="A1696">
            <v>2490</v>
          </cell>
          <cell r="B1696" t="str">
            <v/>
          </cell>
          <cell r="C1696" t="str">
            <v>OVEERMEER CELLAR NATURAL SWEET ROSE 5LITRES</v>
          </cell>
          <cell r="D1696" t="str">
            <v/>
          </cell>
          <cell r="E1696" t="str">
            <v/>
          </cell>
          <cell r="F1696" t="str">
            <v>Pcs</v>
          </cell>
          <cell r="G1696">
            <v>31</v>
          </cell>
          <cell r="H1696" t="str">
            <v/>
          </cell>
          <cell r="I1696">
            <v>0</v>
          </cell>
          <cell r="J1696">
            <v>0</v>
          </cell>
          <cell r="K1696">
            <v>31</v>
          </cell>
          <cell r="L1696">
            <v>1800</v>
          </cell>
          <cell r="M1696">
            <v>55800</v>
          </cell>
        </row>
        <row r="1697">
          <cell r="A1697">
            <v>1573</v>
          </cell>
          <cell r="B1697" t="str">
            <v/>
          </cell>
          <cell r="C1697" t="str">
            <v>OVERMEER 5LTR</v>
          </cell>
          <cell r="D1697" t="str">
            <v/>
          </cell>
          <cell r="E1697" t="str">
            <v/>
          </cell>
          <cell r="F1697" t="str">
            <v>Pcs</v>
          </cell>
          <cell r="G1697">
            <v>0</v>
          </cell>
          <cell r="H1697" t="str">
            <v/>
          </cell>
          <cell r="I1697">
            <v>0</v>
          </cell>
          <cell r="J1697">
            <v>0</v>
          </cell>
          <cell r="K1697">
            <v>0</v>
          </cell>
          <cell r="L1697">
            <v>2300</v>
          </cell>
          <cell r="M1697">
            <v>0</v>
          </cell>
        </row>
        <row r="1698">
          <cell r="A1698">
            <v>2312</v>
          </cell>
          <cell r="B1698" t="str">
            <v/>
          </cell>
          <cell r="C1698" t="str">
            <v>PAINTED WOLF CAB SAUV 750ML</v>
          </cell>
          <cell r="D1698" t="str">
            <v/>
          </cell>
          <cell r="E1698" t="str">
            <v/>
          </cell>
          <cell r="F1698" t="str">
            <v>Pcs</v>
          </cell>
          <cell r="G1698">
            <v>6</v>
          </cell>
          <cell r="H1698" t="str">
            <v/>
          </cell>
          <cell r="I1698">
            <v>0</v>
          </cell>
          <cell r="J1698">
            <v>0</v>
          </cell>
          <cell r="K1698">
            <v>6</v>
          </cell>
          <cell r="L1698">
            <v>1100</v>
          </cell>
          <cell r="M1698">
            <v>6600</v>
          </cell>
        </row>
        <row r="1699">
          <cell r="A1699">
            <v>1577</v>
          </cell>
          <cell r="B1699" t="str">
            <v/>
          </cell>
          <cell r="C1699" t="str">
            <v>PAINTED WOLF CHENIN BLANC 750ML</v>
          </cell>
          <cell r="D1699" t="str">
            <v/>
          </cell>
          <cell r="E1699" t="str">
            <v/>
          </cell>
          <cell r="F1699" t="str">
            <v>Pcs</v>
          </cell>
          <cell r="G1699">
            <v>0</v>
          </cell>
          <cell r="H1699" t="str">
            <v/>
          </cell>
          <cell r="I1699">
            <v>0</v>
          </cell>
          <cell r="J1699">
            <v>0</v>
          </cell>
          <cell r="K1699">
            <v>0</v>
          </cell>
          <cell r="L1699">
            <v>1104</v>
          </cell>
          <cell r="M1699">
            <v>0</v>
          </cell>
        </row>
        <row r="1700">
          <cell r="A1700">
            <v>2313</v>
          </cell>
          <cell r="B1700" t="str">
            <v/>
          </cell>
          <cell r="C1700" t="str">
            <v>PAINTED WOLF PINOTAGE 750ML</v>
          </cell>
          <cell r="D1700" t="str">
            <v/>
          </cell>
          <cell r="E1700" t="str">
            <v/>
          </cell>
          <cell r="F1700" t="str">
            <v>Pcs</v>
          </cell>
          <cell r="G1700">
            <v>0</v>
          </cell>
          <cell r="H1700" t="str">
            <v/>
          </cell>
          <cell r="I1700">
            <v>0</v>
          </cell>
          <cell r="J1700">
            <v>0</v>
          </cell>
          <cell r="K1700">
            <v>0</v>
          </cell>
          <cell r="L1700">
            <v>1100</v>
          </cell>
          <cell r="M1700">
            <v>0</v>
          </cell>
        </row>
        <row r="1701">
          <cell r="A1701">
            <v>2357</v>
          </cell>
          <cell r="B1701" t="str">
            <v/>
          </cell>
          <cell r="C1701" t="str">
            <v>PEARLY BAY CHENIN BLANC 750ML</v>
          </cell>
          <cell r="D1701" t="str">
            <v/>
          </cell>
          <cell r="E1701" t="str">
            <v/>
          </cell>
          <cell r="F1701" t="str">
            <v>Pcs</v>
          </cell>
          <cell r="G1701">
            <v>0</v>
          </cell>
          <cell r="H1701" t="str">
            <v/>
          </cell>
          <cell r="I1701">
            <v>0</v>
          </cell>
          <cell r="J1701">
            <v>0</v>
          </cell>
          <cell r="K1701">
            <v>0</v>
          </cell>
          <cell r="L1701">
            <v>1000</v>
          </cell>
          <cell r="M1701">
            <v>0</v>
          </cell>
        </row>
        <row r="1702">
          <cell r="A1702">
            <v>1600</v>
          </cell>
          <cell r="B1702" t="str">
            <v/>
          </cell>
          <cell r="C1702" t="str">
            <v>PEARLY BAY SWEET RED 750ml</v>
          </cell>
          <cell r="D1702" t="str">
            <v/>
          </cell>
          <cell r="E1702" t="str">
            <v/>
          </cell>
          <cell r="F1702" t="str">
            <v>Pcs</v>
          </cell>
          <cell r="G1702">
            <v>0</v>
          </cell>
          <cell r="H1702" t="str">
            <v/>
          </cell>
          <cell r="I1702">
            <v>30</v>
          </cell>
          <cell r="J1702">
            <v>0</v>
          </cell>
          <cell r="K1702">
            <v>30</v>
          </cell>
          <cell r="L1702">
            <v>736</v>
          </cell>
          <cell r="M1702">
            <v>22080</v>
          </cell>
        </row>
        <row r="1703">
          <cell r="A1703">
            <v>1601</v>
          </cell>
          <cell r="B1703" t="str">
            <v/>
          </cell>
          <cell r="C1703" t="str">
            <v>PEARLY BAY SWEET WHITE 750ml</v>
          </cell>
          <cell r="D1703" t="str">
            <v/>
          </cell>
          <cell r="E1703" t="str">
            <v/>
          </cell>
          <cell r="F1703" t="str">
            <v>Pcs</v>
          </cell>
          <cell r="G1703">
            <v>0</v>
          </cell>
          <cell r="H1703" t="str">
            <v/>
          </cell>
          <cell r="I1703">
            <v>30</v>
          </cell>
          <cell r="J1703">
            <v>0</v>
          </cell>
          <cell r="K1703">
            <v>30</v>
          </cell>
          <cell r="L1703">
            <v>736</v>
          </cell>
          <cell r="M1703">
            <v>22080</v>
          </cell>
        </row>
        <row r="1704">
          <cell r="A1704">
            <v>1602</v>
          </cell>
          <cell r="B1704" t="str">
            <v/>
          </cell>
          <cell r="C1704" t="str">
            <v>PENASOL ALREN 750ML</v>
          </cell>
          <cell r="D1704" t="str">
            <v/>
          </cell>
          <cell r="E1704" t="str">
            <v/>
          </cell>
          <cell r="F1704" t="str">
            <v>Pcs</v>
          </cell>
          <cell r="G1704">
            <v>0</v>
          </cell>
          <cell r="H1704" t="str">
            <v/>
          </cell>
          <cell r="I1704">
            <v>0</v>
          </cell>
          <cell r="J1704">
            <v>0</v>
          </cell>
          <cell r="K1704">
            <v>0</v>
          </cell>
          <cell r="L1704">
            <v>736</v>
          </cell>
          <cell r="M1704">
            <v>0</v>
          </cell>
        </row>
        <row r="1705">
          <cell r="A1705">
            <v>1603</v>
          </cell>
          <cell r="B1705" t="str">
            <v/>
          </cell>
          <cell r="C1705" t="str">
            <v>PENASOL BRUT 750ML</v>
          </cell>
          <cell r="D1705" t="str">
            <v/>
          </cell>
          <cell r="E1705" t="str">
            <v/>
          </cell>
          <cell r="F1705" t="str">
            <v>Pcs</v>
          </cell>
          <cell r="G1705">
            <v>96</v>
          </cell>
          <cell r="H1705" t="str">
            <v/>
          </cell>
          <cell r="I1705">
            <v>0</v>
          </cell>
          <cell r="J1705">
            <v>0</v>
          </cell>
          <cell r="K1705">
            <v>96</v>
          </cell>
          <cell r="L1705">
            <v>736</v>
          </cell>
          <cell r="M1705">
            <v>70656</v>
          </cell>
        </row>
        <row r="1706">
          <cell r="A1706">
            <v>2358</v>
          </cell>
          <cell r="B1706" t="str">
            <v/>
          </cell>
          <cell r="C1706" t="str">
            <v>PENASOL MEDIUM SWEET WHITE 1L</v>
          </cell>
          <cell r="D1706" t="str">
            <v/>
          </cell>
          <cell r="E1706" t="str">
            <v/>
          </cell>
          <cell r="F1706" t="str">
            <v>Pcs</v>
          </cell>
          <cell r="G1706">
            <v>12</v>
          </cell>
          <cell r="H1706" t="str">
            <v/>
          </cell>
          <cell r="I1706">
            <v>0</v>
          </cell>
          <cell r="J1706">
            <v>0</v>
          </cell>
          <cell r="K1706">
            <v>12</v>
          </cell>
          <cell r="L1706">
            <v>750</v>
          </cell>
          <cell r="M1706">
            <v>9000</v>
          </cell>
        </row>
        <row r="1707">
          <cell r="A1707">
            <v>1604</v>
          </cell>
          <cell r="B1707" t="str">
            <v/>
          </cell>
          <cell r="C1707" t="str">
            <v>PENASOL RED WINE 1LTR</v>
          </cell>
          <cell r="D1707" t="str">
            <v/>
          </cell>
          <cell r="E1707" t="str">
            <v/>
          </cell>
          <cell r="F1707" t="str">
            <v>Pcs</v>
          </cell>
          <cell r="G1707">
            <v>0</v>
          </cell>
          <cell r="H1707" t="str">
            <v/>
          </cell>
          <cell r="I1707">
            <v>0</v>
          </cell>
          <cell r="J1707">
            <v>0</v>
          </cell>
          <cell r="K1707">
            <v>0</v>
          </cell>
          <cell r="L1707">
            <v>650</v>
          </cell>
          <cell r="M1707">
            <v>0</v>
          </cell>
        </row>
        <row r="1708">
          <cell r="A1708">
            <v>1605</v>
          </cell>
          <cell r="B1708" t="str">
            <v/>
          </cell>
          <cell r="C1708" t="str">
            <v>PENASOL SANGRIA 1.5 LTRS</v>
          </cell>
          <cell r="D1708" t="str">
            <v/>
          </cell>
          <cell r="E1708" t="str">
            <v/>
          </cell>
          <cell r="F1708" t="str">
            <v>Pcs</v>
          </cell>
          <cell r="G1708">
            <v>0</v>
          </cell>
          <cell r="H1708" t="str">
            <v/>
          </cell>
          <cell r="I1708">
            <v>0</v>
          </cell>
          <cell r="J1708">
            <v>0</v>
          </cell>
          <cell r="K1708">
            <v>0</v>
          </cell>
          <cell r="L1708">
            <v>1104</v>
          </cell>
          <cell r="M1708">
            <v>0</v>
          </cell>
        </row>
        <row r="1709">
          <cell r="A1709">
            <v>1606</v>
          </cell>
          <cell r="B1709" t="str">
            <v/>
          </cell>
          <cell r="C1709" t="str">
            <v>PENASOL TEMPRANILLO GARNACHA 750ML</v>
          </cell>
          <cell r="D1709" t="str">
            <v/>
          </cell>
          <cell r="E1709" t="str">
            <v/>
          </cell>
          <cell r="F1709" t="str">
            <v>Pcs</v>
          </cell>
          <cell r="G1709">
            <v>36</v>
          </cell>
          <cell r="H1709" t="str">
            <v/>
          </cell>
          <cell r="I1709">
            <v>0</v>
          </cell>
          <cell r="J1709">
            <v>0</v>
          </cell>
          <cell r="K1709">
            <v>36</v>
          </cell>
          <cell r="L1709">
            <v>874</v>
          </cell>
          <cell r="M1709">
            <v>31464</v>
          </cell>
        </row>
        <row r="1710">
          <cell r="A1710">
            <v>2314</v>
          </cell>
          <cell r="B1710" t="str">
            <v/>
          </cell>
          <cell r="C1710" t="str">
            <v>PERRIER JOUET BLANC 750ML</v>
          </cell>
          <cell r="D1710" t="str">
            <v/>
          </cell>
          <cell r="E1710" t="str">
            <v/>
          </cell>
          <cell r="F1710" t="str">
            <v>Pcs</v>
          </cell>
          <cell r="G1710">
            <v>1</v>
          </cell>
          <cell r="H1710" t="str">
            <v/>
          </cell>
          <cell r="I1710">
            <v>0</v>
          </cell>
          <cell r="J1710">
            <v>0</v>
          </cell>
          <cell r="K1710">
            <v>1</v>
          </cell>
          <cell r="L1710">
            <v>1350</v>
          </cell>
          <cell r="M1710">
            <v>1350</v>
          </cell>
        </row>
        <row r="1711">
          <cell r="A1711">
            <v>2501</v>
          </cell>
          <cell r="B1711" t="str">
            <v/>
          </cell>
          <cell r="C1711" t="str">
            <v>PIERRE JOURDAN TRANQUILLE 750ML</v>
          </cell>
          <cell r="D1711" t="str">
            <v/>
          </cell>
          <cell r="E1711" t="str">
            <v/>
          </cell>
          <cell r="F1711" t="str">
            <v>Pcs</v>
          </cell>
          <cell r="G1711">
            <v>6</v>
          </cell>
          <cell r="H1711" t="str">
            <v/>
          </cell>
          <cell r="I1711">
            <v>0</v>
          </cell>
          <cell r="J1711">
            <v>0</v>
          </cell>
          <cell r="K1711">
            <v>6</v>
          </cell>
          <cell r="L1711">
            <v>1570</v>
          </cell>
          <cell r="M1711">
            <v>9420</v>
          </cell>
        </row>
        <row r="1712">
          <cell r="A1712">
            <v>2336</v>
          </cell>
          <cell r="B1712" t="str">
            <v/>
          </cell>
          <cell r="C1712" t="str">
            <v>PIERRE MARCEL ROSE 750ML</v>
          </cell>
          <cell r="D1712" t="str">
            <v/>
          </cell>
          <cell r="E1712" t="str">
            <v/>
          </cell>
          <cell r="F1712" t="str">
            <v>Pcs</v>
          </cell>
          <cell r="G1712">
            <v>96</v>
          </cell>
          <cell r="H1712" t="str">
            <v/>
          </cell>
          <cell r="I1712">
            <v>0</v>
          </cell>
          <cell r="J1712">
            <v>24</v>
          </cell>
          <cell r="K1712">
            <v>72</v>
          </cell>
          <cell r="L1712">
            <v>1100</v>
          </cell>
          <cell r="M1712">
            <v>79200</v>
          </cell>
        </row>
        <row r="1713">
          <cell r="A1713">
            <v>2869</v>
          </cell>
          <cell r="B1713" t="str">
            <v/>
          </cell>
          <cell r="C1713" t="str">
            <v>PIERRE MARCEL SPARKLING WHITE 750ML</v>
          </cell>
          <cell r="D1713" t="str">
            <v/>
          </cell>
          <cell r="E1713" t="str">
            <v/>
          </cell>
          <cell r="F1713" t="str">
            <v>Pcs</v>
          </cell>
          <cell r="G1713">
            <v>18</v>
          </cell>
          <cell r="H1713" t="str">
            <v/>
          </cell>
          <cell r="I1713">
            <v>0</v>
          </cell>
          <cell r="J1713">
            <v>0</v>
          </cell>
          <cell r="K1713">
            <v>18</v>
          </cell>
          <cell r="L1713">
            <v>1200</v>
          </cell>
          <cell r="M1713">
            <v>21600</v>
          </cell>
        </row>
        <row r="1714">
          <cell r="A1714">
            <v>1622</v>
          </cell>
          <cell r="B1714" t="str">
            <v/>
          </cell>
          <cell r="C1714" t="str">
            <v>PIERRE MARCEL SWEET RED  1.5LTR</v>
          </cell>
          <cell r="D1714" t="str">
            <v/>
          </cell>
          <cell r="E1714" t="str">
            <v/>
          </cell>
          <cell r="F1714" t="str">
            <v>Pcs</v>
          </cell>
          <cell r="G1714">
            <v>174</v>
          </cell>
          <cell r="H1714" t="str">
            <v/>
          </cell>
          <cell r="I1714">
            <v>0</v>
          </cell>
          <cell r="J1714">
            <v>25</v>
          </cell>
          <cell r="K1714">
            <v>149</v>
          </cell>
          <cell r="L1714">
            <v>2050</v>
          </cell>
          <cell r="M1714">
            <v>305450</v>
          </cell>
        </row>
        <row r="1715">
          <cell r="A1715">
            <v>1623</v>
          </cell>
          <cell r="B1715" t="str">
            <v/>
          </cell>
          <cell r="C1715" t="str">
            <v>PIERRE MARCEL SWEET RED 750ML</v>
          </cell>
          <cell r="D1715" t="str">
            <v/>
          </cell>
          <cell r="E1715" t="str">
            <v/>
          </cell>
          <cell r="F1715" t="str">
            <v>Pcs</v>
          </cell>
          <cell r="G1715">
            <v>78</v>
          </cell>
          <cell r="H1715" t="str">
            <v/>
          </cell>
          <cell r="I1715">
            <v>300</v>
          </cell>
          <cell r="J1715">
            <v>174</v>
          </cell>
          <cell r="K1715">
            <v>204</v>
          </cell>
          <cell r="L1715">
            <v>1100</v>
          </cell>
          <cell r="M1715">
            <v>224400</v>
          </cell>
        </row>
        <row r="1716">
          <cell r="A1716">
            <v>1624</v>
          </cell>
          <cell r="B1716" t="str">
            <v/>
          </cell>
          <cell r="C1716" t="str">
            <v>PIERRE MARCEL SWEET WHITE 1.5LTR</v>
          </cell>
          <cell r="D1716" t="str">
            <v/>
          </cell>
          <cell r="E1716" t="str">
            <v/>
          </cell>
          <cell r="F1716" t="str">
            <v>Pcs</v>
          </cell>
          <cell r="G1716">
            <v>0</v>
          </cell>
          <cell r="H1716" t="str">
            <v/>
          </cell>
          <cell r="I1716">
            <v>120</v>
          </cell>
          <cell r="J1716">
            <v>30</v>
          </cell>
          <cell r="K1716">
            <v>90</v>
          </cell>
          <cell r="L1716">
            <v>1800</v>
          </cell>
          <cell r="M1716">
            <v>162000</v>
          </cell>
        </row>
        <row r="1717">
          <cell r="A1717">
            <v>1625</v>
          </cell>
          <cell r="B1717" t="str">
            <v/>
          </cell>
          <cell r="C1717" t="str">
            <v>PIERRE MARCEL SWEET WHITE 750ML</v>
          </cell>
          <cell r="D1717" t="str">
            <v/>
          </cell>
          <cell r="E1717" t="str">
            <v/>
          </cell>
          <cell r="F1717" t="str">
            <v>Pcs</v>
          </cell>
          <cell r="G1717">
            <v>42</v>
          </cell>
          <cell r="H1717" t="str">
            <v/>
          </cell>
          <cell r="I1717">
            <v>180</v>
          </cell>
          <cell r="J1717">
            <v>66</v>
          </cell>
          <cell r="K1717">
            <v>156</v>
          </cell>
          <cell r="L1717">
            <v>1100</v>
          </cell>
          <cell r="M1717">
            <v>171600</v>
          </cell>
        </row>
        <row r="1718">
          <cell r="A1718">
            <v>2990</v>
          </cell>
          <cell r="B1718" t="str">
            <v/>
          </cell>
          <cell r="C1718" t="str">
            <v>PINTA NEGRA DRY RED WINE 750ML</v>
          </cell>
          <cell r="D1718" t="str">
            <v/>
          </cell>
          <cell r="E1718" t="str">
            <v/>
          </cell>
          <cell r="F1718" t="str">
            <v>Pcs</v>
          </cell>
          <cell r="G1718">
            <v>11152</v>
          </cell>
          <cell r="H1718" t="str">
            <v/>
          </cell>
          <cell r="I1718">
            <v>873</v>
          </cell>
          <cell r="J1718">
            <v>92</v>
          </cell>
          <cell r="K1718">
            <v>11933</v>
          </cell>
          <cell r="L1718">
            <v>750</v>
          </cell>
          <cell r="M1718">
            <v>8949750</v>
          </cell>
        </row>
        <row r="1719">
          <cell r="A1719">
            <v>2989</v>
          </cell>
          <cell r="B1719" t="str">
            <v/>
          </cell>
          <cell r="C1719" t="str">
            <v>PINTA NEGRA RED 5L</v>
          </cell>
          <cell r="D1719" t="str">
            <v/>
          </cell>
          <cell r="E1719" t="str">
            <v/>
          </cell>
          <cell r="F1719" t="str">
            <v>Pcs</v>
          </cell>
          <cell r="G1719">
            <v>1378</v>
          </cell>
          <cell r="H1719" t="str">
            <v/>
          </cell>
          <cell r="I1719">
            <v>8</v>
          </cell>
          <cell r="J1719">
            <v>96</v>
          </cell>
          <cell r="K1719">
            <v>1290</v>
          </cell>
          <cell r="L1719">
            <v>3000</v>
          </cell>
          <cell r="M1719">
            <v>3870000</v>
          </cell>
        </row>
        <row r="1720">
          <cell r="A1720">
            <v>2995</v>
          </cell>
          <cell r="B1720" t="str">
            <v/>
          </cell>
          <cell r="C1720" t="str">
            <v>PINTA NEGRA SWEET RED WINE 750ML</v>
          </cell>
          <cell r="D1720" t="str">
            <v/>
          </cell>
          <cell r="E1720" t="str">
            <v/>
          </cell>
          <cell r="F1720" t="str">
            <v>Pcs</v>
          </cell>
          <cell r="G1720">
            <v>6034</v>
          </cell>
          <cell r="H1720" t="str">
            <v/>
          </cell>
          <cell r="I1720">
            <v>506</v>
          </cell>
          <cell r="J1720">
            <v>99</v>
          </cell>
          <cell r="K1720">
            <v>6441</v>
          </cell>
          <cell r="L1720">
            <v>750</v>
          </cell>
          <cell r="M1720">
            <v>4830750</v>
          </cell>
        </row>
        <row r="1721">
          <cell r="A1721">
            <v>2996</v>
          </cell>
          <cell r="B1721" t="str">
            <v/>
          </cell>
          <cell r="C1721" t="str">
            <v>PINTA NEGRA SWEET WHITE WINE 2024 750ML</v>
          </cell>
          <cell r="D1721" t="str">
            <v/>
          </cell>
          <cell r="E1721" t="str">
            <v/>
          </cell>
          <cell r="F1721" t="str">
            <v>Pcs</v>
          </cell>
          <cell r="G1721">
            <v>1443</v>
          </cell>
          <cell r="H1721" t="str">
            <v/>
          </cell>
          <cell r="I1721">
            <v>0</v>
          </cell>
          <cell r="J1721">
            <v>46</v>
          </cell>
          <cell r="K1721">
            <v>1397</v>
          </cell>
          <cell r="L1721">
            <v>750</v>
          </cell>
          <cell r="M1721">
            <v>1047750</v>
          </cell>
        </row>
        <row r="1722">
          <cell r="A1722">
            <v>2991</v>
          </cell>
          <cell r="B1722" t="str">
            <v/>
          </cell>
          <cell r="C1722" t="str">
            <v>PINTA NEGRA SWEET WHITE WINE 2025 750ML</v>
          </cell>
          <cell r="D1722" t="str">
            <v/>
          </cell>
          <cell r="E1722" t="str">
            <v/>
          </cell>
          <cell r="F1722" t="str">
            <v>Pcs</v>
          </cell>
          <cell r="G1722">
            <v>643</v>
          </cell>
          <cell r="H1722" t="str">
            <v/>
          </cell>
          <cell r="I1722">
            <v>0</v>
          </cell>
          <cell r="J1722">
            <v>32</v>
          </cell>
          <cell r="K1722">
            <v>611</v>
          </cell>
          <cell r="L1722">
            <v>750</v>
          </cell>
          <cell r="M1722">
            <v>458250</v>
          </cell>
        </row>
        <row r="1723">
          <cell r="A1723">
            <v>2992</v>
          </cell>
          <cell r="B1723" t="str">
            <v/>
          </cell>
          <cell r="C1723" t="str">
            <v>PINTA NEGRA VINHO VERDE WHITE WINE 750ML</v>
          </cell>
          <cell r="D1723" t="str">
            <v/>
          </cell>
          <cell r="E1723" t="str">
            <v/>
          </cell>
          <cell r="F1723" t="str">
            <v>Pcs</v>
          </cell>
          <cell r="G1723">
            <v>713</v>
          </cell>
          <cell r="H1723" t="str">
            <v/>
          </cell>
          <cell r="I1723">
            <v>0</v>
          </cell>
          <cell r="J1723">
            <v>492</v>
          </cell>
          <cell r="K1723">
            <v>221</v>
          </cell>
          <cell r="L1723">
            <v>750</v>
          </cell>
          <cell r="M1723">
            <v>165750</v>
          </cell>
        </row>
        <row r="1724">
          <cell r="A1724">
            <v>2988</v>
          </cell>
          <cell r="B1724" t="str">
            <v/>
          </cell>
          <cell r="C1724" t="str">
            <v>PINTA NEGRA WHITE 5L</v>
          </cell>
          <cell r="D1724" t="str">
            <v/>
          </cell>
          <cell r="E1724" t="str">
            <v/>
          </cell>
          <cell r="F1724" t="str">
            <v>Pcs</v>
          </cell>
          <cell r="G1724">
            <v>315</v>
          </cell>
          <cell r="H1724" t="str">
            <v/>
          </cell>
          <cell r="I1724">
            <v>1</v>
          </cell>
          <cell r="J1724">
            <v>52</v>
          </cell>
          <cell r="K1724">
            <v>264</v>
          </cell>
          <cell r="L1724">
            <v>3000</v>
          </cell>
          <cell r="M1724">
            <v>792000</v>
          </cell>
        </row>
        <row r="1725">
          <cell r="A1725">
            <v>1630</v>
          </cell>
          <cell r="B1725" t="str">
            <v/>
          </cell>
          <cell r="C1725" t="str">
            <v>PLAYA DEL SOL MALBEC 75Oml</v>
          </cell>
          <cell r="D1725" t="str">
            <v/>
          </cell>
          <cell r="E1725" t="str">
            <v/>
          </cell>
          <cell r="F1725" t="str">
            <v>Pcs</v>
          </cell>
          <cell r="G1725">
            <v>0</v>
          </cell>
          <cell r="H1725" t="str">
            <v/>
          </cell>
          <cell r="I1725">
            <v>0</v>
          </cell>
          <cell r="J1725">
            <v>0</v>
          </cell>
          <cell r="K1725">
            <v>0</v>
          </cell>
          <cell r="L1725">
            <v>1012</v>
          </cell>
          <cell r="M1725">
            <v>0</v>
          </cell>
        </row>
        <row r="1726">
          <cell r="A1726">
            <v>1632</v>
          </cell>
          <cell r="B1726" t="str">
            <v/>
          </cell>
          <cell r="C1726" t="str">
            <v>POMMERY ROYAL BRUT 750ML</v>
          </cell>
          <cell r="D1726" t="str">
            <v/>
          </cell>
          <cell r="E1726" t="str">
            <v/>
          </cell>
          <cell r="F1726" t="str">
            <v>Pcs</v>
          </cell>
          <cell r="G1726">
            <v>12</v>
          </cell>
          <cell r="H1726" t="str">
            <v/>
          </cell>
          <cell r="I1726">
            <v>0</v>
          </cell>
          <cell r="J1726">
            <v>0</v>
          </cell>
          <cell r="K1726">
            <v>12</v>
          </cell>
          <cell r="L1726">
            <v>6300</v>
          </cell>
          <cell r="M1726">
            <v>75600</v>
          </cell>
        </row>
        <row r="1727">
          <cell r="A1727">
            <v>2359</v>
          </cell>
          <cell r="B1727" t="str">
            <v/>
          </cell>
          <cell r="C1727" t="str">
            <v>POMMERY ROYAL BRUT ROSE 750ML</v>
          </cell>
          <cell r="D1727" t="str">
            <v/>
          </cell>
          <cell r="E1727" t="str">
            <v/>
          </cell>
          <cell r="F1727" t="str">
            <v>Pcs</v>
          </cell>
          <cell r="G1727">
            <v>12</v>
          </cell>
          <cell r="H1727" t="str">
            <v/>
          </cell>
          <cell r="I1727">
            <v>0</v>
          </cell>
          <cell r="J1727">
            <v>0</v>
          </cell>
          <cell r="K1727">
            <v>12</v>
          </cell>
          <cell r="L1727">
            <v>5200</v>
          </cell>
          <cell r="M1727">
            <v>62400</v>
          </cell>
        </row>
        <row r="1728">
          <cell r="A1728">
            <v>1637</v>
          </cell>
          <cell r="B1728" t="str">
            <v/>
          </cell>
          <cell r="C1728" t="str">
            <v>PROSECO ROSE 750ML</v>
          </cell>
          <cell r="D1728" t="str">
            <v/>
          </cell>
          <cell r="E1728" t="str">
            <v/>
          </cell>
          <cell r="F1728" t="str">
            <v>Pcs</v>
          </cell>
          <cell r="G1728">
            <v>0</v>
          </cell>
          <cell r="H1728" t="str">
            <v/>
          </cell>
          <cell r="I1728">
            <v>0</v>
          </cell>
          <cell r="J1728">
            <v>0</v>
          </cell>
          <cell r="K1728">
            <v>0</v>
          </cell>
          <cell r="L1728">
            <v>2600</v>
          </cell>
          <cell r="M1728">
            <v>0</v>
          </cell>
        </row>
        <row r="1729">
          <cell r="A1729">
            <v>1639</v>
          </cell>
          <cell r="B1729" t="str">
            <v/>
          </cell>
          <cell r="C1729" t="str">
            <v>PROTEA MERLOT 750ML</v>
          </cell>
          <cell r="D1729" t="str">
            <v/>
          </cell>
          <cell r="E1729" t="str">
            <v/>
          </cell>
          <cell r="F1729" t="str">
            <v>Pcs</v>
          </cell>
          <cell r="G1729">
            <v>0</v>
          </cell>
          <cell r="H1729" t="str">
            <v/>
          </cell>
          <cell r="I1729">
            <v>0</v>
          </cell>
          <cell r="J1729">
            <v>0</v>
          </cell>
          <cell r="K1729">
            <v>0</v>
          </cell>
          <cell r="L1729">
            <v>920</v>
          </cell>
          <cell r="M1729">
            <v>0</v>
          </cell>
        </row>
        <row r="1730">
          <cell r="A1730">
            <v>2589</v>
          </cell>
          <cell r="B1730" t="str">
            <v/>
          </cell>
          <cell r="C1730" t="str">
            <v>QUINTA DOS TAWNY PORT 750ML</v>
          </cell>
          <cell r="D1730" t="str">
            <v/>
          </cell>
          <cell r="E1730" t="str">
            <v/>
          </cell>
          <cell r="F1730" t="str">
            <v>Pcs</v>
          </cell>
          <cell r="G1730">
            <v>0</v>
          </cell>
          <cell r="H1730" t="str">
            <v/>
          </cell>
          <cell r="I1730">
            <v>0</v>
          </cell>
          <cell r="J1730">
            <v>0</v>
          </cell>
          <cell r="K1730">
            <v>0</v>
          </cell>
          <cell r="L1730">
            <v>4920</v>
          </cell>
          <cell r="M1730">
            <v>0</v>
          </cell>
        </row>
        <row r="1731">
          <cell r="A1731">
            <v>1661</v>
          </cell>
          <cell r="B1731" t="str">
            <v/>
          </cell>
          <cell r="C1731" t="str">
            <v>RIB SHACK RED 750ML</v>
          </cell>
          <cell r="D1731" t="str">
            <v/>
          </cell>
          <cell r="E1731" t="str">
            <v/>
          </cell>
          <cell r="F1731" t="str">
            <v>Pcs</v>
          </cell>
          <cell r="G1731">
            <v>5</v>
          </cell>
          <cell r="H1731" t="str">
            <v/>
          </cell>
          <cell r="I1731">
            <v>0</v>
          </cell>
          <cell r="J1731">
            <v>0</v>
          </cell>
          <cell r="K1731">
            <v>5</v>
          </cell>
          <cell r="L1731">
            <v>1600</v>
          </cell>
          <cell r="M1731">
            <v>8000</v>
          </cell>
        </row>
        <row r="1732">
          <cell r="A1732">
            <v>1666</v>
          </cell>
          <cell r="B1732" t="str">
            <v/>
          </cell>
          <cell r="C1732" t="str">
            <v>RIGAL ORIGINAL MALBEC 750ML</v>
          </cell>
          <cell r="D1732" t="str">
            <v/>
          </cell>
          <cell r="E1732" t="str">
            <v/>
          </cell>
          <cell r="F1732" t="str">
            <v>Pcs</v>
          </cell>
          <cell r="G1732">
            <v>18</v>
          </cell>
          <cell r="H1732" t="str">
            <v/>
          </cell>
          <cell r="I1732">
            <v>0</v>
          </cell>
          <cell r="J1732">
            <v>0</v>
          </cell>
          <cell r="K1732">
            <v>18</v>
          </cell>
          <cell r="L1732">
            <v>1242</v>
          </cell>
          <cell r="M1732">
            <v>22356</v>
          </cell>
        </row>
        <row r="1733">
          <cell r="A1733">
            <v>1667</v>
          </cell>
          <cell r="B1733" t="str">
            <v/>
          </cell>
          <cell r="C1733" t="str">
            <v>RIGAL ORIGINAL SAUV BLANC 750ML</v>
          </cell>
          <cell r="D1733" t="str">
            <v/>
          </cell>
          <cell r="E1733" t="str">
            <v/>
          </cell>
          <cell r="F1733" t="str">
            <v>Pcs</v>
          </cell>
          <cell r="G1733">
            <v>13</v>
          </cell>
          <cell r="H1733" t="str">
            <v/>
          </cell>
          <cell r="I1733">
            <v>0</v>
          </cell>
          <cell r="J1733">
            <v>0</v>
          </cell>
          <cell r="K1733">
            <v>13</v>
          </cell>
          <cell r="L1733">
            <v>1242</v>
          </cell>
          <cell r="M1733">
            <v>16146</v>
          </cell>
        </row>
        <row r="1734">
          <cell r="A1734">
            <v>1674</v>
          </cell>
          <cell r="B1734" t="str">
            <v/>
          </cell>
          <cell r="C1734" t="str">
            <v>ROBERTSON CHARDONNAY 750ML</v>
          </cell>
          <cell r="D1734" t="str">
            <v/>
          </cell>
          <cell r="E1734" t="str">
            <v/>
          </cell>
          <cell r="F1734" t="str">
            <v>Pcs</v>
          </cell>
          <cell r="G1734">
            <v>37</v>
          </cell>
          <cell r="H1734" t="str">
            <v/>
          </cell>
          <cell r="I1734">
            <v>0</v>
          </cell>
          <cell r="J1734">
            <v>0</v>
          </cell>
          <cell r="K1734">
            <v>37</v>
          </cell>
          <cell r="L1734">
            <v>1104</v>
          </cell>
          <cell r="M1734">
            <v>40848</v>
          </cell>
        </row>
        <row r="1735">
          <cell r="A1735">
            <v>1669</v>
          </cell>
          <cell r="B1735" t="str">
            <v/>
          </cell>
          <cell r="C1735" t="str">
            <v>ROBERTSON - RED SWEET 750ML</v>
          </cell>
          <cell r="D1735" t="str">
            <v/>
          </cell>
          <cell r="E1735" t="str">
            <v/>
          </cell>
          <cell r="F1735" t="str">
            <v>Pcs</v>
          </cell>
          <cell r="G1735">
            <v>138</v>
          </cell>
          <cell r="H1735" t="str">
            <v/>
          </cell>
          <cell r="I1735">
            <v>0</v>
          </cell>
          <cell r="J1735">
            <v>138</v>
          </cell>
          <cell r="K1735">
            <v>0</v>
          </cell>
          <cell r="L1735">
            <v>620</v>
          </cell>
          <cell r="M1735">
            <v>0</v>
          </cell>
        </row>
        <row r="1736">
          <cell r="A1736">
            <v>2243</v>
          </cell>
          <cell r="B1736" t="str">
            <v/>
          </cell>
          <cell r="C1736" t="str">
            <v>ROBERTSON SAUV BLANC 750ML</v>
          </cell>
          <cell r="D1736" t="str">
            <v/>
          </cell>
          <cell r="E1736" t="str">
            <v/>
          </cell>
          <cell r="F1736" t="str">
            <v>Pcs</v>
          </cell>
          <cell r="G1736">
            <v>76</v>
          </cell>
          <cell r="H1736" t="str">
            <v/>
          </cell>
          <cell r="I1736">
            <v>0</v>
          </cell>
          <cell r="J1736">
            <v>0</v>
          </cell>
          <cell r="K1736">
            <v>76</v>
          </cell>
          <cell r="L1736">
            <v>750</v>
          </cell>
          <cell r="M1736">
            <v>57000</v>
          </cell>
        </row>
        <row r="1737">
          <cell r="A1737">
            <v>1670</v>
          </cell>
          <cell r="B1737" t="str">
            <v/>
          </cell>
          <cell r="C1737" t="str">
            <v>ROBERTSON - SWEET RED 1.5LT</v>
          </cell>
          <cell r="D1737" t="str">
            <v/>
          </cell>
          <cell r="E1737" t="str">
            <v/>
          </cell>
          <cell r="F1737" t="str">
            <v>Pcs</v>
          </cell>
          <cell r="G1737">
            <v>30</v>
          </cell>
          <cell r="H1737" t="str">
            <v/>
          </cell>
          <cell r="I1737">
            <v>0</v>
          </cell>
          <cell r="J1737">
            <v>30</v>
          </cell>
          <cell r="K1737">
            <v>0</v>
          </cell>
          <cell r="L1737">
            <v>1030</v>
          </cell>
          <cell r="M1737">
            <v>0</v>
          </cell>
        </row>
        <row r="1738">
          <cell r="A1738">
            <v>1675</v>
          </cell>
          <cell r="B1738" t="str">
            <v/>
          </cell>
          <cell r="C1738" t="str">
            <v>ROBERTSON SWEET ROSE 1.5LT</v>
          </cell>
          <cell r="D1738" t="str">
            <v/>
          </cell>
          <cell r="E1738" t="str">
            <v/>
          </cell>
          <cell r="F1738" t="str">
            <v>Pcs</v>
          </cell>
          <cell r="G1738">
            <v>3</v>
          </cell>
          <cell r="H1738" t="str">
            <v/>
          </cell>
          <cell r="I1738">
            <v>0</v>
          </cell>
          <cell r="J1738">
            <v>0</v>
          </cell>
          <cell r="K1738">
            <v>3</v>
          </cell>
          <cell r="L1738">
            <v>1530</v>
          </cell>
          <cell r="M1738">
            <v>4590</v>
          </cell>
        </row>
        <row r="1739">
          <cell r="A1739">
            <v>1672</v>
          </cell>
          <cell r="B1739" t="str">
            <v/>
          </cell>
          <cell r="C1739" t="str">
            <v>ROBERTSON - WHITE SWEET 1.5LT</v>
          </cell>
          <cell r="D1739" t="str">
            <v/>
          </cell>
          <cell r="E1739" t="str">
            <v/>
          </cell>
          <cell r="F1739" t="str">
            <v>Pcs</v>
          </cell>
          <cell r="G1739">
            <v>12</v>
          </cell>
          <cell r="H1739" t="str">
            <v/>
          </cell>
          <cell r="I1739">
            <v>300</v>
          </cell>
          <cell r="J1739">
            <v>42</v>
          </cell>
          <cell r="K1739">
            <v>270</v>
          </cell>
          <cell r="L1739">
            <v>1030</v>
          </cell>
          <cell r="M1739">
            <v>278100</v>
          </cell>
        </row>
        <row r="1740">
          <cell r="A1740">
            <v>1673</v>
          </cell>
          <cell r="B1740" t="str">
            <v/>
          </cell>
          <cell r="C1740" t="str">
            <v>ROBERTSON - WHITE SWEET 750ML</v>
          </cell>
          <cell r="D1740" t="str">
            <v/>
          </cell>
          <cell r="E1740" t="str">
            <v/>
          </cell>
          <cell r="F1740" t="str">
            <v>Pcs</v>
          </cell>
          <cell r="G1740">
            <v>186</v>
          </cell>
          <cell r="H1740" t="str">
            <v/>
          </cell>
          <cell r="I1740">
            <v>60</v>
          </cell>
          <cell r="J1740">
            <v>94</v>
          </cell>
          <cell r="K1740">
            <v>152</v>
          </cell>
          <cell r="L1740">
            <v>950</v>
          </cell>
          <cell r="M1740">
            <v>144400</v>
          </cell>
        </row>
        <row r="1741">
          <cell r="A1741">
            <v>1676</v>
          </cell>
          <cell r="B1741" t="str">
            <v/>
          </cell>
          <cell r="C1741" t="str">
            <v>ROBERTSON WINERY CAB SAUV 750ML</v>
          </cell>
          <cell r="D1741" t="str">
            <v/>
          </cell>
          <cell r="E1741" t="str">
            <v/>
          </cell>
          <cell r="F1741" t="str">
            <v>Pcs</v>
          </cell>
          <cell r="G1741">
            <v>25</v>
          </cell>
          <cell r="H1741" t="str">
            <v/>
          </cell>
          <cell r="I1741">
            <v>0</v>
          </cell>
          <cell r="J1741">
            <v>0</v>
          </cell>
          <cell r="K1741">
            <v>25</v>
          </cell>
          <cell r="L1741">
            <v>1104</v>
          </cell>
          <cell r="M1741">
            <v>27600</v>
          </cell>
        </row>
        <row r="1742">
          <cell r="A1742">
            <v>2487</v>
          </cell>
          <cell r="B1742" t="str">
            <v/>
          </cell>
          <cell r="C1742" t="str">
            <v>ROBERTSON  WINERY CHENIN BLANC 750ML</v>
          </cell>
          <cell r="D1742" t="str">
            <v/>
          </cell>
          <cell r="E1742" t="str">
            <v/>
          </cell>
          <cell r="F1742" t="str">
            <v>Pcs</v>
          </cell>
          <cell r="G1742">
            <v>0</v>
          </cell>
          <cell r="H1742" t="str">
            <v/>
          </cell>
          <cell r="I1742">
            <v>0</v>
          </cell>
          <cell r="J1742">
            <v>0</v>
          </cell>
          <cell r="K1742">
            <v>0</v>
          </cell>
          <cell r="L1742">
            <v>1000</v>
          </cell>
          <cell r="M1742">
            <v>0</v>
          </cell>
        </row>
        <row r="1743">
          <cell r="A1743">
            <v>1677</v>
          </cell>
          <cell r="B1743" t="str">
            <v/>
          </cell>
          <cell r="C1743" t="str">
            <v>ROBERTSON WINERY PINOTAGE 750ML</v>
          </cell>
          <cell r="D1743" t="str">
            <v/>
          </cell>
          <cell r="E1743" t="str">
            <v/>
          </cell>
          <cell r="F1743" t="str">
            <v>Pcs</v>
          </cell>
          <cell r="G1743">
            <v>0</v>
          </cell>
          <cell r="H1743" t="str">
            <v/>
          </cell>
          <cell r="I1743">
            <v>0</v>
          </cell>
          <cell r="J1743">
            <v>0</v>
          </cell>
          <cell r="K1743">
            <v>0</v>
          </cell>
          <cell r="L1743">
            <v>1104</v>
          </cell>
          <cell r="M1743">
            <v>0</v>
          </cell>
        </row>
        <row r="1744">
          <cell r="A1744">
            <v>1678</v>
          </cell>
          <cell r="B1744" t="str">
            <v/>
          </cell>
          <cell r="C1744" t="str">
            <v>ROCCA DEI FORTI RED 750ML</v>
          </cell>
          <cell r="D1744" t="str">
            <v/>
          </cell>
          <cell r="E1744" t="str">
            <v/>
          </cell>
          <cell r="F1744" t="str">
            <v>Pcs</v>
          </cell>
          <cell r="G1744">
            <v>115</v>
          </cell>
          <cell r="H1744" t="str">
            <v/>
          </cell>
          <cell r="I1744">
            <v>0</v>
          </cell>
          <cell r="J1744">
            <v>0</v>
          </cell>
          <cell r="K1744">
            <v>115</v>
          </cell>
          <cell r="L1744">
            <v>1380</v>
          </cell>
          <cell r="M1744">
            <v>158700</v>
          </cell>
        </row>
        <row r="1745">
          <cell r="A1745">
            <v>1679</v>
          </cell>
          <cell r="B1745" t="str">
            <v/>
          </cell>
          <cell r="C1745" t="str">
            <v>ROCCA DEI FORTI WHITE 750ML</v>
          </cell>
          <cell r="D1745" t="str">
            <v/>
          </cell>
          <cell r="E1745" t="str">
            <v/>
          </cell>
          <cell r="F1745" t="str">
            <v>Pcs</v>
          </cell>
          <cell r="G1745">
            <v>0</v>
          </cell>
          <cell r="H1745" t="str">
            <v/>
          </cell>
          <cell r="I1745">
            <v>0</v>
          </cell>
          <cell r="J1745">
            <v>0</v>
          </cell>
          <cell r="K1745">
            <v>0</v>
          </cell>
          <cell r="L1745">
            <v>1380</v>
          </cell>
          <cell r="M1745">
            <v>0</v>
          </cell>
        </row>
        <row r="1746">
          <cell r="A1746">
            <v>1680</v>
          </cell>
          <cell r="B1746" t="str">
            <v/>
          </cell>
          <cell r="C1746" t="str">
            <v>ROCHE MAZET CAB SAUV  750ml </v>
          </cell>
          <cell r="D1746" t="str">
            <v/>
          </cell>
          <cell r="E1746" t="str">
            <v/>
          </cell>
          <cell r="F1746" t="str">
            <v>Pcs</v>
          </cell>
          <cell r="G1746">
            <v>0</v>
          </cell>
          <cell r="H1746" t="str">
            <v/>
          </cell>
          <cell r="I1746">
            <v>0</v>
          </cell>
          <cell r="J1746">
            <v>0</v>
          </cell>
          <cell r="K1746">
            <v>0</v>
          </cell>
          <cell r="L1746">
            <v>1104</v>
          </cell>
          <cell r="M1746">
            <v>0</v>
          </cell>
        </row>
        <row r="1747">
          <cell r="A1747">
            <v>1681</v>
          </cell>
          <cell r="B1747" t="str">
            <v/>
          </cell>
          <cell r="C1747" t="str">
            <v>ROCHE MAZET CHARDONNAY 750ML </v>
          </cell>
          <cell r="D1747" t="str">
            <v/>
          </cell>
          <cell r="E1747" t="str">
            <v/>
          </cell>
          <cell r="F1747" t="str">
            <v>Pcs</v>
          </cell>
          <cell r="G1747">
            <v>0</v>
          </cell>
          <cell r="H1747" t="str">
            <v/>
          </cell>
          <cell r="I1747">
            <v>0</v>
          </cell>
          <cell r="J1747">
            <v>0</v>
          </cell>
          <cell r="K1747">
            <v>0</v>
          </cell>
          <cell r="L1747">
            <v>1104</v>
          </cell>
          <cell r="M1747">
            <v>0</v>
          </cell>
        </row>
        <row r="1748">
          <cell r="A1748">
            <v>1682</v>
          </cell>
          <cell r="B1748" t="str">
            <v/>
          </cell>
          <cell r="C1748" t="str">
            <v>ROCHE MAZET GRENACHE 750ML</v>
          </cell>
          <cell r="D1748" t="str">
            <v/>
          </cell>
          <cell r="E1748" t="str">
            <v/>
          </cell>
          <cell r="F1748" t="str">
            <v>Pcs</v>
          </cell>
          <cell r="G1748">
            <v>96</v>
          </cell>
          <cell r="H1748" t="str">
            <v/>
          </cell>
          <cell r="I1748">
            <v>0</v>
          </cell>
          <cell r="J1748">
            <v>0</v>
          </cell>
          <cell r="K1748">
            <v>96</v>
          </cell>
          <cell r="L1748">
            <v>1104</v>
          </cell>
          <cell r="M1748">
            <v>105984</v>
          </cell>
        </row>
        <row r="1749">
          <cell r="A1749">
            <v>1683</v>
          </cell>
          <cell r="B1749" t="str">
            <v/>
          </cell>
          <cell r="C1749" t="str">
            <v>ROCHE MAZET MERLOT</v>
          </cell>
          <cell r="D1749" t="str">
            <v/>
          </cell>
          <cell r="E1749" t="str">
            <v/>
          </cell>
          <cell r="F1749" t="str">
            <v>Pcs</v>
          </cell>
          <cell r="G1749">
            <v>0</v>
          </cell>
          <cell r="H1749" t="str">
            <v/>
          </cell>
          <cell r="I1749">
            <v>0</v>
          </cell>
          <cell r="J1749">
            <v>0</v>
          </cell>
          <cell r="K1749">
            <v>0</v>
          </cell>
          <cell r="L1749">
            <v>1104</v>
          </cell>
          <cell r="M1749">
            <v>0</v>
          </cell>
        </row>
        <row r="1750">
          <cell r="A1750">
            <v>1684</v>
          </cell>
          <cell r="B1750" t="str">
            <v/>
          </cell>
          <cell r="C1750" t="str">
            <v>ROCHE MAZET SAUVIGNON 750ML</v>
          </cell>
          <cell r="D1750" t="str">
            <v/>
          </cell>
          <cell r="E1750" t="str">
            <v/>
          </cell>
          <cell r="F1750" t="str">
            <v>Pcs</v>
          </cell>
          <cell r="G1750">
            <v>6</v>
          </cell>
          <cell r="H1750" t="str">
            <v/>
          </cell>
          <cell r="I1750">
            <v>0</v>
          </cell>
          <cell r="J1750">
            <v>0</v>
          </cell>
          <cell r="K1750">
            <v>6</v>
          </cell>
          <cell r="L1750">
            <v>1104</v>
          </cell>
          <cell r="M1750">
            <v>6624</v>
          </cell>
        </row>
        <row r="1751">
          <cell r="A1751">
            <v>1688</v>
          </cell>
          <cell r="B1751" t="str">
            <v/>
          </cell>
          <cell r="C1751" t="str">
            <v>ROOIBERG WINERY RED MUSCADEL  750ML</v>
          </cell>
          <cell r="D1751" t="str">
            <v/>
          </cell>
          <cell r="E1751" t="str">
            <v/>
          </cell>
          <cell r="F1751" t="str">
            <v>Pcs</v>
          </cell>
          <cell r="G1751">
            <v>1</v>
          </cell>
          <cell r="H1751" t="str">
            <v/>
          </cell>
          <cell r="I1751">
            <v>0</v>
          </cell>
          <cell r="J1751">
            <v>0</v>
          </cell>
          <cell r="K1751">
            <v>1</v>
          </cell>
          <cell r="L1751">
            <v>1012</v>
          </cell>
          <cell r="M1751">
            <v>1012</v>
          </cell>
        </row>
        <row r="1752">
          <cell r="A1752">
            <v>1689</v>
          </cell>
          <cell r="B1752" t="str">
            <v/>
          </cell>
          <cell r="C1752" t="str">
            <v>ROOIBERG WINERY SWEET WHITE 750ML</v>
          </cell>
          <cell r="D1752" t="str">
            <v/>
          </cell>
          <cell r="E1752" t="str">
            <v/>
          </cell>
          <cell r="F1752" t="str">
            <v>Pcs</v>
          </cell>
          <cell r="G1752">
            <v>0</v>
          </cell>
          <cell r="H1752" t="str">
            <v/>
          </cell>
          <cell r="I1752">
            <v>0</v>
          </cell>
          <cell r="J1752">
            <v>0</v>
          </cell>
          <cell r="K1752">
            <v>0</v>
          </cell>
          <cell r="L1752">
            <v>1012</v>
          </cell>
          <cell r="M1752">
            <v>0</v>
          </cell>
        </row>
        <row r="1753">
          <cell r="A1753">
            <v>2416</v>
          </cell>
          <cell r="B1753" t="str">
            <v/>
          </cell>
          <cell r="C1753" t="str">
            <v>ROSSO BIANCO NOBILE ALLA VANIGLIA 750ML</v>
          </cell>
          <cell r="D1753" t="str">
            <v/>
          </cell>
          <cell r="E1753" t="str">
            <v/>
          </cell>
          <cell r="F1753" t="str">
            <v>Pcs</v>
          </cell>
          <cell r="G1753">
            <v>1</v>
          </cell>
          <cell r="H1753" t="str">
            <v/>
          </cell>
          <cell r="I1753">
            <v>231</v>
          </cell>
          <cell r="J1753">
            <v>108</v>
          </cell>
          <cell r="K1753">
            <v>124</v>
          </cell>
          <cell r="L1753">
            <v>1100</v>
          </cell>
          <cell r="M1753">
            <v>136400</v>
          </cell>
        </row>
        <row r="1754">
          <cell r="A1754">
            <v>2584</v>
          </cell>
          <cell r="B1754" t="str">
            <v/>
          </cell>
          <cell r="C1754" t="str">
            <v>ROSSO NOBILE BOIS BANDE PHILTRE 750ML 750ML</v>
          </cell>
          <cell r="D1754" t="str">
            <v/>
          </cell>
          <cell r="E1754" t="str">
            <v/>
          </cell>
          <cell r="F1754" t="str">
            <v>Pcs</v>
          </cell>
          <cell r="G1754">
            <v>0</v>
          </cell>
          <cell r="H1754" t="str">
            <v/>
          </cell>
          <cell r="I1754">
            <v>0</v>
          </cell>
          <cell r="J1754">
            <v>0</v>
          </cell>
          <cell r="K1754">
            <v>0</v>
          </cell>
          <cell r="L1754">
            <v>1100</v>
          </cell>
          <cell r="M1754">
            <v>0</v>
          </cell>
        </row>
        <row r="1755">
          <cell r="A1755">
            <v>1693</v>
          </cell>
          <cell r="B1755" t="str">
            <v/>
          </cell>
          <cell r="C1755" t="str">
            <v>ROSSO NOBILE CHERRY  750ML</v>
          </cell>
          <cell r="D1755" t="str">
            <v/>
          </cell>
          <cell r="E1755" t="str">
            <v/>
          </cell>
          <cell r="F1755" t="str">
            <v>Pcs</v>
          </cell>
          <cell r="G1755">
            <v>60</v>
          </cell>
          <cell r="H1755" t="str">
            <v/>
          </cell>
          <cell r="I1755">
            <v>0</v>
          </cell>
          <cell r="J1755">
            <v>0</v>
          </cell>
          <cell r="K1755">
            <v>60</v>
          </cell>
          <cell r="L1755">
            <v>1100</v>
          </cell>
          <cell r="M1755">
            <v>66000</v>
          </cell>
        </row>
        <row r="1756">
          <cell r="A1756">
            <v>1694</v>
          </cell>
          <cell r="B1756" t="str">
            <v/>
          </cell>
          <cell r="C1756" t="str">
            <v>ROSSO NOBILE CHOCOLATA 750ML</v>
          </cell>
          <cell r="D1756" t="str">
            <v/>
          </cell>
          <cell r="E1756" t="str">
            <v/>
          </cell>
          <cell r="F1756" t="str">
            <v>Pcs</v>
          </cell>
          <cell r="G1756">
            <v>600</v>
          </cell>
          <cell r="H1756" t="str">
            <v/>
          </cell>
          <cell r="I1756">
            <v>12</v>
          </cell>
          <cell r="J1756">
            <v>345</v>
          </cell>
          <cell r="K1756">
            <v>267</v>
          </cell>
          <cell r="L1756">
            <v>1100</v>
          </cell>
          <cell r="M1756">
            <v>293700</v>
          </cell>
        </row>
        <row r="1757">
          <cell r="A1757">
            <v>2583</v>
          </cell>
          <cell r="B1757" t="str">
            <v/>
          </cell>
          <cell r="C1757" t="str">
            <v>ROSSO NOBILE DARK CHOCOLATE 750ML</v>
          </cell>
          <cell r="D1757" t="str">
            <v/>
          </cell>
          <cell r="E1757" t="str">
            <v/>
          </cell>
          <cell r="F1757" t="str">
            <v>Pcs</v>
          </cell>
          <cell r="G1757">
            <v>0</v>
          </cell>
          <cell r="H1757" t="str">
            <v/>
          </cell>
          <cell r="I1757">
            <v>0</v>
          </cell>
          <cell r="J1757">
            <v>0</v>
          </cell>
          <cell r="K1757">
            <v>0</v>
          </cell>
          <cell r="L1757">
            <v>1200</v>
          </cell>
          <cell r="M1757">
            <v>0</v>
          </cell>
        </row>
        <row r="1758">
          <cell r="A1758">
            <v>2582</v>
          </cell>
          <cell r="B1758" t="str">
            <v/>
          </cell>
          <cell r="C1758" t="str">
            <v>ROSSO NOBILE DUBAI CHOCOLATE 750ML</v>
          </cell>
          <cell r="D1758" t="str">
            <v/>
          </cell>
          <cell r="E1758" t="str">
            <v/>
          </cell>
          <cell r="F1758" t="str">
            <v>Pcs</v>
          </cell>
          <cell r="G1758">
            <v>0</v>
          </cell>
          <cell r="H1758" t="str">
            <v/>
          </cell>
          <cell r="I1758">
            <v>0</v>
          </cell>
          <cell r="J1758">
            <v>0</v>
          </cell>
          <cell r="K1758">
            <v>0</v>
          </cell>
          <cell r="L1758">
            <v>1100</v>
          </cell>
          <cell r="M1758">
            <v>0</v>
          </cell>
        </row>
        <row r="1759">
          <cell r="A1759">
            <v>1695</v>
          </cell>
          <cell r="B1759" t="str">
            <v/>
          </cell>
          <cell r="C1759" t="str">
            <v>ROSSO NOBILE EXPRESSO 750ML</v>
          </cell>
          <cell r="D1759" t="str">
            <v/>
          </cell>
          <cell r="E1759" t="str">
            <v/>
          </cell>
          <cell r="F1759" t="str">
            <v>Pcs</v>
          </cell>
          <cell r="G1759">
            <v>0</v>
          </cell>
          <cell r="H1759" t="str">
            <v/>
          </cell>
          <cell r="I1759">
            <v>0</v>
          </cell>
          <cell r="J1759">
            <v>0</v>
          </cell>
          <cell r="K1759">
            <v>0</v>
          </cell>
          <cell r="L1759">
            <v>1100</v>
          </cell>
          <cell r="M1759">
            <v>0</v>
          </cell>
        </row>
        <row r="1760">
          <cell r="A1760">
            <v>1696</v>
          </cell>
          <cell r="B1760" t="str">
            <v/>
          </cell>
          <cell r="C1760" t="str">
            <v>ROSSO NOBILE MARZIPAN 750ML</v>
          </cell>
          <cell r="D1760" t="str">
            <v/>
          </cell>
          <cell r="E1760" t="str">
            <v/>
          </cell>
          <cell r="F1760" t="str">
            <v>Pcs</v>
          </cell>
          <cell r="G1760">
            <v>60</v>
          </cell>
          <cell r="H1760" t="str">
            <v/>
          </cell>
          <cell r="I1760">
            <v>0</v>
          </cell>
          <cell r="J1760">
            <v>60</v>
          </cell>
          <cell r="K1760">
            <v>0</v>
          </cell>
          <cell r="L1760">
            <v>1100</v>
          </cell>
          <cell r="M1760">
            <v>0</v>
          </cell>
        </row>
        <row r="1761">
          <cell r="A1761">
            <v>1697</v>
          </cell>
          <cell r="B1761" t="str">
            <v/>
          </cell>
          <cell r="C1761" t="str">
            <v>ROSSO NOBILE NACIOLLA 750ML</v>
          </cell>
          <cell r="D1761" t="str">
            <v/>
          </cell>
          <cell r="E1761" t="str">
            <v/>
          </cell>
          <cell r="F1761" t="str">
            <v>Pcs</v>
          </cell>
          <cell r="G1761">
            <v>0</v>
          </cell>
          <cell r="H1761" t="str">
            <v/>
          </cell>
          <cell r="I1761">
            <v>0</v>
          </cell>
          <cell r="J1761">
            <v>0</v>
          </cell>
          <cell r="K1761">
            <v>0</v>
          </cell>
          <cell r="L1761">
            <v>1100</v>
          </cell>
          <cell r="M1761">
            <v>0</v>
          </cell>
        </row>
        <row r="1762">
          <cell r="A1762">
            <v>1698</v>
          </cell>
          <cell r="B1762" t="str">
            <v/>
          </cell>
          <cell r="C1762" t="str">
            <v>ROSSO NOBILE NOUGAT 750ML</v>
          </cell>
          <cell r="D1762" t="str">
            <v/>
          </cell>
          <cell r="E1762" t="str">
            <v/>
          </cell>
          <cell r="F1762" t="str">
            <v>Pcs</v>
          </cell>
          <cell r="G1762">
            <v>60</v>
          </cell>
          <cell r="H1762" t="str">
            <v/>
          </cell>
          <cell r="I1762">
            <v>0</v>
          </cell>
          <cell r="J1762">
            <v>0</v>
          </cell>
          <cell r="K1762">
            <v>60</v>
          </cell>
          <cell r="L1762">
            <v>1100</v>
          </cell>
          <cell r="M1762">
            <v>66000</v>
          </cell>
        </row>
        <row r="1763">
          <cell r="A1763">
            <v>1699</v>
          </cell>
          <cell r="B1763" t="str">
            <v/>
          </cell>
          <cell r="C1763" t="str">
            <v>ROSSO NOBILE RASPBERRY &amp; LEMON - BUBBLY 750ML</v>
          </cell>
          <cell r="D1763" t="str">
            <v/>
          </cell>
          <cell r="E1763" t="str">
            <v/>
          </cell>
          <cell r="F1763" t="str">
            <v>Pcs</v>
          </cell>
          <cell r="G1763">
            <v>0</v>
          </cell>
          <cell r="H1763" t="str">
            <v/>
          </cell>
          <cell r="I1763">
            <v>0</v>
          </cell>
          <cell r="J1763">
            <v>0</v>
          </cell>
          <cell r="K1763">
            <v>0</v>
          </cell>
          <cell r="L1763">
            <v>1100</v>
          </cell>
          <cell r="M1763">
            <v>0</v>
          </cell>
        </row>
        <row r="1764">
          <cell r="A1764">
            <v>2245</v>
          </cell>
          <cell r="B1764" t="str">
            <v/>
          </cell>
          <cell r="C1764" t="str">
            <v>RUINART BRUT 750ML</v>
          </cell>
          <cell r="D1764" t="str">
            <v/>
          </cell>
          <cell r="E1764" t="str">
            <v/>
          </cell>
          <cell r="F1764" t="str">
            <v>Pcs</v>
          </cell>
          <cell r="G1764">
            <v>18</v>
          </cell>
          <cell r="H1764" t="str">
            <v/>
          </cell>
          <cell r="I1764">
            <v>0</v>
          </cell>
          <cell r="J1764">
            <v>0</v>
          </cell>
          <cell r="K1764">
            <v>18</v>
          </cell>
          <cell r="L1764">
            <v>14500</v>
          </cell>
          <cell r="M1764">
            <v>261000</v>
          </cell>
        </row>
        <row r="1765">
          <cell r="A1765">
            <v>1718</v>
          </cell>
          <cell r="B1765" t="str">
            <v/>
          </cell>
          <cell r="C1765" t="str">
            <v>RUINART ROSE 750ML</v>
          </cell>
          <cell r="D1765" t="str">
            <v/>
          </cell>
          <cell r="E1765" t="str">
            <v/>
          </cell>
          <cell r="F1765" t="str">
            <v>Pcs</v>
          </cell>
          <cell r="G1765">
            <v>0</v>
          </cell>
          <cell r="H1765" t="str">
            <v/>
          </cell>
          <cell r="I1765">
            <v>0</v>
          </cell>
          <cell r="J1765">
            <v>0</v>
          </cell>
          <cell r="K1765">
            <v>0</v>
          </cell>
          <cell r="L1765">
            <v>16560</v>
          </cell>
          <cell r="M1765">
            <v>0</v>
          </cell>
        </row>
        <row r="1766">
          <cell r="A1766">
            <v>1720</v>
          </cell>
          <cell r="B1766" t="str">
            <v/>
          </cell>
          <cell r="C1766" t="str">
            <v>RUPERT &amp; ROTHSCHILD CLASSIQUE 750ML</v>
          </cell>
          <cell r="D1766" t="str">
            <v/>
          </cell>
          <cell r="E1766" t="str">
            <v/>
          </cell>
          <cell r="F1766" t="str">
            <v>Pcs</v>
          </cell>
          <cell r="G1766">
            <v>48</v>
          </cell>
          <cell r="H1766" t="str">
            <v/>
          </cell>
          <cell r="I1766">
            <v>180</v>
          </cell>
          <cell r="J1766">
            <v>12</v>
          </cell>
          <cell r="K1766">
            <v>216</v>
          </cell>
          <cell r="L1766">
            <v>3680</v>
          </cell>
          <cell r="M1766">
            <v>794880</v>
          </cell>
        </row>
        <row r="1767">
          <cell r="A1767">
            <v>1719</v>
          </cell>
          <cell r="B1767" t="str">
            <v/>
          </cell>
          <cell r="C1767" t="str">
            <v>RUPERT &amp; ROTHS RED 750ML</v>
          </cell>
          <cell r="D1767" t="str">
            <v/>
          </cell>
          <cell r="E1767" t="str">
            <v/>
          </cell>
          <cell r="F1767" t="str">
            <v>Pcs</v>
          </cell>
          <cell r="G1767">
            <v>195</v>
          </cell>
          <cell r="H1767" t="str">
            <v/>
          </cell>
          <cell r="I1767">
            <v>0</v>
          </cell>
          <cell r="J1767">
            <v>0</v>
          </cell>
          <cell r="K1767">
            <v>195</v>
          </cell>
          <cell r="L1767">
            <v>7820</v>
          </cell>
          <cell r="M1767">
            <v>1524900</v>
          </cell>
        </row>
        <row r="1768">
          <cell r="A1768">
            <v>1725</v>
          </cell>
          <cell r="B1768" t="str">
            <v/>
          </cell>
          <cell r="C1768" t="str">
            <v>RUTINI ENCUENTRO MALBEC 750ML</v>
          </cell>
          <cell r="D1768" t="str">
            <v/>
          </cell>
          <cell r="E1768" t="str">
            <v/>
          </cell>
          <cell r="F1768" t="str">
            <v>Pcs</v>
          </cell>
          <cell r="G1768">
            <v>0</v>
          </cell>
          <cell r="H1768" t="str">
            <v/>
          </cell>
          <cell r="I1768">
            <v>0</v>
          </cell>
          <cell r="J1768">
            <v>0</v>
          </cell>
          <cell r="K1768">
            <v>0</v>
          </cell>
          <cell r="L1768">
            <v>2300</v>
          </cell>
          <cell r="M1768">
            <v>0</v>
          </cell>
        </row>
        <row r="1769">
          <cell r="A1769">
            <v>1726</v>
          </cell>
          <cell r="B1769" t="str">
            <v/>
          </cell>
          <cell r="C1769" t="str">
            <v>RUTINI MALBEC 750ML</v>
          </cell>
          <cell r="D1769" t="str">
            <v/>
          </cell>
          <cell r="E1769" t="str">
            <v/>
          </cell>
          <cell r="F1769" t="str">
            <v>Pcs</v>
          </cell>
          <cell r="G1769">
            <v>0</v>
          </cell>
          <cell r="H1769" t="str">
            <v/>
          </cell>
          <cell r="I1769">
            <v>0</v>
          </cell>
          <cell r="J1769">
            <v>0</v>
          </cell>
          <cell r="K1769">
            <v>0</v>
          </cell>
          <cell r="L1769">
            <v>2300</v>
          </cell>
          <cell r="M1769">
            <v>0</v>
          </cell>
        </row>
        <row r="1770">
          <cell r="A1770">
            <v>2315</v>
          </cell>
          <cell r="B1770" t="str">
            <v/>
          </cell>
          <cell r="C1770" t="str">
            <v>RUTINI MENDOZA 750ML</v>
          </cell>
          <cell r="D1770" t="str">
            <v/>
          </cell>
          <cell r="E1770" t="str">
            <v/>
          </cell>
          <cell r="F1770" t="str">
            <v>Pcs</v>
          </cell>
          <cell r="G1770">
            <v>1</v>
          </cell>
          <cell r="H1770" t="str">
            <v/>
          </cell>
          <cell r="I1770">
            <v>0</v>
          </cell>
          <cell r="J1770">
            <v>0</v>
          </cell>
          <cell r="K1770">
            <v>1</v>
          </cell>
          <cell r="L1770">
            <v>2300</v>
          </cell>
          <cell r="M1770">
            <v>2300</v>
          </cell>
        </row>
        <row r="1771">
          <cell r="A1771">
            <v>1728</v>
          </cell>
          <cell r="B1771" t="str">
            <v/>
          </cell>
          <cell r="C1771" t="str">
            <v>SAINT ANNA 750ML</v>
          </cell>
          <cell r="D1771" t="str">
            <v/>
          </cell>
          <cell r="E1771" t="str">
            <v/>
          </cell>
          <cell r="F1771" t="str">
            <v>Pcs</v>
          </cell>
          <cell r="G1771">
            <v>156</v>
          </cell>
          <cell r="H1771" t="str">
            <v/>
          </cell>
          <cell r="I1771">
            <v>0</v>
          </cell>
          <cell r="J1771">
            <v>0</v>
          </cell>
          <cell r="K1771">
            <v>156</v>
          </cell>
          <cell r="L1771">
            <v>644</v>
          </cell>
          <cell r="M1771">
            <v>100464</v>
          </cell>
        </row>
        <row r="1772">
          <cell r="A1772">
            <v>1729</v>
          </cell>
          <cell r="B1772" t="str">
            <v/>
          </cell>
          <cell r="C1772" t="str">
            <v>SAINT CELINE RED WINE 750ML</v>
          </cell>
          <cell r="D1772" t="str">
            <v/>
          </cell>
          <cell r="E1772" t="str">
            <v/>
          </cell>
          <cell r="F1772" t="str">
            <v>Pcs</v>
          </cell>
          <cell r="G1772">
            <v>0</v>
          </cell>
          <cell r="H1772" t="str">
            <v/>
          </cell>
          <cell r="I1772">
            <v>0</v>
          </cell>
          <cell r="J1772">
            <v>0</v>
          </cell>
          <cell r="K1772">
            <v>0</v>
          </cell>
          <cell r="L1772">
            <v>782</v>
          </cell>
          <cell r="M1772">
            <v>0</v>
          </cell>
        </row>
        <row r="1773">
          <cell r="A1773">
            <v>1730</v>
          </cell>
          <cell r="B1773" t="str">
            <v/>
          </cell>
          <cell r="C1773" t="str">
            <v>SAINT CELINE ROSE WINE 750ML</v>
          </cell>
          <cell r="D1773" t="str">
            <v/>
          </cell>
          <cell r="E1773" t="str">
            <v/>
          </cell>
          <cell r="F1773" t="str">
            <v>Pcs</v>
          </cell>
          <cell r="G1773">
            <v>0</v>
          </cell>
          <cell r="H1773" t="str">
            <v/>
          </cell>
          <cell r="I1773">
            <v>0</v>
          </cell>
          <cell r="J1773">
            <v>0</v>
          </cell>
          <cell r="K1773">
            <v>0</v>
          </cell>
          <cell r="L1773">
            <v>782</v>
          </cell>
          <cell r="M1773">
            <v>0</v>
          </cell>
        </row>
        <row r="1774">
          <cell r="A1774">
            <v>2401</v>
          </cell>
          <cell r="B1774" t="str">
            <v/>
          </cell>
          <cell r="C1774" t="str">
            <v>SAINT CLAIRE 750ML</v>
          </cell>
          <cell r="D1774" t="str">
            <v/>
          </cell>
          <cell r="E1774" t="str">
            <v/>
          </cell>
          <cell r="F1774" t="str">
            <v>Pcs</v>
          </cell>
          <cell r="G1774">
            <v>0</v>
          </cell>
          <cell r="H1774" t="str">
            <v/>
          </cell>
          <cell r="I1774">
            <v>0</v>
          </cell>
          <cell r="J1774">
            <v>0</v>
          </cell>
          <cell r="K1774">
            <v>0</v>
          </cell>
          <cell r="L1774">
            <v>782</v>
          </cell>
          <cell r="M1774">
            <v>0</v>
          </cell>
        </row>
        <row r="1775">
          <cell r="A1775">
            <v>2913</v>
          </cell>
          <cell r="B1775" t="str">
            <v/>
          </cell>
          <cell r="C1775" t="str">
            <v>SAINT CLAIRE NATURAL SWEET ROSE 750ML</v>
          </cell>
          <cell r="D1775" t="str">
            <v/>
          </cell>
          <cell r="E1775" t="str">
            <v/>
          </cell>
          <cell r="F1775" t="str">
            <v>Pcs</v>
          </cell>
          <cell r="G1775">
            <v>36</v>
          </cell>
          <cell r="H1775" t="str">
            <v/>
          </cell>
          <cell r="I1775">
            <v>60</v>
          </cell>
          <cell r="J1775">
            <v>0</v>
          </cell>
          <cell r="K1775">
            <v>96</v>
          </cell>
          <cell r="L1775">
            <v>650</v>
          </cell>
          <cell r="M1775">
            <v>62400</v>
          </cell>
        </row>
        <row r="1776">
          <cell r="A1776">
            <v>2912</v>
          </cell>
          <cell r="B1776" t="str">
            <v/>
          </cell>
          <cell r="C1776" t="str">
            <v>SAINT RAPHAEL SMOOTH RED 750ML</v>
          </cell>
          <cell r="D1776" t="str">
            <v/>
          </cell>
          <cell r="E1776" t="str">
            <v/>
          </cell>
          <cell r="F1776" t="str">
            <v>Pcs</v>
          </cell>
          <cell r="G1776">
            <v>24</v>
          </cell>
          <cell r="H1776" t="str">
            <v/>
          </cell>
          <cell r="I1776">
            <v>60</v>
          </cell>
          <cell r="J1776">
            <v>12</v>
          </cell>
          <cell r="K1776">
            <v>72</v>
          </cell>
          <cell r="L1776">
            <v>650</v>
          </cell>
          <cell r="M1776">
            <v>46800</v>
          </cell>
        </row>
        <row r="1777">
          <cell r="A1777">
            <v>1741</v>
          </cell>
          <cell r="B1777" t="str">
            <v/>
          </cell>
          <cell r="C1777" t="str">
            <v>SANDARA PREMIUM SANGIRIA 750ML</v>
          </cell>
          <cell r="D1777" t="str">
            <v/>
          </cell>
          <cell r="E1777" t="str">
            <v/>
          </cell>
          <cell r="F1777" t="str">
            <v>Pcs</v>
          </cell>
          <cell r="G1777">
            <v>0</v>
          </cell>
          <cell r="H1777" t="str">
            <v/>
          </cell>
          <cell r="I1777">
            <v>0</v>
          </cell>
          <cell r="J1777">
            <v>0</v>
          </cell>
          <cell r="K1777">
            <v>0</v>
          </cell>
          <cell r="L1777">
            <v>1012</v>
          </cell>
          <cell r="M1777">
            <v>0</v>
          </cell>
        </row>
        <row r="1778">
          <cell r="A1778">
            <v>1742</v>
          </cell>
          <cell r="B1778" t="str">
            <v/>
          </cell>
          <cell r="C1778" t="str">
            <v>SANDARA Premium Sparkling Sangria 750ML</v>
          </cell>
          <cell r="D1778" t="str">
            <v/>
          </cell>
          <cell r="E1778" t="str">
            <v/>
          </cell>
          <cell r="F1778" t="str">
            <v>Pcs</v>
          </cell>
          <cell r="G1778">
            <v>6</v>
          </cell>
          <cell r="H1778" t="str">
            <v/>
          </cell>
          <cell r="I1778">
            <v>0</v>
          </cell>
          <cell r="J1778">
            <v>0</v>
          </cell>
          <cell r="K1778">
            <v>6</v>
          </cell>
          <cell r="L1778">
            <v>1012</v>
          </cell>
          <cell r="M1778">
            <v>6072</v>
          </cell>
        </row>
        <row r="1779">
          <cell r="A1779">
            <v>1746</v>
          </cell>
          <cell r="B1779" t="str">
            <v/>
          </cell>
          <cell r="C1779" t="str">
            <v>SANDEMAN FINE RUBY 1ltr</v>
          </cell>
          <cell r="D1779" t="str">
            <v/>
          </cell>
          <cell r="E1779" t="str">
            <v/>
          </cell>
          <cell r="F1779" t="str">
            <v>Pcs</v>
          </cell>
          <cell r="G1779">
            <v>0</v>
          </cell>
          <cell r="H1779" t="str">
            <v/>
          </cell>
          <cell r="I1779">
            <v>0</v>
          </cell>
          <cell r="J1779">
            <v>0</v>
          </cell>
          <cell r="K1779">
            <v>0</v>
          </cell>
          <cell r="L1779">
            <v>1840</v>
          </cell>
          <cell r="M1779">
            <v>0</v>
          </cell>
        </row>
        <row r="1780">
          <cell r="A1780">
            <v>1747</v>
          </cell>
          <cell r="B1780" t="str">
            <v/>
          </cell>
          <cell r="C1780" t="str">
            <v>SANDEMAN FINE RUBY 700ML</v>
          </cell>
          <cell r="D1780" t="str">
            <v/>
          </cell>
          <cell r="E1780" t="str">
            <v/>
          </cell>
          <cell r="F1780" t="str">
            <v>Pcs</v>
          </cell>
          <cell r="G1780">
            <v>6</v>
          </cell>
          <cell r="H1780" t="str">
            <v/>
          </cell>
          <cell r="I1780">
            <v>0</v>
          </cell>
          <cell r="J1780">
            <v>0</v>
          </cell>
          <cell r="K1780">
            <v>6</v>
          </cell>
          <cell r="L1780">
            <v>2600</v>
          </cell>
          <cell r="M1780">
            <v>15600</v>
          </cell>
        </row>
        <row r="1781">
          <cell r="A1781">
            <v>1749</v>
          </cell>
          <cell r="B1781" t="str">
            <v/>
          </cell>
          <cell r="C1781" t="str">
            <v>SANDEMAN FINE WHITE 1ltr</v>
          </cell>
          <cell r="D1781" t="str">
            <v/>
          </cell>
          <cell r="E1781" t="str">
            <v/>
          </cell>
          <cell r="F1781" t="str">
            <v>Pcs</v>
          </cell>
          <cell r="G1781">
            <v>11</v>
          </cell>
          <cell r="H1781" t="str">
            <v/>
          </cell>
          <cell r="I1781">
            <v>0</v>
          </cell>
          <cell r="J1781">
            <v>0</v>
          </cell>
          <cell r="K1781">
            <v>11</v>
          </cell>
          <cell r="L1781">
            <v>1840</v>
          </cell>
          <cell r="M1781">
            <v>20240</v>
          </cell>
        </row>
        <row r="1782">
          <cell r="A1782">
            <v>1750</v>
          </cell>
          <cell r="B1782" t="str">
            <v/>
          </cell>
          <cell r="C1782" t="str">
            <v>SANDEMAN SEMI SWEET 750ML</v>
          </cell>
          <cell r="D1782" t="str">
            <v/>
          </cell>
          <cell r="E1782" t="str">
            <v/>
          </cell>
          <cell r="F1782" t="str">
            <v>Pcs</v>
          </cell>
          <cell r="G1782">
            <v>6</v>
          </cell>
          <cell r="H1782" t="str">
            <v/>
          </cell>
          <cell r="I1782">
            <v>0</v>
          </cell>
          <cell r="J1782">
            <v>0</v>
          </cell>
          <cell r="K1782">
            <v>6</v>
          </cell>
          <cell r="L1782">
            <v>2300</v>
          </cell>
          <cell r="M1782">
            <v>13800</v>
          </cell>
        </row>
        <row r="1783">
          <cell r="A1783">
            <v>2872</v>
          </cell>
          <cell r="B1783" t="str">
            <v/>
          </cell>
          <cell r="C1783" t="str">
            <v>SAN FELIPE CLASSIC CAB SAUV 750ML</v>
          </cell>
          <cell r="D1783" t="str">
            <v/>
          </cell>
          <cell r="E1783" t="str">
            <v/>
          </cell>
          <cell r="F1783" t="str">
            <v>Pcs</v>
          </cell>
          <cell r="G1783">
            <v>18</v>
          </cell>
          <cell r="H1783" t="str">
            <v/>
          </cell>
          <cell r="I1783">
            <v>0</v>
          </cell>
          <cell r="J1783">
            <v>0</v>
          </cell>
          <cell r="K1783">
            <v>18</v>
          </cell>
          <cell r="L1783">
            <v>1045</v>
          </cell>
          <cell r="M1783">
            <v>18810</v>
          </cell>
        </row>
        <row r="1784">
          <cell r="A1784">
            <v>1734</v>
          </cell>
          <cell r="B1784" t="str">
            <v/>
          </cell>
          <cell r="C1784" t="str">
            <v>SAN FELIPE CLASSIC SAUV BLANC 750ML</v>
          </cell>
          <cell r="D1784" t="str">
            <v/>
          </cell>
          <cell r="E1784" t="str">
            <v/>
          </cell>
          <cell r="F1784" t="str">
            <v>Pcs</v>
          </cell>
          <cell r="G1784">
            <v>18</v>
          </cell>
          <cell r="H1784" t="str">
            <v/>
          </cell>
          <cell r="I1784">
            <v>0</v>
          </cell>
          <cell r="J1784">
            <v>0</v>
          </cell>
          <cell r="K1784">
            <v>18</v>
          </cell>
          <cell r="L1784">
            <v>1045</v>
          </cell>
          <cell r="M1784">
            <v>18810</v>
          </cell>
        </row>
        <row r="1785">
          <cell r="A1785">
            <v>1736</v>
          </cell>
          <cell r="B1785" t="str">
            <v/>
          </cell>
          <cell r="C1785" t="str">
            <v>SAN FELIPE OAK MALBEC 750ML</v>
          </cell>
          <cell r="D1785" t="str">
            <v/>
          </cell>
          <cell r="E1785" t="str">
            <v/>
          </cell>
          <cell r="F1785" t="str">
            <v>Pcs</v>
          </cell>
          <cell r="G1785">
            <v>6</v>
          </cell>
          <cell r="H1785" t="str">
            <v/>
          </cell>
          <cell r="I1785">
            <v>0</v>
          </cell>
          <cell r="J1785">
            <v>0</v>
          </cell>
          <cell r="K1785">
            <v>6</v>
          </cell>
          <cell r="L1785">
            <v>1426</v>
          </cell>
          <cell r="M1785">
            <v>8556</v>
          </cell>
        </row>
        <row r="1786">
          <cell r="A1786">
            <v>2347</v>
          </cell>
          <cell r="B1786" t="str">
            <v/>
          </cell>
          <cell r="C1786" t="str">
            <v>SANGRIA PENASOL 1LTR</v>
          </cell>
          <cell r="D1786" t="str">
            <v/>
          </cell>
          <cell r="E1786" t="str">
            <v/>
          </cell>
          <cell r="F1786" t="str">
            <v>Pcs</v>
          </cell>
          <cell r="G1786">
            <v>0</v>
          </cell>
          <cell r="H1786" t="str">
            <v/>
          </cell>
          <cell r="I1786">
            <v>0</v>
          </cell>
          <cell r="J1786">
            <v>0</v>
          </cell>
          <cell r="K1786">
            <v>0</v>
          </cell>
          <cell r="L1786">
            <v>900</v>
          </cell>
          <cell r="M1786">
            <v>0</v>
          </cell>
        </row>
        <row r="1787">
          <cell r="A1787">
            <v>2316</v>
          </cell>
          <cell r="B1787" t="str">
            <v/>
          </cell>
          <cell r="C1787" t="str">
            <v>SANTA HELENA BLANCO 750ML</v>
          </cell>
          <cell r="D1787" t="str">
            <v/>
          </cell>
          <cell r="E1787" t="str">
            <v/>
          </cell>
          <cell r="F1787" t="str">
            <v>Pcs</v>
          </cell>
          <cell r="G1787">
            <v>97</v>
          </cell>
          <cell r="H1787" t="str">
            <v/>
          </cell>
          <cell r="I1787">
            <v>0</v>
          </cell>
          <cell r="J1787">
            <v>0</v>
          </cell>
          <cell r="K1787">
            <v>97</v>
          </cell>
          <cell r="L1787">
            <v>800</v>
          </cell>
          <cell r="M1787">
            <v>77600</v>
          </cell>
        </row>
        <row r="1788">
          <cell r="A1788">
            <v>1758</v>
          </cell>
          <cell r="B1788" t="str">
            <v/>
          </cell>
          <cell r="C1788" t="str">
            <v>SANTA HELENA TINTO 750ML</v>
          </cell>
          <cell r="D1788" t="str">
            <v/>
          </cell>
          <cell r="E1788" t="str">
            <v/>
          </cell>
          <cell r="F1788" t="str">
            <v>Pcs</v>
          </cell>
          <cell r="G1788">
            <v>200</v>
          </cell>
          <cell r="H1788" t="str">
            <v/>
          </cell>
          <cell r="I1788">
            <v>0</v>
          </cell>
          <cell r="J1788">
            <v>14</v>
          </cell>
          <cell r="K1788">
            <v>186</v>
          </cell>
          <cell r="L1788">
            <v>782</v>
          </cell>
          <cell r="M1788">
            <v>145452</v>
          </cell>
        </row>
        <row r="1789">
          <cell r="A1789">
            <v>1759</v>
          </cell>
          <cell r="B1789" t="str">
            <v/>
          </cell>
          <cell r="C1789" t="str">
            <v>SANTA HELLENA DULCEE 750ml</v>
          </cell>
          <cell r="D1789" t="str">
            <v/>
          </cell>
          <cell r="E1789" t="str">
            <v/>
          </cell>
          <cell r="F1789" t="str">
            <v>Pcs</v>
          </cell>
          <cell r="G1789">
            <v>137</v>
          </cell>
          <cell r="H1789" t="str">
            <v/>
          </cell>
          <cell r="I1789">
            <v>0</v>
          </cell>
          <cell r="J1789">
            <v>0</v>
          </cell>
          <cell r="K1789">
            <v>137</v>
          </cell>
          <cell r="L1789">
            <v>782</v>
          </cell>
          <cell r="M1789">
            <v>107134</v>
          </cell>
        </row>
        <row r="1790">
          <cell r="A1790">
            <v>1770</v>
          </cell>
          <cell r="B1790" t="str">
            <v/>
          </cell>
          <cell r="C1790" t="str">
            <v>SCAVI &amp; RAY PROSECCO 750ML</v>
          </cell>
          <cell r="D1790" t="str">
            <v/>
          </cell>
          <cell r="E1790" t="str">
            <v/>
          </cell>
          <cell r="F1790" t="str">
            <v>Pcs</v>
          </cell>
          <cell r="G1790">
            <v>0</v>
          </cell>
          <cell r="H1790" t="str">
            <v/>
          </cell>
          <cell r="I1790">
            <v>0</v>
          </cell>
          <cell r="J1790">
            <v>0</v>
          </cell>
          <cell r="K1790">
            <v>0</v>
          </cell>
          <cell r="L1790">
            <v>1656</v>
          </cell>
          <cell r="M1790">
            <v>0</v>
          </cell>
        </row>
        <row r="1791">
          <cell r="A1791">
            <v>2325</v>
          </cell>
          <cell r="B1791" t="str">
            <v/>
          </cell>
          <cell r="C1791" t="str">
            <v>SECRET SAFARI CHERRY RED 750ML</v>
          </cell>
          <cell r="D1791" t="str">
            <v/>
          </cell>
          <cell r="E1791" t="str">
            <v/>
          </cell>
          <cell r="F1791" t="str">
            <v>Pcs</v>
          </cell>
          <cell r="G1791">
            <v>0</v>
          </cell>
          <cell r="H1791" t="str">
            <v/>
          </cell>
          <cell r="I1791">
            <v>0</v>
          </cell>
          <cell r="J1791">
            <v>0</v>
          </cell>
          <cell r="K1791">
            <v>0</v>
          </cell>
          <cell r="L1791">
            <v>800</v>
          </cell>
          <cell r="M1791">
            <v>0</v>
          </cell>
        </row>
        <row r="1792">
          <cell r="A1792">
            <v>2980</v>
          </cell>
          <cell r="B1792" t="str">
            <v/>
          </cell>
          <cell r="C1792" t="str">
            <v>SIGNORE GIUSEPPE PROSECCO SPUMANTE ROSE 750ML</v>
          </cell>
          <cell r="D1792" t="str">
            <v/>
          </cell>
          <cell r="E1792" t="str">
            <v/>
          </cell>
          <cell r="F1792" t="str">
            <v>Pcs</v>
          </cell>
          <cell r="G1792">
            <v>18</v>
          </cell>
          <cell r="H1792" t="str">
            <v/>
          </cell>
          <cell r="I1792">
            <v>0</v>
          </cell>
          <cell r="J1792">
            <v>6</v>
          </cell>
          <cell r="K1792">
            <v>12</v>
          </cell>
          <cell r="L1792">
            <v>2000</v>
          </cell>
          <cell r="M1792">
            <v>24000</v>
          </cell>
        </row>
        <row r="1793">
          <cell r="A1793">
            <v>2979</v>
          </cell>
          <cell r="B1793" t="str">
            <v/>
          </cell>
          <cell r="C1793" t="str">
            <v>SIGNORE GIUSEPPE PROSECCO SPUMANTE WHITE 750ML</v>
          </cell>
          <cell r="D1793" t="str">
            <v/>
          </cell>
          <cell r="E1793" t="str">
            <v/>
          </cell>
          <cell r="F1793" t="str">
            <v>Pcs</v>
          </cell>
          <cell r="G1793">
            <v>36</v>
          </cell>
          <cell r="H1793" t="str">
            <v/>
          </cell>
          <cell r="I1793">
            <v>0</v>
          </cell>
          <cell r="J1793">
            <v>12</v>
          </cell>
          <cell r="K1793">
            <v>24</v>
          </cell>
          <cell r="L1793">
            <v>2000</v>
          </cell>
          <cell r="M1793">
            <v>48000</v>
          </cell>
        </row>
        <row r="1794">
          <cell r="A1794">
            <v>2478</v>
          </cell>
          <cell r="B1794" t="str">
            <v/>
          </cell>
          <cell r="C1794" t="str">
            <v>SILK &amp;SPICE  750ML</v>
          </cell>
          <cell r="D1794" t="str">
            <v/>
          </cell>
          <cell r="E1794" t="str">
            <v/>
          </cell>
          <cell r="F1794" t="str">
            <v>Pcs</v>
          </cell>
          <cell r="G1794">
            <v>0</v>
          </cell>
          <cell r="H1794" t="str">
            <v/>
          </cell>
          <cell r="I1794">
            <v>0</v>
          </cell>
          <cell r="J1794">
            <v>0</v>
          </cell>
          <cell r="K1794">
            <v>0</v>
          </cell>
          <cell r="L1794">
            <v>2000</v>
          </cell>
          <cell r="M1794">
            <v>0</v>
          </cell>
        </row>
        <row r="1795">
          <cell r="A1795">
            <v>2449</v>
          </cell>
          <cell r="B1795" t="str">
            <v/>
          </cell>
          <cell r="C1795" t="str">
            <v>SIMONSIG CAB SAUV 750ML</v>
          </cell>
          <cell r="D1795" t="str">
            <v/>
          </cell>
          <cell r="E1795" t="str">
            <v/>
          </cell>
          <cell r="F1795" t="str">
            <v>Pcs</v>
          </cell>
          <cell r="G1795">
            <v>0</v>
          </cell>
          <cell r="H1795" t="str">
            <v/>
          </cell>
          <cell r="I1795">
            <v>0</v>
          </cell>
          <cell r="J1795">
            <v>0</v>
          </cell>
          <cell r="K1795">
            <v>0</v>
          </cell>
          <cell r="L1795">
            <v>3000</v>
          </cell>
          <cell r="M1795">
            <v>0</v>
          </cell>
        </row>
        <row r="1796">
          <cell r="A1796">
            <v>1793</v>
          </cell>
          <cell r="B1796" t="str">
            <v/>
          </cell>
          <cell r="C1796" t="str">
            <v>SIMONSIG CAB SAUV MERLOT 750ml</v>
          </cell>
          <cell r="D1796" t="str">
            <v/>
          </cell>
          <cell r="E1796" t="str">
            <v/>
          </cell>
          <cell r="F1796" t="str">
            <v>Pcs</v>
          </cell>
          <cell r="G1796">
            <v>0</v>
          </cell>
          <cell r="H1796" t="str">
            <v/>
          </cell>
          <cell r="I1796">
            <v>0</v>
          </cell>
          <cell r="J1796">
            <v>0</v>
          </cell>
          <cell r="K1796">
            <v>0</v>
          </cell>
          <cell r="L1796">
            <v>1610</v>
          </cell>
          <cell r="M1796">
            <v>0</v>
          </cell>
        </row>
        <row r="1797">
          <cell r="A1797">
            <v>1794</v>
          </cell>
          <cell r="B1797" t="str">
            <v/>
          </cell>
          <cell r="C1797" t="str">
            <v>SIMONSIG CAB SAUV SHIRAZ 750ml</v>
          </cell>
          <cell r="D1797" t="str">
            <v/>
          </cell>
          <cell r="E1797" t="str">
            <v/>
          </cell>
          <cell r="F1797" t="str">
            <v>Pcs</v>
          </cell>
          <cell r="G1797">
            <v>0</v>
          </cell>
          <cell r="H1797" t="str">
            <v/>
          </cell>
          <cell r="I1797">
            <v>0</v>
          </cell>
          <cell r="J1797">
            <v>0</v>
          </cell>
          <cell r="K1797">
            <v>0</v>
          </cell>
          <cell r="L1797">
            <v>1840</v>
          </cell>
          <cell r="M1797">
            <v>0</v>
          </cell>
        </row>
        <row r="1798">
          <cell r="A1798">
            <v>1796</v>
          </cell>
          <cell r="B1798" t="str">
            <v/>
          </cell>
          <cell r="C1798" t="str">
            <v>SIMONSIG PINOTAGE 750ml</v>
          </cell>
          <cell r="D1798" t="str">
            <v/>
          </cell>
          <cell r="E1798" t="str">
            <v/>
          </cell>
          <cell r="F1798" t="str">
            <v>Pcs</v>
          </cell>
          <cell r="G1798">
            <v>0</v>
          </cell>
          <cell r="H1798" t="str">
            <v/>
          </cell>
          <cell r="I1798">
            <v>0</v>
          </cell>
          <cell r="J1798">
            <v>0</v>
          </cell>
          <cell r="K1798">
            <v>0</v>
          </cell>
          <cell r="L1798">
            <v>2116</v>
          </cell>
          <cell r="M1798">
            <v>0</v>
          </cell>
        </row>
        <row r="1799">
          <cell r="A1799">
            <v>1797</v>
          </cell>
          <cell r="B1799" t="str">
            <v/>
          </cell>
          <cell r="C1799" t="str">
            <v>SIMONSIG SAUV BLANC SEMILLON 750ml</v>
          </cell>
          <cell r="D1799" t="str">
            <v/>
          </cell>
          <cell r="E1799" t="str">
            <v/>
          </cell>
          <cell r="F1799" t="str">
            <v>Pcs</v>
          </cell>
          <cell r="G1799">
            <v>0</v>
          </cell>
          <cell r="H1799" t="str">
            <v/>
          </cell>
          <cell r="I1799">
            <v>0</v>
          </cell>
          <cell r="J1799">
            <v>0</v>
          </cell>
          <cell r="K1799">
            <v>0</v>
          </cell>
          <cell r="L1799">
            <v>1610</v>
          </cell>
          <cell r="M1799">
            <v>0</v>
          </cell>
        </row>
        <row r="1800">
          <cell r="A1800">
            <v>1861</v>
          </cell>
          <cell r="B1800" t="str">
            <v/>
          </cell>
          <cell r="C1800" t="str">
            <v>SOUTHERN OCEAN SAUV BLANC 750ML</v>
          </cell>
          <cell r="D1800" t="str">
            <v/>
          </cell>
          <cell r="E1800" t="str">
            <v/>
          </cell>
          <cell r="F1800" t="str">
            <v>Pcs</v>
          </cell>
          <cell r="G1800">
            <v>6</v>
          </cell>
          <cell r="H1800" t="str">
            <v/>
          </cell>
          <cell r="I1800">
            <v>0</v>
          </cell>
          <cell r="J1800">
            <v>6</v>
          </cell>
          <cell r="K1800">
            <v>0</v>
          </cell>
          <cell r="L1800">
            <v>1840</v>
          </cell>
          <cell r="M1800">
            <v>0</v>
          </cell>
        </row>
        <row r="1801">
          <cell r="A1801">
            <v>1867</v>
          </cell>
          <cell r="B1801" t="str">
            <v/>
          </cell>
          <cell r="C1801" t="str">
            <v>SPUMANTE FESTA RED 750ML</v>
          </cell>
          <cell r="D1801" t="str">
            <v/>
          </cell>
          <cell r="E1801" t="str">
            <v/>
          </cell>
          <cell r="F1801" t="str">
            <v>Pcs</v>
          </cell>
          <cell r="G1801">
            <v>46</v>
          </cell>
          <cell r="H1801" t="str">
            <v/>
          </cell>
          <cell r="I1801">
            <v>0</v>
          </cell>
          <cell r="J1801">
            <v>0</v>
          </cell>
          <cell r="K1801">
            <v>46</v>
          </cell>
          <cell r="L1801">
            <v>874</v>
          </cell>
          <cell r="M1801">
            <v>40204</v>
          </cell>
        </row>
        <row r="1802">
          <cell r="A1802">
            <v>1868</v>
          </cell>
          <cell r="B1802" t="str">
            <v/>
          </cell>
          <cell r="C1802" t="str">
            <v>SPUMANTE FESTA WHITE 750ML</v>
          </cell>
          <cell r="D1802" t="str">
            <v/>
          </cell>
          <cell r="E1802" t="str">
            <v/>
          </cell>
          <cell r="F1802" t="str">
            <v>Pcs</v>
          </cell>
          <cell r="G1802">
            <v>16</v>
          </cell>
          <cell r="H1802" t="str">
            <v/>
          </cell>
          <cell r="I1802">
            <v>0</v>
          </cell>
          <cell r="J1802">
            <v>0</v>
          </cell>
          <cell r="K1802">
            <v>16</v>
          </cell>
          <cell r="L1802">
            <v>874</v>
          </cell>
          <cell r="M1802">
            <v>13984</v>
          </cell>
        </row>
        <row r="1803">
          <cell r="A1803">
            <v>1881</v>
          </cell>
          <cell r="B1803" t="str">
            <v/>
          </cell>
          <cell r="C1803" t="str">
            <v>STARCHASER  750ML</v>
          </cell>
          <cell r="D1803" t="str">
            <v/>
          </cell>
          <cell r="E1803" t="str">
            <v/>
          </cell>
          <cell r="F1803" t="str">
            <v>Pcs</v>
          </cell>
          <cell r="G1803">
            <v>1</v>
          </cell>
          <cell r="H1803" t="str">
            <v/>
          </cell>
          <cell r="I1803">
            <v>0</v>
          </cell>
          <cell r="J1803">
            <v>0</v>
          </cell>
          <cell r="K1803">
            <v>1</v>
          </cell>
          <cell r="L1803">
            <v>460</v>
          </cell>
          <cell r="M1803">
            <v>460</v>
          </cell>
        </row>
        <row r="1804">
          <cell r="A1804">
            <v>1876</v>
          </cell>
          <cell r="B1804" t="str">
            <v/>
          </cell>
          <cell r="C1804" t="str">
            <v>ST. CELINE 750ML</v>
          </cell>
          <cell r="D1804" t="str">
            <v/>
          </cell>
          <cell r="E1804" t="str">
            <v/>
          </cell>
          <cell r="F1804" t="str">
            <v>Pcs</v>
          </cell>
          <cell r="G1804">
            <v>0</v>
          </cell>
          <cell r="H1804" t="str">
            <v/>
          </cell>
          <cell r="I1804">
            <v>0</v>
          </cell>
          <cell r="J1804">
            <v>0</v>
          </cell>
          <cell r="K1804">
            <v>0</v>
          </cell>
          <cell r="L1804">
            <v>782</v>
          </cell>
          <cell r="M1804">
            <v>0</v>
          </cell>
        </row>
        <row r="1805">
          <cell r="A1805">
            <v>1884</v>
          </cell>
          <cell r="B1805" t="str">
            <v/>
          </cell>
          <cell r="C1805" t="str">
            <v>STELLENBOSCH VINEYARDS CAB SAUV 750ML</v>
          </cell>
          <cell r="D1805" t="str">
            <v/>
          </cell>
          <cell r="E1805" t="str">
            <v/>
          </cell>
          <cell r="F1805" t="str">
            <v>Pcs</v>
          </cell>
          <cell r="G1805">
            <v>0</v>
          </cell>
          <cell r="H1805" t="str">
            <v/>
          </cell>
          <cell r="I1805">
            <v>0</v>
          </cell>
          <cell r="J1805">
            <v>0</v>
          </cell>
          <cell r="K1805">
            <v>0</v>
          </cell>
          <cell r="L1805">
            <v>1545.6</v>
          </cell>
          <cell r="M1805">
            <v>0</v>
          </cell>
        </row>
        <row r="1806">
          <cell r="A1806">
            <v>2375</v>
          </cell>
          <cell r="B1806" t="str">
            <v/>
          </cell>
          <cell r="C1806" t="str">
            <v>SUNRISE 3LTR</v>
          </cell>
          <cell r="D1806" t="str">
            <v/>
          </cell>
          <cell r="E1806" t="str">
            <v/>
          </cell>
          <cell r="F1806" t="str">
            <v>Pcs</v>
          </cell>
          <cell r="G1806">
            <v>8</v>
          </cell>
          <cell r="H1806" t="str">
            <v/>
          </cell>
          <cell r="I1806">
            <v>0</v>
          </cell>
          <cell r="J1806">
            <v>0</v>
          </cell>
          <cell r="K1806">
            <v>8</v>
          </cell>
          <cell r="L1806">
            <v>2300</v>
          </cell>
          <cell r="M1806">
            <v>18400</v>
          </cell>
        </row>
        <row r="1807">
          <cell r="A1807">
            <v>1903</v>
          </cell>
          <cell r="B1807" t="str">
            <v/>
          </cell>
          <cell r="C1807" t="str">
            <v>SUNRISE SAUV BLANC 1.5LTR</v>
          </cell>
          <cell r="D1807" t="str">
            <v/>
          </cell>
          <cell r="E1807" t="str">
            <v/>
          </cell>
          <cell r="F1807" t="str">
            <v>Pcs</v>
          </cell>
          <cell r="G1807">
            <v>0</v>
          </cell>
          <cell r="H1807" t="str">
            <v/>
          </cell>
          <cell r="I1807">
            <v>2</v>
          </cell>
          <cell r="J1807">
            <v>0</v>
          </cell>
          <cell r="K1807">
            <v>2</v>
          </cell>
          <cell r="L1807">
            <v>1840</v>
          </cell>
          <cell r="M1807">
            <v>3680</v>
          </cell>
        </row>
        <row r="1808">
          <cell r="A1808">
            <v>2249</v>
          </cell>
          <cell r="B1808" t="str">
            <v/>
          </cell>
          <cell r="C1808" t="str">
            <v>SWARTLAND SAUV BLANC 750ML</v>
          </cell>
          <cell r="D1808" t="str">
            <v/>
          </cell>
          <cell r="E1808" t="str">
            <v/>
          </cell>
          <cell r="F1808" t="str">
            <v>Pcs</v>
          </cell>
          <cell r="G1808">
            <v>0</v>
          </cell>
          <cell r="H1808" t="str">
            <v/>
          </cell>
          <cell r="I1808">
            <v>0</v>
          </cell>
          <cell r="J1808">
            <v>0</v>
          </cell>
          <cell r="K1808">
            <v>0</v>
          </cell>
          <cell r="L1808">
            <v>1200</v>
          </cell>
          <cell r="M1808">
            <v>0</v>
          </cell>
        </row>
        <row r="1809">
          <cell r="A1809">
            <v>2250</v>
          </cell>
          <cell r="B1809" t="str">
            <v/>
          </cell>
          <cell r="C1809" t="str">
            <v>SWARTLAND  SYRAH 750ML</v>
          </cell>
          <cell r="D1809" t="str">
            <v/>
          </cell>
          <cell r="E1809" t="str">
            <v/>
          </cell>
          <cell r="F1809" t="str">
            <v>Pcs</v>
          </cell>
          <cell r="G1809">
            <v>24</v>
          </cell>
          <cell r="H1809" t="str">
            <v/>
          </cell>
          <cell r="I1809">
            <v>0</v>
          </cell>
          <cell r="J1809">
            <v>0</v>
          </cell>
          <cell r="K1809">
            <v>24</v>
          </cell>
          <cell r="L1809">
            <v>1200</v>
          </cell>
          <cell r="M1809">
            <v>28800</v>
          </cell>
        </row>
        <row r="1810">
          <cell r="A1810">
            <v>1905</v>
          </cell>
          <cell r="B1810" t="str">
            <v/>
          </cell>
          <cell r="C1810" t="str">
            <v>SWARTLAND WINERY BRUT 750ML</v>
          </cell>
          <cell r="D1810" t="str">
            <v/>
          </cell>
          <cell r="E1810" t="str">
            <v/>
          </cell>
          <cell r="F1810" t="str">
            <v>Pcs</v>
          </cell>
          <cell r="G1810">
            <v>0</v>
          </cell>
          <cell r="H1810" t="str">
            <v/>
          </cell>
          <cell r="I1810">
            <v>0</v>
          </cell>
          <cell r="J1810">
            <v>0</v>
          </cell>
          <cell r="K1810">
            <v>0</v>
          </cell>
          <cell r="L1810">
            <v>1196</v>
          </cell>
          <cell r="M1810">
            <v>0</v>
          </cell>
        </row>
        <row r="1811">
          <cell r="A1811">
            <v>1906</v>
          </cell>
          <cell r="B1811" t="str">
            <v/>
          </cell>
          <cell r="C1811" t="str">
            <v>SWEET LIPS SWEET RED 1LTR</v>
          </cell>
          <cell r="D1811" t="str">
            <v/>
          </cell>
          <cell r="E1811" t="str">
            <v/>
          </cell>
          <cell r="F1811" t="str">
            <v>Pcs</v>
          </cell>
          <cell r="G1811">
            <v>42</v>
          </cell>
          <cell r="H1811" t="str">
            <v/>
          </cell>
          <cell r="I1811">
            <v>150</v>
          </cell>
          <cell r="J1811">
            <v>24</v>
          </cell>
          <cell r="K1811">
            <v>168</v>
          </cell>
          <cell r="L1811">
            <v>1288</v>
          </cell>
          <cell r="M1811">
            <v>216384</v>
          </cell>
        </row>
        <row r="1812">
          <cell r="A1812">
            <v>1907</v>
          </cell>
          <cell r="B1812" t="str">
            <v/>
          </cell>
          <cell r="C1812" t="str">
            <v>SWEET LIPS SWEET ROSE 1LTR</v>
          </cell>
          <cell r="D1812" t="str">
            <v/>
          </cell>
          <cell r="E1812" t="str">
            <v/>
          </cell>
          <cell r="F1812" t="str">
            <v>Pcs</v>
          </cell>
          <cell r="G1812">
            <v>0</v>
          </cell>
          <cell r="H1812" t="str">
            <v/>
          </cell>
          <cell r="I1812">
            <v>60</v>
          </cell>
          <cell r="J1812">
            <v>0</v>
          </cell>
          <cell r="K1812">
            <v>60</v>
          </cell>
          <cell r="L1812">
            <v>1288</v>
          </cell>
          <cell r="M1812">
            <v>77280</v>
          </cell>
        </row>
        <row r="1813">
          <cell r="A1813">
            <v>1908</v>
          </cell>
          <cell r="B1813" t="str">
            <v/>
          </cell>
          <cell r="C1813" t="str">
            <v>SWEET LIPS SWEET WHITE 1LTR</v>
          </cell>
          <cell r="D1813" t="str">
            <v/>
          </cell>
          <cell r="E1813" t="str">
            <v/>
          </cell>
          <cell r="F1813" t="str">
            <v>Pcs</v>
          </cell>
          <cell r="G1813">
            <v>0</v>
          </cell>
          <cell r="H1813" t="str">
            <v/>
          </cell>
          <cell r="I1813">
            <v>90</v>
          </cell>
          <cell r="J1813">
            <v>12</v>
          </cell>
          <cell r="K1813">
            <v>78</v>
          </cell>
          <cell r="L1813">
            <v>1288</v>
          </cell>
          <cell r="M1813">
            <v>100464</v>
          </cell>
        </row>
        <row r="1814">
          <cell r="A1814">
            <v>1925</v>
          </cell>
          <cell r="B1814" t="str">
            <v/>
          </cell>
          <cell r="C1814" t="str">
            <v>TALL HORSE - CARB.SAUV. 750ML</v>
          </cell>
          <cell r="D1814" t="str">
            <v/>
          </cell>
          <cell r="E1814" t="str">
            <v/>
          </cell>
          <cell r="F1814" t="str">
            <v>Pcs</v>
          </cell>
          <cell r="G1814">
            <v>6</v>
          </cell>
          <cell r="H1814" t="str">
            <v/>
          </cell>
          <cell r="I1814">
            <v>0</v>
          </cell>
          <cell r="J1814">
            <v>0</v>
          </cell>
          <cell r="K1814">
            <v>6</v>
          </cell>
          <cell r="L1814">
            <v>1104</v>
          </cell>
          <cell r="M1814">
            <v>6624</v>
          </cell>
        </row>
        <row r="1815">
          <cell r="A1815">
            <v>1926</v>
          </cell>
          <cell r="B1815" t="str">
            <v/>
          </cell>
          <cell r="C1815" t="str">
            <v>TALL HORSE - CHARDONNAY 750ML</v>
          </cell>
          <cell r="D1815" t="str">
            <v/>
          </cell>
          <cell r="E1815" t="str">
            <v/>
          </cell>
          <cell r="F1815" t="str">
            <v>Pcs</v>
          </cell>
          <cell r="G1815">
            <v>0</v>
          </cell>
          <cell r="H1815" t="str">
            <v/>
          </cell>
          <cell r="I1815">
            <v>60</v>
          </cell>
          <cell r="J1815">
            <v>0</v>
          </cell>
          <cell r="K1815">
            <v>60</v>
          </cell>
          <cell r="L1815">
            <v>1104</v>
          </cell>
          <cell r="M1815">
            <v>66240</v>
          </cell>
        </row>
        <row r="1816">
          <cell r="A1816">
            <v>1928</v>
          </cell>
          <cell r="B1816" t="str">
            <v/>
          </cell>
          <cell r="C1816" t="str">
            <v>TALL HORSE MERLOT 750ML</v>
          </cell>
          <cell r="D1816" t="str">
            <v/>
          </cell>
          <cell r="E1816" t="str">
            <v/>
          </cell>
          <cell r="F1816" t="str">
            <v>Pcs</v>
          </cell>
          <cell r="G1816">
            <v>6</v>
          </cell>
          <cell r="H1816" t="str">
            <v/>
          </cell>
          <cell r="I1816">
            <v>0</v>
          </cell>
          <cell r="J1816">
            <v>0</v>
          </cell>
          <cell r="K1816">
            <v>6</v>
          </cell>
          <cell r="L1816">
            <v>1104</v>
          </cell>
          <cell r="M1816">
            <v>6624</v>
          </cell>
        </row>
        <row r="1817">
          <cell r="A1817">
            <v>1924</v>
          </cell>
          <cell r="B1817" t="str">
            <v/>
          </cell>
          <cell r="C1817" t="str">
            <v>TALL HORSE -  PINOTAGE 750ML</v>
          </cell>
          <cell r="D1817" t="str">
            <v/>
          </cell>
          <cell r="E1817" t="str">
            <v/>
          </cell>
          <cell r="F1817" t="str">
            <v>Pcs</v>
          </cell>
          <cell r="G1817">
            <v>0</v>
          </cell>
          <cell r="H1817" t="str">
            <v/>
          </cell>
          <cell r="I1817">
            <v>90</v>
          </cell>
          <cell r="J1817">
            <v>0</v>
          </cell>
          <cell r="K1817">
            <v>90</v>
          </cell>
          <cell r="L1817">
            <v>1104</v>
          </cell>
          <cell r="M1817">
            <v>99360</v>
          </cell>
        </row>
        <row r="1818">
          <cell r="A1818">
            <v>2573</v>
          </cell>
          <cell r="B1818" t="str">
            <v/>
          </cell>
          <cell r="C1818" t="str">
            <v>TASSENBERG  750ML</v>
          </cell>
          <cell r="D1818" t="str">
            <v/>
          </cell>
          <cell r="E1818" t="str">
            <v/>
          </cell>
          <cell r="F1818" t="str">
            <v>Pcs</v>
          </cell>
          <cell r="G1818">
            <v>36</v>
          </cell>
          <cell r="H1818" t="str">
            <v/>
          </cell>
          <cell r="I1818">
            <v>0</v>
          </cell>
          <cell r="J1818">
            <v>0</v>
          </cell>
          <cell r="K1818">
            <v>36</v>
          </cell>
          <cell r="L1818">
            <v>800</v>
          </cell>
          <cell r="M1818">
            <v>28800</v>
          </cell>
        </row>
        <row r="1819">
          <cell r="A1819">
            <v>2978</v>
          </cell>
          <cell r="B1819" t="str">
            <v/>
          </cell>
          <cell r="C1819" t="str">
            <v>TERRA LINDA CHARDONNAY WHITE 750ML</v>
          </cell>
          <cell r="D1819" t="str">
            <v/>
          </cell>
          <cell r="E1819" t="str">
            <v/>
          </cell>
          <cell r="F1819" t="str">
            <v>Pcs</v>
          </cell>
          <cell r="G1819">
            <v>18</v>
          </cell>
          <cell r="H1819" t="str">
            <v/>
          </cell>
          <cell r="I1819">
            <v>0</v>
          </cell>
          <cell r="J1819">
            <v>0</v>
          </cell>
          <cell r="K1819">
            <v>18</v>
          </cell>
          <cell r="L1819">
            <v>1550</v>
          </cell>
          <cell r="M1819">
            <v>27900</v>
          </cell>
        </row>
        <row r="1820">
          <cell r="A1820">
            <v>2914</v>
          </cell>
          <cell r="B1820" t="str">
            <v/>
          </cell>
          <cell r="C1820" t="str">
            <v>TERRA LINDA GARNACHA RED 750ML</v>
          </cell>
          <cell r="D1820" t="str">
            <v/>
          </cell>
          <cell r="E1820" t="str">
            <v/>
          </cell>
          <cell r="F1820" t="str">
            <v>Pcs</v>
          </cell>
          <cell r="G1820">
            <v>36</v>
          </cell>
          <cell r="H1820" t="str">
            <v/>
          </cell>
          <cell r="I1820">
            <v>0</v>
          </cell>
          <cell r="J1820">
            <v>6</v>
          </cell>
          <cell r="K1820">
            <v>30</v>
          </cell>
          <cell r="L1820">
            <v>1550</v>
          </cell>
          <cell r="M1820">
            <v>46500</v>
          </cell>
        </row>
        <row r="1821">
          <cell r="A1821">
            <v>2708</v>
          </cell>
          <cell r="B1821" t="str">
            <v/>
          </cell>
          <cell r="C1821" t="str">
            <v>TERRA LINDA SYRAH RED 750ML</v>
          </cell>
          <cell r="D1821" t="str">
            <v/>
          </cell>
          <cell r="E1821" t="str">
            <v/>
          </cell>
          <cell r="F1821" t="str">
            <v>Pcs</v>
          </cell>
          <cell r="G1821">
            <v>36</v>
          </cell>
          <cell r="H1821" t="str">
            <v/>
          </cell>
          <cell r="I1821">
            <v>30</v>
          </cell>
          <cell r="J1821">
            <v>12</v>
          </cell>
          <cell r="K1821">
            <v>54</v>
          </cell>
          <cell r="L1821">
            <v>1550</v>
          </cell>
          <cell r="M1821">
            <v>83700</v>
          </cell>
        </row>
        <row r="1822">
          <cell r="A1822">
            <v>1955</v>
          </cell>
          <cell r="B1822" t="str">
            <v/>
          </cell>
          <cell r="C1822" t="str">
            <v>THE BEACHHOUSE ROSE 750ML</v>
          </cell>
          <cell r="D1822" t="str">
            <v/>
          </cell>
          <cell r="E1822" t="str">
            <v/>
          </cell>
          <cell r="F1822" t="str">
            <v>Pcs</v>
          </cell>
          <cell r="G1822">
            <v>0</v>
          </cell>
          <cell r="H1822" t="str">
            <v/>
          </cell>
          <cell r="I1822">
            <v>0</v>
          </cell>
          <cell r="J1822">
            <v>0</v>
          </cell>
          <cell r="K1822">
            <v>0</v>
          </cell>
          <cell r="L1822">
            <v>1104</v>
          </cell>
          <cell r="M1822">
            <v>0</v>
          </cell>
        </row>
        <row r="1823">
          <cell r="A1823">
            <v>1956</v>
          </cell>
          <cell r="B1823" t="str">
            <v/>
          </cell>
          <cell r="C1823" t="str">
            <v>THE BEACHHOUSE SHIRAZ 750ML</v>
          </cell>
          <cell r="D1823" t="str">
            <v/>
          </cell>
          <cell r="E1823" t="str">
            <v/>
          </cell>
          <cell r="F1823" t="str">
            <v>Pcs</v>
          </cell>
          <cell r="G1823">
            <v>0</v>
          </cell>
          <cell r="H1823" t="str">
            <v/>
          </cell>
          <cell r="I1823">
            <v>0</v>
          </cell>
          <cell r="J1823">
            <v>0</v>
          </cell>
          <cell r="K1823">
            <v>0</v>
          </cell>
          <cell r="L1823">
            <v>1104</v>
          </cell>
          <cell r="M1823">
            <v>0</v>
          </cell>
        </row>
        <row r="1824">
          <cell r="A1824">
            <v>1960</v>
          </cell>
          <cell r="B1824" t="str">
            <v/>
          </cell>
          <cell r="C1824" t="str">
            <v>THE CHOCOLATE BLOCK 750ML</v>
          </cell>
          <cell r="D1824" t="str">
            <v/>
          </cell>
          <cell r="E1824" t="str">
            <v/>
          </cell>
          <cell r="F1824" t="str">
            <v>Pcs</v>
          </cell>
          <cell r="G1824">
            <v>0</v>
          </cell>
          <cell r="H1824" t="str">
            <v/>
          </cell>
          <cell r="I1824">
            <v>0</v>
          </cell>
          <cell r="J1824">
            <v>0</v>
          </cell>
          <cell r="K1824">
            <v>0</v>
          </cell>
          <cell r="L1824">
            <v>4140</v>
          </cell>
          <cell r="M1824">
            <v>0</v>
          </cell>
        </row>
        <row r="1825">
          <cell r="A1825">
            <v>2286</v>
          </cell>
          <cell r="B1825" t="str">
            <v/>
          </cell>
          <cell r="C1825" t="str">
            <v>THE DEN SAUVIGNON BLANC 700ML</v>
          </cell>
          <cell r="D1825" t="str">
            <v/>
          </cell>
          <cell r="E1825" t="str">
            <v/>
          </cell>
          <cell r="F1825" t="str">
            <v>Pcs</v>
          </cell>
          <cell r="G1825">
            <v>1</v>
          </cell>
          <cell r="H1825" t="str">
            <v/>
          </cell>
          <cell r="I1825">
            <v>0</v>
          </cell>
          <cell r="J1825">
            <v>0</v>
          </cell>
          <cell r="K1825">
            <v>1</v>
          </cell>
          <cell r="L1825">
            <v>950</v>
          </cell>
          <cell r="M1825">
            <v>950</v>
          </cell>
        </row>
        <row r="1826">
          <cell r="A1826">
            <v>1980</v>
          </cell>
          <cell r="B1826" t="str">
            <v/>
          </cell>
          <cell r="C1826" t="str">
            <v>THE GUVNOR RED 1.5LTR</v>
          </cell>
          <cell r="D1826" t="str">
            <v/>
          </cell>
          <cell r="E1826" t="str">
            <v/>
          </cell>
          <cell r="F1826" t="str">
            <v>Pcs</v>
          </cell>
          <cell r="G1826">
            <v>78</v>
          </cell>
          <cell r="H1826" t="str">
            <v/>
          </cell>
          <cell r="I1826">
            <v>0</v>
          </cell>
          <cell r="J1826">
            <v>0</v>
          </cell>
          <cell r="K1826">
            <v>78</v>
          </cell>
          <cell r="L1826">
            <v>2944</v>
          </cell>
          <cell r="M1826">
            <v>229632</v>
          </cell>
        </row>
        <row r="1827">
          <cell r="A1827">
            <v>1978</v>
          </cell>
          <cell r="B1827" t="str">
            <v/>
          </cell>
          <cell r="C1827" t="str">
            <v>THE GUV'NOR RED 750ML</v>
          </cell>
          <cell r="D1827" t="str">
            <v/>
          </cell>
          <cell r="E1827" t="str">
            <v/>
          </cell>
          <cell r="F1827" t="str">
            <v>Pcs</v>
          </cell>
          <cell r="G1827">
            <v>0</v>
          </cell>
          <cell r="H1827" t="str">
            <v/>
          </cell>
          <cell r="I1827">
            <v>0</v>
          </cell>
          <cell r="J1827">
            <v>0</v>
          </cell>
          <cell r="K1827">
            <v>0</v>
          </cell>
          <cell r="L1827">
            <v>1400</v>
          </cell>
          <cell r="M1827">
            <v>0</v>
          </cell>
        </row>
        <row r="1828">
          <cell r="A1828">
            <v>2337</v>
          </cell>
          <cell r="B1828" t="str">
            <v/>
          </cell>
          <cell r="C1828" t="str">
            <v>THE GUV'NOR WHITE 750ML</v>
          </cell>
          <cell r="D1828" t="str">
            <v/>
          </cell>
          <cell r="E1828" t="str">
            <v/>
          </cell>
          <cell r="F1828" t="str">
            <v>Pcs</v>
          </cell>
          <cell r="G1828">
            <v>19</v>
          </cell>
          <cell r="H1828" t="str">
            <v/>
          </cell>
          <cell r="I1828">
            <v>0</v>
          </cell>
          <cell r="J1828">
            <v>12</v>
          </cell>
          <cell r="K1828">
            <v>7</v>
          </cell>
          <cell r="L1828">
            <v>1650</v>
          </cell>
          <cell r="M1828">
            <v>11550</v>
          </cell>
        </row>
        <row r="1829">
          <cell r="A1829">
            <v>2528</v>
          </cell>
          <cell r="B1829" t="str">
            <v/>
          </cell>
          <cell r="C1829" t="str">
            <v>THREE MONKEYS SEMI SWEET RED 750ML</v>
          </cell>
          <cell r="D1829" t="str">
            <v/>
          </cell>
          <cell r="E1829" t="str">
            <v/>
          </cell>
          <cell r="F1829" t="str">
            <v>Pcs</v>
          </cell>
          <cell r="G1829">
            <v>0</v>
          </cell>
          <cell r="H1829" t="str">
            <v/>
          </cell>
          <cell r="I1829">
            <v>0</v>
          </cell>
          <cell r="J1829">
            <v>0</v>
          </cell>
          <cell r="K1829">
            <v>0</v>
          </cell>
          <cell r="L1829">
            <v>1117</v>
          </cell>
          <cell r="M1829">
            <v>0</v>
          </cell>
        </row>
        <row r="1830">
          <cell r="A1830">
            <v>2446</v>
          </cell>
          <cell r="B1830" t="str">
            <v/>
          </cell>
          <cell r="C1830" t="str">
            <v>THREE MONKEY'S WHITE 750ML</v>
          </cell>
          <cell r="D1830" t="str">
            <v/>
          </cell>
          <cell r="E1830" t="str">
            <v/>
          </cell>
          <cell r="F1830" t="str">
            <v>Pcs</v>
          </cell>
          <cell r="G1830">
            <v>0</v>
          </cell>
          <cell r="H1830" t="str">
            <v/>
          </cell>
          <cell r="I1830">
            <v>0</v>
          </cell>
          <cell r="J1830">
            <v>0</v>
          </cell>
          <cell r="K1830">
            <v>0</v>
          </cell>
          <cell r="L1830">
            <v>1000</v>
          </cell>
          <cell r="M1830">
            <v>0</v>
          </cell>
        </row>
        <row r="1831">
          <cell r="A1831">
            <v>2253</v>
          </cell>
          <cell r="B1831" t="str">
            <v/>
          </cell>
          <cell r="C1831" t="str">
            <v>TIA MARIA VANILLA 1LTR</v>
          </cell>
          <cell r="D1831" t="str">
            <v/>
          </cell>
          <cell r="E1831" t="str">
            <v/>
          </cell>
          <cell r="F1831" t="str">
            <v>Pcs</v>
          </cell>
          <cell r="G1831">
            <v>66</v>
          </cell>
          <cell r="H1831" t="str">
            <v/>
          </cell>
          <cell r="I1831">
            <v>0</v>
          </cell>
          <cell r="J1831">
            <v>0</v>
          </cell>
          <cell r="K1831">
            <v>66</v>
          </cell>
          <cell r="L1831">
            <v>2900</v>
          </cell>
          <cell r="M1831">
            <v>191400</v>
          </cell>
        </row>
        <row r="1832">
          <cell r="A1832">
            <v>1992</v>
          </cell>
          <cell r="B1832" t="str">
            <v/>
          </cell>
          <cell r="C1832" t="str">
            <v>TILIA CAB SAUV 750ML</v>
          </cell>
          <cell r="D1832" t="str">
            <v/>
          </cell>
          <cell r="E1832" t="str">
            <v/>
          </cell>
          <cell r="F1832" t="str">
            <v>Pcs</v>
          </cell>
          <cell r="G1832">
            <v>110</v>
          </cell>
          <cell r="H1832" t="str">
            <v/>
          </cell>
          <cell r="I1832">
            <v>0</v>
          </cell>
          <cell r="J1832">
            <v>0</v>
          </cell>
          <cell r="K1832">
            <v>110</v>
          </cell>
          <cell r="L1832">
            <v>1288</v>
          </cell>
          <cell r="M1832">
            <v>141680</v>
          </cell>
        </row>
        <row r="1833">
          <cell r="A1833">
            <v>1993</v>
          </cell>
          <cell r="B1833" t="str">
            <v/>
          </cell>
          <cell r="C1833" t="str">
            <v>TILIA CHARDONNAY 750ML</v>
          </cell>
          <cell r="D1833" t="str">
            <v/>
          </cell>
          <cell r="E1833" t="str">
            <v/>
          </cell>
          <cell r="F1833" t="str">
            <v>Pcs</v>
          </cell>
          <cell r="G1833">
            <v>9</v>
          </cell>
          <cell r="H1833" t="str">
            <v/>
          </cell>
          <cell r="I1833">
            <v>0</v>
          </cell>
          <cell r="J1833">
            <v>9</v>
          </cell>
          <cell r="K1833">
            <v>0</v>
          </cell>
          <cell r="L1833">
            <v>1288</v>
          </cell>
          <cell r="M1833">
            <v>0</v>
          </cell>
        </row>
        <row r="1834">
          <cell r="A1834">
            <v>1994</v>
          </cell>
          <cell r="B1834" t="str">
            <v/>
          </cell>
          <cell r="C1834" t="str">
            <v>TILIA MALBEC 750ML</v>
          </cell>
          <cell r="D1834" t="str">
            <v/>
          </cell>
          <cell r="E1834" t="str">
            <v/>
          </cell>
          <cell r="F1834" t="str">
            <v>Pcs</v>
          </cell>
          <cell r="G1834">
            <v>0</v>
          </cell>
          <cell r="H1834" t="str">
            <v/>
          </cell>
          <cell r="I1834">
            <v>0</v>
          </cell>
          <cell r="J1834">
            <v>0</v>
          </cell>
          <cell r="K1834">
            <v>0</v>
          </cell>
          <cell r="L1834">
            <v>1300</v>
          </cell>
          <cell r="M1834">
            <v>0</v>
          </cell>
        </row>
        <row r="1835">
          <cell r="A1835">
            <v>2001</v>
          </cell>
          <cell r="B1835" t="str">
            <v/>
          </cell>
          <cell r="C1835" t="str">
            <v>TOMMASI 750ML</v>
          </cell>
          <cell r="D1835" t="str">
            <v/>
          </cell>
          <cell r="E1835" t="str">
            <v/>
          </cell>
          <cell r="F1835" t="str">
            <v>Pcs</v>
          </cell>
          <cell r="G1835">
            <v>0</v>
          </cell>
          <cell r="H1835" t="str">
            <v/>
          </cell>
          <cell r="I1835">
            <v>0</v>
          </cell>
          <cell r="J1835">
            <v>0</v>
          </cell>
          <cell r="K1835">
            <v>0</v>
          </cell>
          <cell r="L1835">
            <v>1288</v>
          </cell>
          <cell r="M1835">
            <v>0</v>
          </cell>
        </row>
        <row r="1836">
          <cell r="A1836">
            <v>2002</v>
          </cell>
          <cell r="B1836" t="str">
            <v/>
          </cell>
          <cell r="C1836" t="str">
            <v>TOMMASI AMARONE DELLA VALPOLICELLA CLASSICO  750ML</v>
          </cell>
          <cell r="D1836" t="str">
            <v/>
          </cell>
          <cell r="E1836" t="str">
            <v/>
          </cell>
          <cell r="F1836" t="str">
            <v>Pcs</v>
          </cell>
          <cell r="G1836">
            <v>0</v>
          </cell>
          <cell r="H1836" t="str">
            <v/>
          </cell>
          <cell r="I1836">
            <v>0</v>
          </cell>
          <cell r="J1836">
            <v>0</v>
          </cell>
          <cell r="K1836">
            <v>0</v>
          </cell>
          <cell r="L1836">
            <v>5980</v>
          </cell>
          <cell r="M1836">
            <v>0</v>
          </cell>
        </row>
        <row r="1837">
          <cell r="A1837">
            <v>2361</v>
          </cell>
          <cell r="B1837" t="str">
            <v/>
          </cell>
          <cell r="C1837" t="str">
            <v>TOMMASI BARDOLINO 750ML</v>
          </cell>
          <cell r="D1837" t="str">
            <v/>
          </cell>
          <cell r="E1837" t="str">
            <v/>
          </cell>
          <cell r="F1837" t="str">
            <v>Pcs</v>
          </cell>
          <cell r="G1837">
            <v>18</v>
          </cell>
          <cell r="H1837" t="str">
            <v/>
          </cell>
          <cell r="I1837">
            <v>0</v>
          </cell>
          <cell r="J1837">
            <v>0</v>
          </cell>
          <cell r="K1837">
            <v>18</v>
          </cell>
          <cell r="L1837">
            <v>2150</v>
          </cell>
          <cell r="M1837">
            <v>38700</v>
          </cell>
        </row>
        <row r="1838">
          <cell r="A1838">
            <v>2254</v>
          </cell>
          <cell r="B1838" t="str">
            <v/>
          </cell>
          <cell r="C1838" t="str">
            <v>TOMMASI MERLOT 750ML</v>
          </cell>
          <cell r="D1838" t="str">
            <v/>
          </cell>
          <cell r="E1838" t="str">
            <v/>
          </cell>
          <cell r="F1838" t="str">
            <v>Pcs</v>
          </cell>
          <cell r="G1838">
            <v>0</v>
          </cell>
          <cell r="H1838" t="str">
            <v/>
          </cell>
          <cell r="I1838">
            <v>0</v>
          </cell>
          <cell r="J1838">
            <v>0</v>
          </cell>
          <cell r="K1838">
            <v>0</v>
          </cell>
          <cell r="L1838">
            <v>1700</v>
          </cell>
          <cell r="M1838">
            <v>0</v>
          </cell>
        </row>
        <row r="1839">
          <cell r="A1839">
            <v>2003</v>
          </cell>
          <cell r="B1839" t="str">
            <v/>
          </cell>
          <cell r="C1839" t="str">
            <v>TOMMASI PINOTAGE 750ML</v>
          </cell>
          <cell r="D1839" t="str">
            <v/>
          </cell>
          <cell r="E1839" t="str">
            <v/>
          </cell>
          <cell r="F1839" t="str">
            <v>Pcs</v>
          </cell>
          <cell r="G1839">
            <v>0</v>
          </cell>
          <cell r="H1839" t="str">
            <v/>
          </cell>
          <cell r="I1839">
            <v>0</v>
          </cell>
          <cell r="J1839">
            <v>0</v>
          </cell>
          <cell r="K1839">
            <v>0</v>
          </cell>
          <cell r="L1839">
            <v>1288</v>
          </cell>
          <cell r="M1839">
            <v>0</v>
          </cell>
        </row>
        <row r="1840">
          <cell r="A1840">
            <v>2362</v>
          </cell>
          <cell r="B1840" t="str">
            <v/>
          </cell>
          <cell r="C1840" t="str">
            <v>TOMMASI PINOT GRIGIO 750ML</v>
          </cell>
          <cell r="D1840" t="str">
            <v/>
          </cell>
          <cell r="E1840" t="str">
            <v/>
          </cell>
          <cell r="F1840" t="str">
            <v>Pcs</v>
          </cell>
          <cell r="G1840">
            <v>0</v>
          </cell>
          <cell r="H1840" t="str">
            <v/>
          </cell>
          <cell r="I1840">
            <v>0</v>
          </cell>
          <cell r="J1840">
            <v>0</v>
          </cell>
          <cell r="K1840">
            <v>0</v>
          </cell>
          <cell r="L1840">
            <v>2150</v>
          </cell>
          <cell r="M1840">
            <v>0</v>
          </cell>
        </row>
        <row r="1841">
          <cell r="A1841">
            <v>2364</v>
          </cell>
          <cell r="B1841" t="str">
            <v/>
          </cell>
          <cell r="C1841" t="str">
            <v>TOMMASI RIPASO 750ML</v>
          </cell>
          <cell r="D1841" t="str">
            <v/>
          </cell>
          <cell r="E1841" t="str">
            <v/>
          </cell>
          <cell r="F1841" t="str">
            <v>Pcs</v>
          </cell>
          <cell r="G1841">
            <v>0</v>
          </cell>
          <cell r="H1841" t="str">
            <v/>
          </cell>
          <cell r="I1841">
            <v>0</v>
          </cell>
          <cell r="J1841">
            <v>0</v>
          </cell>
          <cell r="K1841">
            <v>0</v>
          </cell>
          <cell r="L1841">
            <v>2150</v>
          </cell>
          <cell r="M1841">
            <v>0</v>
          </cell>
        </row>
        <row r="1842">
          <cell r="A1842">
            <v>2004</v>
          </cell>
          <cell r="B1842" t="str">
            <v/>
          </cell>
          <cell r="C1842" t="str">
            <v>TOMMASI SOAVE CLASSICO 750ML</v>
          </cell>
          <cell r="D1842" t="str">
            <v/>
          </cell>
          <cell r="E1842" t="str">
            <v/>
          </cell>
          <cell r="F1842" t="str">
            <v>Pcs</v>
          </cell>
          <cell r="G1842">
            <v>17</v>
          </cell>
          <cell r="H1842" t="str">
            <v/>
          </cell>
          <cell r="I1842">
            <v>0</v>
          </cell>
          <cell r="J1842">
            <v>0</v>
          </cell>
          <cell r="K1842">
            <v>17</v>
          </cell>
          <cell r="L1842">
            <v>1288</v>
          </cell>
          <cell r="M1842">
            <v>21896</v>
          </cell>
        </row>
        <row r="1843">
          <cell r="A1843">
            <v>2363</v>
          </cell>
          <cell r="B1843" t="str">
            <v/>
          </cell>
          <cell r="C1843" t="str">
            <v>TOMMASI VALIPOLICELLA 750ML</v>
          </cell>
          <cell r="D1843" t="str">
            <v/>
          </cell>
          <cell r="E1843" t="str">
            <v/>
          </cell>
          <cell r="F1843" t="str">
            <v>Pcs</v>
          </cell>
          <cell r="G1843">
            <v>0</v>
          </cell>
          <cell r="H1843" t="str">
            <v/>
          </cell>
          <cell r="I1843">
            <v>0</v>
          </cell>
          <cell r="J1843">
            <v>0</v>
          </cell>
          <cell r="K1843">
            <v>0</v>
          </cell>
          <cell r="L1843">
            <v>2150</v>
          </cell>
          <cell r="M1843">
            <v>0</v>
          </cell>
        </row>
        <row r="1844">
          <cell r="A1844">
            <v>2585</v>
          </cell>
          <cell r="B1844" t="str">
            <v/>
          </cell>
          <cell r="C1844" t="str">
            <v>TONS DE DUORUM RED 750ML</v>
          </cell>
          <cell r="D1844" t="str">
            <v/>
          </cell>
          <cell r="E1844" t="str">
            <v/>
          </cell>
          <cell r="F1844" t="str">
            <v>Pcs</v>
          </cell>
          <cell r="G1844">
            <v>24</v>
          </cell>
          <cell r="H1844" t="str">
            <v/>
          </cell>
          <cell r="I1844">
            <v>0</v>
          </cell>
          <cell r="J1844">
            <v>0</v>
          </cell>
          <cell r="K1844">
            <v>24</v>
          </cell>
          <cell r="L1844">
            <v>1200</v>
          </cell>
          <cell r="M1844">
            <v>28800</v>
          </cell>
        </row>
        <row r="1845">
          <cell r="A1845">
            <v>2587</v>
          </cell>
          <cell r="B1845" t="str">
            <v/>
          </cell>
          <cell r="C1845" t="str">
            <v>TONS DE DUORUM ROSE 750</v>
          </cell>
          <cell r="D1845" t="str">
            <v/>
          </cell>
          <cell r="E1845" t="str">
            <v/>
          </cell>
          <cell r="F1845" t="str">
            <v>Pcs</v>
          </cell>
          <cell r="G1845">
            <v>6</v>
          </cell>
          <cell r="H1845" t="str">
            <v/>
          </cell>
          <cell r="I1845">
            <v>0</v>
          </cell>
          <cell r="J1845">
            <v>0</v>
          </cell>
          <cell r="K1845">
            <v>6</v>
          </cell>
          <cell r="L1845">
            <v>1200</v>
          </cell>
          <cell r="M1845">
            <v>7200</v>
          </cell>
        </row>
        <row r="1846">
          <cell r="A1846">
            <v>2586</v>
          </cell>
          <cell r="B1846" t="str">
            <v/>
          </cell>
          <cell r="C1846" t="str">
            <v>TONS DE DUORUM WHITE 750ML</v>
          </cell>
          <cell r="D1846" t="str">
            <v/>
          </cell>
          <cell r="E1846" t="str">
            <v/>
          </cell>
          <cell r="F1846" t="str">
            <v>Pcs</v>
          </cell>
          <cell r="G1846">
            <v>30</v>
          </cell>
          <cell r="H1846" t="str">
            <v/>
          </cell>
          <cell r="I1846">
            <v>0</v>
          </cell>
          <cell r="J1846">
            <v>0</v>
          </cell>
          <cell r="K1846">
            <v>30</v>
          </cell>
          <cell r="L1846">
            <v>1200</v>
          </cell>
          <cell r="M1846">
            <v>36000</v>
          </cell>
        </row>
        <row r="1847">
          <cell r="A1847">
            <v>2012</v>
          </cell>
          <cell r="B1847" t="str">
            <v/>
          </cell>
          <cell r="C1847" t="str">
            <v>TRUMPETER CAB FRANC 2012 750ML</v>
          </cell>
          <cell r="D1847" t="str">
            <v/>
          </cell>
          <cell r="E1847" t="str">
            <v/>
          </cell>
          <cell r="F1847" t="str">
            <v>Pcs</v>
          </cell>
          <cell r="G1847">
            <v>48</v>
          </cell>
          <cell r="H1847" t="str">
            <v/>
          </cell>
          <cell r="I1847">
            <v>0</v>
          </cell>
          <cell r="J1847">
            <v>0</v>
          </cell>
          <cell r="K1847">
            <v>48</v>
          </cell>
          <cell r="L1847">
            <v>1498</v>
          </cell>
          <cell r="M1847">
            <v>71904</v>
          </cell>
        </row>
        <row r="1848">
          <cell r="A1848">
            <v>2013</v>
          </cell>
          <cell r="B1848" t="str">
            <v/>
          </cell>
          <cell r="C1848" t="str">
            <v>TRUMPETER CAB SAUV 750ML</v>
          </cell>
          <cell r="D1848" t="str">
            <v/>
          </cell>
          <cell r="E1848" t="str">
            <v/>
          </cell>
          <cell r="F1848" t="str">
            <v>Pcs</v>
          </cell>
          <cell r="G1848">
            <v>18</v>
          </cell>
          <cell r="H1848" t="str">
            <v/>
          </cell>
          <cell r="I1848">
            <v>0</v>
          </cell>
          <cell r="J1848">
            <v>18</v>
          </cell>
          <cell r="K1848">
            <v>0</v>
          </cell>
          <cell r="L1848">
            <v>1679.68</v>
          </cell>
          <cell r="M1848">
            <v>0</v>
          </cell>
        </row>
        <row r="1849">
          <cell r="A1849">
            <v>2014</v>
          </cell>
          <cell r="B1849" t="str">
            <v/>
          </cell>
          <cell r="C1849" t="str">
            <v>TRUMPETER MALBEC 750ML</v>
          </cell>
          <cell r="D1849" t="str">
            <v/>
          </cell>
          <cell r="E1849" t="str">
            <v/>
          </cell>
          <cell r="F1849" t="str">
            <v>Pcs</v>
          </cell>
          <cell r="G1849">
            <v>24</v>
          </cell>
          <cell r="H1849" t="str">
            <v/>
          </cell>
          <cell r="I1849">
            <v>0</v>
          </cell>
          <cell r="J1849">
            <v>24</v>
          </cell>
          <cell r="K1849">
            <v>0</v>
          </cell>
          <cell r="L1849">
            <v>1737.68</v>
          </cell>
          <cell r="M1849">
            <v>0</v>
          </cell>
        </row>
        <row r="1850">
          <cell r="A1850">
            <v>2015</v>
          </cell>
          <cell r="B1850" t="str">
            <v/>
          </cell>
          <cell r="C1850" t="str">
            <v>TRUMPETER MERLOT 2020 750ML</v>
          </cell>
          <cell r="D1850" t="str">
            <v/>
          </cell>
          <cell r="E1850" t="str">
            <v/>
          </cell>
          <cell r="F1850" t="str">
            <v>Pcs</v>
          </cell>
          <cell r="G1850">
            <v>54</v>
          </cell>
          <cell r="H1850" t="str">
            <v/>
          </cell>
          <cell r="I1850">
            <v>0</v>
          </cell>
          <cell r="J1850">
            <v>24</v>
          </cell>
          <cell r="K1850">
            <v>30</v>
          </cell>
          <cell r="L1850">
            <v>1679.68</v>
          </cell>
          <cell r="M1850">
            <v>50390.4</v>
          </cell>
        </row>
        <row r="1851">
          <cell r="A1851">
            <v>2016</v>
          </cell>
          <cell r="B1851" t="str">
            <v/>
          </cell>
          <cell r="C1851" t="str">
            <v>TRUMPETER PINOT NOIR 750ml</v>
          </cell>
          <cell r="D1851" t="str">
            <v/>
          </cell>
          <cell r="E1851" t="str">
            <v/>
          </cell>
          <cell r="F1851" t="str">
            <v>Pcs</v>
          </cell>
          <cell r="G1851">
            <v>54</v>
          </cell>
          <cell r="H1851" t="str">
            <v/>
          </cell>
          <cell r="I1851">
            <v>0</v>
          </cell>
          <cell r="J1851">
            <v>6</v>
          </cell>
          <cell r="K1851">
            <v>48</v>
          </cell>
          <cell r="L1851">
            <v>1737.68</v>
          </cell>
          <cell r="M1851">
            <v>83408.64</v>
          </cell>
        </row>
        <row r="1852">
          <cell r="A1852">
            <v>2445</v>
          </cell>
          <cell r="B1852" t="str">
            <v/>
          </cell>
          <cell r="C1852" t="str">
            <v>TRUMPETER RESERVE MALBEC 750ML</v>
          </cell>
          <cell r="D1852" t="str">
            <v/>
          </cell>
          <cell r="E1852" t="str">
            <v/>
          </cell>
          <cell r="F1852" t="str">
            <v>Pcs</v>
          </cell>
          <cell r="G1852">
            <v>0</v>
          </cell>
          <cell r="H1852" t="str">
            <v/>
          </cell>
          <cell r="I1852">
            <v>0</v>
          </cell>
          <cell r="J1852">
            <v>0</v>
          </cell>
          <cell r="K1852">
            <v>0</v>
          </cell>
          <cell r="L1852">
            <v>2000</v>
          </cell>
          <cell r="M1852">
            <v>0</v>
          </cell>
        </row>
        <row r="1853">
          <cell r="A1853">
            <v>2017</v>
          </cell>
          <cell r="B1853" t="str">
            <v/>
          </cell>
          <cell r="C1853" t="str">
            <v>TRUMPETER ROSE DE MALBEC 750ml</v>
          </cell>
          <cell r="D1853" t="str">
            <v/>
          </cell>
          <cell r="E1853" t="str">
            <v/>
          </cell>
          <cell r="F1853" t="str">
            <v>Pcs</v>
          </cell>
          <cell r="G1853">
            <v>0</v>
          </cell>
          <cell r="H1853" t="str">
            <v/>
          </cell>
          <cell r="I1853">
            <v>0</v>
          </cell>
          <cell r="J1853">
            <v>0</v>
          </cell>
          <cell r="K1853">
            <v>0</v>
          </cell>
          <cell r="L1853">
            <v>1679.68</v>
          </cell>
          <cell r="M1853">
            <v>0</v>
          </cell>
        </row>
        <row r="1854">
          <cell r="A1854">
            <v>2018</v>
          </cell>
          <cell r="B1854" t="str">
            <v/>
          </cell>
          <cell r="C1854" t="str">
            <v>TRUMPETER SAUV BLANC 2021 750ML</v>
          </cell>
          <cell r="D1854" t="str">
            <v/>
          </cell>
          <cell r="E1854" t="str">
            <v/>
          </cell>
          <cell r="F1854" t="str">
            <v>Pcs</v>
          </cell>
          <cell r="G1854">
            <v>30</v>
          </cell>
          <cell r="H1854" t="str">
            <v/>
          </cell>
          <cell r="I1854">
            <v>0</v>
          </cell>
          <cell r="J1854">
            <v>24</v>
          </cell>
          <cell r="K1854">
            <v>6</v>
          </cell>
          <cell r="L1854">
            <v>1679.68</v>
          </cell>
          <cell r="M1854">
            <v>10078.08</v>
          </cell>
        </row>
        <row r="1855">
          <cell r="A1855">
            <v>2031</v>
          </cell>
          <cell r="B1855" t="str">
            <v/>
          </cell>
          <cell r="C1855" t="str">
            <v>TUSSOCK JUMPER CAB SAUV 750ml</v>
          </cell>
          <cell r="D1855" t="str">
            <v/>
          </cell>
          <cell r="E1855" t="str">
            <v/>
          </cell>
          <cell r="F1855" t="str">
            <v>Pcs</v>
          </cell>
          <cell r="G1855">
            <v>4</v>
          </cell>
          <cell r="H1855" t="str">
            <v/>
          </cell>
          <cell r="I1855">
            <v>0</v>
          </cell>
          <cell r="J1855">
            <v>0</v>
          </cell>
          <cell r="K1855">
            <v>4</v>
          </cell>
          <cell r="L1855">
            <v>1610</v>
          </cell>
          <cell r="M1855">
            <v>6440</v>
          </cell>
        </row>
        <row r="1856">
          <cell r="A1856">
            <v>2032</v>
          </cell>
          <cell r="B1856" t="str">
            <v/>
          </cell>
          <cell r="C1856" t="str">
            <v>TUSSOCK JUMPER MALBEC 750ml</v>
          </cell>
          <cell r="D1856" t="str">
            <v/>
          </cell>
          <cell r="E1856" t="str">
            <v/>
          </cell>
          <cell r="F1856" t="str">
            <v>Pcs</v>
          </cell>
          <cell r="G1856">
            <v>0</v>
          </cell>
          <cell r="H1856" t="str">
            <v/>
          </cell>
          <cell r="I1856">
            <v>0</v>
          </cell>
          <cell r="J1856">
            <v>0</v>
          </cell>
          <cell r="K1856">
            <v>0</v>
          </cell>
          <cell r="L1856">
            <v>1610</v>
          </cell>
          <cell r="M1856">
            <v>0</v>
          </cell>
        </row>
        <row r="1857">
          <cell r="A1857">
            <v>2033</v>
          </cell>
          <cell r="B1857" t="str">
            <v/>
          </cell>
          <cell r="C1857" t="str">
            <v>TUSSOCK JUMPER SAUV BLANC 750ml</v>
          </cell>
          <cell r="D1857" t="str">
            <v/>
          </cell>
          <cell r="E1857" t="str">
            <v/>
          </cell>
          <cell r="F1857" t="str">
            <v>Pcs</v>
          </cell>
          <cell r="G1857">
            <v>4</v>
          </cell>
          <cell r="H1857" t="str">
            <v/>
          </cell>
          <cell r="I1857">
            <v>0</v>
          </cell>
          <cell r="J1857">
            <v>0</v>
          </cell>
          <cell r="K1857">
            <v>4</v>
          </cell>
          <cell r="L1857">
            <v>1610</v>
          </cell>
          <cell r="M1857">
            <v>6440</v>
          </cell>
        </row>
        <row r="1858">
          <cell r="A1858">
            <v>2034</v>
          </cell>
          <cell r="B1858" t="str">
            <v/>
          </cell>
          <cell r="C1858" t="str">
            <v>TWIGA HILL 750ML</v>
          </cell>
          <cell r="D1858" t="str">
            <v/>
          </cell>
          <cell r="E1858" t="str">
            <v/>
          </cell>
          <cell r="F1858" t="str">
            <v>Pcs</v>
          </cell>
          <cell r="G1858">
            <v>0</v>
          </cell>
          <cell r="H1858" t="str">
            <v/>
          </cell>
          <cell r="I1858">
            <v>0</v>
          </cell>
          <cell r="J1858">
            <v>0</v>
          </cell>
          <cell r="K1858">
            <v>0</v>
          </cell>
          <cell r="L1858">
            <v>800</v>
          </cell>
          <cell r="M1858">
            <v>0</v>
          </cell>
        </row>
        <row r="1859">
          <cell r="A1859">
            <v>2287</v>
          </cell>
          <cell r="B1859" t="str">
            <v/>
          </cell>
          <cell r="C1859" t="str">
            <v>TWIGA HILL CAB SAUV 700ML</v>
          </cell>
          <cell r="D1859" t="str">
            <v/>
          </cell>
          <cell r="E1859" t="str">
            <v/>
          </cell>
          <cell r="F1859" t="str">
            <v>Pcs</v>
          </cell>
          <cell r="G1859">
            <v>0</v>
          </cell>
          <cell r="H1859" t="str">
            <v/>
          </cell>
          <cell r="I1859">
            <v>0</v>
          </cell>
          <cell r="J1859">
            <v>0</v>
          </cell>
          <cell r="K1859">
            <v>0</v>
          </cell>
          <cell r="L1859">
            <v>800</v>
          </cell>
          <cell r="M1859">
            <v>0</v>
          </cell>
        </row>
        <row r="1860">
          <cell r="A1860">
            <v>2288</v>
          </cell>
          <cell r="B1860" t="str">
            <v/>
          </cell>
          <cell r="C1860" t="str">
            <v>TWIGA HILL CHENIN BLANC 700ML</v>
          </cell>
          <cell r="D1860" t="str">
            <v/>
          </cell>
          <cell r="E1860" t="str">
            <v/>
          </cell>
          <cell r="F1860" t="str">
            <v>Pcs</v>
          </cell>
          <cell r="G1860">
            <v>1</v>
          </cell>
          <cell r="H1860" t="str">
            <v/>
          </cell>
          <cell r="I1860">
            <v>0</v>
          </cell>
          <cell r="J1860">
            <v>0</v>
          </cell>
          <cell r="K1860">
            <v>1</v>
          </cell>
          <cell r="L1860">
            <v>800</v>
          </cell>
          <cell r="M1860">
            <v>800</v>
          </cell>
        </row>
        <row r="1861">
          <cell r="A1861">
            <v>2289</v>
          </cell>
          <cell r="B1861" t="str">
            <v/>
          </cell>
          <cell r="C1861" t="str">
            <v>TWIGA HILL MERLOT 700ML</v>
          </cell>
          <cell r="D1861" t="str">
            <v/>
          </cell>
          <cell r="E1861" t="str">
            <v/>
          </cell>
          <cell r="F1861" t="str">
            <v>Pcs</v>
          </cell>
          <cell r="G1861">
            <v>2</v>
          </cell>
          <cell r="H1861" t="str">
            <v/>
          </cell>
          <cell r="I1861">
            <v>0</v>
          </cell>
          <cell r="J1861">
            <v>0</v>
          </cell>
          <cell r="K1861">
            <v>2</v>
          </cell>
          <cell r="L1861">
            <v>800</v>
          </cell>
          <cell r="M1861">
            <v>1600</v>
          </cell>
        </row>
        <row r="1862">
          <cell r="A1862">
            <v>2933</v>
          </cell>
          <cell r="B1862" t="str">
            <v/>
          </cell>
          <cell r="C1862" t="str">
            <v>TWINS DRY RED TINTO 5L</v>
          </cell>
          <cell r="D1862" t="str">
            <v/>
          </cell>
          <cell r="E1862" t="str">
            <v/>
          </cell>
          <cell r="F1862" t="str">
            <v>Pcs</v>
          </cell>
          <cell r="G1862">
            <v>0</v>
          </cell>
          <cell r="H1862" t="str">
            <v/>
          </cell>
          <cell r="I1862">
            <v>0</v>
          </cell>
          <cell r="J1862">
            <v>0</v>
          </cell>
          <cell r="K1862">
            <v>0</v>
          </cell>
          <cell r="L1862">
            <v>3812</v>
          </cell>
          <cell r="M1862">
            <v>0</v>
          </cell>
        </row>
        <row r="1863">
          <cell r="A1863">
            <v>2934</v>
          </cell>
          <cell r="B1863" t="str">
            <v/>
          </cell>
          <cell r="C1863" t="str">
            <v>TWINS DRY WHITE BLANCO 5L</v>
          </cell>
          <cell r="D1863" t="str">
            <v/>
          </cell>
          <cell r="E1863" t="str">
            <v/>
          </cell>
          <cell r="F1863" t="str">
            <v>Pcs</v>
          </cell>
          <cell r="G1863">
            <v>0</v>
          </cell>
          <cell r="H1863" t="str">
            <v/>
          </cell>
          <cell r="I1863">
            <v>0</v>
          </cell>
          <cell r="J1863">
            <v>0</v>
          </cell>
          <cell r="K1863">
            <v>0</v>
          </cell>
          <cell r="L1863">
            <v>3580</v>
          </cell>
          <cell r="M1863">
            <v>0</v>
          </cell>
        </row>
        <row r="1864">
          <cell r="A1864">
            <v>2444</v>
          </cell>
          <cell r="B1864" t="str">
            <v/>
          </cell>
          <cell r="C1864" t="str">
            <v>TWO OCEANS CAB SAUV MERLOT 750ML</v>
          </cell>
          <cell r="D1864" t="str">
            <v/>
          </cell>
          <cell r="E1864" t="str">
            <v/>
          </cell>
          <cell r="F1864" t="str">
            <v>Pcs</v>
          </cell>
          <cell r="G1864">
            <v>24</v>
          </cell>
          <cell r="H1864" t="str">
            <v/>
          </cell>
          <cell r="I1864">
            <v>0</v>
          </cell>
          <cell r="J1864">
            <v>0</v>
          </cell>
          <cell r="K1864">
            <v>24</v>
          </cell>
          <cell r="L1864">
            <v>1104</v>
          </cell>
          <cell r="M1864">
            <v>26496</v>
          </cell>
        </row>
        <row r="1865">
          <cell r="A1865">
            <v>2036</v>
          </cell>
          <cell r="B1865" t="str">
            <v/>
          </cell>
          <cell r="C1865" t="str">
            <v>TWO OCEANS SAUV BLANC 750ML</v>
          </cell>
          <cell r="D1865" t="str">
            <v/>
          </cell>
          <cell r="E1865" t="str">
            <v/>
          </cell>
          <cell r="F1865" t="str">
            <v>Pcs</v>
          </cell>
          <cell r="G1865">
            <v>4</v>
          </cell>
          <cell r="H1865" t="str">
            <v/>
          </cell>
          <cell r="I1865">
            <v>0</v>
          </cell>
          <cell r="J1865">
            <v>0</v>
          </cell>
          <cell r="K1865">
            <v>4</v>
          </cell>
          <cell r="L1865">
            <v>1104</v>
          </cell>
          <cell r="M1865">
            <v>4416</v>
          </cell>
        </row>
        <row r="1866">
          <cell r="A1866">
            <v>2830</v>
          </cell>
          <cell r="B1866" t="str">
            <v/>
          </cell>
          <cell r="C1866" t="str">
            <v>UNDURRAGA CAB SAUV 750ML</v>
          </cell>
          <cell r="D1866" t="str">
            <v/>
          </cell>
          <cell r="E1866" t="str">
            <v/>
          </cell>
          <cell r="F1866" t="str">
            <v>Pcs</v>
          </cell>
          <cell r="G1866">
            <v>24</v>
          </cell>
          <cell r="H1866" t="str">
            <v/>
          </cell>
          <cell r="I1866">
            <v>0</v>
          </cell>
          <cell r="J1866">
            <v>0</v>
          </cell>
          <cell r="K1866">
            <v>24</v>
          </cell>
          <cell r="L1866">
            <v>1100</v>
          </cell>
          <cell r="M1866">
            <v>26400</v>
          </cell>
        </row>
        <row r="1867">
          <cell r="A1867">
            <v>2437</v>
          </cell>
          <cell r="B1867" t="str">
            <v/>
          </cell>
          <cell r="C1867" t="str">
            <v>UNDURRAGA CARMENERE</v>
          </cell>
          <cell r="D1867" t="str">
            <v/>
          </cell>
          <cell r="E1867" t="str">
            <v/>
          </cell>
          <cell r="F1867" t="str">
            <v>Pcs</v>
          </cell>
          <cell r="G1867">
            <v>12</v>
          </cell>
          <cell r="H1867" t="str">
            <v/>
          </cell>
          <cell r="I1867">
            <v>0</v>
          </cell>
          <cell r="J1867">
            <v>0</v>
          </cell>
          <cell r="K1867">
            <v>12</v>
          </cell>
          <cell r="L1867">
            <v>1287.6</v>
          </cell>
          <cell r="M1867">
            <v>15451.2</v>
          </cell>
        </row>
        <row r="1868">
          <cell r="A1868">
            <v>2436</v>
          </cell>
          <cell r="B1868" t="str">
            <v/>
          </cell>
          <cell r="C1868" t="str">
            <v>UNDURRAGA MERLOT</v>
          </cell>
          <cell r="D1868" t="str">
            <v/>
          </cell>
          <cell r="E1868" t="str">
            <v/>
          </cell>
          <cell r="F1868" t="str">
            <v>Pcs</v>
          </cell>
          <cell r="G1868">
            <v>24</v>
          </cell>
          <cell r="H1868" t="str">
            <v/>
          </cell>
          <cell r="I1868">
            <v>0</v>
          </cell>
          <cell r="J1868">
            <v>0</v>
          </cell>
          <cell r="K1868">
            <v>24</v>
          </cell>
          <cell r="L1868">
            <v>1287.6</v>
          </cell>
          <cell r="M1868">
            <v>30902.4</v>
          </cell>
        </row>
        <row r="1869">
          <cell r="A1869">
            <v>2037</v>
          </cell>
          <cell r="B1869" t="str">
            <v/>
          </cell>
          <cell r="C1869" t="str">
            <v>UPPER VALLEY DRY RED 1.5ltr</v>
          </cell>
          <cell r="D1869" t="str">
            <v/>
          </cell>
          <cell r="E1869" t="str">
            <v/>
          </cell>
          <cell r="F1869" t="str">
            <v>Pcs</v>
          </cell>
          <cell r="G1869">
            <v>0</v>
          </cell>
          <cell r="H1869" t="str">
            <v/>
          </cell>
          <cell r="I1869">
            <v>0</v>
          </cell>
          <cell r="J1869">
            <v>0</v>
          </cell>
          <cell r="K1869">
            <v>0</v>
          </cell>
          <cell r="L1869">
            <v>2116</v>
          </cell>
          <cell r="M1869">
            <v>0</v>
          </cell>
        </row>
        <row r="1870">
          <cell r="A1870">
            <v>2371</v>
          </cell>
          <cell r="B1870" t="str">
            <v/>
          </cell>
          <cell r="C1870" t="str">
            <v>UPPER VALLEY DRY RED 750ML</v>
          </cell>
          <cell r="D1870" t="str">
            <v/>
          </cell>
          <cell r="E1870" t="str">
            <v/>
          </cell>
          <cell r="F1870" t="str">
            <v>Pcs</v>
          </cell>
          <cell r="G1870">
            <v>0</v>
          </cell>
          <cell r="H1870" t="str">
            <v/>
          </cell>
          <cell r="I1870">
            <v>0</v>
          </cell>
          <cell r="J1870">
            <v>0</v>
          </cell>
          <cell r="K1870">
            <v>0</v>
          </cell>
          <cell r="L1870">
            <v>1000</v>
          </cell>
          <cell r="M1870">
            <v>0</v>
          </cell>
        </row>
        <row r="1871">
          <cell r="A1871">
            <v>2040</v>
          </cell>
          <cell r="B1871" t="str">
            <v/>
          </cell>
          <cell r="C1871" t="str">
            <v>UPPER VALLEY SWEET WHITE 750ML</v>
          </cell>
          <cell r="D1871" t="str">
            <v/>
          </cell>
          <cell r="E1871" t="str">
            <v/>
          </cell>
          <cell r="F1871" t="str">
            <v>Pcs</v>
          </cell>
          <cell r="G1871">
            <v>0</v>
          </cell>
          <cell r="H1871" t="str">
            <v/>
          </cell>
          <cell r="I1871">
            <v>0</v>
          </cell>
          <cell r="J1871">
            <v>0</v>
          </cell>
          <cell r="K1871">
            <v>0</v>
          </cell>
          <cell r="L1871">
            <v>1104</v>
          </cell>
          <cell r="M1871">
            <v>0</v>
          </cell>
        </row>
        <row r="1872">
          <cell r="A1872">
            <v>2553</v>
          </cell>
          <cell r="B1872" t="str">
            <v/>
          </cell>
          <cell r="C1872" t="str">
            <v>VAN AFRICAN JAVA PINOTAGE 750ML</v>
          </cell>
          <cell r="D1872" t="str">
            <v/>
          </cell>
          <cell r="E1872" t="str">
            <v/>
          </cell>
          <cell r="F1872" t="str">
            <v>Pcs</v>
          </cell>
          <cell r="G1872">
            <v>0</v>
          </cell>
          <cell r="H1872" t="str">
            <v/>
          </cell>
          <cell r="I1872">
            <v>0</v>
          </cell>
          <cell r="J1872">
            <v>0</v>
          </cell>
          <cell r="K1872">
            <v>0</v>
          </cell>
          <cell r="L1872">
            <v>1412</v>
          </cell>
          <cell r="M1872">
            <v>0</v>
          </cell>
        </row>
        <row r="1873">
          <cell r="A1873">
            <v>2554</v>
          </cell>
          <cell r="B1873" t="str">
            <v/>
          </cell>
          <cell r="C1873" t="str">
            <v>VAN BLANC DE BLANC 750ML</v>
          </cell>
          <cell r="D1873" t="str">
            <v/>
          </cell>
          <cell r="E1873" t="str">
            <v/>
          </cell>
          <cell r="F1873" t="str">
            <v>Pcs</v>
          </cell>
          <cell r="G1873">
            <v>0</v>
          </cell>
          <cell r="H1873" t="str">
            <v/>
          </cell>
          <cell r="I1873">
            <v>0</v>
          </cell>
          <cell r="J1873">
            <v>0</v>
          </cell>
          <cell r="K1873">
            <v>0</v>
          </cell>
          <cell r="L1873">
            <v>1040</v>
          </cell>
          <cell r="M1873">
            <v>0</v>
          </cell>
        </row>
        <row r="1874">
          <cell r="A1874">
            <v>2555</v>
          </cell>
          <cell r="B1874" t="str">
            <v/>
          </cell>
          <cell r="C1874" t="str">
            <v>VAN BRUT SPARKLING 750ML</v>
          </cell>
          <cell r="D1874" t="str">
            <v/>
          </cell>
          <cell r="E1874" t="str">
            <v/>
          </cell>
          <cell r="F1874" t="str">
            <v>Pcs</v>
          </cell>
          <cell r="G1874">
            <v>0</v>
          </cell>
          <cell r="H1874" t="str">
            <v/>
          </cell>
          <cell r="I1874">
            <v>0</v>
          </cell>
          <cell r="J1874">
            <v>0</v>
          </cell>
          <cell r="K1874">
            <v>0</v>
          </cell>
          <cell r="L1874">
            <v>1403</v>
          </cell>
          <cell r="M1874">
            <v>0</v>
          </cell>
        </row>
        <row r="1875">
          <cell r="A1875">
            <v>2557</v>
          </cell>
          <cell r="B1875" t="str">
            <v/>
          </cell>
          <cell r="C1875" t="str">
            <v>VAN CHENIN BLANC NO 5 750ML</v>
          </cell>
          <cell r="D1875" t="str">
            <v/>
          </cell>
          <cell r="E1875" t="str">
            <v/>
          </cell>
          <cell r="F1875" t="str">
            <v>Pcs</v>
          </cell>
          <cell r="G1875">
            <v>0</v>
          </cell>
          <cell r="H1875" t="str">
            <v/>
          </cell>
          <cell r="I1875">
            <v>0</v>
          </cell>
          <cell r="J1875">
            <v>0</v>
          </cell>
          <cell r="K1875">
            <v>0</v>
          </cell>
          <cell r="L1875">
            <v>1290</v>
          </cell>
          <cell r="M1875">
            <v>0</v>
          </cell>
        </row>
        <row r="1876">
          <cell r="A1876">
            <v>2558</v>
          </cell>
          <cell r="B1876" t="str">
            <v/>
          </cell>
          <cell r="C1876" t="str">
            <v>VAN GEWURZTRAMINER 750ML</v>
          </cell>
          <cell r="D1876" t="str">
            <v/>
          </cell>
          <cell r="E1876" t="str">
            <v/>
          </cell>
          <cell r="F1876" t="str">
            <v>Pcs</v>
          </cell>
          <cell r="G1876">
            <v>0</v>
          </cell>
          <cell r="H1876" t="str">
            <v/>
          </cell>
          <cell r="I1876">
            <v>0</v>
          </cell>
          <cell r="J1876">
            <v>0</v>
          </cell>
          <cell r="K1876">
            <v>0</v>
          </cell>
          <cell r="L1876">
            <v>1247</v>
          </cell>
          <cell r="M1876">
            <v>0</v>
          </cell>
        </row>
        <row r="1877">
          <cell r="A1877">
            <v>2255</v>
          </cell>
          <cell r="B1877" t="str">
            <v/>
          </cell>
          <cell r="C1877" t="str">
            <v>VAN LOVEREN CAB SAUV 700ML</v>
          </cell>
          <cell r="D1877" t="str">
            <v/>
          </cell>
          <cell r="E1877" t="str">
            <v/>
          </cell>
          <cell r="F1877" t="str">
            <v>Pcs</v>
          </cell>
          <cell r="G1877">
            <v>6</v>
          </cell>
          <cell r="H1877" t="str">
            <v/>
          </cell>
          <cell r="I1877">
            <v>0</v>
          </cell>
          <cell r="J1877">
            <v>0</v>
          </cell>
          <cell r="K1877">
            <v>6</v>
          </cell>
          <cell r="L1877">
            <v>3100</v>
          </cell>
          <cell r="M1877">
            <v>18600</v>
          </cell>
        </row>
        <row r="1878">
          <cell r="A1878">
            <v>2257</v>
          </cell>
          <cell r="B1878" t="str">
            <v/>
          </cell>
          <cell r="C1878" t="str">
            <v>VAN LOVEREN CHENIN BLANC 750ML</v>
          </cell>
          <cell r="D1878" t="str">
            <v/>
          </cell>
          <cell r="E1878" t="str">
            <v/>
          </cell>
          <cell r="F1878" t="str">
            <v>Pcs</v>
          </cell>
          <cell r="G1878">
            <v>0</v>
          </cell>
          <cell r="H1878" t="str">
            <v/>
          </cell>
          <cell r="I1878">
            <v>0</v>
          </cell>
          <cell r="J1878">
            <v>0</v>
          </cell>
          <cell r="K1878">
            <v>0</v>
          </cell>
          <cell r="L1878">
            <v>3100</v>
          </cell>
          <cell r="M1878">
            <v>0</v>
          </cell>
        </row>
        <row r="1879">
          <cell r="A1879">
            <v>2559</v>
          </cell>
          <cell r="B1879" t="str">
            <v/>
          </cell>
          <cell r="C1879" t="str">
            <v>VAN MOSCATO ROSE PERLE 750ML</v>
          </cell>
          <cell r="D1879" t="str">
            <v/>
          </cell>
          <cell r="E1879" t="str">
            <v/>
          </cell>
          <cell r="F1879" t="str">
            <v>Pcs</v>
          </cell>
          <cell r="G1879">
            <v>0</v>
          </cell>
          <cell r="H1879" t="str">
            <v/>
          </cell>
          <cell r="I1879">
            <v>0</v>
          </cell>
          <cell r="J1879">
            <v>0</v>
          </cell>
          <cell r="K1879">
            <v>0</v>
          </cell>
          <cell r="L1879">
            <v>1016</v>
          </cell>
          <cell r="M1879">
            <v>0</v>
          </cell>
        </row>
        <row r="1880">
          <cell r="A1880">
            <v>2560</v>
          </cell>
          <cell r="B1880" t="str">
            <v/>
          </cell>
          <cell r="C1880" t="str">
            <v>VAN RIVER RED SHIRAZ PINOTAGE 750ML</v>
          </cell>
          <cell r="D1880" t="str">
            <v/>
          </cell>
          <cell r="E1880" t="str">
            <v/>
          </cell>
          <cell r="F1880" t="str">
            <v>Pcs</v>
          </cell>
          <cell r="G1880">
            <v>0</v>
          </cell>
          <cell r="H1880" t="str">
            <v/>
          </cell>
          <cell r="I1880">
            <v>0</v>
          </cell>
          <cell r="J1880">
            <v>0</v>
          </cell>
          <cell r="K1880">
            <v>0</v>
          </cell>
          <cell r="L1880">
            <v>1155</v>
          </cell>
          <cell r="M1880">
            <v>0</v>
          </cell>
        </row>
        <row r="1881">
          <cell r="A1881">
            <v>2531</v>
          </cell>
          <cell r="B1881" t="str">
            <v/>
          </cell>
          <cell r="C1881" t="str">
            <v>VAN SAUVIGNON BLANC 750ML</v>
          </cell>
          <cell r="D1881" t="str">
            <v/>
          </cell>
          <cell r="E1881" t="str">
            <v/>
          </cell>
          <cell r="F1881" t="str">
            <v>Pcs</v>
          </cell>
          <cell r="G1881">
            <v>0</v>
          </cell>
          <cell r="H1881" t="str">
            <v/>
          </cell>
          <cell r="I1881">
            <v>0</v>
          </cell>
          <cell r="J1881">
            <v>0</v>
          </cell>
          <cell r="K1881">
            <v>0</v>
          </cell>
          <cell r="L1881">
            <v>1276</v>
          </cell>
          <cell r="M1881">
            <v>0</v>
          </cell>
        </row>
        <row r="1882">
          <cell r="A1882">
            <v>2052</v>
          </cell>
          <cell r="B1882" t="str">
            <v/>
          </cell>
          <cell r="C1882" t="str">
            <v>VERSUS RED DRY 1LTR </v>
          </cell>
          <cell r="D1882" t="str">
            <v/>
          </cell>
          <cell r="E1882" t="str">
            <v/>
          </cell>
          <cell r="F1882" t="str">
            <v>Pcs</v>
          </cell>
          <cell r="G1882">
            <v>334</v>
          </cell>
          <cell r="H1882" t="str">
            <v/>
          </cell>
          <cell r="I1882">
            <v>0</v>
          </cell>
          <cell r="J1882">
            <v>0</v>
          </cell>
          <cell r="K1882">
            <v>334</v>
          </cell>
          <cell r="L1882">
            <v>1012</v>
          </cell>
          <cell r="M1882">
            <v>338008</v>
          </cell>
        </row>
        <row r="1883">
          <cell r="A1883">
            <v>2053</v>
          </cell>
          <cell r="B1883" t="str">
            <v/>
          </cell>
          <cell r="C1883" t="str">
            <v>VERSUS SWEET RED 750ML</v>
          </cell>
          <cell r="D1883" t="str">
            <v/>
          </cell>
          <cell r="E1883" t="str">
            <v/>
          </cell>
          <cell r="F1883" t="str">
            <v>Pcs</v>
          </cell>
          <cell r="G1883">
            <v>0</v>
          </cell>
          <cell r="H1883" t="str">
            <v/>
          </cell>
          <cell r="I1883">
            <v>0</v>
          </cell>
          <cell r="J1883">
            <v>0</v>
          </cell>
          <cell r="K1883">
            <v>0</v>
          </cell>
          <cell r="L1883">
            <v>700</v>
          </cell>
          <cell r="M1883">
            <v>0</v>
          </cell>
        </row>
        <row r="1884">
          <cell r="A1884">
            <v>2054</v>
          </cell>
          <cell r="B1884" t="str">
            <v/>
          </cell>
          <cell r="C1884" t="str">
            <v>VERSUS SWEET WHITE 750ML</v>
          </cell>
          <cell r="D1884" t="str">
            <v/>
          </cell>
          <cell r="E1884" t="str">
            <v/>
          </cell>
          <cell r="F1884" t="str">
            <v>Pcs</v>
          </cell>
          <cell r="G1884">
            <v>26</v>
          </cell>
          <cell r="H1884" t="str">
            <v/>
          </cell>
          <cell r="I1884">
            <v>0</v>
          </cell>
          <cell r="J1884">
            <v>0</v>
          </cell>
          <cell r="K1884">
            <v>26</v>
          </cell>
          <cell r="L1884">
            <v>700</v>
          </cell>
          <cell r="M1884">
            <v>18200</v>
          </cell>
        </row>
        <row r="1885">
          <cell r="A1885">
            <v>2055</v>
          </cell>
          <cell r="B1885" t="str">
            <v/>
          </cell>
          <cell r="C1885" t="str">
            <v>VERSUS WHITE DRY 1LTR</v>
          </cell>
          <cell r="D1885" t="str">
            <v/>
          </cell>
          <cell r="E1885" t="str">
            <v/>
          </cell>
          <cell r="F1885" t="str">
            <v>Pcs</v>
          </cell>
          <cell r="G1885">
            <v>246</v>
          </cell>
          <cell r="H1885" t="str">
            <v/>
          </cell>
          <cell r="I1885">
            <v>0</v>
          </cell>
          <cell r="J1885">
            <v>0</v>
          </cell>
          <cell r="K1885">
            <v>246</v>
          </cell>
          <cell r="L1885">
            <v>1012</v>
          </cell>
          <cell r="M1885">
            <v>248952</v>
          </cell>
        </row>
        <row r="1886">
          <cell r="A1886">
            <v>2063</v>
          </cell>
          <cell r="B1886" t="str">
            <v/>
          </cell>
          <cell r="C1886" t="str">
            <v>VILAVERARONI PROSECCO BRUT 750ml</v>
          </cell>
          <cell r="D1886" t="str">
            <v/>
          </cell>
          <cell r="E1886" t="str">
            <v/>
          </cell>
          <cell r="F1886" t="str">
            <v>Pcs</v>
          </cell>
          <cell r="G1886">
            <v>12</v>
          </cell>
          <cell r="H1886" t="str">
            <v/>
          </cell>
          <cell r="I1886">
            <v>0</v>
          </cell>
          <cell r="J1886">
            <v>12</v>
          </cell>
          <cell r="K1886">
            <v>0</v>
          </cell>
          <cell r="L1886">
            <v>2116</v>
          </cell>
          <cell r="M1886">
            <v>0</v>
          </cell>
        </row>
        <row r="1887">
          <cell r="A1887">
            <v>2065</v>
          </cell>
          <cell r="B1887" t="str">
            <v/>
          </cell>
          <cell r="C1887" t="str">
            <v>VINA MAIPO MOSCATO 750ML</v>
          </cell>
          <cell r="D1887" t="str">
            <v/>
          </cell>
          <cell r="E1887" t="str">
            <v/>
          </cell>
          <cell r="F1887" t="str">
            <v>Pcs</v>
          </cell>
          <cell r="G1887">
            <v>2</v>
          </cell>
          <cell r="H1887" t="str">
            <v/>
          </cell>
          <cell r="I1887">
            <v>0</v>
          </cell>
          <cell r="J1887">
            <v>0</v>
          </cell>
          <cell r="K1887">
            <v>2</v>
          </cell>
          <cell r="L1887">
            <v>1012</v>
          </cell>
          <cell r="M1887">
            <v>2024</v>
          </cell>
        </row>
        <row r="1888">
          <cell r="A1888">
            <v>2067</v>
          </cell>
          <cell r="B1888" t="str">
            <v/>
          </cell>
          <cell r="C1888" t="str">
            <v>VINA MAIPO SAUV BLANC 750ML</v>
          </cell>
          <cell r="D1888" t="str">
            <v/>
          </cell>
          <cell r="E1888" t="str">
            <v/>
          </cell>
          <cell r="F1888" t="str">
            <v>Pcs</v>
          </cell>
          <cell r="G1888">
            <v>0</v>
          </cell>
          <cell r="H1888" t="str">
            <v/>
          </cell>
          <cell r="I1888">
            <v>0</v>
          </cell>
          <cell r="J1888">
            <v>0</v>
          </cell>
          <cell r="K1888">
            <v>0</v>
          </cell>
          <cell r="L1888">
            <v>1104</v>
          </cell>
          <cell r="M1888">
            <v>0</v>
          </cell>
        </row>
        <row r="1889">
          <cell r="A1889">
            <v>2068</v>
          </cell>
          <cell r="B1889" t="str">
            <v/>
          </cell>
          <cell r="C1889" t="str">
            <v>VINA MAIPO SWEET RED 750ML</v>
          </cell>
          <cell r="D1889" t="str">
            <v/>
          </cell>
          <cell r="E1889" t="str">
            <v/>
          </cell>
          <cell r="F1889" t="str">
            <v>Pcs</v>
          </cell>
          <cell r="G1889">
            <v>0</v>
          </cell>
          <cell r="H1889" t="str">
            <v/>
          </cell>
          <cell r="I1889">
            <v>0</v>
          </cell>
          <cell r="J1889">
            <v>0</v>
          </cell>
          <cell r="K1889">
            <v>0</v>
          </cell>
          <cell r="L1889">
            <v>1104</v>
          </cell>
          <cell r="M1889">
            <v>0</v>
          </cell>
        </row>
        <row r="1890">
          <cell r="A1890">
            <v>2291</v>
          </cell>
          <cell r="B1890" t="str">
            <v/>
          </cell>
          <cell r="C1890" t="str">
            <v>VINCLES SUMA MOCA 750ML</v>
          </cell>
          <cell r="D1890" t="str">
            <v/>
          </cell>
          <cell r="E1890" t="str">
            <v/>
          </cell>
          <cell r="F1890" t="str">
            <v>Pcs</v>
          </cell>
          <cell r="G1890">
            <v>1</v>
          </cell>
          <cell r="H1890" t="str">
            <v/>
          </cell>
          <cell r="I1890">
            <v>0</v>
          </cell>
          <cell r="J1890">
            <v>0</v>
          </cell>
          <cell r="K1890">
            <v>1</v>
          </cell>
          <cell r="L1890">
            <v>600</v>
          </cell>
          <cell r="M1890">
            <v>600</v>
          </cell>
        </row>
        <row r="1891">
          <cell r="A1891">
            <v>2535</v>
          </cell>
          <cell r="B1891" t="str">
            <v/>
          </cell>
          <cell r="C1891" t="str">
            <v>VINO DE MISA SWEET RED SUPERIOR 750ML</v>
          </cell>
          <cell r="D1891" t="str">
            <v/>
          </cell>
          <cell r="E1891" t="str">
            <v/>
          </cell>
          <cell r="F1891" t="str">
            <v>Pcs</v>
          </cell>
          <cell r="G1891">
            <v>0</v>
          </cell>
          <cell r="H1891" t="str">
            <v/>
          </cell>
          <cell r="I1891">
            <v>0</v>
          </cell>
          <cell r="J1891">
            <v>0</v>
          </cell>
          <cell r="K1891">
            <v>0</v>
          </cell>
          <cell r="L1891">
            <v>1677</v>
          </cell>
          <cell r="M1891">
            <v>0</v>
          </cell>
        </row>
        <row r="1892">
          <cell r="A1892">
            <v>2524</v>
          </cell>
          <cell r="B1892" t="str">
            <v/>
          </cell>
          <cell r="C1892" t="str">
            <v>VINUM CHIANTI RESERVA 750ML</v>
          </cell>
          <cell r="D1892" t="str">
            <v/>
          </cell>
          <cell r="E1892" t="str">
            <v/>
          </cell>
          <cell r="F1892" t="str">
            <v>Pcs</v>
          </cell>
          <cell r="G1892">
            <v>0</v>
          </cell>
          <cell r="H1892" t="str">
            <v/>
          </cell>
          <cell r="I1892">
            <v>0</v>
          </cell>
          <cell r="J1892">
            <v>0</v>
          </cell>
          <cell r="K1892">
            <v>0</v>
          </cell>
          <cell r="L1892">
            <v>2000</v>
          </cell>
          <cell r="M1892">
            <v>0</v>
          </cell>
        </row>
        <row r="1893">
          <cell r="A1893">
            <v>2529</v>
          </cell>
          <cell r="B1893" t="str">
            <v/>
          </cell>
          <cell r="C1893" t="str">
            <v>VINUM IL ROSSO DABRUZZO ORGANIC 750ML</v>
          </cell>
          <cell r="D1893" t="str">
            <v/>
          </cell>
          <cell r="E1893" t="str">
            <v/>
          </cell>
          <cell r="F1893" t="str">
            <v>Pcs</v>
          </cell>
          <cell r="G1893">
            <v>0</v>
          </cell>
          <cell r="H1893" t="str">
            <v/>
          </cell>
          <cell r="I1893">
            <v>0</v>
          </cell>
          <cell r="J1893">
            <v>0</v>
          </cell>
          <cell r="K1893">
            <v>0</v>
          </cell>
          <cell r="L1893">
            <v>1883</v>
          </cell>
          <cell r="M1893">
            <v>0</v>
          </cell>
        </row>
        <row r="1894">
          <cell r="A1894">
            <v>2525</v>
          </cell>
          <cell r="B1894" t="str">
            <v/>
          </cell>
          <cell r="C1894" t="str">
            <v>VINUM MOSCATO DASTI 750ML</v>
          </cell>
          <cell r="D1894" t="str">
            <v/>
          </cell>
          <cell r="E1894" t="str">
            <v/>
          </cell>
          <cell r="F1894" t="str">
            <v>Pcs</v>
          </cell>
          <cell r="G1894">
            <v>0</v>
          </cell>
          <cell r="H1894" t="str">
            <v/>
          </cell>
          <cell r="I1894">
            <v>0</v>
          </cell>
          <cell r="J1894">
            <v>0</v>
          </cell>
          <cell r="K1894">
            <v>0</v>
          </cell>
          <cell r="L1894">
            <v>1959</v>
          </cell>
          <cell r="M1894">
            <v>0</v>
          </cell>
        </row>
        <row r="1895">
          <cell r="A1895">
            <v>2069</v>
          </cell>
          <cell r="B1895" t="str">
            <v/>
          </cell>
          <cell r="C1895" t="str">
            <v>VINUM PROSECO 750ML</v>
          </cell>
          <cell r="D1895" t="str">
            <v/>
          </cell>
          <cell r="E1895" t="str">
            <v/>
          </cell>
          <cell r="F1895" t="str">
            <v>Pcs</v>
          </cell>
          <cell r="G1895">
            <v>0</v>
          </cell>
          <cell r="H1895" t="str">
            <v/>
          </cell>
          <cell r="I1895">
            <v>0</v>
          </cell>
          <cell r="J1895">
            <v>0</v>
          </cell>
          <cell r="K1895">
            <v>0</v>
          </cell>
          <cell r="L1895">
            <v>2116</v>
          </cell>
          <cell r="M1895">
            <v>0</v>
          </cell>
        </row>
        <row r="1896">
          <cell r="A1896">
            <v>2070</v>
          </cell>
          <cell r="B1896" t="str">
            <v/>
          </cell>
          <cell r="C1896" t="str">
            <v>WARWICK 750ML</v>
          </cell>
          <cell r="D1896" t="str">
            <v/>
          </cell>
          <cell r="E1896" t="str">
            <v/>
          </cell>
          <cell r="F1896" t="str">
            <v>Pcs</v>
          </cell>
          <cell r="G1896">
            <v>0</v>
          </cell>
          <cell r="H1896" t="str">
            <v/>
          </cell>
          <cell r="I1896">
            <v>0</v>
          </cell>
          <cell r="J1896">
            <v>0</v>
          </cell>
          <cell r="K1896">
            <v>0</v>
          </cell>
          <cell r="L1896">
            <v>1104</v>
          </cell>
          <cell r="M1896">
            <v>0</v>
          </cell>
        </row>
        <row r="1897">
          <cell r="A1897">
            <v>2365</v>
          </cell>
          <cell r="B1897" t="str">
            <v/>
          </cell>
          <cell r="C1897" t="str">
            <v>WATERFORD PEBBLE HILL 750ML</v>
          </cell>
          <cell r="D1897" t="str">
            <v/>
          </cell>
          <cell r="E1897" t="str">
            <v/>
          </cell>
          <cell r="F1897" t="str">
            <v>Pcs</v>
          </cell>
          <cell r="G1897">
            <v>18</v>
          </cell>
          <cell r="H1897" t="str">
            <v/>
          </cell>
          <cell r="I1897">
            <v>0</v>
          </cell>
          <cell r="J1897">
            <v>0</v>
          </cell>
          <cell r="K1897">
            <v>18</v>
          </cell>
          <cell r="L1897">
            <v>1700</v>
          </cell>
          <cell r="M1897">
            <v>30600</v>
          </cell>
        </row>
        <row r="1898">
          <cell r="A1898">
            <v>2072</v>
          </cell>
          <cell r="B1898" t="str">
            <v/>
          </cell>
          <cell r="C1898" t="str">
            <v>WATERFORD ROSEMARY 750ML</v>
          </cell>
          <cell r="D1898" t="str">
            <v/>
          </cell>
          <cell r="E1898" t="str">
            <v/>
          </cell>
          <cell r="F1898" t="str">
            <v>Pcs</v>
          </cell>
          <cell r="G1898">
            <v>0</v>
          </cell>
          <cell r="H1898" t="str">
            <v/>
          </cell>
          <cell r="I1898">
            <v>0</v>
          </cell>
          <cell r="J1898">
            <v>0</v>
          </cell>
          <cell r="K1898">
            <v>0</v>
          </cell>
          <cell r="L1898">
            <v>1104</v>
          </cell>
          <cell r="M1898">
            <v>0</v>
          </cell>
        </row>
        <row r="1899">
          <cell r="A1899">
            <v>2071</v>
          </cell>
          <cell r="B1899" t="str">
            <v/>
          </cell>
          <cell r="C1899" t="str">
            <v>WATERFORD SAUV BLANC 750ML</v>
          </cell>
          <cell r="D1899" t="str">
            <v/>
          </cell>
          <cell r="E1899" t="str">
            <v/>
          </cell>
          <cell r="F1899" t="str">
            <v>Pcs</v>
          </cell>
          <cell r="G1899">
            <v>0</v>
          </cell>
          <cell r="H1899" t="str">
            <v/>
          </cell>
          <cell r="I1899">
            <v>0</v>
          </cell>
          <cell r="J1899">
            <v>0</v>
          </cell>
          <cell r="K1899">
            <v>0</v>
          </cell>
          <cell r="L1899">
            <v>1104</v>
          </cell>
          <cell r="M1899">
            <v>0</v>
          </cell>
        </row>
        <row r="1900">
          <cell r="A1900">
            <v>2256</v>
          </cell>
          <cell r="B1900" t="str">
            <v/>
          </cell>
          <cell r="C1900" t="str">
            <v>WAVE DANCER SWT WHITE  700ML</v>
          </cell>
          <cell r="D1900" t="str">
            <v/>
          </cell>
          <cell r="E1900" t="str">
            <v/>
          </cell>
          <cell r="F1900" t="str">
            <v>Pcs</v>
          </cell>
          <cell r="G1900">
            <v>5</v>
          </cell>
          <cell r="H1900" t="str">
            <v/>
          </cell>
          <cell r="I1900">
            <v>0</v>
          </cell>
          <cell r="J1900">
            <v>0</v>
          </cell>
          <cell r="K1900">
            <v>5</v>
          </cell>
          <cell r="L1900">
            <v>450</v>
          </cell>
          <cell r="M1900">
            <v>2250</v>
          </cell>
        </row>
        <row r="1901">
          <cell r="A1901">
            <v>2073</v>
          </cell>
          <cell r="B1901" t="str">
            <v/>
          </cell>
          <cell r="C1901" t="str">
            <v>WAVE DANGER 750ML</v>
          </cell>
          <cell r="D1901" t="str">
            <v/>
          </cell>
          <cell r="E1901" t="str">
            <v/>
          </cell>
          <cell r="F1901" t="str">
            <v>Pcs</v>
          </cell>
          <cell r="G1901">
            <v>0</v>
          </cell>
          <cell r="H1901" t="str">
            <v/>
          </cell>
          <cell r="I1901">
            <v>0</v>
          </cell>
          <cell r="J1901">
            <v>0</v>
          </cell>
          <cell r="K1901">
            <v>0</v>
          </cell>
          <cell r="L1901">
            <v>460</v>
          </cell>
          <cell r="M1901">
            <v>0</v>
          </cell>
        </row>
        <row r="1902">
          <cell r="A1902">
            <v>2075</v>
          </cell>
          <cell r="B1902" t="str">
            <v/>
          </cell>
          <cell r="C1902" t="str">
            <v>WELMOED CAB SAUV 750ML</v>
          </cell>
          <cell r="D1902" t="str">
            <v/>
          </cell>
          <cell r="E1902" t="str">
            <v/>
          </cell>
          <cell r="F1902" t="str">
            <v>Pcs</v>
          </cell>
          <cell r="G1902">
            <v>0</v>
          </cell>
          <cell r="H1902" t="str">
            <v/>
          </cell>
          <cell r="I1902">
            <v>0</v>
          </cell>
          <cell r="J1902">
            <v>0</v>
          </cell>
          <cell r="K1902">
            <v>0</v>
          </cell>
          <cell r="L1902">
            <v>1200</v>
          </cell>
          <cell r="M1902">
            <v>0</v>
          </cell>
        </row>
        <row r="1903">
          <cell r="A1903">
            <v>2076</v>
          </cell>
          <cell r="B1903" t="str">
            <v/>
          </cell>
          <cell r="C1903" t="str">
            <v>WELMOED CHARDONNAY 750ML</v>
          </cell>
          <cell r="D1903" t="str">
            <v/>
          </cell>
          <cell r="E1903" t="str">
            <v/>
          </cell>
          <cell r="F1903" t="str">
            <v>Pcs</v>
          </cell>
          <cell r="G1903">
            <v>24</v>
          </cell>
          <cell r="H1903" t="str">
            <v/>
          </cell>
          <cell r="I1903">
            <v>0</v>
          </cell>
          <cell r="J1903">
            <v>0</v>
          </cell>
          <cell r="K1903">
            <v>24</v>
          </cell>
          <cell r="L1903">
            <v>1200</v>
          </cell>
          <cell r="M1903">
            <v>28800</v>
          </cell>
        </row>
        <row r="1904">
          <cell r="A1904">
            <v>2077</v>
          </cell>
          <cell r="B1904" t="str">
            <v/>
          </cell>
          <cell r="C1904" t="str">
            <v>WELMOED CHENIN BLANC 750ML</v>
          </cell>
          <cell r="D1904" t="str">
            <v/>
          </cell>
          <cell r="E1904" t="str">
            <v/>
          </cell>
          <cell r="F1904" t="str">
            <v>Pcs</v>
          </cell>
          <cell r="G1904">
            <v>6</v>
          </cell>
          <cell r="H1904" t="str">
            <v/>
          </cell>
          <cell r="I1904">
            <v>0</v>
          </cell>
          <cell r="J1904">
            <v>0</v>
          </cell>
          <cell r="K1904">
            <v>6</v>
          </cell>
          <cell r="L1904">
            <v>1200</v>
          </cell>
          <cell r="M1904">
            <v>7200</v>
          </cell>
        </row>
        <row r="1905">
          <cell r="A1905">
            <v>2078</v>
          </cell>
          <cell r="B1905" t="str">
            <v/>
          </cell>
          <cell r="C1905" t="str">
            <v>WELMOED MERLOT 750ML</v>
          </cell>
          <cell r="D1905" t="str">
            <v/>
          </cell>
          <cell r="E1905" t="str">
            <v/>
          </cell>
          <cell r="F1905" t="str">
            <v>Pcs</v>
          </cell>
          <cell r="G1905">
            <v>0</v>
          </cell>
          <cell r="H1905" t="str">
            <v/>
          </cell>
          <cell r="I1905">
            <v>0</v>
          </cell>
          <cell r="J1905">
            <v>0</v>
          </cell>
          <cell r="K1905">
            <v>0</v>
          </cell>
          <cell r="L1905">
            <v>1200</v>
          </cell>
          <cell r="M1905">
            <v>0</v>
          </cell>
        </row>
        <row r="1906">
          <cell r="A1906">
            <v>2503</v>
          </cell>
          <cell r="B1906" t="str">
            <v/>
          </cell>
          <cell r="C1906" t="str">
            <v>WELMOED PINOTAGE 750ML</v>
          </cell>
          <cell r="D1906" t="str">
            <v/>
          </cell>
          <cell r="E1906" t="str">
            <v/>
          </cell>
          <cell r="F1906" t="str">
            <v>Pcs</v>
          </cell>
          <cell r="G1906">
            <v>18</v>
          </cell>
          <cell r="H1906" t="str">
            <v/>
          </cell>
          <cell r="I1906">
            <v>0</v>
          </cell>
          <cell r="J1906">
            <v>6</v>
          </cell>
          <cell r="K1906">
            <v>12</v>
          </cell>
          <cell r="L1906">
            <v>1320</v>
          </cell>
          <cell r="M1906">
            <v>15840</v>
          </cell>
        </row>
        <row r="1907">
          <cell r="A1907">
            <v>2079</v>
          </cell>
          <cell r="B1907" t="str">
            <v/>
          </cell>
          <cell r="C1907" t="str">
            <v>WELMOED PINOT GRIGIO 750ML</v>
          </cell>
          <cell r="D1907" t="str">
            <v/>
          </cell>
          <cell r="E1907" t="str">
            <v/>
          </cell>
          <cell r="F1907" t="str">
            <v>Pcs</v>
          </cell>
          <cell r="G1907">
            <v>0</v>
          </cell>
          <cell r="H1907" t="str">
            <v/>
          </cell>
          <cell r="I1907">
            <v>0</v>
          </cell>
          <cell r="J1907">
            <v>0</v>
          </cell>
          <cell r="K1907">
            <v>0</v>
          </cell>
          <cell r="L1907">
            <v>1320</v>
          </cell>
          <cell r="M1907">
            <v>0</v>
          </cell>
        </row>
        <row r="1908">
          <cell r="A1908">
            <v>2080</v>
          </cell>
          <cell r="B1908" t="str">
            <v/>
          </cell>
          <cell r="C1908" t="str">
            <v>WELMOED ROSÉ 750ML</v>
          </cell>
          <cell r="D1908" t="str">
            <v/>
          </cell>
          <cell r="E1908" t="str">
            <v/>
          </cell>
          <cell r="F1908" t="str">
            <v>Pcs</v>
          </cell>
          <cell r="G1908">
            <v>12</v>
          </cell>
          <cell r="H1908" t="str">
            <v/>
          </cell>
          <cell r="I1908">
            <v>0</v>
          </cell>
          <cell r="J1908">
            <v>0</v>
          </cell>
          <cell r="K1908">
            <v>12</v>
          </cell>
          <cell r="L1908">
            <v>1104</v>
          </cell>
          <cell r="M1908">
            <v>13248</v>
          </cell>
        </row>
        <row r="1909">
          <cell r="A1909">
            <v>2081</v>
          </cell>
          <cell r="B1909" t="str">
            <v/>
          </cell>
          <cell r="C1909" t="str">
            <v>WELMOED SAUV BLANC 750ML</v>
          </cell>
          <cell r="D1909" t="str">
            <v/>
          </cell>
          <cell r="E1909" t="str">
            <v/>
          </cell>
          <cell r="F1909" t="str">
            <v>Pcs</v>
          </cell>
          <cell r="G1909">
            <v>0</v>
          </cell>
          <cell r="H1909" t="str">
            <v/>
          </cell>
          <cell r="I1909">
            <v>0</v>
          </cell>
          <cell r="J1909">
            <v>0</v>
          </cell>
          <cell r="K1909">
            <v>0</v>
          </cell>
          <cell r="L1909">
            <v>1320</v>
          </cell>
          <cell r="M1909">
            <v>0</v>
          </cell>
        </row>
        <row r="1910">
          <cell r="A1910">
            <v>2082</v>
          </cell>
          <cell r="B1910" t="str">
            <v/>
          </cell>
          <cell r="C1910" t="str">
            <v>WELMOED SHIRAZ 750ML</v>
          </cell>
          <cell r="D1910" t="str">
            <v/>
          </cell>
          <cell r="E1910" t="str">
            <v/>
          </cell>
          <cell r="F1910" t="str">
            <v>Pcs</v>
          </cell>
          <cell r="G1910">
            <v>24</v>
          </cell>
          <cell r="H1910" t="str">
            <v/>
          </cell>
          <cell r="I1910">
            <v>0</v>
          </cell>
          <cell r="J1910">
            <v>0</v>
          </cell>
          <cell r="K1910">
            <v>24</v>
          </cell>
          <cell r="L1910">
            <v>1104</v>
          </cell>
          <cell r="M1910">
            <v>26496</v>
          </cell>
        </row>
        <row r="1911">
          <cell r="A1911">
            <v>2366</v>
          </cell>
          <cell r="B1911" t="str">
            <v/>
          </cell>
          <cell r="C1911" t="str">
            <v>ZACAPPA 1LTR</v>
          </cell>
          <cell r="D1911" t="str">
            <v/>
          </cell>
          <cell r="E1911" t="str">
            <v/>
          </cell>
          <cell r="F1911" t="str">
            <v>Pcs</v>
          </cell>
          <cell r="G1911">
            <v>18</v>
          </cell>
          <cell r="H1911" t="str">
            <v/>
          </cell>
          <cell r="I1911">
            <v>0</v>
          </cell>
          <cell r="J1911">
            <v>0</v>
          </cell>
          <cell r="K1911">
            <v>18</v>
          </cell>
          <cell r="L1911">
            <v>6500</v>
          </cell>
          <cell r="M1911">
            <v>117000</v>
          </cell>
        </row>
        <row r="1912">
          <cell r="A1912">
            <v>2789</v>
          </cell>
          <cell r="B1912" t="str">
            <v/>
          </cell>
          <cell r="C1912" t="str">
            <v>ZAPALLARES CAB SAUV 1500ML</v>
          </cell>
          <cell r="D1912" t="str">
            <v/>
          </cell>
          <cell r="E1912" t="str">
            <v/>
          </cell>
          <cell r="F1912" t="str">
            <v>Pcs</v>
          </cell>
          <cell r="G1912">
            <v>0</v>
          </cell>
          <cell r="H1912" t="str">
            <v/>
          </cell>
          <cell r="I1912">
            <v>0</v>
          </cell>
          <cell r="J1912">
            <v>0</v>
          </cell>
          <cell r="K1912">
            <v>0</v>
          </cell>
          <cell r="L1912">
            <v>1767.24</v>
          </cell>
          <cell r="M1912">
            <v>0</v>
          </cell>
        </row>
        <row r="1913">
          <cell r="A1913">
            <v>2790</v>
          </cell>
          <cell r="B1913" t="str">
            <v/>
          </cell>
          <cell r="C1913" t="str">
            <v>ZAPALLARES MERLOT 1500ML</v>
          </cell>
          <cell r="D1913" t="str">
            <v/>
          </cell>
          <cell r="E1913" t="str">
            <v/>
          </cell>
          <cell r="F1913" t="str">
            <v>Pcs</v>
          </cell>
          <cell r="G1913">
            <v>6</v>
          </cell>
          <cell r="H1913" t="str">
            <v/>
          </cell>
          <cell r="I1913">
            <v>0</v>
          </cell>
          <cell r="J1913">
            <v>0</v>
          </cell>
          <cell r="K1913">
            <v>6</v>
          </cell>
          <cell r="L1913">
            <v>1767.24</v>
          </cell>
          <cell r="M1913">
            <v>10603.44</v>
          </cell>
        </row>
        <row r="1914">
          <cell r="A1914">
            <v>2479</v>
          </cell>
          <cell r="B1914" t="str">
            <v/>
          </cell>
          <cell r="C1914" t="str">
            <v>ZONIN MERLOT FRIULI DOC AQUIEIA 750ML</v>
          </cell>
          <cell r="D1914" t="str">
            <v/>
          </cell>
          <cell r="E1914" t="str">
            <v/>
          </cell>
          <cell r="F1914" t="str">
            <v>Pcs</v>
          </cell>
          <cell r="G1914">
            <v>18</v>
          </cell>
          <cell r="H1914" t="str">
            <v/>
          </cell>
          <cell r="I1914">
            <v>0</v>
          </cell>
          <cell r="J1914">
            <v>0</v>
          </cell>
          <cell r="K1914">
            <v>18</v>
          </cell>
          <cell r="L1914">
            <v>1150</v>
          </cell>
          <cell r="M1914">
            <v>20700</v>
          </cell>
        </row>
        <row r="1915">
          <cell r="A1915">
            <v>2480</v>
          </cell>
          <cell r="B1915" t="str">
            <v/>
          </cell>
          <cell r="C1915" t="str">
            <v>ZONIN OG BARBERA VENTO 750ML</v>
          </cell>
          <cell r="D1915" t="str">
            <v/>
          </cell>
          <cell r="E1915" t="str">
            <v/>
          </cell>
          <cell r="F1915" t="str">
            <v>Pcs</v>
          </cell>
          <cell r="G1915">
            <v>12</v>
          </cell>
          <cell r="H1915" t="str">
            <v/>
          </cell>
          <cell r="I1915">
            <v>0</v>
          </cell>
          <cell r="J1915">
            <v>0</v>
          </cell>
          <cell r="K1915">
            <v>12</v>
          </cell>
          <cell r="L1915">
            <v>923</v>
          </cell>
          <cell r="M1915">
            <v>11076</v>
          </cell>
        </row>
        <row r="1916">
          <cell r="B1916" t="str">
            <v/>
          </cell>
          <cell r="C1916" t="str">
            <v/>
          </cell>
          <cell r="D1916" t="str">
            <v>WINES</v>
          </cell>
          <cell r="E1916" t="str">
            <v/>
          </cell>
          <cell r="F1916" t="str">
            <v/>
          </cell>
          <cell r="G1916">
            <v>43912</v>
          </cell>
          <cell r="H1916" t="str">
            <v/>
          </cell>
          <cell r="I1916">
            <v>14510</v>
          </cell>
          <cell r="J1916">
            <v>5702</v>
          </cell>
          <cell r="K1916">
            <v>52720</v>
          </cell>
          <cell r="L1916" t="str">
            <v/>
          </cell>
          <cell r="M1916">
            <v>55730740.922</v>
          </cell>
        </row>
        <row r="1917">
          <cell r="B1917" t="str">
            <v/>
          </cell>
          <cell r="C1917" t="str">
            <v/>
          </cell>
          <cell r="D1917" t="str">
            <v/>
          </cell>
          <cell r="E1917" t="str">
            <v/>
          </cell>
          <cell r="F1917" t="str">
            <v/>
          </cell>
          <cell r="G1917" t="str">
            <v/>
          </cell>
          <cell r="H1917" t="str">
            <v/>
          </cell>
          <cell r="I1917" t="str">
            <v/>
          </cell>
          <cell r="J1917" t="str">
            <v/>
          </cell>
          <cell r="K1917">
            <v>228075</v>
          </cell>
          <cell r="L1917" t="str">
            <v>Total Value</v>
          </cell>
          <cell r="M1917">
            <v>358788663.125828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76"/>
  <sheetViews>
    <sheetView tabSelected="1" zoomScaleSheetLayoutView="60" workbookViewId="0">
      <selection activeCell="A2" sqref="A2:A1876"/>
    </sheetView>
  </sheetViews>
  <sheetFormatPr defaultColWidth="9" defaultRowHeight="18.75"/>
  <cols>
    <col min="1" max="1" width="9" style="3"/>
    <col min="2" max="2" width="17" style="3" customWidth="1"/>
    <col min="3" max="3" width="29" style="3" customWidth="1"/>
    <col min="4" max="4" width="8.125" style="3" customWidth="1"/>
    <col min="5" max="5" width="21.375" style="3" customWidth="1"/>
    <col min="6" max="6" width="8.125" style="3" customWidth="1"/>
    <col min="7" max="7" width="11.125" style="3" customWidth="1"/>
    <col min="8" max="8" width="15.375" style="3" customWidth="1"/>
    <col min="9" max="9" width="16.375" style="3" customWidth="1"/>
    <col min="10" max="10" width="16.125" style="3" customWidth="1"/>
    <col min="11" max="12" width="9" style="3"/>
    <col min="13" max="13" width="7.375" style="3" customWidth="1"/>
    <col min="14" max="14" width="10.75" style="3" customWidth="1"/>
    <col min="15" max="16384" width="9" style="3"/>
  </cols>
  <sheetData>
    <row r="1" s="1" customFormat="1" ht="2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19">
      <c r="A2" s="3">
        <v>2860</v>
      </c>
      <c r="B2" s="3" t="b">
        <f>ISNUMBER(MATCH(A2,[1]stockregister!$A$2:$A$2000,0))</f>
        <v>0</v>
      </c>
      <c r="C2" s="3" t="s">
        <v>20</v>
      </c>
      <c r="D2" s="3" t="str">
        <f>VLOOKUP($C2,[1]stockregister!$B$2:$B$2000,1,0)</f>
        <v>COKE 350ML</v>
      </c>
      <c r="E2" s="3" t="str">
        <f>IF(ISNA($D2),VLOOKUP($A2,[2]stockregister!$A$2:$B$2000,2,FALSE),"")</f>
        <v/>
      </c>
      <c r="F2" s="3" t="s">
        <v>21</v>
      </c>
      <c r="G2" s="3">
        <f>_xlfn.IFNA(VLOOKUP($A2,[3]stockregister!$A$2:$L$2000,11,0),0)</f>
        <v>0</v>
      </c>
      <c r="H2" s="3">
        <f>_xlfn.IFNA(VLOOKUP($A2,[3]stockregister!$A$2:$L$2000,11,0),0)-$G2</f>
        <v>0</v>
      </c>
      <c r="I2" s="3">
        <f>_xlfn.IFNA(VLOOKUP($A2,[3]stockregister!$A$2:$L$2000,12,0),0)</f>
        <v>0</v>
      </c>
      <c r="J2" s="3">
        <f>_xlfn.IFNA(VLOOKUP($A2,[3]stockregister!$A$1:$M$2000,12,0),0)-$I2</f>
        <v>0</v>
      </c>
      <c r="K2" s="3" t="s">
        <v>22</v>
      </c>
      <c r="L2" s="3" t="s">
        <v>23</v>
      </c>
      <c r="M2" s="3">
        <f>_xlfn.IFNA(VLOOKUP($A2,[2]stockregister!$A$2:$H$2000,8,0),0)</f>
        <v>0</v>
      </c>
      <c r="N2" s="3">
        <f>_xlfn.IFNA(VLOOKUP($A2,[2]stockregister!$A$2:$H$2000,8,0),0)-$M2</f>
        <v>0</v>
      </c>
      <c r="O2" s="3" t="s">
        <v>24</v>
      </c>
      <c r="P2" s="3" t="s">
        <v>24</v>
      </c>
      <c r="Q2" s="3" t="s">
        <v>25</v>
      </c>
      <c r="R2" s="3" t="s">
        <v>26</v>
      </c>
      <c r="S2" s="3" t="s">
        <v>27</v>
      </c>
    </row>
    <row r="3" spans="1:18">
      <c r="A3" s="3">
        <v>1864</v>
      </c>
      <c r="B3" s="3" t="b">
        <f>ISNUMBER(MATCH(A3,[1]stockregister!$A$2:$A$2000,0))</f>
        <v>0</v>
      </c>
      <c r="C3" s="3" t="s">
        <v>28</v>
      </c>
      <c r="D3" s="3" t="e">
        <f>VLOOKUP($C3,[1]stockregister!$B$2:$B$2000,1,0)</f>
        <v>#N/A</v>
      </c>
      <c r="E3" s="3" t="e">
        <f>IF(ISNA($D3),VLOOKUP($A3,[2]stockregister!$A$2:$B$2000,2,FALSE),"")</f>
        <v>#N/A</v>
      </c>
      <c r="F3" s="3" t="s">
        <v>21</v>
      </c>
      <c r="G3" s="3">
        <f>_xlfn.IFNA(VLOOKUP($A3,[3]stockregister!$A$2:$L$2000,11,0),0)</f>
        <v>0</v>
      </c>
      <c r="H3" s="3">
        <f>_xlfn.IFNA(VLOOKUP($A3,[3]stockregister!$A$2:$L$2000,11,0),0)-$G3</f>
        <v>0</v>
      </c>
      <c r="I3" s="3">
        <f>_xlfn.IFNA(VLOOKUP($A3,[3]stockregister!$A$2:$L$2000,12,0),0)</f>
        <v>0</v>
      </c>
      <c r="J3" s="3">
        <f>_xlfn.IFNA(VLOOKUP($A3,[3]stockregister!$A$1:$M$2000,12,0),0)-$I3</f>
        <v>0</v>
      </c>
      <c r="K3" s="3" t="s">
        <v>22</v>
      </c>
      <c r="L3" s="3" t="s">
        <v>23</v>
      </c>
      <c r="M3" s="3">
        <f>_xlfn.IFNA(VLOOKUP($A3,[2]stockregister!$A$2:$H$2000,8,0),0)</f>
        <v>0</v>
      </c>
      <c r="N3" s="3">
        <f>_xlfn.IFNA(VLOOKUP($A3,[2]stockregister!$A$2:$H$2000,8,0),0)-$M3</f>
        <v>0</v>
      </c>
      <c r="O3" s="3" t="s">
        <v>29</v>
      </c>
      <c r="P3" s="3" t="s">
        <v>29</v>
      </c>
      <c r="Q3" s="3" t="s">
        <v>30</v>
      </c>
      <c r="R3" s="3" t="s">
        <v>31</v>
      </c>
    </row>
    <row r="4" spans="1:19">
      <c r="A4" s="3">
        <v>2808</v>
      </c>
      <c r="B4" s="3" t="b">
        <f>ISNUMBER(MATCH(A4,[1]stockregister!$A$2:$A$2000,0))</f>
        <v>0</v>
      </c>
      <c r="C4" s="3" t="s">
        <v>32</v>
      </c>
      <c r="D4" s="3" t="e">
        <f>VLOOKUP($C4,[1]stockregister!$B$2:$B$2000,1,0)</f>
        <v>#N/A</v>
      </c>
      <c r="E4" s="3" t="e">
        <f>IF(ISNA($D4),VLOOKUP($A4,[2]stockregister!$A$2:$B$2000,2,FALSE),"")</f>
        <v>#N/A</v>
      </c>
      <c r="F4" s="3" t="s">
        <v>21</v>
      </c>
      <c r="G4" s="3">
        <f>_xlfn.IFNA(VLOOKUP($A4,[3]stockregister!$A$2:$L$2000,11,0),0)</f>
        <v>0</v>
      </c>
      <c r="H4" s="3">
        <f>_xlfn.IFNA(VLOOKUP($A4,[3]stockregister!$A$2:$L$2000,11,0),0)-$G4</f>
        <v>0</v>
      </c>
      <c r="I4" s="3">
        <f>_xlfn.IFNA(VLOOKUP($A4,[3]stockregister!$A$2:$L$2000,12,0),0)</f>
        <v>0</v>
      </c>
      <c r="J4" s="3">
        <f>_xlfn.IFNA(VLOOKUP($A4,[3]stockregister!$A$1:$M$2000,12,0),0)-$I4</f>
        <v>0</v>
      </c>
      <c r="K4" s="3" t="s">
        <v>22</v>
      </c>
      <c r="L4" s="3" t="s">
        <v>23</v>
      </c>
      <c r="M4" s="3">
        <f>_xlfn.IFNA(VLOOKUP($A4,[2]stockregister!$A$2:$H$2000,8,0),0)</f>
        <v>0</v>
      </c>
      <c r="N4" s="3">
        <f>_xlfn.IFNA(VLOOKUP($A4,[2]stockregister!$A$2:$H$2000,8,0),0)-$M4</f>
        <v>0</v>
      </c>
      <c r="O4" s="3" t="s">
        <v>33</v>
      </c>
      <c r="P4" s="3" t="s">
        <v>33</v>
      </c>
      <c r="Q4" s="3" t="s">
        <v>34</v>
      </c>
      <c r="R4" s="3" t="s">
        <v>35</v>
      </c>
      <c r="S4" s="3" t="s">
        <v>36</v>
      </c>
    </row>
    <row r="5" spans="1:19">
      <c r="A5" s="3">
        <v>2883</v>
      </c>
      <c r="B5" s="3" t="b">
        <f>ISNUMBER(MATCH(A5,[1]stockregister!$A$2:$A$2000,0))</f>
        <v>0</v>
      </c>
      <c r="C5" s="3" t="s">
        <v>37</v>
      </c>
      <c r="D5" s="3" t="e">
        <f>VLOOKUP($C5,[1]stockregister!$B$2:$B$2000,1,0)</f>
        <v>#N/A</v>
      </c>
      <c r="E5" s="3" t="e">
        <f>IF(ISNA($D5),VLOOKUP($A5,[2]stockregister!$A$2:$B$2000,2,FALSE),"")</f>
        <v>#N/A</v>
      </c>
      <c r="F5" s="3" t="s">
        <v>21</v>
      </c>
      <c r="G5" s="3">
        <f>_xlfn.IFNA(VLOOKUP($A5,[3]stockregister!$A$2:$L$2000,11,0),0)</f>
        <v>0</v>
      </c>
      <c r="H5" s="3">
        <f>_xlfn.IFNA(VLOOKUP($A5,[3]stockregister!$A$2:$L$2000,11,0),0)-$G5</f>
        <v>0</v>
      </c>
      <c r="I5" s="3">
        <f>_xlfn.IFNA(VLOOKUP($A5,[3]stockregister!$A$2:$L$2000,12,0),0)</f>
        <v>0</v>
      </c>
      <c r="J5" s="3">
        <f>_xlfn.IFNA(VLOOKUP($A5,[3]stockregister!$A$1:$M$2000,12,0),0)-$I5</f>
        <v>0</v>
      </c>
      <c r="K5" s="3" t="s">
        <v>22</v>
      </c>
      <c r="L5" s="3" t="s">
        <v>23</v>
      </c>
      <c r="M5" s="3">
        <f>_xlfn.IFNA(VLOOKUP($A5,[2]stockregister!$A$2:$H$2000,8,0),0)</f>
        <v>0</v>
      </c>
      <c r="N5" s="3">
        <f>_xlfn.IFNA(VLOOKUP($A5,[2]stockregister!$A$2:$H$2000,8,0),0)-$M5</f>
        <v>0</v>
      </c>
      <c r="O5" s="3" t="s">
        <v>38</v>
      </c>
      <c r="P5" s="3" t="s">
        <v>38</v>
      </c>
      <c r="R5" s="3" t="s">
        <v>39</v>
      </c>
      <c r="S5" s="3" t="s">
        <v>40</v>
      </c>
    </row>
    <row r="6" spans="1:19">
      <c r="A6" s="3">
        <v>2889</v>
      </c>
      <c r="B6" s="3" t="b">
        <f>ISNUMBER(MATCH(A6,[1]stockregister!$A$2:$A$2000,0))</f>
        <v>0</v>
      </c>
      <c r="C6" s="3" t="s">
        <v>41</v>
      </c>
      <c r="D6" s="3" t="e">
        <f>VLOOKUP($C6,[1]stockregister!$B$2:$B$2000,1,0)</f>
        <v>#N/A</v>
      </c>
      <c r="E6" s="3" t="e">
        <f>IF(ISNA($D6),VLOOKUP($A6,[2]stockregister!$A$2:$B$2000,2,FALSE),"")</f>
        <v>#N/A</v>
      </c>
      <c r="F6" s="3" t="s">
        <v>21</v>
      </c>
      <c r="G6" s="3">
        <f>_xlfn.IFNA(VLOOKUP($A6,[3]stockregister!$A$2:$L$2000,11,0),0)</f>
        <v>0</v>
      </c>
      <c r="H6" s="3">
        <f>_xlfn.IFNA(VLOOKUP($A6,[3]stockregister!$A$2:$L$2000,11,0),0)-$G6</f>
        <v>0</v>
      </c>
      <c r="I6" s="3">
        <f>_xlfn.IFNA(VLOOKUP($A6,[3]stockregister!$A$2:$L$2000,12,0),0)</f>
        <v>0</v>
      </c>
      <c r="J6" s="3">
        <f>_xlfn.IFNA(VLOOKUP($A6,[3]stockregister!$A$1:$M$2000,12,0),0)-$I6</f>
        <v>0</v>
      </c>
      <c r="K6" s="3" t="s">
        <v>22</v>
      </c>
      <c r="L6" s="3" t="s">
        <v>23</v>
      </c>
      <c r="M6" s="3">
        <f>_xlfn.IFNA(VLOOKUP($A6,[2]stockregister!$A$2:$H$2000,8,0),0)</f>
        <v>0</v>
      </c>
      <c r="N6" s="3">
        <f>_xlfn.IFNA(VLOOKUP($A6,[2]stockregister!$A$2:$H$2000,8,0),0)-$M6</f>
        <v>0</v>
      </c>
      <c r="O6" s="3" t="s">
        <v>42</v>
      </c>
      <c r="P6" s="3" t="s">
        <v>42</v>
      </c>
      <c r="R6" s="3" t="s">
        <v>39</v>
      </c>
      <c r="S6" s="3" t="s">
        <v>40</v>
      </c>
    </row>
    <row r="7" spans="1:19">
      <c r="A7" s="3">
        <v>2885</v>
      </c>
      <c r="B7" s="3" t="b">
        <f>ISNUMBER(MATCH(A7,[1]stockregister!$A$2:$A$2000,0))</f>
        <v>0</v>
      </c>
      <c r="C7" s="3" t="s">
        <v>43</v>
      </c>
      <c r="D7" s="3" t="e">
        <f>VLOOKUP($C7,[1]stockregister!$B$2:$B$2000,1,0)</f>
        <v>#N/A</v>
      </c>
      <c r="E7" s="3" t="e">
        <f>IF(ISNA($D7),VLOOKUP($A7,[2]stockregister!$A$2:$B$2000,2,FALSE),"")</f>
        <v>#N/A</v>
      </c>
      <c r="F7" s="3" t="s">
        <v>21</v>
      </c>
      <c r="G7" s="3">
        <f>_xlfn.IFNA(VLOOKUP($A7,[3]stockregister!$A$2:$L$2000,11,0),0)</f>
        <v>0</v>
      </c>
      <c r="H7" s="3">
        <f>_xlfn.IFNA(VLOOKUP($A7,[3]stockregister!$A$2:$L$2000,11,0),0)-$G7</f>
        <v>0</v>
      </c>
      <c r="I7" s="3">
        <f>_xlfn.IFNA(VLOOKUP($A7,[3]stockregister!$A$2:$L$2000,12,0),0)</f>
        <v>0</v>
      </c>
      <c r="J7" s="3">
        <f>_xlfn.IFNA(VLOOKUP($A7,[3]stockregister!$A$1:$M$2000,12,0),0)-$I7</f>
        <v>0</v>
      </c>
      <c r="K7" s="3" t="s">
        <v>22</v>
      </c>
      <c r="L7" s="3" t="s">
        <v>23</v>
      </c>
      <c r="M7" s="3">
        <f>_xlfn.IFNA(VLOOKUP($A7,[2]stockregister!$A$2:$H$2000,8,0),0)</f>
        <v>0</v>
      </c>
      <c r="N7" s="3">
        <f>_xlfn.IFNA(VLOOKUP($A7,[2]stockregister!$A$2:$H$2000,8,0),0)-$M7</f>
        <v>0</v>
      </c>
      <c r="O7" s="3" t="s">
        <v>44</v>
      </c>
      <c r="P7" s="3" t="s">
        <v>44</v>
      </c>
      <c r="R7" s="3" t="s">
        <v>39</v>
      </c>
      <c r="S7" s="3" t="s">
        <v>45</v>
      </c>
    </row>
    <row r="8" spans="1:19">
      <c r="A8" s="3">
        <v>2891</v>
      </c>
      <c r="B8" s="3" t="b">
        <f>ISNUMBER(MATCH(A8,[1]stockregister!$A$2:$A$2000,0))</f>
        <v>0</v>
      </c>
      <c r="C8" s="3" t="s">
        <v>46</v>
      </c>
      <c r="D8" s="3" t="e">
        <f>VLOOKUP($C8,[1]stockregister!$B$2:$B$2000,1,0)</f>
        <v>#N/A</v>
      </c>
      <c r="E8" s="3" t="e">
        <f>IF(ISNA($D8),VLOOKUP($A8,[2]stockregister!$A$2:$B$2000,2,FALSE),"")</f>
        <v>#N/A</v>
      </c>
      <c r="F8" s="3" t="s">
        <v>21</v>
      </c>
      <c r="G8" s="3">
        <f>_xlfn.IFNA(VLOOKUP($A8,[3]stockregister!$A$2:$L$2000,11,0),0)</f>
        <v>0</v>
      </c>
      <c r="H8" s="3">
        <f>_xlfn.IFNA(VLOOKUP($A8,[3]stockregister!$A$2:$L$2000,11,0),0)-$G8</f>
        <v>0</v>
      </c>
      <c r="I8" s="3">
        <f>_xlfn.IFNA(VLOOKUP($A8,[3]stockregister!$A$2:$L$2000,12,0),0)</f>
        <v>0</v>
      </c>
      <c r="J8" s="3">
        <f>_xlfn.IFNA(VLOOKUP($A8,[3]stockregister!$A$1:$M$2000,12,0),0)-$I8</f>
        <v>0</v>
      </c>
      <c r="K8" s="3" t="s">
        <v>22</v>
      </c>
      <c r="L8" s="3" t="s">
        <v>23</v>
      </c>
      <c r="M8" s="3">
        <f>_xlfn.IFNA(VLOOKUP($A8,[2]stockregister!$A$2:$H$2000,8,0),0)</f>
        <v>0</v>
      </c>
      <c r="N8" s="3">
        <f>_xlfn.IFNA(VLOOKUP($A8,[2]stockregister!$A$2:$H$2000,8,0),0)-$M8</f>
        <v>0</v>
      </c>
      <c r="O8" s="3" t="s">
        <v>47</v>
      </c>
      <c r="P8" s="3" t="s">
        <v>47</v>
      </c>
      <c r="R8" s="3" t="s">
        <v>39</v>
      </c>
      <c r="S8" s="3" t="s">
        <v>48</v>
      </c>
    </row>
    <row r="9" spans="1:19">
      <c r="A9" s="3">
        <v>2887</v>
      </c>
      <c r="B9" s="3" t="b">
        <f>ISNUMBER(MATCH(A9,[1]stockregister!$A$2:$A$2000,0))</f>
        <v>0</v>
      </c>
      <c r="C9" s="3" t="s">
        <v>49</v>
      </c>
      <c r="D9" s="3" t="e">
        <f>VLOOKUP($C9,[1]stockregister!$B$2:$B$2000,1,0)</f>
        <v>#N/A</v>
      </c>
      <c r="E9" s="3" t="e">
        <f>IF(ISNA($D9),VLOOKUP($A9,[2]stockregister!$A$2:$B$2000,2,FALSE),"")</f>
        <v>#N/A</v>
      </c>
      <c r="F9" s="3" t="s">
        <v>21</v>
      </c>
      <c r="G9" s="3">
        <f>_xlfn.IFNA(VLOOKUP($A9,[3]stockregister!$A$2:$L$2000,11,0),0)</f>
        <v>0</v>
      </c>
      <c r="H9" s="3">
        <f>_xlfn.IFNA(VLOOKUP($A9,[3]stockregister!$A$2:$L$2000,11,0),0)-$G9</f>
        <v>0</v>
      </c>
      <c r="I9" s="3">
        <f>_xlfn.IFNA(VLOOKUP($A9,[3]stockregister!$A$2:$L$2000,12,0),0)</f>
        <v>0</v>
      </c>
      <c r="J9" s="3">
        <f>_xlfn.IFNA(VLOOKUP($A9,[3]stockregister!$A$1:$M$2000,12,0),0)-$I9</f>
        <v>0</v>
      </c>
      <c r="K9" s="3" t="s">
        <v>22</v>
      </c>
      <c r="L9" s="3" t="s">
        <v>23</v>
      </c>
      <c r="M9" s="3">
        <f>_xlfn.IFNA(VLOOKUP($A9,[2]stockregister!$A$2:$H$2000,8,0),0)</f>
        <v>0</v>
      </c>
      <c r="N9" s="3">
        <f>_xlfn.IFNA(VLOOKUP($A9,[2]stockregister!$A$2:$H$2000,8,0),0)-$M9</f>
        <v>0</v>
      </c>
      <c r="O9" s="3" t="s">
        <v>50</v>
      </c>
      <c r="P9" s="3" t="s">
        <v>50</v>
      </c>
      <c r="R9" s="3" t="s">
        <v>39</v>
      </c>
      <c r="S9" s="3" t="s">
        <v>51</v>
      </c>
    </row>
    <row r="10" spans="1:19">
      <c r="A10" s="3">
        <v>2890</v>
      </c>
      <c r="B10" s="3" t="b">
        <f>ISNUMBER(MATCH(A10,[1]stockregister!$A$2:$A$2000,0))</f>
        <v>0</v>
      </c>
      <c r="C10" s="3" t="s">
        <v>52</v>
      </c>
      <c r="D10" s="3" t="e">
        <f>VLOOKUP($C10,[1]stockregister!$B$2:$B$2000,1,0)</f>
        <v>#N/A</v>
      </c>
      <c r="E10" s="3" t="e">
        <f>IF(ISNA($D10),VLOOKUP($A10,[2]stockregister!$A$2:$B$2000,2,FALSE),"")</f>
        <v>#N/A</v>
      </c>
      <c r="F10" s="3" t="s">
        <v>21</v>
      </c>
      <c r="G10" s="3">
        <f>_xlfn.IFNA(VLOOKUP($A10,[3]stockregister!$A$2:$L$2000,11,0),0)</f>
        <v>0</v>
      </c>
      <c r="H10" s="3">
        <f>_xlfn.IFNA(VLOOKUP($A10,[3]stockregister!$A$2:$L$2000,11,0),0)-$G10</f>
        <v>0</v>
      </c>
      <c r="I10" s="3">
        <f>_xlfn.IFNA(VLOOKUP($A10,[3]stockregister!$A$2:$L$2000,12,0),0)</f>
        <v>0</v>
      </c>
      <c r="J10" s="3">
        <f>_xlfn.IFNA(VLOOKUP($A10,[3]stockregister!$A$1:$M$2000,12,0),0)-$I10</f>
        <v>0</v>
      </c>
      <c r="K10" s="3" t="s">
        <v>22</v>
      </c>
      <c r="L10" s="3" t="s">
        <v>23</v>
      </c>
      <c r="M10" s="3">
        <f>_xlfn.IFNA(VLOOKUP($A10,[2]stockregister!$A$2:$H$2000,8,0),0)</f>
        <v>0</v>
      </c>
      <c r="N10" s="3">
        <f>_xlfn.IFNA(VLOOKUP($A10,[2]stockregister!$A$2:$H$2000,8,0),0)-$M10</f>
        <v>0</v>
      </c>
      <c r="O10" s="3" t="s">
        <v>53</v>
      </c>
      <c r="P10" s="3" t="s">
        <v>53</v>
      </c>
      <c r="R10" s="3" t="s">
        <v>39</v>
      </c>
      <c r="S10" s="3" t="s">
        <v>51</v>
      </c>
    </row>
    <row r="11" spans="1:19">
      <c r="A11" s="3">
        <v>2886</v>
      </c>
      <c r="B11" s="3" t="b">
        <f>ISNUMBER(MATCH(A11,[1]stockregister!$A$2:$A$2000,0))</f>
        <v>0</v>
      </c>
      <c r="C11" s="3" t="s">
        <v>54</v>
      </c>
      <c r="D11" s="3" t="e">
        <f>VLOOKUP($C11,[1]stockregister!$B$2:$B$2000,1,0)</f>
        <v>#N/A</v>
      </c>
      <c r="E11" s="3" t="e">
        <f>IF(ISNA($D11),VLOOKUP($A11,[2]stockregister!$A$2:$B$2000,2,FALSE),"")</f>
        <v>#N/A</v>
      </c>
      <c r="F11" s="3" t="s">
        <v>21</v>
      </c>
      <c r="G11" s="3">
        <f>_xlfn.IFNA(VLOOKUP($A11,[3]stockregister!$A$2:$L$2000,11,0),0)</f>
        <v>0</v>
      </c>
      <c r="H11" s="3">
        <f>_xlfn.IFNA(VLOOKUP($A11,[3]stockregister!$A$2:$L$2000,11,0),0)-$G11</f>
        <v>0</v>
      </c>
      <c r="I11" s="3">
        <f>_xlfn.IFNA(VLOOKUP($A11,[3]stockregister!$A$2:$L$2000,12,0),0)</f>
        <v>0</v>
      </c>
      <c r="J11" s="3">
        <f>_xlfn.IFNA(VLOOKUP($A11,[3]stockregister!$A$1:$M$2000,12,0),0)-$I11</f>
        <v>0</v>
      </c>
      <c r="K11" s="3" t="s">
        <v>22</v>
      </c>
      <c r="L11" s="3" t="s">
        <v>23</v>
      </c>
      <c r="M11" s="3">
        <f>_xlfn.IFNA(VLOOKUP($A11,[2]stockregister!$A$2:$H$2000,8,0),0)</f>
        <v>0</v>
      </c>
      <c r="N11" s="3">
        <f>_xlfn.IFNA(VLOOKUP($A11,[2]stockregister!$A$2:$H$2000,8,0),0)-$M11</f>
        <v>0</v>
      </c>
      <c r="O11" s="3" t="s">
        <v>55</v>
      </c>
      <c r="P11" s="3" t="s">
        <v>55</v>
      </c>
      <c r="R11" s="3" t="s">
        <v>39</v>
      </c>
      <c r="S11" s="3" t="s">
        <v>51</v>
      </c>
    </row>
    <row r="12" spans="1:19">
      <c r="A12" s="3">
        <v>2884</v>
      </c>
      <c r="B12" s="3" t="b">
        <f>ISNUMBER(MATCH(A12,[1]stockregister!$A$2:$A$2000,0))</f>
        <v>0</v>
      </c>
      <c r="C12" s="3" t="s">
        <v>56</v>
      </c>
      <c r="D12" s="3" t="e">
        <f>VLOOKUP($C12,[1]stockregister!$B$2:$B$2000,1,0)</f>
        <v>#N/A</v>
      </c>
      <c r="E12" s="3" t="e">
        <f>IF(ISNA($D12),VLOOKUP($A12,[2]stockregister!$A$2:$B$2000,2,FALSE),"")</f>
        <v>#N/A</v>
      </c>
      <c r="F12" s="3" t="s">
        <v>21</v>
      </c>
      <c r="G12" s="3">
        <f>_xlfn.IFNA(VLOOKUP($A12,[3]stockregister!$A$2:$L$2000,11,0),0)</f>
        <v>0</v>
      </c>
      <c r="H12" s="3">
        <f>_xlfn.IFNA(VLOOKUP($A12,[3]stockregister!$A$2:$L$2000,11,0),0)-$G12</f>
        <v>0</v>
      </c>
      <c r="I12" s="3">
        <f>_xlfn.IFNA(VLOOKUP($A12,[3]stockregister!$A$2:$L$2000,12,0),0)</f>
        <v>0</v>
      </c>
      <c r="J12" s="3">
        <f>_xlfn.IFNA(VLOOKUP($A12,[3]stockregister!$A$1:$M$2000,12,0),0)-$I12</f>
        <v>0</v>
      </c>
      <c r="K12" s="3" t="s">
        <v>22</v>
      </c>
      <c r="L12" s="3" t="s">
        <v>23</v>
      </c>
      <c r="M12" s="3">
        <f>_xlfn.IFNA(VLOOKUP($A12,[2]stockregister!$A$2:$H$2000,8,0),0)</f>
        <v>0</v>
      </c>
      <c r="N12" s="3">
        <f>_xlfn.IFNA(VLOOKUP($A12,[2]stockregister!$A$2:$H$2000,8,0),0)-$M12</f>
        <v>0</v>
      </c>
      <c r="O12" s="3" t="s">
        <v>57</v>
      </c>
      <c r="P12" s="3" t="s">
        <v>57</v>
      </c>
      <c r="R12" s="3" t="s">
        <v>39</v>
      </c>
      <c r="S12" s="3" t="s">
        <v>58</v>
      </c>
    </row>
    <row r="13" spans="1:19">
      <c r="A13" s="3">
        <v>2888</v>
      </c>
      <c r="B13" s="3" t="b">
        <f>ISNUMBER(MATCH(A13,[1]stockregister!$A$2:$A$2000,0))</f>
        <v>0</v>
      </c>
      <c r="C13" s="3" t="s">
        <v>59</v>
      </c>
      <c r="D13" s="3" t="e">
        <f>VLOOKUP($C13,[1]stockregister!$B$2:$B$2000,1,0)</f>
        <v>#N/A</v>
      </c>
      <c r="E13" s="3" t="e">
        <f>IF(ISNA($D13),VLOOKUP($A13,[2]stockregister!$A$2:$B$2000,2,FALSE),"")</f>
        <v>#N/A</v>
      </c>
      <c r="F13" s="3" t="s">
        <v>21</v>
      </c>
      <c r="G13" s="3">
        <f>_xlfn.IFNA(VLOOKUP($A13,[3]stockregister!$A$2:$L$2000,11,0),0)</f>
        <v>0</v>
      </c>
      <c r="H13" s="3">
        <f>_xlfn.IFNA(VLOOKUP($A13,[3]stockregister!$A$2:$L$2000,11,0),0)-$G13</f>
        <v>0</v>
      </c>
      <c r="I13" s="3">
        <f>_xlfn.IFNA(VLOOKUP($A13,[3]stockregister!$A$2:$L$2000,12,0),0)</f>
        <v>0</v>
      </c>
      <c r="J13" s="3">
        <f>_xlfn.IFNA(VLOOKUP($A13,[3]stockregister!$A$1:$M$2000,12,0),0)-$I13</f>
        <v>0</v>
      </c>
      <c r="K13" s="3" t="s">
        <v>22</v>
      </c>
      <c r="L13" s="3" t="s">
        <v>23</v>
      </c>
      <c r="M13" s="3">
        <f>_xlfn.IFNA(VLOOKUP($A13,[2]stockregister!$A$2:$H$2000,8,0),0)</f>
        <v>0</v>
      </c>
      <c r="N13" s="3">
        <f>_xlfn.IFNA(VLOOKUP($A13,[2]stockregister!$A$2:$H$2000,8,0),0)-$M13</f>
        <v>0</v>
      </c>
      <c r="O13" s="3" t="s">
        <v>60</v>
      </c>
      <c r="P13" s="3" t="s">
        <v>60</v>
      </c>
      <c r="R13" s="3" t="s">
        <v>39</v>
      </c>
      <c r="S13" s="3" t="s">
        <v>61</v>
      </c>
    </row>
    <row r="14" spans="1:19">
      <c r="A14" s="3">
        <v>2882</v>
      </c>
      <c r="B14" s="3" t="b">
        <f>ISNUMBER(MATCH(A14,[1]stockregister!$A$2:$A$2000,0))</f>
        <v>0</v>
      </c>
      <c r="C14" s="3" t="s">
        <v>62</v>
      </c>
      <c r="D14" s="3" t="e">
        <f>VLOOKUP($C14,[1]stockregister!$B$2:$B$2000,1,0)</f>
        <v>#N/A</v>
      </c>
      <c r="E14" s="3" t="e">
        <f>IF(ISNA($D14),VLOOKUP($A14,[2]stockregister!$A$2:$B$2000,2,FALSE),"")</f>
        <v>#N/A</v>
      </c>
      <c r="F14" s="3" t="s">
        <v>21</v>
      </c>
      <c r="G14" s="3">
        <f>_xlfn.IFNA(VLOOKUP($A14,[3]stockregister!$A$2:$L$2000,11,0),0)</f>
        <v>0</v>
      </c>
      <c r="H14" s="3">
        <f>_xlfn.IFNA(VLOOKUP($A14,[3]stockregister!$A$2:$L$2000,11,0),0)-$G14</f>
        <v>0</v>
      </c>
      <c r="I14" s="3">
        <f>_xlfn.IFNA(VLOOKUP($A14,[3]stockregister!$A$2:$L$2000,12,0),0)</f>
        <v>0</v>
      </c>
      <c r="J14" s="3">
        <f>_xlfn.IFNA(VLOOKUP($A14,[3]stockregister!$A$1:$M$2000,12,0),0)-$I14</f>
        <v>0</v>
      </c>
      <c r="K14" s="3" t="s">
        <v>22</v>
      </c>
      <c r="L14" s="3" t="s">
        <v>23</v>
      </c>
      <c r="M14" s="3">
        <f>_xlfn.IFNA(VLOOKUP($A14,[2]stockregister!$A$2:$H$2000,8,0),0)</f>
        <v>0</v>
      </c>
      <c r="N14" s="3">
        <f>_xlfn.IFNA(VLOOKUP($A14,[2]stockregister!$A$2:$H$2000,8,0),0)-$M14</f>
        <v>0</v>
      </c>
      <c r="O14" s="3" t="s">
        <v>63</v>
      </c>
      <c r="P14" s="3" t="s">
        <v>63</v>
      </c>
      <c r="R14" s="3" t="s">
        <v>39</v>
      </c>
      <c r="S14" s="3" t="s">
        <v>64</v>
      </c>
    </row>
    <row r="15" s="2" customFormat="1" spans="1:19">
      <c r="A15" s="2">
        <v>1701</v>
      </c>
      <c r="B15" s="2" t="b">
        <f>ISNUMBER(MATCH(A15,[1]stockregister!$A$2:$A$2000,0))</f>
        <v>0</v>
      </c>
      <c r="C15" s="2" t="s">
        <v>65</v>
      </c>
      <c r="D15" s="2" t="e">
        <f>VLOOKUP($C15,[1]stockregister!$B$2:$B$2000,1,0)</f>
        <v>#N/A</v>
      </c>
      <c r="E15" s="3" t="e">
        <f>IF(ISNA($D15),VLOOKUP($A15,[2]stockregister!$A$2:$B$2000,2,FALSE),"")</f>
        <v>#N/A</v>
      </c>
      <c r="F15" s="3" t="s">
        <v>21</v>
      </c>
      <c r="G15" s="3">
        <f>_xlfn.IFNA(VLOOKUP($A15,[3]stockregister!$A$2:$L$2000,11,0),0)</f>
        <v>0</v>
      </c>
      <c r="H15" s="3">
        <f>_xlfn.IFNA(VLOOKUP($A15,[3]stockregister!$A$2:$L$2000,11,0),0)-$G15</f>
        <v>0</v>
      </c>
      <c r="I15" s="3">
        <f>_xlfn.IFNA(VLOOKUP($A15,[3]stockregister!$A$2:$L$2000,12,0),0)</f>
        <v>0</v>
      </c>
      <c r="J15" s="3">
        <f>_xlfn.IFNA(VLOOKUP($A15,[3]stockregister!$A$1:$M$2000,12,0),0)-$I15</f>
        <v>0</v>
      </c>
      <c r="K15" s="3" t="s">
        <v>22</v>
      </c>
      <c r="L15" s="3" t="s">
        <v>23</v>
      </c>
      <c r="M15" s="3">
        <f>_xlfn.IFNA(VLOOKUP($A15,[2]stockregister!$A$2:$H$2000,8,0),0)</f>
        <v>0</v>
      </c>
      <c r="N15" s="3">
        <f>_xlfn.IFNA(VLOOKUP($A15,[2]stockregister!$A$2:$H$2000,8,0),0)-$M15</f>
        <v>0</v>
      </c>
      <c r="O15" s="2" t="s">
        <v>66</v>
      </c>
      <c r="P15" s="2" t="s">
        <v>66</v>
      </c>
      <c r="Q15" s="2" t="s">
        <v>67</v>
      </c>
      <c r="R15" s="2" t="s">
        <v>68</v>
      </c>
      <c r="S15" s="2" t="s">
        <v>69</v>
      </c>
    </row>
    <row r="16" spans="1:19">
      <c r="A16" s="3">
        <v>1132</v>
      </c>
      <c r="B16" s="3" t="b">
        <f>ISNUMBER(MATCH(A16,[1]stockregister!$A$2:$A$2000,0))</f>
        <v>1</v>
      </c>
      <c r="C16" s="3" t="s">
        <v>70</v>
      </c>
      <c r="D16" s="3" t="str">
        <f>VLOOKUP($C16,[1]stockregister!$B$2:$B$2000,1,0)</f>
        <v>JOSE CUERVO GOLD 750 ML</v>
      </c>
      <c r="E16" s="3" t="str">
        <f>IF(ISNA($D16),VLOOKUP($A16,[2]stockregister!$A$2:$B$2000,2,FALSE),"")</f>
        <v/>
      </c>
      <c r="F16" s="3" t="s">
        <v>21</v>
      </c>
      <c r="G16" s="3">
        <f>_xlfn.IFNA(VLOOKUP($A16,[3]stockregister!$A$2:$L$2000,11,0),0)</f>
        <v>11829</v>
      </c>
      <c r="H16" s="3">
        <f>_xlfn.IFNA(VLOOKUP($A16,[3]stockregister!$A$2:$L$2000,11,0),0)-$G16</f>
        <v>0</v>
      </c>
      <c r="I16" s="3">
        <f>_xlfn.IFNA(VLOOKUP($A16,[3]stockregister!$A$2:$L$2000,12,0),0)</f>
        <v>1476</v>
      </c>
      <c r="J16" s="3">
        <f>_xlfn.IFNA(VLOOKUP($A16,[3]stockregister!$A$1:$M$2000,12,0),0)-$I16</f>
        <v>0</v>
      </c>
      <c r="K16" s="3" t="s">
        <v>22</v>
      </c>
      <c r="L16" s="3" t="s">
        <v>23</v>
      </c>
      <c r="M16" s="3">
        <f>_xlfn.IFNA(VLOOKUP($A16,[2]stockregister!$A$2:$H$2000,8,0),0)</f>
        <v>2100</v>
      </c>
      <c r="N16" s="3">
        <f>_xlfn.IFNA(VLOOKUP($A16,[2]stockregister!$A$2:$H$2000,8,0),0)-$M16</f>
        <v>0</v>
      </c>
      <c r="O16" s="3" t="s">
        <v>71</v>
      </c>
      <c r="P16" s="3" t="s">
        <v>71</v>
      </c>
      <c r="Q16" s="3" t="s">
        <v>72</v>
      </c>
      <c r="R16" s="3" t="s">
        <v>73</v>
      </c>
      <c r="S16" s="3" t="s">
        <v>74</v>
      </c>
    </row>
    <row r="17" spans="1:18">
      <c r="A17" s="3">
        <v>219</v>
      </c>
      <c r="B17" s="3" t="b">
        <f>ISNUMBER(MATCH(A17,[1]stockregister!$A$2:$A$2000,0))</f>
        <v>1</v>
      </c>
      <c r="C17" s="3" t="s">
        <v>75</v>
      </c>
      <c r="D17" s="3" t="str">
        <f>VLOOKUP($C17,[1]stockregister!$B$2:$B$2000,1,0)</f>
        <v>BEST GIN 750ML</v>
      </c>
      <c r="E17" s="3" t="str">
        <f>IF(ISNA($D17),VLOOKUP($A17,[2]stockregister!$A$2:$B$2000,2,FALSE),"")</f>
        <v/>
      </c>
      <c r="F17" s="3" t="s">
        <v>21</v>
      </c>
      <c r="G17" s="3">
        <f>_xlfn.IFNA(VLOOKUP($A17,[3]stockregister!$A$2:$L$2000,11,0),0)</f>
        <v>11517</v>
      </c>
      <c r="H17" s="3">
        <f>_xlfn.IFNA(VLOOKUP($A17,[3]stockregister!$A$2:$L$2000,11,0),0)-$G17</f>
        <v>0</v>
      </c>
      <c r="I17" s="3">
        <f>_xlfn.IFNA(VLOOKUP($A17,[3]stockregister!$A$2:$L$2000,12,0),0)</f>
        <v>711.28</v>
      </c>
      <c r="J17" s="3">
        <f>_xlfn.IFNA(VLOOKUP($A17,[3]stockregister!$A$1:$M$2000,12,0),0)-$I17</f>
        <v>0</v>
      </c>
      <c r="K17" s="3" t="s">
        <v>22</v>
      </c>
      <c r="L17" s="3" t="s">
        <v>23</v>
      </c>
      <c r="M17" s="3">
        <f>_xlfn.IFNA(VLOOKUP($A17,[2]stockregister!$A$2:$H$2000,8,0),0)</f>
        <v>900</v>
      </c>
      <c r="N17" s="3">
        <f>_xlfn.IFNA(VLOOKUP($A17,[2]stockregister!$A$2:$H$2000,8,0),0)-$M17</f>
        <v>0</v>
      </c>
      <c r="O17" s="3" t="s">
        <v>76</v>
      </c>
      <c r="P17" s="3" t="s">
        <v>76</v>
      </c>
      <c r="Q17" s="3" t="s">
        <v>77</v>
      </c>
      <c r="R17" s="3" t="s">
        <v>78</v>
      </c>
    </row>
    <row r="18" spans="1:19">
      <c r="A18" s="3">
        <v>2990</v>
      </c>
      <c r="B18" s="3" t="b">
        <f>ISNUMBER(MATCH(A18,[1]stockregister!$A$2:$A$2000,0))</f>
        <v>1</v>
      </c>
      <c r="C18" s="3" t="s">
        <v>79</v>
      </c>
      <c r="D18" s="3" t="str">
        <f>VLOOKUP($C18,[1]stockregister!$B$2:$B$2000,1,0)</f>
        <v>PINTA NEGRA DRY RED WINE 750ML</v>
      </c>
      <c r="E18" s="3" t="str">
        <f>IF(ISNA($D18),VLOOKUP($A18,[2]stockregister!$A$2:$B$2000,2,FALSE),"")</f>
        <v/>
      </c>
      <c r="F18" s="3" t="s">
        <v>21</v>
      </c>
      <c r="G18" s="3">
        <f>_xlfn.IFNA(VLOOKUP($A18,[3]stockregister!$A$2:$L$2000,11,0),0)</f>
        <v>11933</v>
      </c>
      <c r="H18" s="3">
        <f>_xlfn.IFNA(VLOOKUP($A18,[3]stockregister!$A$2:$L$2000,11,0),0)-$G18</f>
        <v>0</v>
      </c>
      <c r="I18" s="3">
        <f>_xlfn.IFNA(VLOOKUP($A18,[3]stockregister!$A$2:$L$2000,12,0),0)</f>
        <v>750</v>
      </c>
      <c r="J18" s="3">
        <f>_xlfn.IFNA(VLOOKUP($A18,[3]stockregister!$A$1:$M$2000,12,0),0)-$I18</f>
        <v>0</v>
      </c>
      <c r="K18" s="3" t="s">
        <v>22</v>
      </c>
      <c r="L18" s="3" t="s">
        <v>23</v>
      </c>
      <c r="M18" s="3">
        <f>_xlfn.IFNA(VLOOKUP($A18,[2]stockregister!$A$2:$H$2000,8,0),0)</f>
        <v>1000</v>
      </c>
      <c r="N18" s="3">
        <f>_xlfn.IFNA(VLOOKUP($A18,[2]stockregister!$A$2:$H$2000,8,0),0)-$M18</f>
        <v>0</v>
      </c>
      <c r="O18" s="3" t="s">
        <v>80</v>
      </c>
      <c r="P18" s="3" t="s">
        <v>80</v>
      </c>
      <c r="Q18" s="3" t="s">
        <v>81</v>
      </c>
      <c r="R18" s="3" t="s">
        <v>68</v>
      </c>
      <c r="S18" s="3" t="s">
        <v>82</v>
      </c>
    </row>
    <row r="19" spans="1:19">
      <c r="A19" s="3">
        <v>1129</v>
      </c>
      <c r="B19" s="3" t="b">
        <f>ISNUMBER(MATCH(A19,[1]stockregister!$A$2:$A$2000,0))</f>
        <v>1</v>
      </c>
      <c r="C19" s="3" t="s">
        <v>83</v>
      </c>
      <c r="D19" s="3" t="str">
        <f>VLOOKUP($C19,[1]stockregister!$B$2:$B$2000,1,0)</f>
        <v>JOSE CUERVO SILVER 750ML</v>
      </c>
      <c r="E19" s="3" t="str">
        <f>IF(ISNA($D19),VLOOKUP($A19,[2]stockregister!$A$2:$B$2000,2,FALSE),"")</f>
        <v/>
      </c>
      <c r="F19" s="3" t="s">
        <v>21</v>
      </c>
      <c r="G19" s="3">
        <f>_xlfn.IFNA(VLOOKUP($A19,[3]stockregister!$A$2:$L$2000,11,0),0)</f>
        <v>6340</v>
      </c>
      <c r="H19" s="3">
        <f>_xlfn.IFNA(VLOOKUP($A19,[3]stockregister!$A$2:$L$2000,11,0),0)-$G19</f>
        <v>0</v>
      </c>
      <c r="I19" s="3">
        <f>_xlfn.IFNA(VLOOKUP($A19,[3]stockregister!$A$2:$L$2000,12,0),0)</f>
        <v>1800</v>
      </c>
      <c r="J19" s="3">
        <f>_xlfn.IFNA(VLOOKUP($A19,[3]stockregister!$A$1:$M$2000,12,0),0)-$I19</f>
        <v>0</v>
      </c>
      <c r="K19" s="3" t="s">
        <v>22</v>
      </c>
      <c r="L19" s="3" t="s">
        <v>23</v>
      </c>
      <c r="M19" s="3">
        <f>_xlfn.IFNA(VLOOKUP($A19,[2]stockregister!$A$2:$H$2000,8,0),0)</f>
        <v>2100</v>
      </c>
      <c r="N19" s="3">
        <f>_xlfn.IFNA(VLOOKUP($A19,[2]stockregister!$A$2:$H$2000,8,0),0)-$M19</f>
        <v>0</v>
      </c>
      <c r="O19" s="3" t="s">
        <v>84</v>
      </c>
      <c r="P19" s="3" t="s">
        <v>84</v>
      </c>
      <c r="Q19" s="3" t="s">
        <v>72</v>
      </c>
      <c r="R19" s="3" t="s">
        <v>73</v>
      </c>
      <c r="S19" s="3" t="s">
        <v>85</v>
      </c>
    </row>
    <row r="20" spans="1:19">
      <c r="A20" s="3">
        <v>2995</v>
      </c>
      <c r="B20" s="3" t="b">
        <f>ISNUMBER(MATCH(A20,[1]stockregister!$A$2:$A$2000,0))</f>
        <v>1</v>
      </c>
      <c r="C20" s="3" t="s">
        <v>86</v>
      </c>
      <c r="D20" s="3" t="str">
        <f>VLOOKUP($C20,[1]stockregister!$B$2:$B$2000,1,0)</f>
        <v>PINTA NEGRA SWEET RED WINE 750ML</v>
      </c>
      <c r="E20" s="3" t="str">
        <f>IF(ISNA($D20),VLOOKUP($A20,[2]stockregister!$A$2:$B$2000,2,FALSE),"")</f>
        <v/>
      </c>
      <c r="F20" s="3" t="s">
        <v>21</v>
      </c>
      <c r="G20" s="3">
        <f>_xlfn.IFNA(VLOOKUP($A20,[3]stockregister!$A$2:$L$2000,11,0),0)</f>
        <v>6441</v>
      </c>
      <c r="H20" s="3">
        <f>_xlfn.IFNA(VLOOKUP($A20,[3]stockregister!$A$2:$L$2000,11,0),0)-$G20</f>
        <v>0</v>
      </c>
      <c r="I20" s="3">
        <f>_xlfn.IFNA(VLOOKUP($A20,[3]stockregister!$A$2:$L$2000,12,0),0)</f>
        <v>750</v>
      </c>
      <c r="J20" s="3">
        <f>_xlfn.IFNA(VLOOKUP($A20,[3]stockregister!$A$1:$M$2000,12,0),0)-$I20</f>
        <v>0</v>
      </c>
      <c r="K20" s="3" t="s">
        <v>22</v>
      </c>
      <c r="L20" s="3" t="s">
        <v>23</v>
      </c>
      <c r="M20" s="3">
        <f>_xlfn.IFNA(VLOOKUP($A20,[2]stockregister!$A$2:$H$2000,8,0),0)</f>
        <v>1000</v>
      </c>
      <c r="N20" s="3">
        <f>_xlfn.IFNA(VLOOKUP($A20,[2]stockregister!$A$2:$H$2000,8,0),0)-$M20</f>
        <v>0</v>
      </c>
      <c r="O20" s="3" t="s">
        <v>87</v>
      </c>
      <c r="P20" s="3" t="s">
        <v>87</v>
      </c>
      <c r="Q20" s="3" t="s">
        <v>81</v>
      </c>
      <c r="R20" s="3" t="s">
        <v>68</v>
      </c>
      <c r="S20" s="3" t="s">
        <v>88</v>
      </c>
    </row>
    <row r="21" spans="1:19">
      <c r="A21" s="3">
        <v>236</v>
      </c>
      <c r="B21" s="3" t="b">
        <f>ISNUMBER(MATCH(A21,[1]stockregister!$A$2:$A$2000,0))</f>
        <v>1</v>
      </c>
      <c r="C21" s="3" t="s">
        <v>89</v>
      </c>
      <c r="D21" s="3" t="str">
        <f>VLOOKUP($C21,[1]stockregister!$B$2:$B$2000,1,0)</f>
        <v>BLACK RAM WHISKY 1LTR</v>
      </c>
      <c r="E21" s="3" t="str">
        <f>IF(ISNA($D21),VLOOKUP($A21,[2]stockregister!$A$2:$B$2000,2,FALSE),"")</f>
        <v/>
      </c>
      <c r="F21" s="3" t="s">
        <v>21</v>
      </c>
      <c r="G21" s="3">
        <f>_xlfn.IFNA(VLOOKUP($A21,[3]stockregister!$A$2:$L$2000,11,0),0)</f>
        <v>4606</v>
      </c>
      <c r="H21" s="3">
        <f>_xlfn.IFNA(VLOOKUP($A21,[3]stockregister!$A$2:$L$2000,11,0),0)-$G21</f>
        <v>0</v>
      </c>
      <c r="I21" s="3">
        <f>_xlfn.IFNA(VLOOKUP($A21,[3]stockregister!$A$2:$L$2000,12,0),0)</f>
        <v>1000</v>
      </c>
      <c r="J21" s="3">
        <f>_xlfn.IFNA(VLOOKUP($A21,[3]stockregister!$A$1:$M$2000,12,0),0)-$I21</f>
        <v>0</v>
      </c>
      <c r="K21" s="3" t="s">
        <v>22</v>
      </c>
      <c r="L21" s="3" t="s">
        <v>23</v>
      </c>
      <c r="M21" s="3">
        <f>_xlfn.IFNA(VLOOKUP($A21,[2]stockregister!$A$2:$H$2000,8,0),0)</f>
        <v>1400</v>
      </c>
      <c r="N21" s="3">
        <f>_xlfn.IFNA(VLOOKUP($A21,[2]stockregister!$A$2:$H$2000,8,0),0)-$M21</f>
        <v>0</v>
      </c>
      <c r="O21" s="3" t="s">
        <v>90</v>
      </c>
      <c r="P21" s="3" t="s">
        <v>90</v>
      </c>
      <c r="Q21" s="3" t="s">
        <v>91</v>
      </c>
      <c r="R21" s="3" t="s">
        <v>92</v>
      </c>
      <c r="S21" s="3" t="s">
        <v>93</v>
      </c>
    </row>
    <row r="22" spans="1:19">
      <c r="A22" s="3">
        <v>529</v>
      </c>
      <c r="B22" s="3" t="b">
        <f>ISNUMBER(MATCH(A22,[1]stockregister!$A$2:$A$2000,0))</f>
        <v>1</v>
      </c>
      <c r="C22" s="3" t="s">
        <v>94</v>
      </c>
      <c r="D22" s="3" t="str">
        <f>VLOOKUP($C22,[1]stockregister!$B$2:$B$2000,1,0)</f>
        <v>CORONA EXTRA 355ML</v>
      </c>
      <c r="E22" s="3" t="str">
        <f>IF(ISNA($D22),VLOOKUP($A22,[2]stockregister!$A$2:$B$2000,2,FALSE),"")</f>
        <v/>
      </c>
      <c r="F22" s="3" t="s">
        <v>21</v>
      </c>
      <c r="G22" s="3">
        <f>_xlfn.IFNA(VLOOKUP($A22,[3]stockregister!$A$2:$L$2000,11,0),0)</f>
        <v>3696</v>
      </c>
      <c r="H22" s="3">
        <f>_xlfn.IFNA(VLOOKUP($A22,[3]stockregister!$A$2:$L$2000,11,0),0)-$G22</f>
        <v>0</v>
      </c>
      <c r="I22" s="3">
        <f>_xlfn.IFNA(VLOOKUP($A22,[3]stockregister!$A$2:$L$2000,12,0),0)</f>
        <v>242.5</v>
      </c>
      <c r="J22" s="3">
        <f>_xlfn.IFNA(VLOOKUP($A22,[3]stockregister!$A$1:$M$2000,12,0),0)-$I22</f>
        <v>0</v>
      </c>
      <c r="K22" s="3" t="s">
        <v>22</v>
      </c>
      <c r="L22" s="3" t="s">
        <v>23</v>
      </c>
      <c r="M22" s="3">
        <f>_xlfn.IFNA(VLOOKUP($A22,[2]stockregister!$A$2:$H$2000,8,0),0)</f>
        <v>250</v>
      </c>
      <c r="N22" s="3">
        <f>_xlfn.IFNA(VLOOKUP($A22,[2]stockregister!$A$2:$H$2000,8,0),0)-$M22</f>
        <v>0</v>
      </c>
      <c r="O22" s="3" t="s">
        <v>95</v>
      </c>
      <c r="P22" s="3" t="s">
        <v>95</v>
      </c>
      <c r="Q22" s="3" t="s">
        <v>96</v>
      </c>
      <c r="R22" s="3" t="s">
        <v>97</v>
      </c>
      <c r="S22" s="3" t="s">
        <v>98</v>
      </c>
    </row>
    <row r="23" spans="1:19">
      <c r="A23" s="3">
        <v>1395</v>
      </c>
      <c r="B23" s="3" t="b">
        <f>ISNUMBER(MATCH(A23,[1]stockregister!$A$2:$A$2000,0))</f>
        <v>1</v>
      </c>
      <c r="C23" s="3" t="s">
        <v>99</v>
      </c>
      <c r="D23" s="3" t="str">
        <f>VLOOKUP($C23,[1]stockregister!$B$2:$B$2000,1,0)</f>
        <v>MARTEL VS COGNAC 700ML</v>
      </c>
      <c r="E23" s="3" t="str">
        <f>IF(ISNA($D23),VLOOKUP($A23,[2]stockregister!$A$2:$B$2000,2,FALSE),"")</f>
        <v/>
      </c>
      <c r="F23" s="3" t="s">
        <v>21</v>
      </c>
      <c r="G23" s="3">
        <f>_xlfn.IFNA(VLOOKUP($A23,[3]stockregister!$A$2:$L$2000,11,0),0)</f>
        <v>3629</v>
      </c>
      <c r="H23" s="3">
        <f>_xlfn.IFNA(VLOOKUP($A23,[3]stockregister!$A$2:$L$2000,11,0),0)-$G23</f>
        <v>0</v>
      </c>
      <c r="I23" s="3">
        <f>_xlfn.IFNA(VLOOKUP($A23,[3]stockregister!$A$2:$L$2000,12,0),0)</f>
        <v>3772</v>
      </c>
      <c r="J23" s="3">
        <f>_xlfn.IFNA(VLOOKUP($A23,[3]stockregister!$A$1:$M$2000,12,0),0)-$I23</f>
        <v>0</v>
      </c>
      <c r="K23" s="3" t="s">
        <v>22</v>
      </c>
      <c r="L23" s="3" t="s">
        <v>23</v>
      </c>
      <c r="M23" s="3">
        <f>_xlfn.IFNA(VLOOKUP($A23,[2]stockregister!$A$2:$H$2000,8,0),0)</f>
        <v>4500</v>
      </c>
      <c r="N23" s="3">
        <f>_xlfn.IFNA(VLOOKUP($A23,[2]stockregister!$A$2:$H$2000,8,0),0)-$M23</f>
        <v>0</v>
      </c>
      <c r="O23" s="3" t="s">
        <v>100</v>
      </c>
      <c r="P23" s="3" t="s">
        <v>100</v>
      </c>
      <c r="Q23" s="3" t="s">
        <v>101</v>
      </c>
      <c r="R23" s="3" t="s">
        <v>102</v>
      </c>
      <c r="S23" s="3" t="s">
        <v>103</v>
      </c>
    </row>
    <row r="24" spans="1:19">
      <c r="A24" s="3">
        <v>1393</v>
      </c>
      <c r="B24" s="3" t="b">
        <f>ISNUMBER(MATCH(A24,[1]stockregister!$A$2:$A$2000,0))</f>
        <v>1</v>
      </c>
      <c r="C24" s="3" t="s">
        <v>104</v>
      </c>
      <c r="D24" s="3" t="str">
        <f>VLOOKUP($C24,[1]stockregister!$B$2:$B$2000,1,0)</f>
        <v>MARTEL VSOP COGNAC 1LTR</v>
      </c>
      <c r="E24" s="3" t="str">
        <f>IF(ISNA($D24),VLOOKUP($A24,[2]stockregister!$A$2:$B$2000,2,FALSE),"")</f>
        <v/>
      </c>
      <c r="F24" s="3" t="s">
        <v>21</v>
      </c>
      <c r="G24" s="3">
        <f>_xlfn.IFNA(VLOOKUP($A24,[3]stockregister!$A$2:$L$2000,11,0),0)</f>
        <v>2728</v>
      </c>
      <c r="H24" s="3">
        <f>_xlfn.IFNA(VLOOKUP($A24,[3]stockregister!$A$2:$L$2000,11,0),0)-$G24</f>
        <v>0</v>
      </c>
      <c r="I24" s="3">
        <f>_xlfn.IFNA(VLOOKUP($A24,[3]stockregister!$A$2:$L$2000,12,0),0)</f>
        <v>8500</v>
      </c>
      <c r="J24" s="3">
        <f>_xlfn.IFNA(VLOOKUP($A24,[3]stockregister!$A$1:$M$2000,12,0),0)-$I24</f>
        <v>0</v>
      </c>
      <c r="K24" s="3" t="s">
        <v>22</v>
      </c>
      <c r="L24" s="3" t="s">
        <v>23</v>
      </c>
      <c r="M24" s="3">
        <f>_xlfn.IFNA(VLOOKUP($A24,[2]stockregister!$A$2:$H$2000,8,0),0)</f>
        <v>9500</v>
      </c>
      <c r="N24" s="3">
        <f>_xlfn.IFNA(VLOOKUP($A24,[2]stockregister!$A$2:$H$2000,8,0),0)-$M24</f>
        <v>0</v>
      </c>
      <c r="O24" s="3" t="s">
        <v>105</v>
      </c>
      <c r="P24" s="3" t="s">
        <v>105</v>
      </c>
      <c r="Q24" s="3" t="s">
        <v>101</v>
      </c>
      <c r="R24" s="3" t="s">
        <v>102</v>
      </c>
      <c r="S24" s="3" t="s">
        <v>36</v>
      </c>
    </row>
    <row r="25" spans="1:19">
      <c r="A25" s="3">
        <v>1873</v>
      </c>
      <c r="B25" s="3" t="b">
        <f>ISNUMBER(MATCH(A25,[1]stockregister!$A$2:$A$2000,0))</f>
        <v>1</v>
      </c>
      <c r="C25" s="3" t="s">
        <v>106</v>
      </c>
      <c r="D25" s="3" t="str">
        <f>VLOOKUP($C25,[1]stockregister!$B$2:$B$2000,1,0)</f>
        <v>ST REMY VSOP FRENCH BRANDY 750ML</v>
      </c>
      <c r="E25" s="3" t="str">
        <f>IF(ISNA($D25),VLOOKUP($A25,[2]stockregister!$A$2:$B$2000,2,FALSE),"")</f>
        <v/>
      </c>
      <c r="F25" s="3" t="s">
        <v>21</v>
      </c>
      <c r="G25" s="3">
        <f>_xlfn.IFNA(VLOOKUP($A25,[3]stockregister!$A$2:$L$2000,11,0),0)</f>
        <v>2232</v>
      </c>
      <c r="H25" s="3">
        <f>_xlfn.IFNA(VLOOKUP($A25,[3]stockregister!$A$2:$L$2000,11,0),0)-$G25</f>
        <v>0</v>
      </c>
      <c r="I25" s="3">
        <f>_xlfn.IFNA(VLOOKUP($A25,[3]stockregister!$A$2:$L$2000,12,0),0)</f>
        <v>1610</v>
      </c>
      <c r="J25" s="3">
        <f>_xlfn.IFNA(VLOOKUP($A25,[3]stockregister!$A$1:$M$2000,12,0),0)-$I25</f>
        <v>0</v>
      </c>
      <c r="K25" s="3" t="s">
        <v>22</v>
      </c>
      <c r="L25" s="3" t="s">
        <v>23</v>
      </c>
      <c r="M25" s="3">
        <f>_xlfn.IFNA(VLOOKUP($A25,[2]stockregister!$A$2:$H$2000,8,0),0)</f>
        <v>1750</v>
      </c>
      <c r="N25" s="3">
        <f>_xlfn.IFNA(VLOOKUP($A25,[2]stockregister!$A$2:$H$2000,8,0),0)-$M25</f>
        <v>0</v>
      </c>
      <c r="O25" s="3" t="s">
        <v>107</v>
      </c>
      <c r="P25" s="3" t="s">
        <v>107</v>
      </c>
      <c r="Q25" s="3" t="s">
        <v>108</v>
      </c>
      <c r="R25" s="3" t="s">
        <v>109</v>
      </c>
      <c r="S25" s="3" t="s">
        <v>36</v>
      </c>
    </row>
    <row r="26" spans="1:19">
      <c r="A26" s="3">
        <v>2794</v>
      </c>
      <c r="B26" s="3" t="b">
        <f>ISNUMBER(MATCH(A26,[1]stockregister!$A$2:$A$2000,0))</f>
        <v>1</v>
      </c>
      <c r="C26" s="3" t="s">
        <v>110</v>
      </c>
      <c r="D26" s="3" t="str">
        <f>VLOOKUP($C26,[1]stockregister!$B$2:$B$2000,1,0)</f>
        <v>BLACK RAM APPLE 1 LITRE</v>
      </c>
      <c r="E26" s="3" t="str">
        <f>IF(ISNA($D26),VLOOKUP($A26,[2]stockregister!$A$2:$B$2000,2,FALSE),"")</f>
        <v/>
      </c>
      <c r="F26" s="3" t="s">
        <v>21</v>
      </c>
      <c r="G26" s="3">
        <f>_xlfn.IFNA(VLOOKUP($A26,[3]stockregister!$A$2:$L$2000,11,0),0)</f>
        <v>2175</v>
      </c>
      <c r="H26" s="3">
        <f>_xlfn.IFNA(VLOOKUP($A26,[3]stockregister!$A$2:$L$2000,11,0),0)-$G26</f>
        <v>0</v>
      </c>
      <c r="I26" s="3">
        <f>_xlfn.IFNA(VLOOKUP($A26,[3]stockregister!$A$2:$L$2000,12,0),0)</f>
        <v>1000</v>
      </c>
      <c r="J26" s="3">
        <f>_xlfn.IFNA(VLOOKUP($A26,[3]stockregister!$A$1:$M$2000,12,0),0)-$I26</f>
        <v>0</v>
      </c>
      <c r="K26" s="3" t="s">
        <v>22</v>
      </c>
      <c r="L26" s="3" t="s">
        <v>23</v>
      </c>
      <c r="M26" s="3">
        <f>_xlfn.IFNA(VLOOKUP($A26,[2]stockregister!$A$2:$H$2000,8,0),0)</f>
        <v>1400</v>
      </c>
      <c r="N26" s="3">
        <f>_xlfn.IFNA(VLOOKUP($A26,[2]stockregister!$A$2:$H$2000,8,0),0)-$M26</f>
        <v>0</v>
      </c>
      <c r="O26" s="3" t="s">
        <v>111</v>
      </c>
      <c r="P26" s="3" t="s">
        <v>111</v>
      </c>
      <c r="Q26" s="3" t="s">
        <v>112</v>
      </c>
      <c r="R26" s="3" t="s">
        <v>113</v>
      </c>
      <c r="S26" s="3" t="s">
        <v>114</v>
      </c>
    </row>
    <row r="27" spans="1:19">
      <c r="A27" s="3">
        <v>426</v>
      </c>
      <c r="B27" s="3" t="b">
        <f>ISNUMBER(MATCH(A27,[1]stockregister!$A$2:$A$2000,0))</f>
        <v>1</v>
      </c>
      <c r="C27" s="3" t="s">
        <v>115</v>
      </c>
      <c r="D27" s="3" t="str">
        <f>VLOOKUP($C27,[1]stockregister!$B$2:$B$2000,1,0)</f>
        <v>CELLAR J'BURG WHITE 750ML</v>
      </c>
      <c r="E27" s="3" t="str">
        <f>IF(ISNA($D27),VLOOKUP($A27,[2]stockregister!$A$2:$B$2000,2,FALSE),"")</f>
        <v/>
      </c>
      <c r="F27" s="3" t="s">
        <v>21</v>
      </c>
      <c r="G27" s="3">
        <f>_xlfn.IFNA(VLOOKUP($A27,[3]stockregister!$A$2:$L$2000,11,0),0)</f>
        <v>2024</v>
      </c>
      <c r="H27" s="3">
        <f>_xlfn.IFNA(VLOOKUP($A27,[3]stockregister!$A$2:$L$2000,11,0),0)-$G27</f>
        <v>0</v>
      </c>
      <c r="I27" s="3">
        <f>_xlfn.IFNA(VLOOKUP($A27,[3]stockregister!$A$2:$L$2000,12,0),0)</f>
        <v>795</v>
      </c>
      <c r="J27" s="3">
        <f>_xlfn.IFNA(VLOOKUP($A27,[3]stockregister!$A$1:$M$2000,12,0),0)-$I27</f>
        <v>0</v>
      </c>
      <c r="K27" s="3" t="s">
        <v>22</v>
      </c>
      <c r="L27" s="3" t="s">
        <v>23</v>
      </c>
      <c r="M27" s="3">
        <f>_xlfn.IFNA(VLOOKUP($A27,[2]stockregister!$A$2:$H$2000,8,0),0)</f>
        <v>830</v>
      </c>
      <c r="N27" s="3">
        <f>_xlfn.IFNA(VLOOKUP($A27,[2]stockregister!$A$2:$H$2000,8,0),0)-$M27</f>
        <v>0</v>
      </c>
      <c r="O27" s="3" t="s">
        <v>116</v>
      </c>
      <c r="P27" s="3" t="s">
        <v>116</v>
      </c>
      <c r="Q27" s="3" t="s">
        <v>117</v>
      </c>
      <c r="R27" s="3" t="s">
        <v>68</v>
      </c>
      <c r="S27" s="3" t="s">
        <v>69</v>
      </c>
    </row>
    <row r="28" spans="1:19">
      <c r="A28" s="3">
        <v>20</v>
      </c>
      <c r="B28" s="3" t="b">
        <f>ISNUMBER(MATCH(A28,[1]stockregister!$A$2:$A$2000,0))</f>
        <v>1</v>
      </c>
      <c r="C28" s="3" t="s">
        <v>118</v>
      </c>
      <c r="D28" s="3" t="str">
        <f>VLOOKUP($C28,[1]stockregister!$B$2:$B$2000,1,0)</f>
        <v>4TH STREET WHITE 750ML</v>
      </c>
      <c r="E28" s="3" t="str">
        <f>IF(ISNA($D28),VLOOKUP($A28,[2]stockregister!$A$2:$B$2000,2,FALSE),"")</f>
        <v/>
      </c>
      <c r="F28" s="3" t="s">
        <v>21</v>
      </c>
      <c r="G28" s="3">
        <f>_xlfn.IFNA(VLOOKUP($A28,[3]stockregister!$A$2:$L$2000,11,0),0)</f>
        <v>1992</v>
      </c>
      <c r="H28" s="3">
        <f>_xlfn.IFNA(VLOOKUP($A28,[3]stockregister!$A$2:$L$2000,11,0),0)-$G28</f>
        <v>0</v>
      </c>
      <c r="I28" s="3">
        <f>_xlfn.IFNA(VLOOKUP($A28,[3]stockregister!$A$2:$L$2000,12,0),0)</f>
        <v>780</v>
      </c>
      <c r="J28" s="3">
        <f>_xlfn.IFNA(VLOOKUP($A28,[3]stockregister!$A$1:$M$2000,12,0),0)-$I28</f>
        <v>0</v>
      </c>
      <c r="K28" s="3" t="s">
        <v>22</v>
      </c>
      <c r="L28" s="3" t="s">
        <v>23</v>
      </c>
      <c r="M28" s="3">
        <f>_xlfn.IFNA(VLOOKUP($A28,[2]stockregister!$A$2:$H$2000,8,0),0)</f>
        <v>830</v>
      </c>
      <c r="N28" s="3">
        <f>_xlfn.IFNA(VLOOKUP($A28,[2]stockregister!$A$2:$H$2000,8,0),0)-$M28</f>
        <v>0</v>
      </c>
      <c r="O28" s="3" t="s">
        <v>119</v>
      </c>
      <c r="P28" s="3" t="s">
        <v>119</v>
      </c>
      <c r="Q28" s="3" t="s">
        <v>120</v>
      </c>
      <c r="R28" s="3" t="s">
        <v>68</v>
      </c>
      <c r="S28" s="3" t="s">
        <v>69</v>
      </c>
    </row>
    <row r="29" spans="1:19">
      <c r="A29" s="3">
        <v>15</v>
      </c>
      <c r="B29" s="3" t="b">
        <f>ISNUMBER(MATCH(A29,[1]stockregister!$A$2:$A$2000,0))</f>
        <v>1</v>
      </c>
      <c r="C29" s="3" t="s">
        <v>121</v>
      </c>
      <c r="D29" s="3" t="str">
        <f>VLOOKUP($C29,[1]stockregister!$B$2:$B$2000,1,0)</f>
        <v>4TH STREET RED 750ML</v>
      </c>
      <c r="E29" s="3" t="str">
        <f>IF(ISNA($D29),VLOOKUP($A29,[2]stockregister!$A$2:$B$2000,2,FALSE),"")</f>
        <v/>
      </c>
      <c r="F29" s="3" t="s">
        <v>21</v>
      </c>
      <c r="G29" s="3">
        <f>_xlfn.IFNA(VLOOKUP($A29,[3]stockregister!$A$2:$L$2000,11,0),0)</f>
        <v>1884</v>
      </c>
      <c r="H29" s="3">
        <f>_xlfn.IFNA(VLOOKUP($A29,[3]stockregister!$A$2:$L$2000,11,0),0)-$G29</f>
        <v>0</v>
      </c>
      <c r="I29" s="3">
        <f>_xlfn.IFNA(VLOOKUP($A29,[3]stockregister!$A$2:$L$2000,12,0),0)</f>
        <v>780</v>
      </c>
      <c r="J29" s="3">
        <f>_xlfn.IFNA(VLOOKUP($A29,[3]stockregister!$A$1:$M$2000,12,0),0)-$I29</f>
        <v>0</v>
      </c>
      <c r="K29" s="3" t="s">
        <v>22</v>
      </c>
      <c r="L29" s="3" t="s">
        <v>23</v>
      </c>
      <c r="M29" s="3">
        <f>_xlfn.IFNA(VLOOKUP($A29,[2]stockregister!$A$2:$H$2000,8,0),0)</f>
        <v>830</v>
      </c>
      <c r="N29" s="3">
        <f>_xlfn.IFNA(VLOOKUP($A29,[2]stockregister!$A$2:$H$2000,8,0),0)-$M29</f>
        <v>0</v>
      </c>
      <c r="O29" s="3" t="s">
        <v>122</v>
      </c>
      <c r="P29" s="3" t="s">
        <v>122</v>
      </c>
      <c r="Q29" s="3" t="s">
        <v>120</v>
      </c>
      <c r="R29" s="3" t="s">
        <v>68</v>
      </c>
      <c r="S29" s="3" t="s">
        <v>88</v>
      </c>
    </row>
    <row r="30" spans="1:18">
      <c r="A30" s="3">
        <v>2953</v>
      </c>
      <c r="B30" s="3" t="b">
        <f>ISNUMBER(MATCH(A30,[1]stockregister!$A$2:$A$2000,0))</f>
        <v>1</v>
      </c>
      <c r="C30" s="3" t="s">
        <v>123</v>
      </c>
      <c r="D30" s="3" t="str">
        <f>VLOOKUP($C30,[1]stockregister!$B$2:$B$2000,1,0)</f>
        <v>UNDERBERG NATURAL HERBAL BITTER 20ML</v>
      </c>
      <c r="E30" s="3" t="str">
        <f>IF(ISNA($D30),VLOOKUP($A30,[2]stockregister!$A$2:$B$2000,2,FALSE),"")</f>
        <v/>
      </c>
      <c r="F30" s="3" t="s">
        <v>21</v>
      </c>
      <c r="G30" s="3">
        <f>_xlfn.IFNA(VLOOKUP($A30,[3]stockregister!$A$2:$L$2000,11,0),0)</f>
        <v>2020</v>
      </c>
      <c r="H30" s="3">
        <f>_xlfn.IFNA(VLOOKUP($A30,[3]stockregister!$A$2:$L$2000,11,0),0)-$G30</f>
        <v>0</v>
      </c>
      <c r="I30" s="3">
        <f>_xlfn.IFNA(VLOOKUP($A30,[3]stockregister!$A$2:$L$2000,12,0),0)</f>
        <v>120</v>
      </c>
      <c r="J30" s="3">
        <f>_xlfn.IFNA(VLOOKUP($A30,[3]stockregister!$A$1:$M$2000,12,0),0)-$I30</f>
        <v>0</v>
      </c>
      <c r="K30" s="3" t="s">
        <v>22</v>
      </c>
      <c r="L30" s="3" t="s">
        <v>23</v>
      </c>
      <c r="M30" s="3">
        <f>_xlfn.IFNA(VLOOKUP($A30,[2]stockregister!$A$2:$H$2000,8,0),0)</f>
        <v>180</v>
      </c>
      <c r="N30" s="3">
        <f>_xlfn.IFNA(VLOOKUP($A30,[2]stockregister!$A$2:$H$2000,8,0),0)-$M30</f>
        <v>0</v>
      </c>
      <c r="O30" s="3" t="s">
        <v>124</v>
      </c>
      <c r="P30" s="3" t="s">
        <v>124</v>
      </c>
      <c r="Q30" s="3" t="s">
        <v>125</v>
      </c>
      <c r="R30" s="3" t="s">
        <v>126</v>
      </c>
    </row>
    <row r="31" spans="1:19">
      <c r="A31" s="3">
        <v>1223</v>
      </c>
      <c r="B31" s="3" t="b">
        <f>ISNUMBER(MATCH(A31,[1]stockregister!$A$2:$A$2000,0))</f>
        <v>1</v>
      </c>
      <c r="C31" s="3" t="s">
        <v>127</v>
      </c>
      <c r="D31" s="3" t="str">
        <f>VLOOKUP($C31,[1]stockregister!$B$2:$B$2000,1,0)</f>
        <v>KO PINEAPPLE &amp; MINT 330ML</v>
      </c>
      <c r="E31" s="3" t="str">
        <f>IF(ISNA($D31),VLOOKUP($A31,[2]stockregister!$A$2:$B$2000,2,FALSE),"")</f>
        <v/>
      </c>
      <c r="F31" s="3" t="s">
        <v>21</v>
      </c>
      <c r="G31" s="3">
        <f>_xlfn.IFNA(VLOOKUP($A31,[3]stockregister!$A$2:$L$2000,11,0),0)</f>
        <v>1344</v>
      </c>
      <c r="H31" s="3">
        <f>_xlfn.IFNA(VLOOKUP($A31,[3]stockregister!$A$2:$L$2000,11,0),0)-$G31</f>
        <v>0</v>
      </c>
      <c r="I31" s="3">
        <f>_xlfn.IFNA(VLOOKUP($A31,[3]stockregister!$A$2:$L$2000,12,0),0)</f>
        <v>225.04</v>
      </c>
      <c r="J31" s="3">
        <f>_xlfn.IFNA(VLOOKUP($A31,[3]stockregister!$A$1:$M$2000,12,0),0)-$I31</f>
        <v>0</v>
      </c>
      <c r="K31" s="3" t="s">
        <v>22</v>
      </c>
      <c r="L31" s="3" t="s">
        <v>23</v>
      </c>
      <c r="M31" s="3">
        <f>_xlfn.IFNA(VLOOKUP($A31,[2]stockregister!$A$2:$H$2000,8,0),0)</f>
        <v>230</v>
      </c>
      <c r="N31" s="3">
        <f>_xlfn.IFNA(VLOOKUP($A31,[2]stockregister!$A$2:$H$2000,8,0),0)-$M31</f>
        <v>0</v>
      </c>
      <c r="O31" s="3" t="s">
        <v>128</v>
      </c>
      <c r="P31" s="3" t="s">
        <v>128</v>
      </c>
      <c r="Q31" s="3" t="s">
        <v>129</v>
      </c>
      <c r="R31" s="3" t="s">
        <v>26</v>
      </c>
      <c r="S31" s="3" t="s">
        <v>130</v>
      </c>
    </row>
    <row r="32" spans="1:19">
      <c r="A32" s="3">
        <v>1110</v>
      </c>
      <c r="B32" s="3" t="b">
        <f>ISNUMBER(MATCH(A32,[1]stockregister!$A$2:$A$2000,0))</f>
        <v>1</v>
      </c>
      <c r="C32" s="3" t="s">
        <v>131</v>
      </c>
      <c r="D32" s="3" t="str">
        <f>VLOOKUP($C32,[1]stockregister!$B$2:$B$2000,1,0)</f>
        <v>JOHNNIE WALKER DOUBLE BLACK 1 LTR</v>
      </c>
      <c r="E32" s="3" t="str">
        <f>IF(ISNA($D32),VLOOKUP($A32,[2]stockregister!$A$2:$B$2000,2,FALSE),"")</f>
        <v/>
      </c>
      <c r="F32" s="3" t="s">
        <v>21</v>
      </c>
      <c r="G32" s="3">
        <f>_xlfn.IFNA(VLOOKUP($A32,[3]stockregister!$A$2:$L$2000,11,0),0)</f>
        <v>1917</v>
      </c>
      <c r="H32" s="3">
        <f>_xlfn.IFNA(VLOOKUP($A32,[3]stockregister!$A$2:$L$2000,11,0),0)-$G32</f>
        <v>0</v>
      </c>
      <c r="I32" s="3">
        <f>_xlfn.IFNA(VLOOKUP($A32,[3]stockregister!$A$2:$L$2000,12,0),0)</f>
        <v>5000</v>
      </c>
      <c r="J32" s="3">
        <f>_xlfn.IFNA(VLOOKUP($A32,[3]stockregister!$A$1:$M$2000,12,0),0)-$I32</f>
        <v>0</v>
      </c>
      <c r="K32" s="3" t="s">
        <v>22</v>
      </c>
      <c r="L32" s="3" t="s">
        <v>23</v>
      </c>
      <c r="M32" s="3">
        <f>_xlfn.IFNA(VLOOKUP($A32,[2]stockregister!$A$2:$H$2000,8,0),0)</f>
        <v>5200</v>
      </c>
      <c r="N32" s="3">
        <f>_xlfn.IFNA(VLOOKUP($A32,[2]stockregister!$A$2:$H$2000,8,0),0)-$M32</f>
        <v>0</v>
      </c>
      <c r="O32" s="3" t="s">
        <v>132</v>
      </c>
      <c r="P32" s="3" t="s">
        <v>132</v>
      </c>
      <c r="Q32" s="3" t="s">
        <v>133</v>
      </c>
      <c r="R32" s="3" t="s">
        <v>92</v>
      </c>
      <c r="S32" s="3" t="s">
        <v>134</v>
      </c>
    </row>
    <row r="33" spans="1:19">
      <c r="A33" s="3">
        <v>758</v>
      </c>
      <c r="B33" s="3" t="b">
        <f>ISNUMBER(MATCH(A33,[1]stockregister!$A$2:$A$2000,0))</f>
        <v>1</v>
      </c>
      <c r="C33" s="3" t="s">
        <v>135</v>
      </c>
      <c r="D33" s="3" t="str">
        <f>VLOOKUP($C33,[1]stockregister!$B$2:$B$2000,1,0)</f>
        <v>FOUR COUSINS WHITE 750ML</v>
      </c>
      <c r="E33" s="3" t="str">
        <f>IF(ISNA($D33),VLOOKUP($A33,[2]stockregister!$A$2:$B$2000,2,FALSE),"")</f>
        <v/>
      </c>
      <c r="F33" s="3" t="s">
        <v>21</v>
      </c>
      <c r="G33" s="3">
        <f>_xlfn.IFNA(VLOOKUP($A33,[3]stockregister!$A$2:$L$2000,11,0),0)</f>
        <v>1823</v>
      </c>
      <c r="H33" s="3">
        <f>_xlfn.IFNA(VLOOKUP($A33,[3]stockregister!$A$2:$L$2000,11,0),0)-$G33</f>
        <v>0</v>
      </c>
      <c r="I33" s="3">
        <f>_xlfn.IFNA(VLOOKUP($A33,[3]stockregister!$A$2:$L$2000,12,0),0)</f>
        <v>750</v>
      </c>
      <c r="J33" s="3">
        <f>_xlfn.IFNA(VLOOKUP($A33,[3]stockregister!$A$1:$M$2000,12,0),0)-$I33</f>
        <v>0</v>
      </c>
      <c r="K33" s="3" t="s">
        <v>22</v>
      </c>
      <c r="L33" s="3" t="s">
        <v>23</v>
      </c>
      <c r="M33" s="3">
        <f>_xlfn.IFNA(VLOOKUP($A33,[2]stockregister!$A$2:$H$2000,8,0),0)</f>
        <v>850</v>
      </c>
      <c r="N33" s="3">
        <f>_xlfn.IFNA(VLOOKUP($A33,[2]stockregister!$A$2:$H$2000,8,0),0)-$M33</f>
        <v>0</v>
      </c>
      <c r="O33" s="3" t="s">
        <v>136</v>
      </c>
      <c r="P33" s="3" t="s">
        <v>136</v>
      </c>
      <c r="Q33" s="3" t="s">
        <v>137</v>
      </c>
      <c r="R33" s="3" t="s">
        <v>68</v>
      </c>
      <c r="S33" s="3" t="s">
        <v>69</v>
      </c>
    </row>
    <row r="34" spans="1:18">
      <c r="A34" s="3">
        <v>1858</v>
      </c>
      <c r="B34" s="3" t="b">
        <f>ISNUMBER(MATCH(A34,[1]stockregister!$A$2:$A$2000,0))</f>
        <v>1</v>
      </c>
      <c r="C34" s="3" t="s">
        <v>138</v>
      </c>
      <c r="D34" s="3" t="str">
        <f>VLOOKUP($C34,[1]stockregister!$B$2:$B$2000,1,0)</f>
        <v>SOUTHERN COMFORT 750ML</v>
      </c>
      <c r="E34" s="3" t="str">
        <f>IF(ISNA($D34),VLOOKUP($A34,[2]stockregister!$A$2:$B$2000,2,FALSE),"")</f>
        <v/>
      </c>
      <c r="F34" s="3" t="s">
        <v>21</v>
      </c>
      <c r="G34" s="3">
        <f>_xlfn.IFNA(VLOOKUP($A34,[3]stockregister!$A$2:$L$2000,11,0),0)</f>
        <v>1887</v>
      </c>
      <c r="H34" s="3">
        <f>_xlfn.IFNA(VLOOKUP($A34,[3]stockregister!$A$2:$L$2000,11,0),0)-$G34</f>
        <v>0</v>
      </c>
      <c r="I34" s="3">
        <f>_xlfn.IFNA(VLOOKUP($A34,[3]stockregister!$A$2:$L$2000,12,0),0)</f>
        <v>1650</v>
      </c>
      <c r="J34" s="3">
        <f>_xlfn.IFNA(VLOOKUP($A34,[3]stockregister!$A$1:$M$2000,12,0),0)-$I34</f>
        <v>0</v>
      </c>
      <c r="K34" s="3" t="s">
        <v>22</v>
      </c>
      <c r="L34" s="3" t="s">
        <v>23</v>
      </c>
      <c r="M34" s="3">
        <f>_xlfn.IFNA(VLOOKUP($A34,[2]stockregister!$A$2:$H$2000,8,0),0)</f>
        <v>2000</v>
      </c>
      <c r="N34" s="3">
        <f>_xlfn.IFNA(VLOOKUP($A34,[2]stockregister!$A$2:$H$2000,8,0),0)-$M34</f>
        <v>0</v>
      </c>
      <c r="O34" s="3" t="s">
        <v>139</v>
      </c>
      <c r="P34" s="3" t="s">
        <v>139</v>
      </c>
      <c r="Q34" s="3" t="s">
        <v>140</v>
      </c>
      <c r="R34" s="3" t="s">
        <v>126</v>
      </c>
    </row>
    <row r="35" spans="1:19">
      <c r="A35" s="3">
        <v>2515</v>
      </c>
      <c r="B35" s="3" t="b">
        <f>ISNUMBER(MATCH(A35,[1]stockregister!$A$2:$A$2000,0))</f>
        <v>1</v>
      </c>
      <c r="C35" s="3" t="s">
        <v>141</v>
      </c>
      <c r="D35" s="3" t="str">
        <f>VLOOKUP($C35,[1]stockregister!$B$2:$B$2000,1,0)</f>
        <v>BLUE WARRIOR WHISY LITRE</v>
      </c>
      <c r="E35" s="3" t="str">
        <f>IF(ISNA($D35),VLOOKUP($A35,[2]stockregister!$A$2:$B$2000,2,FALSE),"")</f>
        <v/>
      </c>
      <c r="F35" s="3" t="s">
        <v>21</v>
      </c>
      <c r="G35" s="3">
        <f>_xlfn.IFNA(VLOOKUP($A35,[3]stockregister!$A$2:$L$2000,11,0),0)</f>
        <v>1850</v>
      </c>
      <c r="H35" s="3">
        <f>_xlfn.IFNA(VLOOKUP($A35,[3]stockregister!$A$2:$L$2000,11,0),0)-$G35</f>
        <v>0</v>
      </c>
      <c r="I35" s="3">
        <f>_xlfn.IFNA(VLOOKUP($A35,[3]stockregister!$A$2:$L$2000,12,0),0)</f>
        <v>1245</v>
      </c>
      <c r="J35" s="3">
        <f>_xlfn.IFNA(VLOOKUP($A35,[3]stockregister!$A$1:$M$2000,12,0),0)-$I35</f>
        <v>0</v>
      </c>
      <c r="K35" s="3" t="s">
        <v>22</v>
      </c>
      <c r="L35" s="3" t="s">
        <v>23</v>
      </c>
      <c r="M35" s="3">
        <f>_xlfn.IFNA(VLOOKUP($A35,[2]stockregister!$A$2:$H$2000,8,0),0)</f>
        <v>1300</v>
      </c>
      <c r="N35" s="3">
        <f>_xlfn.IFNA(VLOOKUP($A35,[2]stockregister!$A$2:$H$2000,8,0),0)-$M35</f>
        <v>0</v>
      </c>
      <c r="O35" s="3" t="s">
        <v>142</v>
      </c>
      <c r="P35" s="3" t="s">
        <v>142</v>
      </c>
      <c r="Q35" s="3" t="s">
        <v>143</v>
      </c>
      <c r="R35" s="3" t="s">
        <v>113</v>
      </c>
      <c r="S35" s="3" t="s">
        <v>114</v>
      </c>
    </row>
    <row r="36" spans="1:18">
      <c r="A36" s="3">
        <v>995</v>
      </c>
      <c r="B36" s="3" t="b">
        <f>ISNUMBER(MATCH(A36,[1]stockregister!$A$2:$A$2000,0))</f>
        <v>1</v>
      </c>
      <c r="C36" s="3" t="s">
        <v>144</v>
      </c>
      <c r="D36" s="3" t="e">
        <f>VLOOKUP($C36,[1]stockregister!$B$2:$B$2000,1,0)</f>
        <v>#N/A</v>
      </c>
      <c r="E36" s="3" t="str">
        <f>IF(ISNA($D36),VLOOKUP($A36,[2]stockregister!$A$2:$B$2000,2,FALSE),"")</f>
        <v> BOTTLES DEPOSIT</v>
      </c>
      <c r="F36" s="3" t="s">
        <v>21</v>
      </c>
      <c r="G36" s="3">
        <f>_xlfn.IFNA(VLOOKUP($A36,[3]stockregister!$A$2:$L$2000,11,0),0)</f>
        <v>1681</v>
      </c>
      <c r="H36" s="3">
        <f>_xlfn.IFNA(VLOOKUP($A36,[3]stockregister!$A$2:$L$2000,11,0),0)-$G36</f>
        <v>0</v>
      </c>
      <c r="I36" s="3">
        <f>_xlfn.IFNA(VLOOKUP($A36,[3]stockregister!$A$2:$L$2000,12,0),0)</f>
        <v>15.4</v>
      </c>
      <c r="J36" s="3">
        <f>_xlfn.IFNA(VLOOKUP($A36,[3]stockregister!$A$1:$M$2000,12,0),0)-$I36</f>
        <v>0</v>
      </c>
      <c r="K36" s="3" t="s">
        <v>22</v>
      </c>
      <c r="L36" s="3" t="s">
        <v>23</v>
      </c>
      <c r="M36" s="3">
        <f>_xlfn.IFNA(VLOOKUP($A36,[2]stockregister!$A$2:$H$2000,8,0),0)</f>
        <v>18</v>
      </c>
      <c r="N36" s="3">
        <f>_xlfn.IFNA(VLOOKUP($A36,[2]stockregister!$A$2:$H$2000,8,0),0)-$M36</f>
        <v>0</v>
      </c>
      <c r="O36" s="3" t="s">
        <v>145</v>
      </c>
      <c r="P36" s="3" t="s">
        <v>145</v>
      </c>
      <c r="Q36" s="3">
        <v>0</v>
      </c>
      <c r="R36" s="3" t="s">
        <v>146</v>
      </c>
    </row>
    <row r="37" spans="1:19">
      <c r="A37" s="3">
        <v>1222</v>
      </c>
      <c r="B37" s="3" t="b">
        <f>ISNUMBER(MATCH(A37,[1]stockregister!$A$2:$A$2000,0))</f>
        <v>1</v>
      </c>
      <c r="C37" s="3" t="s">
        <v>147</v>
      </c>
      <c r="D37" s="3" t="str">
        <f>VLOOKUP($C37,[1]stockregister!$B$2:$B$2000,1,0)</f>
        <v>KO PASSION&amp;LIME 330ML</v>
      </c>
      <c r="E37" s="3" t="str">
        <f>IF(ISNA($D37),VLOOKUP($A37,[2]stockregister!$A$2:$B$2000,2,FALSE),"")</f>
        <v/>
      </c>
      <c r="F37" s="3" t="s">
        <v>21</v>
      </c>
      <c r="G37" s="3">
        <f>_xlfn.IFNA(VLOOKUP($A37,[3]stockregister!$A$2:$L$2000,11,0),0)</f>
        <v>1056</v>
      </c>
      <c r="H37" s="3">
        <f>_xlfn.IFNA(VLOOKUP($A37,[3]stockregister!$A$2:$L$2000,11,0),0)-$G37</f>
        <v>0</v>
      </c>
      <c r="I37" s="3">
        <f>_xlfn.IFNA(VLOOKUP($A37,[3]stockregister!$A$2:$L$2000,12,0),0)</f>
        <v>225.04</v>
      </c>
      <c r="J37" s="3">
        <f>_xlfn.IFNA(VLOOKUP($A37,[3]stockregister!$A$1:$M$2000,12,0),0)-$I37</f>
        <v>0</v>
      </c>
      <c r="K37" s="3" t="s">
        <v>22</v>
      </c>
      <c r="L37" s="3" t="s">
        <v>23</v>
      </c>
      <c r="M37" s="3">
        <f>_xlfn.IFNA(VLOOKUP($A37,[2]stockregister!$A$2:$H$2000,8,0),0)</f>
        <v>230</v>
      </c>
      <c r="N37" s="3">
        <f>_xlfn.IFNA(VLOOKUP($A37,[2]stockregister!$A$2:$H$2000,8,0),0)-$M37</f>
        <v>0</v>
      </c>
      <c r="O37" s="3" t="s">
        <v>148</v>
      </c>
      <c r="P37" s="3" t="s">
        <v>148</v>
      </c>
      <c r="Q37" s="3" t="s">
        <v>129</v>
      </c>
      <c r="R37" s="3" t="s">
        <v>26</v>
      </c>
      <c r="S37" s="3" t="s">
        <v>130</v>
      </c>
    </row>
    <row r="38" spans="1:19">
      <c r="A38" s="3">
        <v>1050</v>
      </c>
      <c r="B38" s="3" t="b">
        <f>ISNUMBER(MATCH(A38,[1]stockregister!$A$2:$A$2000,0))</f>
        <v>1</v>
      </c>
      <c r="C38" s="3" t="s">
        <v>149</v>
      </c>
      <c r="D38" s="3" t="str">
        <f>VLOOKUP($C38,[1]stockregister!$B$2:$B$2000,1,0)</f>
        <v>JAGERMEISTER WITH CORK  1LTR </v>
      </c>
      <c r="E38" s="3" t="str">
        <f>IF(ISNA($D38),VLOOKUP($A38,[2]stockregister!$A$2:$B$2000,2,FALSE),"")</f>
        <v/>
      </c>
      <c r="F38" s="3" t="s">
        <v>21</v>
      </c>
      <c r="G38" s="3">
        <f>_xlfn.IFNA(VLOOKUP($A38,[3]stockregister!$A$2:$L$2000,11,0),0)</f>
        <v>1407</v>
      </c>
      <c r="H38" s="3">
        <f>_xlfn.IFNA(VLOOKUP($A38,[3]stockregister!$A$2:$L$2000,11,0),0)-$G38</f>
        <v>0</v>
      </c>
      <c r="I38" s="3">
        <f>_xlfn.IFNA(VLOOKUP($A38,[3]stockregister!$A$2:$L$2000,12,0),0)</f>
        <v>2580</v>
      </c>
      <c r="J38" s="3">
        <f>_xlfn.IFNA(VLOOKUP($A38,[3]stockregister!$A$1:$M$2000,12,0),0)-$I38</f>
        <v>0</v>
      </c>
      <c r="K38" s="3" t="s">
        <v>22</v>
      </c>
      <c r="L38" s="3" t="s">
        <v>23</v>
      </c>
      <c r="M38" s="3">
        <f>_xlfn.IFNA(VLOOKUP($A38,[2]stockregister!$A$2:$H$2000,8,0),0)</f>
        <v>2700</v>
      </c>
      <c r="N38" s="3">
        <f>_xlfn.IFNA(VLOOKUP($A38,[2]stockregister!$A$2:$H$2000,8,0),0)-$M38</f>
        <v>0</v>
      </c>
      <c r="O38" s="3" t="s">
        <v>150</v>
      </c>
      <c r="P38" s="3" t="s">
        <v>150</v>
      </c>
      <c r="Q38" s="3" t="s">
        <v>151</v>
      </c>
      <c r="R38" s="3" t="s">
        <v>126</v>
      </c>
      <c r="S38" s="3" t="s">
        <v>152</v>
      </c>
    </row>
    <row r="39" spans="1:19">
      <c r="A39" s="3">
        <v>139</v>
      </c>
      <c r="B39" s="3" t="b">
        <f>ISNUMBER(MATCH(A39,[1]stockregister!$A$2:$A$2000,0))</f>
        <v>1</v>
      </c>
      <c r="C39" s="3" t="s">
        <v>153</v>
      </c>
      <c r="D39" s="3" t="str">
        <f>VLOOKUP($C39,[1]stockregister!$B$2:$B$2000,1,0)</f>
        <v>BACARDI CARTA BLANCA WHITE 1LTR</v>
      </c>
      <c r="E39" s="3" t="str">
        <f>IF(ISNA($D39),VLOOKUP($A39,[2]stockregister!$A$2:$B$2000,2,FALSE),"")</f>
        <v/>
      </c>
      <c r="F39" s="3" t="s">
        <v>21</v>
      </c>
      <c r="G39" s="3">
        <f>_xlfn.IFNA(VLOOKUP($A39,[3]stockregister!$A$2:$L$2000,11,0),0)</f>
        <v>1590</v>
      </c>
      <c r="H39" s="3">
        <f>_xlfn.IFNA(VLOOKUP($A39,[3]stockregister!$A$2:$L$2000,11,0),0)-$G39</f>
        <v>0</v>
      </c>
      <c r="I39" s="3">
        <f>_xlfn.IFNA(VLOOKUP($A39,[3]stockregister!$A$2:$L$2000,12,0),0)</f>
        <v>1932</v>
      </c>
      <c r="J39" s="3">
        <f>_xlfn.IFNA(VLOOKUP($A39,[3]stockregister!$A$1:$M$2000,12,0),0)-$I39</f>
        <v>0</v>
      </c>
      <c r="K39" s="3" t="s">
        <v>22</v>
      </c>
      <c r="L39" s="3" t="s">
        <v>23</v>
      </c>
      <c r="M39" s="3">
        <f>_xlfn.IFNA(VLOOKUP($A39,[2]stockregister!$A$2:$H$2000,8,0),0)</f>
        <v>2100</v>
      </c>
      <c r="N39" s="3">
        <f>_xlfn.IFNA(VLOOKUP($A39,[2]stockregister!$A$2:$H$2000,8,0),0)-$M39</f>
        <v>0</v>
      </c>
      <c r="O39" s="3" t="s">
        <v>154</v>
      </c>
      <c r="P39" s="3" t="s">
        <v>154</v>
      </c>
      <c r="Q39" s="3" t="s">
        <v>155</v>
      </c>
      <c r="R39" s="3" t="s">
        <v>156</v>
      </c>
      <c r="S39" s="3" t="s">
        <v>157</v>
      </c>
    </row>
    <row r="40" spans="1:19">
      <c r="A40" s="3">
        <v>1212</v>
      </c>
      <c r="B40" s="3" t="b">
        <f>ISNUMBER(MATCH(A40,[1]stockregister!$A$2:$A$2000,0))</f>
        <v>1</v>
      </c>
      <c r="C40" s="3" t="s">
        <v>158</v>
      </c>
      <c r="D40" s="3" t="str">
        <f>VLOOKUP($C40,[1]stockregister!$B$2:$B$2000,1,0)</f>
        <v>KINGFISHER STRAWBERRY 300ML</v>
      </c>
      <c r="E40" s="3" t="str">
        <f>IF(ISNA($D40),VLOOKUP($A40,[2]stockregister!$A$2:$B$2000,2,FALSE),"")</f>
        <v/>
      </c>
      <c r="F40" s="3" t="s">
        <v>21</v>
      </c>
      <c r="G40" s="3">
        <f>_xlfn.IFNA(VLOOKUP($A40,[3]stockregister!$A$2:$L$2000,11,0),0)</f>
        <v>1344</v>
      </c>
      <c r="H40" s="3">
        <f>_xlfn.IFNA(VLOOKUP($A40,[3]stockregister!$A$2:$L$2000,11,0),0)-$G40</f>
        <v>0</v>
      </c>
      <c r="I40" s="3">
        <f>_xlfn.IFNA(VLOOKUP($A40,[3]stockregister!$A$2:$L$2000,12,0),0)</f>
        <v>197.63</v>
      </c>
      <c r="J40" s="3">
        <f>_xlfn.IFNA(VLOOKUP($A40,[3]stockregister!$A$1:$M$2000,12,0),0)-$I40</f>
        <v>0</v>
      </c>
      <c r="K40" s="3" t="s">
        <v>22</v>
      </c>
      <c r="L40" s="3" t="s">
        <v>23</v>
      </c>
      <c r="M40" s="3">
        <f>_xlfn.IFNA(VLOOKUP($A40,[2]stockregister!$A$2:$H$2000,8,0),0)</f>
        <v>205</v>
      </c>
      <c r="N40" s="3">
        <f>_xlfn.IFNA(VLOOKUP($A40,[2]stockregister!$A$2:$H$2000,8,0),0)-$M40</f>
        <v>0</v>
      </c>
      <c r="O40" s="3" t="s">
        <v>159</v>
      </c>
      <c r="P40" s="3" t="s">
        <v>159</v>
      </c>
      <c r="Q40" s="3" t="s">
        <v>160</v>
      </c>
      <c r="R40" s="3" t="s">
        <v>97</v>
      </c>
      <c r="S40" s="3" t="s">
        <v>161</v>
      </c>
    </row>
    <row r="41" spans="1:20">
      <c r="A41" s="3">
        <v>455</v>
      </c>
      <c r="B41" s="3" t="b">
        <f>ISNUMBER(MATCH(A41,[1]stockregister!$A$2:$A$2000,0))</f>
        <v>1</v>
      </c>
      <c r="C41" s="3" t="s">
        <v>162</v>
      </c>
      <c r="D41" s="3" t="str">
        <f>VLOOKUP($C41,[1]stockregister!$B$2:$B$2000,1,0)</f>
        <v>CHIVAS REGAL 12YRS WHISKY 1LTR</v>
      </c>
      <c r="E41" s="3" t="str">
        <f>IF(ISNA($D41),VLOOKUP($A41,[2]stockregister!$A$2:$B$2000,2,FALSE),"")</f>
        <v/>
      </c>
      <c r="F41" s="3" t="s">
        <v>21</v>
      </c>
      <c r="G41" s="3">
        <f>_xlfn.IFNA(VLOOKUP($A41,[3]stockregister!$A$2:$L$2000,11,0),0)</f>
        <v>1443</v>
      </c>
      <c r="H41" s="3">
        <f>_xlfn.IFNA(VLOOKUP($A41,[3]stockregister!$A$2:$L$2000,11,0),0)-$G41</f>
        <v>0</v>
      </c>
      <c r="I41" s="3">
        <f>_xlfn.IFNA(VLOOKUP($A41,[3]stockregister!$A$2:$L$2000,12,0),0)</f>
        <v>3550</v>
      </c>
      <c r="J41" s="3">
        <f>_xlfn.IFNA(VLOOKUP($A41,[3]stockregister!$A$1:$M$2000,12,0),0)-$I41</f>
        <v>0</v>
      </c>
      <c r="K41" s="3" t="s">
        <v>22</v>
      </c>
      <c r="L41" s="3" t="s">
        <v>23</v>
      </c>
      <c r="M41" s="3">
        <f>_xlfn.IFNA(VLOOKUP($A41,[2]stockregister!$A$2:$H$2000,8,0),0)</f>
        <v>3700</v>
      </c>
      <c r="N41" s="3">
        <f>_xlfn.IFNA(VLOOKUP($A41,[2]stockregister!$A$2:$H$2000,8,0),0)-$M41</f>
        <v>0</v>
      </c>
      <c r="O41" s="3" t="s">
        <v>163</v>
      </c>
      <c r="P41" s="3" t="s">
        <v>163</v>
      </c>
      <c r="Q41" s="3" t="s">
        <v>164</v>
      </c>
      <c r="R41" s="3" t="s">
        <v>92</v>
      </c>
      <c r="S41" s="3" t="s">
        <v>134</v>
      </c>
      <c r="T41" s="3">
        <v>12</v>
      </c>
    </row>
    <row r="42" spans="1:19">
      <c r="A42" s="3">
        <v>2996</v>
      </c>
      <c r="B42" s="3" t="b">
        <f>ISNUMBER(MATCH(A42,[1]stockregister!$A$2:$A$2000,0))</f>
        <v>1</v>
      </c>
      <c r="C42" s="3" t="s">
        <v>165</v>
      </c>
      <c r="D42" s="3" t="str">
        <f>VLOOKUP($C42,[1]stockregister!$B$2:$B$2000,1,0)</f>
        <v>PINTA NEGRA SWEET WHITE WINE 2024 750ML</v>
      </c>
      <c r="E42" s="3" t="str">
        <f>IF(ISNA($D42),VLOOKUP($A42,[2]stockregister!$A$2:$B$2000,2,FALSE),"")</f>
        <v/>
      </c>
      <c r="F42" s="3" t="s">
        <v>21</v>
      </c>
      <c r="G42" s="3">
        <f>_xlfn.IFNA(VLOOKUP($A42,[3]stockregister!$A$2:$L$2000,11,0),0)</f>
        <v>1397</v>
      </c>
      <c r="H42" s="3">
        <f>_xlfn.IFNA(VLOOKUP($A42,[3]stockregister!$A$2:$L$2000,11,0),0)-$G42</f>
        <v>0</v>
      </c>
      <c r="I42" s="3">
        <f>_xlfn.IFNA(VLOOKUP($A42,[3]stockregister!$A$2:$L$2000,12,0),0)</f>
        <v>750</v>
      </c>
      <c r="J42" s="3">
        <f>_xlfn.IFNA(VLOOKUP($A42,[3]stockregister!$A$1:$M$2000,12,0),0)-$I42</f>
        <v>0</v>
      </c>
      <c r="K42" s="3" t="s">
        <v>22</v>
      </c>
      <c r="L42" s="3" t="s">
        <v>23</v>
      </c>
      <c r="M42" s="3">
        <f>_xlfn.IFNA(VLOOKUP($A42,[2]stockregister!$A$2:$H$2000,8,0),0)</f>
        <v>1000</v>
      </c>
      <c r="N42" s="3">
        <f>_xlfn.IFNA(VLOOKUP($A42,[2]stockregister!$A$2:$H$2000,8,0),0)-$M42</f>
        <v>0</v>
      </c>
      <c r="O42" s="3" t="s">
        <v>166</v>
      </c>
      <c r="P42" s="3" t="s">
        <v>166</v>
      </c>
      <c r="Q42" s="3" t="s">
        <v>81</v>
      </c>
      <c r="R42" s="3" t="s">
        <v>68</v>
      </c>
      <c r="S42" s="3" t="s">
        <v>69</v>
      </c>
    </row>
    <row r="43" spans="1:19">
      <c r="A43" s="3">
        <v>2989</v>
      </c>
      <c r="B43" s="3" t="b">
        <f>ISNUMBER(MATCH(A43,[1]stockregister!$A$2:$A$2000,0))</f>
        <v>1</v>
      </c>
      <c r="C43" s="3" t="s">
        <v>167</v>
      </c>
      <c r="D43" s="3" t="str">
        <f>VLOOKUP($C43,[1]stockregister!$B$2:$B$2000,1,0)</f>
        <v>PINTA NEGRA RED 5L</v>
      </c>
      <c r="E43" s="3" t="str">
        <f>IF(ISNA($D43),VLOOKUP($A43,[2]stockregister!$A$2:$B$2000,2,FALSE),"")</f>
        <v/>
      </c>
      <c r="F43" s="3" t="s">
        <v>21</v>
      </c>
      <c r="G43" s="3">
        <f>_xlfn.IFNA(VLOOKUP($A43,[3]stockregister!$A$2:$L$2000,11,0),0)</f>
        <v>1290</v>
      </c>
      <c r="H43" s="3">
        <f>_xlfn.IFNA(VLOOKUP($A43,[3]stockregister!$A$2:$L$2000,11,0),0)-$G43</f>
        <v>0</v>
      </c>
      <c r="I43" s="3">
        <f>_xlfn.IFNA(VLOOKUP($A43,[3]stockregister!$A$2:$L$2000,12,0),0)</f>
        <v>3000</v>
      </c>
      <c r="J43" s="3">
        <f>_xlfn.IFNA(VLOOKUP($A43,[3]stockregister!$A$1:$M$2000,12,0),0)-$I43</f>
        <v>0</v>
      </c>
      <c r="K43" s="3" t="s">
        <v>22</v>
      </c>
      <c r="L43" s="3" t="s">
        <v>23</v>
      </c>
      <c r="M43" s="3">
        <f>_xlfn.IFNA(VLOOKUP($A43,[2]stockregister!$A$2:$H$2000,8,0),0)</f>
        <v>3200</v>
      </c>
      <c r="N43" s="3">
        <f>_xlfn.IFNA(VLOOKUP($A43,[2]stockregister!$A$2:$H$2000,8,0),0)-$M43</f>
        <v>0</v>
      </c>
      <c r="O43" s="3" t="s">
        <v>168</v>
      </c>
      <c r="P43" s="3" t="s">
        <v>168</v>
      </c>
      <c r="Q43" s="3" t="s">
        <v>81</v>
      </c>
      <c r="R43" s="3" t="s">
        <v>68</v>
      </c>
      <c r="S43" s="3" t="s">
        <v>169</v>
      </c>
    </row>
    <row r="44" spans="1:18">
      <c r="A44" s="3">
        <v>534</v>
      </c>
      <c r="B44" s="3" t="b">
        <f>ISNUMBER(MATCH(A44,[1]stockregister!$A$2:$A$2000,0))</f>
        <v>1</v>
      </c>
      <c r="C44" s="3" t="s">
        <v>170</v>
      </c>
      <c r="D44" s="3" t="str">
        <f>VLOOKUP($C44,[1]stockregister!$B$2:$B$2000,1,0)</f>
        <v>COUNTY BRANDY 250ML</v>
      </c>
      <c r="E44" s="3" t="str">
        <f>IF(ISNA($D44),VLOOKUP($A44,[2]stockregister!$A$2:$B$2000,2,FALSE),"")</f>
        <v/>
      </c>
      <c r="F44" s="3" t="s">
        <v>21</v>
      </c>
      <c r="G44" s="3">
        <f>_xlfn.IFNA(VLOOKUP($A44,[3]stockregister!$A$2:$L$2000,11,0),0)</f>
        <v>864</v>
      </c>
      <c r="H44" s="3">
        <f>_xlfn.IFNA(VLOOKUP($A44,[3]stockregister!$A$2:$L$2000,11,0),0)-$G44</f>
        <v>0</v>
      </c>
      <c r="I44" s="3">
        <f>_xlfn.IFNA(VLOOKUP($A44,[3]stockregister!$A$2:$L$2000,12,0),0)</f>
        <v>228.05</v>
      </c>
      <c r="J44" s="3">
        <f>_xlfn.IFNA(VLOOKUP($A44,[3]stockregister!$A$1:$M$2000,12,0),0)-$I44</f>
        <v>0</v>
      </c>
      <c r="K44" s="3" t="s">
        <v>22</v>
      </c>
      <c r="L44" s="3" t="s">
        <v>23</v>
      </c>
      <c r="M44" s="3">
        <f>_xlfn.IFNA(VLOOKUP($A44,[2]stockregister!$A$2:$H$2000,8,0),0)</f>
        <v>232</v>
      </c>
      <c r="N44" s="3">
        <f>_xlfn.IFNA(VLOOKUP($A44,[2]stockregister!$A$2:$H$2000,8,0),0)-$M44</f>
        <v>0</v>
      </c>
      <c r="O44" s="3" t="s">
        <v>171</v>
      </c>
      <c r="P44" s="3" t="s">
        <v>171</v>
      </c>
      <c r="Q44" s="3" t="s">
        <v>172</v>
      </c>
      <c r="R44" s="3" t="s">
        <v>109</v>
      </c>
    </row>
    <row r="45" spans="1:19">
      <c r="A45" s="3">
        <v>1764</v>
      </c>
      <c r="B45" s="3" t="b">
        <f>ISNUMBER(MATCH(A45,[1]stockregister!$A$2:$A$2000,0))</f>
        <v>1</v>
      </c>
      <c r="C45" s="3" t="s">
        <v>173</v>
      </c>
      <c r="D45" s="3" t="str">
        <f>VLOOKUP($C45,[1]stockregister!$B$2:$B$2000,1,0)</f>
        <v>SAVANNA DRY BOTTLE 330ML</v>
      </c>
      <c r="E45" s="3" t="str">
        <f>IF(ISNA($D45),VLOOKUP($A45,[2]stockregister!$A$2:$B$2000,2,FALSE),"")</f>
        <v/>
      </c>
      <c r="F45" s="3" t="s">
        <v>21</v>
      </c>
      <c r="G45" s="3">
        <f>_xlfn.IFNA(VLOOKUP($A45,[3]stockregister!$A$2:$L$2000,11,0),0)</f>
        <v>480</v>
      </c>
      <c r="H45" s="3">
        <f>_xlfn.IFNA(VLOOKUP($A45,[3]stockregister!$A$2:$L$2000,11,0),0)-$G45</f>
        <v>0</v>
      </c>
      <c r="I45" s="3">
        <f>_xlfn.IFNA(VLOOKUP($A45,[3]stockregister!$A$2:$L$2000,12,0),0)</f>
        <v>230</v>
      </c>
      <c r="J45" s="3">
        <f>_xlfn.IFNA(VLOOKUP($A45,[3]stockregister!$A$1:$M$2000,12,0),0)-$I45</f>
        <v>0</v>
      </c>
      <c r="K45" s="3" t="s">
        <v>22</v>
      </c>
      <c r="L45" s="3" t="s">
        <v>23</v>
      </c>
      <c r="M45" s="3">
        <f>_xlfn.IFNA(VLOOKUP($A45,[2]stockregister!$A$2:$H$2000,8,0),0)</f>
        <v>235</v>
      </c>
      <c r="N45" s="3">
        <f>_xlfn.IFNA(VLOOKUP($A45,[2]stockregister!$A$2:$H$2000,8,0),0)-$M45</f>
        <v>0</v>
      </c>
      <c r="O45" s="3" t="s">
        <v>174</v>
      </c>
      <c r="P45" s="3" t="s">
        <v>174</v>
      </c>
      <c r="Q45" s="3" t="s">
        <v>175</v>
      </c>
      <c r="R45" s="3" t="s">
        <v>97</v>
      </c>
      <c r="S45" s="3" t="s">
        <v>176</v>
      </c>
    </row>
    <row r="46" spans="1:19">
      <c r="A46" s="3">
        <v>170</v>
      </c>
      <c r="B46" s="3" t="b">
        <f>ISNUMBER(MATCH(A46,[1]stockregister!$A$2:$A$2000,0))</f>
        <v>1</v>
      </c>
      <c r="C46" s="3" t="s">
        <v>177</v>
      </c>
      <c r="D46" s="3" t="str">
        <f>VLOOKUP($C46,[1]stockregister!$B$2:$B$2000,1,0)</f>
        <v>BALOZI CANS 500ML</v>
      </c>
      <c r="E46" s="3" t="str">
        <f>IF(ISNA($D46),VLOOKUP($A46,[2]stockregister!$A$2:$B$2000,2,FALSE),"")</f>
        <v/>
      </c>
      <c r="F46" s="3" t="s">
        <v>21</v>
      </c>
      <c r="G46" s="3">
        <f>_xlfn.IFNA(VLOOKUP($A46,[3]stockregister!$A$2:$L$2000,11,0),0)</f>
        <v>1680</v>
      </c>
      <c r="H46" s="3">
        <f>_xlfn.IFNA(VLOOKUP($A46,[3]stockregister!$A$2:$L$2000,11,0),0)-$G46</f>
        <v>0</v>
      </c>
      <c r="I46" s="3">
        <f>_xlfn.IFNA(VLOOKUP($A46,[3]stockregister!$A$2:$L$2000,12,0),0)</f>
        <v>194.98</v>
      </c>
      <c r="J46" s="3">
        <f>_xlfn.IFNA(VLOOKUP($A46,[3]stockregister!$A$1:$M$2000,12,0),0)-$I46</f>
        <v>0</v>
      </c>
      <c r="K46" s="3" t="s">
        <v>22</v>
      </c>
      <c r="L46" s="3" t="s">
        <v>23</v>
      </c>
      <c r="M46" s="3">
        <f>_xlfn.IFNA(VLOOKUP($A46,[2]stockregister!$A$2:$H$2000,8,0),0)</f>
        <v>205</v>
      </c>
      <c r="N46" s="3">
        <f>_xlfn.IFNA(VLOOKUP($A46,[2]stockregister!$A$2:$H$2000,8,0),0)-$M46</f>
        <v>0</v>
      </c>
      <c r="O46" s="3" t="s">
        <v>178</v>
      </c>
      <c r="P46" s="3" t="s">
        <v>178</v>
      </c>
      <c r="Q46" s="3" t="s">
        <v>179</v>
      </c>
      <c r="R46" s="3" t="s">
        <v>97</v>
      </c>
      <c r="S46" s="3" t="s">
        <v>98</v>
      </c>
    </row>
    <row r="47" spans="1:19">
      <c r="A47" s="3">
        <v>1396</v>
      </c>
      <c r="B47" s="3" t="b">
        <f>ISNUMBER(MATCH(A47,[1]stockregister!$A$2:$A$2000,0))</f>
        <v>1</v>
      </c>
      <c r="C47" s="3" t="s">
        <v>180</v>
      </c>
      <c r="D47" s="3" t="str">
        <f>VLOOKUP($C47,[1]stockregister!$B$2:$B$2000,1,0)</f>
        <v>MARTEL VSOP COGNAC 700ML</v>
      </c>
      <c r="E47" s="3" t="str">
        <f>IF(ISNA($D47),VLOOKUP($A47,[2]stockregister!$A$2:$B$2000,2,FALSE),"")</f>
        <v/>
      </c>
      <c r="F47" s="3" t="s">
        <v>21</v>
      </c>
      <c r="G47" s="3">
        <f>_xlfn.IFNA(VLOOKUP($A47,[3]stockregister!$A$2:$L$2000,11,0),0)</f>
        <v>1228</v>
      </c>
      <c r="H47" s="3">
        <f>_xlfn.IFNA(VLOOKUP($A47,[3]stockregister!$A$2:$L$2000,11,0),0)-$G47</f>
        <v>0</v>
      </c>
      <c r="I47" s="3">
        <f>_xlfn.IFNA(VLOOKUP($A47,[3]stockregister!$A$2:$L$2000,12,0),0)</f>
        <v>4431</v>
      </c>
      <c r="J47" s="3">
        <f>_xlfn.IFNA(VLOOKUP($A47,[3]stockregister!$A$1:$M$2000,12,0),0)-$I47</f>
        <v>0</v>
      </c>
      <c r="K47" s="3" t="s">
        <v>22</v>
      </c>
      <c r="L47" s="3" t="s">
        <v>23</v>
      </c>
      <c r="M47" s="3">
        <f>_xlfn.IFNA(VLOOKUP($A47,[2]stockregister!$A$2:$H$2000,8,0),0)</f>
        <v>7060</v>
      </c>
      <c r="N47" s="3">
        <f>_xlfn.IFNA(VLOOKUP($A47,[2]stockregister!$A$2:$H$2000,8,0),0)-$M47</f>
        <v>0</v>
      </c>
      <c r="O47" s="3" t="s">
        <v>181</v>
      </c>
      <c r="P47" s="3" t="s">
        <v>181</v>
      </c>
      <c r="Q47" s="3" t="s">
        <v>101</v>
      </c>
      <c r="R47" s="3" t="s">
        <v>102</v>
      </c>
      <c r="S47" s="3" t="s">
        <v>36</v>
      </c>
    </row>
    <row r="48" spans="1:19">
      <c r="A48" s="3">
        <v>2026</v>
      </c>
      <c r="B48" s="3" t="b">
        <f>ISNUMBER(MATCH(A48,[1]stockregister!$A$2:$A$2000,0))</f>
        <v>1</v>
      </c>
      <c r="C48" s="3" t="s">
        <v>182</v>
      </c>
      <c r="D48" s="3" t="str">
        <f>VLOOKUP($C48,[1]stockregister!$B$2:$B$2000,1,0)</f>
        <v>TUSKER CIDER CAN 500ML</v>
      </c>
      <c r="E48" s="3" t="str">
        <f>IF(ISNA($D48),VLOOKUP($A48,[2]stockregister!$A$2:$B$2000,2,FALSE),"")</f>
        <v/>
      </c>
      <c r="F48" s="3" t="s">
        <v>21</v>
      </c>
      <c r="G48" s="3">
        <f>_xlfn.IFNA(VLOOKUP($A48,[3]stockregister!$A$2:$L$2000,11,0),0)</f>
        <v>984</v>
      </c>
      <c r="H48" s="3">
        <f>_xlfn.IFNA(VLOOKUP($A48,[3]stockregister!$A$2:$L$2000,11,0),0)-$G48</f>
        <v>0</v>
      </c>
      <c r="I48" s="3">
        <f>_xlfn.IFNA(VLOOKUP($A48,[3]stockregister!$A$2:$L$2000,12,0),0)</f>
        <v>233.1</v>
      </c>
      <c r="J48" s="3">
        <f>_xlfn.IFNA(VLOOKUP($A48,[3]stockregister!$A$1:$M$2000,12,0),0)-$I48</f>
        <v>0</v>
      </c>
      <c r="K48" s="3" t="s">
        <v>22</v>
      </c>
      <c r="L48" s="3" t="s">
        <v>23</v>
      </c>
      <c r="M48" s="3">
        <f>_xlfn.IFNA(VLOOKUP($A48,[2]stockregister!$A$2:$H$2000,8,0),0)</f>
        <v>235</v>
      </c>
      <c r="N48" s="3">
        <f>_xlfn.IFNA(VLOOKUP($A48,[2]stockregister!$A$2:$H$2000,8,0),0)-$M48</f>
        <v>0</v>
      </c>
      <c r="O48" s="3" t="s">
        <v>183</v>
      </c>
      <c r="P48" s="3" t="s">
        <v>183</v>
      </c>
      <c r="Q48" s="3" t="s">
        <v>184</v>
      </c>
      <c r="R48" s="3" t="s">
        <v>97</v>
      </c>
      <c r="S48" s="3" t="s">
        <v>176</v>
      </c>
    </row>
    <row r="49" spans="1:19">
      <c r="A49" s="3">
        <v>2432</v>
      </c>
      <c r="B49" s="3" t="b">
        <f>ISNUMBER(MATCH(A49,[1]stockregister!$A$2:$A$2000,0))</f>
        <v>1</v>
      </c>
      <c r="C49" s="3" t="s">
        <v>185</v>
      </c>
      <c r="D49" s="3" t="str">
        <f>VLOOKUP($C49,[1]stockregister!$B$2:$B$2000,1,0)</f>
        <v>TUSKER LAGER CAN 500ML</v>
      </c>
      <c r="E49" s="3" t="str">
        <f>IF(ISNA($D49),VLOOKUP($A49,[2]stockregister!$A$2:$B$2000,2,FALSE),"")</f>
        <v/>
      </c>
      <c r="F49" s="3" t="s">
        <v>21</v>
      </c>
      <c r="G49" s="3">
        <f>_xlfn.IFNA(VLOOKUP($A49,[3]stockregister!$A$2:$L$2000,11,0),0)</f>
        <v>1656</v>
      </c>
      <c r="H49" s="3">
        <f>_xlfn.IFNA(VLOOKUP($A49,[3]stockregister!$A$2:$L$2000,11,0),0)-$G49</f>
        <v>0</v>
      </c>
      <c r="I49" s="3">
        <f>_xlfn.IFNA(VLOOKUP($A49,[3]stockregister!$A$2:$L$2000,12,0),0)</f>
        <v>194.98</v>
      </c>
      <c r="J49" s="3">
        <f>_xlfn.IFNA(VLOOKUP($A49,[3]stockregister!$A$1:$M$2000,12,0),0)-$I49</f>
        <v>0</v>
      </c>
      <c r="K49" s="3" t="s">
        <v>22</v>
      </c>
      <c r="L49" s="3" t="s">
        <v>23</v>
      </c>
      <c r="M49" s="3">
        <f>_xlfn.IFNA(VLOOKUP($A49,[2]stockregister!$A$2:$H$2000,8,0),0)</f>
        <v>205</v>
      </c>
      <c r="N49" s="3">
        <f>_xlfn.IFNA(VLOOKUP($A49,[2]stockregister!$A$2:$H$2000,8,0),0)-$M49</f>
        <v>0</v>
      </c>
      <c r="O49" s="3" t="s">
        <v>186</v>
      </c>
      <c r="P49" s="3" t="s">
        <v>186</v>
      </c>
      <c r="Q49" s="3" t="s">
        <v>184</v>
      </c>
      <c r="R49" s="3" t="s">
        <v>97</v>
      </c>
      <c r="S49" s="3" t="s">
        <v>98</v>
      </c>
    </row>
    <row r="50" spans="1:19">
      <c r="A50" s="3">
        <v>2431</v>
      </c>
      <c r="B50" s="3" t="b">
        <f>ISNUMBER(MATCH(A50,[1]stockregister!$A$2:$A$2000,0))</f>
        <v>1</v>
      </c>
      <c r="C50" s="3" t="s">
        <v>187</v>
      </c>
      <c r="D50" s="3" t="str">
        <f>VLOOKUP($C50,[1]stockregister!$B$2:$B$2000,1,0)</f>
        <v>BUDWEISER 330ML BOTTLE </v>
      </c>
      <c r="E50" s="3" t="str">
        <f>IF(ISNA($D50),VLOOKUP($A50,[2]stockregister!$A$2:$B$2000,2,FALSE),"")</f>
        <v/>
      </c>
      <c r="F50" s="3" t="s">
        <v>21</v>
      </c>
      <c r="G50" s="3">
        <f>_xlfn.IFNA(VLOOKUP($A50,[3]stockregister!$A$2:$L$2000,11,0),0)</f>
        <v>1080</v>
      </c>
      <c r="H50" s="3">
        <f>_xlfn.IFNA(VLOOKUP($A50,[3]stockregister!$A$2:$L$2000,11,0),0)-$G50</f>
        <v>0</v>
      </c>
      <c r="I50" s="3">
        <f>_xlfn.IFNA(VLOOKUP($A50,[3]stockregister!$A$2:$L$2000,12,0),0)</f>
        <v>172.71</v>
      </c>
      <c r="J50" s="3">
        <f>_xlfn.IFNA(VLOOKUP($A50,[3]stockregister!$A$1:$M$2000,12,0),0)-$I50</f>
        <v>0</v>
      </c>
      <c r="K50" s="3" t="s">
        <v>22</v>
      </c>
      <c r="L50" s="3" t="s">
        <v>23</v>
      </c>
      <c r="M50" s="3">
        <f>_xlfn.IFNA(VLOOKUP($A50,[2]stockregister!$A$2:$H$2000,8,0),0)</f>
        <v>180</v>
      </c>
      <c r="N50" s="3">
        <f>_xlfn.IFNA(VLOOKUP($A50,[2]stockregister!$A$2:$H$2000,8,0),0)-$M50</f>
        <v>0</v>
      </c>
      <c r="O50" s="3" t="s">
        <v>188</v>
      </c>
      <c r="P50" s="3" t="s">
        <v>188</v>
      </c>
      <c r="Q50" s="3" t="s">
        <v>189</v>
      </c>
      <c r="R50" s="3" t="s">
        <v>26</v>
      </c>
      <c r="S50" s="3" t="s">
        <v>130</v>
      </c>
    </row>
    <row r="51" spans="1:19">
      <c r="A51" s="3">
        <v>2905</v>
      </c>
      <c r="B51" s="3" t="b">
        <f>ISNUMBER(MATCH(A51,[1]stockregister!$A$2:$A$2000,0))</f>
        <v>1</v>
      </c>
      <c r="C51" s="3" t="s">
        <v>190</v>
      </c>
      <c r="D51" s="3" t="str">
        <f>VLOOKUP($C51,[1]stockregister!$B$2:$B$2000,1,0)</f>
        <v>SMIRNOFF BLACK ICE CAN 330ML</v>
      </c>
      <c r="E51" s="3" t="str">
        <f>IF(ISNA($D51),VLOOKUP($A51,[2]stockregister!$A$2:$B$2000,2,FALSE),"")</f>
        <v/>
      </c>
      <c r="F51" s="3" t="s">
        <v>21</v>
      </c>
      <c r="G51" s="3">
        <f>_xlfn.IFNA(VLOOKUP($A51,[3]stockregister!$A$2:$L$2000,11,0),0)</f>
        <v>1152</v>
      </c>
      <c r="H51" s="3">
        <f>_xlfn.IFNA(VLOOKUP($A51,[3]stockregister!$A$2:$L$2000,11,0),0)-$G51</f>
        <v>0</v>
      </c>
      <c r="I51" s="3">
        <f>_xlfn.IFNA(VLOOKUP($A51,[3]stockregister!$A$2:$L$2000,12,0),0)</f>
        <v>206</v>
      </c>
      <c r="J51" s="3">
        <f>_xlfn.IFNA(VLOOKUP($A51,[3]stockregister!$A$1:$M$2000,12,0),0)-$I51</f>
        <v>0</v>
      </c>
      <c r="K51" s="3" t="s">
        <v>22</v>
      </c>
      <c r="L51" s="3" t="s">
        <v>23</v>
      </c>
      <c r="M51" s="3">
        <f>_xlfn.IFNA(VLOOKUP($A51,[2]stockregister!$A$2:$H$2000,8,0),0)</f>
        <v>215</v>
      </c>
      <c r="N51" s="3">
        <f>_xlfn.IFNA(VLOOKUP($A51,[2]stockregister!$A$2:$H$2000,8,0),0)-$M51</f>
        <v>0</v>
      </c>
      <c r="O51" s="3" t="s">
        <v>191</v>
      </c>
      <c r="P51" s="3" t="s">
        <v>191</v>
      </c>
      <c r="Q51" s="3" t="s">
        <v>192</v>
      </c>
      <c r="R51" s="3" t="s">
        <v>97</v>
      </c>
      <c r="S51" s="3" t="s">
        <v>98</v>
      </c>
    </row>
    <row r="52" spans="1:19">
      <c r="A52" s="3">
        <v>1488</v>
      </c>
      <c r="B52" s="3" t="b">
        <f>ISNUMBER(MATCH(A52,[1]stockregister!$A$2:$A$2000,0))</f>
        <v>1</v>
      </c>
      <c r="C52" s="3" t="s">
        <v>193</v>
      </c>
      <c r="D52" s="3" t="str">
        <f>VLOOKUP($C52,[1]stockregister!$B$2:$B$2000,1,0)</f>
        <v>CAPTAIN MORGAN SPICED 1LTR</v>
      </c>
      <c r="E52" s="3" t="str">
        <f>IF(ISNA($D52),VLOOKUP($A52,[2]stockregister!$A$2:$B$2000,2,FALSE),"")</f>
        <v/>
      </c>
      <c r="F52" s="3" t="s">
        <v>21</v>
      </c>
      <c r="G52" s="3">
        <f>_xlfn.IFNA(VLOOKUP($A52,[3]stockregister!$A$2:$L$2000,11,0),0)</f>
        <v>1139</v>
      </c>
      <c r="H52" s="3">
        <f>_xlfn.IFNA(VLOOKUP($A52,[3]stockregister!$A$2:$L$2000,11,0),0)-$G52</f>
        <v>0</v>
      </c>
      <c r="I52" s="3">
        <f>_xlfn.IFNA(VLOOKUP($A52,[3]stockregister!$A$2:$L$2000,12,0),0)</f>
        <v>1500</v>
      </c>
      <c r="J52" s="3">
        <f>_xlfn.IFNA(VLOOKUP($A52,[3]stockregister!$A$1:$M$2000,12,0),0)-$I52</f>
        <v>0</v>
      </c>
      <c r="K52" s="3" t="s">
        <v>22</v>
      </c>
      <c r="L52" s="3" t="s">
        <v>23</v>
      </c>
      <c r="M52" s="3">
        <f>_xlfn.IFNA(VLOOKUP($A52,[2]stockregister!$A$2:$H$2000,8,0),0)</f>
        <v>1750</v>
      </c>
      <c r="N52" s="3">
        <f>_xlfn.IFNA(VLOOKUP($A52,[2]stockregister!$A$2:$H$2000,8,0),0)-$M52</f>
        <v>0</v>
      </c>
      <c r="O52" s="3" t="s">
        <v>194</v>
      </c>
      <c r="P52" s="3" t="s">
        <v>194</v>
      </c>
      <c r="Q52" s="3" t="s">
        <v>195</v>
      </c>
      <c r="R52" s="3" t="s">
        <v>68</v>
      </c>
      <c r="S52" s="3" t="s">
        <v>196</v>
      </c>
    </row>
    <row r="53" spans="1:19">
      <c r="A53" s="3">
        <v>1821</v>
      </c>
      <c r="B53" s="3" t="b">
        <f>ISNUMBER(MATCH(A53,[1]stockregister!$A$2:$A$2000,0))</f>
        <v>1</v>
      </c>
      <c r="C53" s="3" t="s">
        <v>197</v>
      </c>
      <c r="D53" s="3" t="str">
        <f>VLOOKUP($C53,[1]stockregister!$B$2:$B$2000,1,0)</f>
        <v>TANQUERAY  NO. 10 1LTR</v>
      </c>
      <c r="E53" s="3" t="str">
        <f>IF(ISNA($D53),VLOOKUP($A53,[2]stockregister!$A$2:$B$2000,2,FALSE),"")</f>
        <v/>
      </c>
      <c r="F53" s="3" t="s">
        <v>21</v>
      </c>
      <c r="G53" s="3">
        <f>_xlfn.IFNA(VLOOKUP($A53,[3]stockregister!$A$2:$L$2000,11,0),0)</f>
        <v>576</v>
      </c>
      <c r="H53" s="3">
        <f>_xlfn.IFNA(VLOOKUP($A53,[3]stockregister!$A$2:$L$2000,11,0),0)-$G53</f>
        <v>0</v>
      </c>
      <c r="I53" s="3">
        <f>_xlfn.IFNA(VLOOKUP($A53,[3]stockregister!$A$2:$L$2000,12,0),0)</f>
        <v>172.71</v>
      </c>
      <c r="J53" s="3">
        <f>_xlfn.IFNA(VLOOKUP($A53,[3]stockregister!$A$1:$M$2000,12,0),0)-$I53</f>
        <v>0</v>
      </c>
      <c r="K53" s="3" t="s">
        <v>22</v>
      </c>
      <c r="L53" s="3" t="s">
        <v>23</v>
      </c>
      <c r="M53" s="3">
        <f>_xlfn.IFNA(VLOOKUP($A53,[2]stockregister!$A$2:$H$2000,8,0),0)</f>
        <v>180</v>
      </c>
      <c r="N53" s="3">
        <f>_xlfn.IFNA(VLOOKUP($A53,[2]stockregister!$A$2:$H$2000,8,0),0)-$M53</f>
        <v>0</v>
      </c>
      <c r="O53" s="3" t="s">
        <v>198</v>
      </c>
      <c r="P53" s="3" t="s">
        <v>198</v>
      </c>
      <c r="Q53" s="3" t="s">
        <v>189</v>
      </c>
      <c r="R53" s="3" t="s">
        <v>26</v>
      </c>
      <c r="S53" s="3" t="s">
        <v>130</v>
      </c>
    </row>
    <row r="54" spans="1:19">
      <c r="A54" s="3">
        <v>375</v>
      </c>
      <c r="B54" s="3" t="b">
        <f>ISNUMBER(MATCH(A54,[1]stockregister!$A$2:$A$2000,0))</f>
        <v>1</v>
      </c>
      <c r="C54" s="3" t="s">
        <v>199</v>
      </c>
      <c r="D54" s="3" t="str">
        <f>VLOOKUP($C54,[1]stockregister!$B$2:$B$2000,1,0)</f>
        <v>HENNESSY VS COGNAC 1LTR</v>
      </c>
      <c r="E54" s="3" t="str">
        <f>IF(ISNA($D54),VLOOKUP($A54,[2]stockregister!$A$2:$B$2000,2,FALSE),"")</f>
        <v/>
      </c>
      <c r="F54" s="3" t="s">
        <v>21</v>
      </c>
      <c r="G54" s="3">
        <f>_xlfn.IFNA(VLOOKUP($A54,[3]stockregister!$A$2:$L$2000,11,0),0)</f>
        <v>1104</v>
      </c>
      <c r="H54" s="3">
        <f>_xlfn.IFNA(VLOOKUP($A54,[3]stockregister!$A$2:$L$2000,11,0),0)-$G54</f>
        <v>0</v>
      </c>
      <c r="I54" s="3">
        <f>_xlfn.IFNA(VLOOKUP($A54,[3]stockregister!$A$2:$L$2000,12,0),0)</f>
        <v>1748</v>
      </c>
      <c r="J54" s="3">
        <f>_xlfn.IFNA(VLOOKUP($A54,[3]stockregister!$A$1:$M$2000,12,0),0)-$I54</f>
        <v>0</v>
      </c>
      <c r="K54" s="3" t="s">
        <v>22</v>
      </c>
      <c r="L54" s="3" t="s">
        <v>23</v>
      </c>
      <c r="M54" s="3">
        <f>_xlfn.IFNA(VLOOKUP($A54,[2]stockregister!$A$2:$H$2000,8,0),0)</f>
        <v>1900</v>
      </c>
      <c r="N54" s="3">
        <f>_xlfn.IFNA(VLOOKUP($A54,[2]stockregister!$A$2:$H$2000,8,0),0)-$M54</f>
        <v>0</v>
      </c>
      <c r="O54" s="3" t="s">
        <v>200</v>
      </c>
      <c r="P54" s="3" t="s">
        <v>200</v>
      </c>
      <c r="Q54" s="3" t="s">
        <v>201</v>
      </c>
      <c r="R54" s="3" t="s">
        <v>156</v>
      </c>
      <c r="S54" s="3" t="s">
        <v>202</v>
      </c>
    </row>
    <row r="55" spans="1:19">
      <c r="A55" s="3">
        <v>1511</v>
      </c>
      <c r="B55" s="3" t="b">
        <f>ISNUMBER(MATCH(A55,[1]stockregister!$A$2:$A$2000,0))</f>
        <v>1</v>
      </c>
      <c r="C55" s="3" t="s">
        <v>203</v>
      </c>
      <c r="D55" s="3" t="str">
        <f>VLOOKUP($C55,[1]stockregister!$B$2:$B$2000,1,0)</f>
        <v>JACK DANIELS  700ML</v>
      </c>
      <c r="E55" s="3" t="str">
        <f>IF(ISNA($D55),VLOOKUP($A55,[2]stockregister!$A$2:$B$2000,2,FALSE),"")</f>
        <v/>
      </c>
      <c r="F55" s="3" t="s">
        <v>21</v>
      </c>
      <c r="G55" s="3">
        <f>_xlfn.IFNA(VLOOKUP($A55,[3]stockregister!$A$2:$L$2000,11,0),0)</f>
        <v>1038</v>
      </c>
      <c r="H55" s="3">
        <f>_xlfn.IFNA(VLOOKUP($A55,[3]stockregister!$A$2:$L$2000,11,0),0)-$G55</f>
        <v>0</v>
      </c>
      <c r="I55" s="3">
        <f>_xlfn.IFNA(VLOOKUP($A55,[3]stockregister!$A$2:$L$2000,12,0),0)</f>
        <v>1300</v>
      </c>
      <c r="J55" s="3">
        <f>_xlfn.IFNA(VLOOKUP($A55,[3]stockregister!$A$1:$M$2000,12,0),0)-$I55</f>
        <v>0</v>
      </c>
      <c r="K55" s="3" t="s">
        <v>22</v>
      </c>
      <c r="L55" s="3" t="s">
        <v>23</v>
      </c>
      <c r="M55" s="3">
        <f>_xlfn.IFNA(VLOOKUP($A55,[2]stockregister!$A$2:$H$2000,8,0),0)</f>
        <v>1400</v>
      </c>
      <c r="N55" s="3">
        <f>_xlfn.IFNA(VLOOKUP($A55,[2]stockregister!$A$2:$H$2000,8,0),0)-$M55</f>
        <v>0</v>
      </c>
      <c r="O55" s="3" t="s">
        <v>204</v>
      </c>
      <c r="P55" s="3" t="s">
        <v>204</v>
      </c>
      <c r="Q55" s="3" t="s">
        <v>205</v>
      </c>
      <c r="R55" s="3" t="s">
        <v>68</v>
      </c>
      <c r="S55" s="3" t="s">
        <v>206</v>
      </c>
    </row>
    <row r="56" spans="1:19">
      <c r="A56" s="3">
        <v>11</v>
      </c>
      <c r="B56" s="3" t="b">
        <f>ISNUMBER(MATCH(A56,[1]stockregister!$A$2:$A$2000,0))</f>
        <v>1</v>
      </c>
      <c r="C56" s="3" t="s">
        <v>207</v>
      </c>
      <c r="D56" s="3" t="str">
        <f>VLOOKUP($C56,[1]stockregister!$B$2:$B$2000,1,0)</f>
        <v>GILBEYS GIN 250ML</v>
      </c>
      <c r="E56" s="3" t="str">
        <f>IF(ISNA($D56),VLOOKUP($A56,[2]stockregister!$A$2:$B$2000,2,FALSE),"")</f>
        <v/>
      </c>
      <c r="F56" s="3" t="s">
        <v>21</v>
      </c>
      <c r="G56" s="3">
        <f>_xlfn.IFNA(VLOOKUP($A56,[3]stockregister!$A$2:$L$2000,11,0),0)</f>
        <v>1060</v>
      </c>
      <c r="H56" s="3">
        <f>_xlfn.IFNA(VLOOKUP($A56,[3]stockregister!$A$2:$L$2000,11,0),0)-$G56</f>
        <v>0</v>
      </c>
      <c r="I56" s="3">
        <f>_xlfn.IFNA(VLOOKUP($A56,[3]stockregister!$A$2:$L$2000,12,0),0)</f>
        <v>782</v>
      </c>
      <c r="J56" s="3">
        <f>_xlfn.IFNA(VLOOKUP($A56,[3]stockregister!$A$1:$M$2000,12,0),0)-$I56</f>
        <v>0</v>
      </c>
      <c r="K56" s="3" t="s">
        <v>22</v>
      </c>
      <c r="L56" s="3" t="s">
        <v>23</v>
      </c>
      <c r="M56" s="3">
        <f>_xlfn.IFNA(VLOOKUP($A56,[2]stockregister!$A$2:$H$2000,8,0),0)</f>
        <v>850</v>
      </c>
      <c r="N56" s="3">
        <f>_xlfn.IFNA(VLOOKUP($A56,[2]stockregister!$A$2:$H$2000,8,0),0)-$M56</f>
        <v>0</v>
      </c>
      <c r="O56" s="3" t="s">
        <v>208</v>
      </c>
      <c r="P56" s="3" t="s">
        <v>208</v>
      </c>
      <c r="Q56" s="3" t="s">
        <v>209</v>
      </c>
      <c r="R56" s="3" t="s">
        <v>68</v>
      </c>
      <c r="S56" s="3" t="s">
        <v>169</v>
      </c>
    </row>
    <row r="57" spans="1:19">
      <c r="A57" s="3">
        <v>949</v>
      </c>
      <c r="B57" s="3" t="b">
        <f>ISNUMBER(MATCH(A57,[1]stockregister!$A$2:$A$2000,0))</f>
        <v>1</v>
      </c>
      <c r="C57" s="3" t="s">
        <v>210</v>
      </c>
      <c r="D57" s="3" t="str">
        <f>VLOOKUP($C57,[1]stockregister!$B$2:$B$2000,1,0)</f>
        <v>SMIRNOFF ICE GUARANA 330ML</v>
      </c>
      <c r="E57" s="3" t="str">
        <f>IF(ISNA($D57),VLOOKUP($A57,[2]stockregister!$A$2:$B$2000,2,FALSE),"")</f>
        <v/>
      </c>
      <c r="F57" s="3" t="s">
        <v>21</v>
      </c>
      <c r="G57" s="3">
        <f>_xlfn.IFNA(VLOOKUP($A57,[3]stockregister!$A$2:$L$2000,11,0),0)</f>
        <v>428</v>
      </c>
      <c r="H57" s="3">
        <f>_xlfn.IFNA(VLOOKUP($A57,[3]stockregister!$A$2:$L$2000,11,0),0)-$G57</f>
        <v>0</v>
      </c>
      <c r="I57" s="3">
        <f>_xlfn.IFNA(VLOOKUP($A57,[3]stockregister!$A$2:$L$2000,12,0),0)</f>
        <v>268.706271</v>
      </c>
      <c r="J57" s="3">
        <f>_xlfn.IFNA(VLOOKUP($A57,[3]stockregister!$A$1:$M$2000,12,0),0)-$I57</f>
        <v>0</v>
      </c>
      <c r="K57" s="3" t="s">
        <v>22</v>
      </c>
      <c r="L57" s="3" t="s">
        <v>23</v>
      </c>
      <c r="M57" s="3">
        <f>_xlfn.IFNA(VLOOKUP($A57,[2]stockregister!$A$2:$H$2000,8,0),0)</f>
        <v>275</v>
      </c>
      <c r="N57" s="3">
        <f>_xlfn.IFNA(VLOOKUP($A57,[2]stockregister!$A$2:$H$2000,8,0),0)-$M57</f>
        <v>0</v>
      </c>
      <c r="O57" s="3" t="s">
        <v>211</v>
      </c>
      <c r="P57" s="3" t="s">
        <v>211</v>
      </c>
      <c r="Q57" s="3" t="s">
        <v>212</v>
      </c>
      <c r="R57" s="3" t="s">
        <v>97</v>
      </c>
      <c r="S57" s="3" t="s">
        <v>98</v>
      </c>
    </row>
    <row r="58" spans="1:19">
      <c r="A58" s="3">
        <v>2399</v>
      </c>
      <c r="B58" s="3" t="b">
        <f>ISNUMBER(MATCH(A58,[1]stockregister!$A$2:$A$2000,0))</f>
        <v>1</v>
      </c>
      <c r="C58" s="3" t="s">
        <v>213</v>
      </c>
      <c r="D58" s="3" t="str">
        <f>VLOOKUP($C58,[1]stockregister!$B$2:$B$2000,1,0)</f>
        <v>KAHLUA  1LTR</v>
      </c>
      <c r="E58" s="3" t="str">
        <f>IF(ISNA($D58),VLOOKUP($A58,[2]stockregister!$A$2:$B$2000,2,FALSE),"")</f>
        <v/>
      </c>
      <c r="F58" s="3" t="s">
        <v>21</v>
      </c>
      <c r="G58" s="3">
        <f>_xlfn.IFNA(VLOOKUP($A58,[3]stockregister!$A$2:$L$2000,11,0),0)</f>
        <v>1032</v>
      </c>
      <c r="H58" s="3">
        <f>_xlfn.IFNA(VLOOKUP($A58,[3]stockregister!$A$2:$L$2000,11,0),0)-$G58</f>
        <v>0</v>
      </c>
      <c r="I58" s="3">
        <f>_xlfn.IFNA(VLOOKUP($A58,[3]stockregister!$A$2:$L$2000,12,0),0)</f>
        <v>240.28</v>
      </c>
      <c r="J58" s="3">
        <f>_xlfn.IFNA(VLOOKUP($A58,[3]stockregister!$A$1:$M$2000,12,0),0)-$I58</f>
        <v>0</v>
      </c>
      <c r="K58" s="3" t="s">
        <v>22</v>
      </c>
      <c r="L58" s="3" t="s">
        <v>23</v>
      </c>
      <c r="M58" s="3">
        <f>_xlfn.IFNA(VLOOKUP($A58,[2]stockregister!$A$2:$H$2000,8,0),0)</f>
        <v>245</v>
      </c>
      <c r="N58" s="3">
        <f>_xlfn.IFNA(VLOOKUP($A58,[2]stockregister!$A$2:$H$2000,8,0),0)-$M58</f>
        <v>0</v>
      </c>
      <c r="O58" s="3" t="s">
        <v>214</v>
      </c>
      <c r="P58" s="3" t="s">
        <v>214</v>
      </c>
      <c r="Q58" s="3" t="s">
        <v>215</v>
      </c>
      <c r="R58" s="3" t="s">
        <v>216</v>
      </c>
      <c r="S58" s="3" t="s">
        <v>130</v>
      </c>
    </row>
    <row r="59" spans="1:19">
      <c r="A59" s="3">
        <v>948</v>
      </c>
      <c r="B59" s="3" t="b">
        <f>ISNUMBER(MATCH(A59,[1]stockregister!$A$2:$A$2000,0))</f>
        <v>1</v>
      </c>
      <c r="C59" s="3" t="s">
        <v>217</v>
      </c>
      <c r="D59" s="3" t="str">
        <f>VLOOKUP($C59,[1]stockregister!$B$2:$B$2000,1,0)</f>
        <v>BUSHMILLS ORIGINAL 750ML</v>
      </c>
      <c r="E59" s="3" t="str">
        <f>IF(ISNA($D59),VLOOKUP($A59,[2]stockregister!$A$2:$B$2000,2,FALSE),"")</f>
        <v/>
      </c>
      <c r="F59" s="3" t="s">
        <v>21</v>
      </c>
      <c r="G59" s="3">
        <f>_xlfn.IFNA(VLOOKUP($A59,[3]stockregister!$A$2:$L$2000,11,0),0)</f>
        <v>2544</v>
      </c>
      <c r="H59" s="3">
        <f>_xlfn.IFNA(VLOOKUP($A59,[3]stockregister!$A$2:$L$2000,11,0),0)-$G59</f>
        <v>0</v>
      </c>
      <c r="I59" s="3">
        <f>_xlfn.IFNA(VLOOKUP($A59,[3]stockregister!$A$2:$L$2000,12,0),0)</f>
        <v>226</v>
      </c>
      <c r="J59" s="3">
        <f>_xlfn.IFNA(VLOOKUP($A59,[3]stockregister!$A$1:$M$2000,12,0),0)-$I59</f>
        <v>0</v>
      </c>
      <c r="K59" s="3" t="s">
        <v>22</v>
      </c>
      <c r="L59" s="3" t="s">
        <v>23</v>
      </c>
      <c r="M59" s="3">
        <f>_xlfn.IFNA(VLOOKUP($A59,[2]stockregister!$A$2:$H$2000,8,0),0)</f>
        <v>240</v>
      </c>
      <c r="N59" s="3">
        <f>_xlfn.IFNA(VLOOKUP($A59,[2]stockregister!$A$2:$H$2000,8,0),0)-$M59</f>
        <v>0</v>
      </c>
      <c r="O59" s="3" t="s">
        <v>218</v>
      </c>
      <c r="P59" s="3" t="s">
        <v>218</v>
      </c>
      <c r="Q59" s="3" t="s">
        <v>212</v>
      </c>
      <c r="R59" s="3" t="s">
        <v>97</v>
      </c>
      <c r="S59" s="3" t="s">
        <v>98</v>
      </c>
    </row>
    <row r="60" spans="1:19">
      <c r="A60" s="3">
        <v>1936</v>
      </c>
      <c r="B60" s="3" t="b">
        <f>ISNUMBER(MATCH(A60,[1]stockregister!$A$2:$A$2000,0))</f>
        <v>1</v>
      </c>
      <c r="C60" s="3" t="s">
        <v>219</v>
      </c>
      <c r="D60" s="3" t="str">
        <f>VLOOKUP($C60,[1]stockregister!$B$2:$B$2000,1,0)</f>
        <v>SIR EDWARDS WHISKY  1LTR</v>
      </c>
      <c r="E60" s="3" t="str">
        <f>IF(ISNA($D60),VLOOKUP($A60,[2]stockregister!$A$2:$B$2000,2,FALSE),"")</f>
        <v/>
      </c>
      <c r="F60" s="3" t="s">
        <v>21</v>
      </c>
      <c r="G60" s="3">
        <f>_xlfn.IFNA(VLOOKUP($A60,[3]stockregister!$A$2:$L$2000,11,0),0)</f>
        <v>998</v>
      </c>
      <c r="H60" s="3">
        <f>_xlfn.IFNA(VLOOKUP($A60,[3]stockregister!$A$2:$L$2000,11,0),0)-$G60</f>
        <v>0</v>
      </c>
      <c r="I60" s="3">
        <f>_xlfn.IFNA(VLOOKUP($A60,[3]stockregister!$A$2:$L$2000,12,0),0)</f>
        <v>4455</v>
      </c>
      <c r="J60" s="3">
        <f>_xlfn.IFNA(VLOOKUP($A60,[3]stockregister!$A$1:$M$2000,12,0),0)-$I60</f>
        <v>0</v>
      </c>
      <c r="K60" s="3" t="s">
        <v>22</v>
      </c>
      <c r="L60" s="3" t="s">
        <v>23</v>
      </c>
      <c r="M60" s="3">
        <f>_xlfn.IFNA(VLOOKUP($A60,[2]stockregister!$A$2:$H$2000,8,0),0)</f>
        <v>4800</v>
      </c>
      <c r="N60" s="3">
        <f>_xlfn.IFNA(VLOOKUP($A60,[2]stockregister!$A$2:$H$2000,8,0),0)-$M60</f>
        <v>0</v>
      </c>
      <c r="O60" s="3" t="s">
        <v>220</v>
      </c>
      <c r="P60" s="3" t="s">
        <v>220</v>
      </c>
      <c r="Q60" s="3" t="s">
        <v>221</v>
      </c>
      <c r="R60" s="3" t="s">
        <v>78</v>
      </c>
      <c r="S60" s="3" t="s">
        <v>222</v>
      </c>
    </row>
    <row r="61" spans="1:19">
      <c r="A61" s="3">
        <v>2793</v>
      </c>
      <c r="B61" s="3" t="b">
        <f>ISNUMBER(MATCH(A61,[1]stockregister!$A$2:$A$2000,0))</f>
        <v>1</v>
      </c>
      <c r="C61" s="3" t="s">
        <v>223</v>
      </c>
      <c r="D61" s="3" t="str">
        <f>VLOOKUP($C61,[1]stockregister!$B$2:$B$2000,1,0)</f>
        <v>SMIRNOFF RED VODKA 250ML</v>
      </c>
      <c r="E61" s="3" t="str">
        <f>IF(ISNA($D61),VLOOKUP($A61,[2]stockregister!$A$2:$B$2000,2,FALSE),"")</f>
        <v/>
      </c>
      <c r="F61" s="3" t="s">
        <v>21</v>
      </c>
      <c r="G61" s="3">
        <f>_xlfn.IFNA(VLOOKUP($A61,[3]stockregister!$A$2:$L$2000,11,0),0)</f>
        <v>1002</v>
      </c>
      <c r="H61" s="3">
        <f>_xlfn.IFNA(VLOOKUP($A61,[3]stockregister!$A$2:$L$2000,11,0),0)-$G61</f>
        <v>0</v>
      </c>
      <c r="I61" s="3">
        <f>_xlfn.IFNA(VLOOKUP($A61,[3]stockregister!$A$2:$L$2000,12,0),0)</f>
        <v>1000</v>
      </c>
      <c r="J61" s="3">
        <f>_xlfn.IFNA(VLOOKUP($A61,[3]stockregister!$A$1:$M$2000,12,0),0)-$I61</f>
        <v>0</v>
      </c>
      <c r="K61" s="3" t="s">
        <v>22</v>
      </c>
      <c r="L61" s="3" t="s">
        <v>23</v>
      </c>
      <c r="M61" s="3">
        <f>_xlfn.IFNA(VLOOKUP($A61,[2]stockregister!$A$2:$H$2000,8,0),0)</f>
        <v>1400</v>
      </c>
      <c r="N61" s="3">
        <f>_xlfn.IFNA(VLOOKUP($A61,[2]stockregister!$A$2:$H$2000,8,0),0)-$M61</f>
        <v>0</v>
      </c>
      <c r="O61" s="3" t="s">
        <v>224</v>
      </c>
      <c r="P61" s="3" t="s">
        <v>224</v>
      </c>
      <c r="Q61" s="3" t="s">
        <v>112</v>
      </c>
      <c r="R61" s="3" t="s">
        <v>113</v>
      </c>
      <c r="S61" s="3" t="s">
        <v>114</v>
      </c>
    </row>
    <row r="62" spans="1:19">
      <c r="A62" s="3">
        <v>960</v>
      </c>
      <c r="B62" s="3" t="b">
        <f>ISNUMBER(MATCH(A62,[1]stockregister!$A$2:$A$2000,0))</f>
        <v>1</v>
      </c>
      <c r="C62" s="3" t="s">
        <v>225</v>
      </c>
      <c r="D62" s="3" t="str">
        <f>VLOOKUP($C62,[1]stockregister!$B$2:$B$2000,1,0)</f>
        <v>CAPTAIN MORGAN GOLD 250ML</v>
      </c>
      <c r="E62" s="3" t="str">
        <f>IF(ISNA($D62),VLOOKUP($A62,[2]stockregister!$A$2:$B$2000,2,FALSE),"")</f>
        <v/>
      </c>
      <c r="F62" s="3" t="s">
        <v>21</v>
      </c>
      <c r="G62" s="3">
        <f>_xlfn.IFNA(VLOOKUP($A62,[3]stockregister!$A$2:$L$2000,11,0),0)</f>
        <v>927</v>
      </c>
      <c r="H62" s="3">
        <f>_xlfn.IFNA(VLOOKUP($A62,[3]stockregister!$A$2:$L$2000,11,0),0)-$G62</f>
        <v>0</v>
      </c>
      <c r="I62" s="3">
        <f>_xlfn.IFNA(VLOOKUP($A62,[3]stockregister!$A$2:$L$2000,12,0),0)</f>
        <v>6000</v>
      </c>
      <c r="J62" s="3">
        <f>_xlfn.IFNA(VLOOKUP($A62,[3]stockregister!$A$1:$M$2000,12,0),0)-$I62</f>
        <v>0</v>
      </c>
      <c r="K62" s="3" t="s">
        <v>22</v>
      </c>
      <c r="L62" s="3" t="s">
        <v>23</v>
      </c>
      <c r="M62" s="3">
        <f>_xlfn.IFNA(VLOOKUP($A62,[2]stockregister!$A$2:$H$2000,8,0),0)</f>
        <v>6800</v>
      </c>
      <c r="N62" s="3">
        <f>_xlfn.IFNA(VLOOKUP($A62,[2]stockregister!$A$2:$H$2000,8,0),0)-$M62</f>
        <v>0</v>
      </c>
      <c r="O62" s="3" t="s">
        <v>226</v>
      </c>
      <c r="P62" s="3" t="s">
        <v>226</v>
      </c>
      <c r="Q62" s="3" t="s">
        <v>227</v>
      </c>
      <c r="R62" s="3" t="s">
        <v>102</v>
      </c>
      <c r="S62" s="3" t="s">
        <v>103</v>
      </c>
    </row>
    <row r="63" spans="1:19">
      <c r="A63" s="3">
        <v>947</v>
      </c>
      <c r="B63" s="3" t="b">
        <f>ISNUMBER(MATCH(A63,[1]stockregister!$A$2:$A$2000,0))</f>
        <v>1</v>
      </c>
      <c r="C63" s="3" t="s">
        <v>228</v>
      </c>
      <c r="D63" s="3" t="str">
        <f>VLOOKUP($C63,[1]stockregister!$B$2:$B$2000,1,0)</f>
        <v>GILBEYS GIN 750ML</v>
      </c>
      <c r="E63" s="3" t="str">
        <f>IF(ISNA($D63),VLOOKUP($A63,[2]stockregister!$A$2:$B$2000,2,FALSE),"")</f>
        <v/>
      </c>
      <c r="F63" s="3" t="s">
        <v>21</v>
      </c>
      <c r="G63" s="3">
        <f>_xlfn.IFNA(VLOOKUP($A63,[3]stockregister!$A$2:$L$2000,11,0),0)</f>
        <v>528</v>
      </c>
      <c r="H63" s="3">
        <f>_xlfn.IFNA(VLOOKUP($A63,[3]stockregister!$A$2:$L$2000,11,0),0)-$G63</f>
        <v>0</v>
      </c>
      <c r="I63" s="3">
        <f>_xlfn.IFNA(VLOOKUP($A63,[3]stockregister!$A$2:$L$2000,12,0),0)</f>
        <v>197.85</v>
      </c>
      <c r="J63" s="3">
        <f>_xlfn.IFNA(VLOOKUP($A63,[3]stockregister!$A$1:$M$2000,12,0),0)-$I63</f>
        <v>0</v>
      </c>
      <c r="K63" s="3" t="s">
        <v>22</v>
      </c>
      <c r="L63" s="3" t="s">
        <v>23</v>
      </c>
      <c r="M63" s="3">
        <f>_xlfn.IFNA(VLOOKUP($A63,[2]stockregister!$A$2:$H$2000,8,0),0)</f>
        <v>205</v>
      </c>
      <c r="N63" s="3">
        <f>_xlfn.IFNA(VLOOKUP($A63,[2]stockregister!$A$2:$H$2000,8,0),0)-$M63</f>
        <v>0</v>
      </c>
      <c r="O63" s="3" t="s">
        <v>229</v>
      </c>
      <c r="P63" s="3" t="s">
        <v>229</v>
      </c>
      <c r="Q63" s="3" t="s">
        <v>212</v>
      </c>
      <c r="R63" s="3" t="s">
        <v>97</v>
      </c>
      <c r="S63" s="3" t="s">
        <v>230</v>
      </c>
    </row>
    <row r="64" spans="1:19">
      <c r="A64" s="3">
        <v>2997</v>
      </c>
      <c r="B64" s="3" t="b">
        <f>ISNUMBER(MATCH(A64,[1]stockregister!$A$2:$A$2000,0))</f>
        <v>1</v>
      </c>
      <c r="C64" s="3" t="s">
        <v>231</v>
      </c>
      <c r="D64" s="3" t="str">
        <f>VLOOKUP($C64,[1]stockregister!$B$2:$B$2000,1,0)</f>
        <v>TUSKER LITE CAN 500ML</v>
      </c>
      <c r="E64" s="3" t="str">
        <f>IF(ISNA($D64),VLOOKUP($A64,[2]stockregister!$A$2:$B$2000,2,FALSE),"")</f>
        <v/>
      </c>
      <c r="F64" s="3" t="s">
        <v>21</v>
      </c>
      <c r="G64" s="3">
        <f>_xlfn.IFNA(VLOOKUP($A64,[3]stockregister!$A$2:$L$2000,11,0),0)</f>
        <v>696</v>
      </c>
      <c r="H64" s="3">
        <f>_xlfn.IFNA(VLOOKUP($A64,[3]stockregister!$A$2:$L$2000,11,0),0)-$G64</f>
        <v>0</v>
      </c>
      <c r="I64" s="3">
        <f>_xlfn.IFNA(VLOOKUP($A64,[3]stockregister!$A$2:$L$2000,12,0),0)</f>
        <v>750</v>
      </c>
      <c r="J64" s="3">
        <f>_xlfn.IFNA(VLOOKUP($A64,[3]stockregister!$A$1:$M$2000,12,0),0)-$I64</f>
        <v>0</v>
      </c>
      <c r="K64" s="3" t="s">
        <v>22</v>
      </c>
      <c r="L64" s="3" t="s">
        <v>23</v>
      </c>
      <c r="M64" s="3">
        <f>_xlfn.IFNA(VLOOKUP($A64,[2]stockregister!$A$2:$H$2000,8,0),0)</f>
        <v>900</v>
      </c>
      <c r="N64" s="3">
        <f>_xlfn.IFNA(VLOOKUP($A64,[2]stockregister!$A$2:$H$2000,8,0),0)-$M64</f>
        <v>0</v>
      </c>
      <c r="O64" s="3" t="s">
        <v>232</v>
      </c>
      <c r="P64" s="3" t="s">
        <v>232</v>
      </c>
      <c r="Q64" s="3" t="s">
        <v>233</v>
      </c>
      <c r="R64" s="3" t="s">
        <v>68</v>
      </c>
      <c r="S64" s="3" t="s">
        <v>82</v>
      </c>
    </row>
    <row r="65" spans="1:19">
      <c r="A65" s="3">
        <v>1023</v>
      </c>
      <c r="B65" s="3" t="b">
        <f>ISNUMBER(MATCH(A65,[1]stockregister!$A$2:$A$2000,0))</f>
        <v>1</v>
      </c>
      <c r="C65" s="3" t="s">
        <v>234</v>
      </c>
      <c r="D65" s="3" t="str">
        <f>VLOOKUP($C65,[1]stockregister!$B$2:$B$2000,1,0)</f>
        <v>CAPTAIN MORGAN DARK 1LTR</v>
      </c>
      <c r="E65" s="3" t="str">
        <f>IF(ISNA($D65),VLOOKUP($A65,[2]stockregister!$A$2:$B$2000,2,FALSE),"")</f>
        <v/>
      </c>
      <c r="F65" s="3" t="s">
        <v>21</v>
      </c>
      <c r="G65" s="3">
        <f>_xlfn.IFNA(VLOOKUP($A65,[3]stockregister!$A$2:$L$2000,11,0),0)</f>
        <v>779</v>
      </c>
      <c r="H65" s="3">
        <f>_xlfn.IFNA(VLOOKUP($A65,[3]stockregister!$A$2:$L$2000,11,0),0)-$G65</f>
        <v>0</v>
      </c>
      <c r="I65" s="3">
        <f>_xlfn.IFNA(VLOOKUP($A65,[3]stockregister!$A$2:$L$2000,12,0),0)</f>
        <v>2500</v>
      </c>
      <c r="J65" s="3">
        <f>_xlfn.IFNA(VLOOKUP($A65,[3]stockregister!$A$1:$M$2000,12,0),0)-$I65</f>
        <v>0</v>
      </c>
      <c r="K65" s="3" t="s">
        <v>22</v>
      </c>
      <c r="L65" s="3" t="s">
        <v>23</v>
      </c>
      <c r="M65" s="3">
        <f>_xlfn.IFNA(VLOOKUP($A65,[2]stockregister!$A$2:$H$2000,8,0),0)</f>
        <v>2600</v>
      </c>
      <c r="N65" s="3">
        <f>_xlfn.IFNA(VLOOKUP($A65,[2]stockregister!$A$2:$H$2000,8,0),0)-$M65</f>
        <v>0</v>
      </c>
      <c r="O65" s="3" t="s">
        <v>235</v>
      </c>
      <c r="P65" s="3" t="s">
        <v>235</v>
      </c>
      <c r="Q65" s="3" t="s">
        <v>236</v>
      </c>
      <c r="R65" s="3" t="s">
        <v>92</v>
      </c>
      <c r="S65" s="3" t="s">
        <v>237</v>
      </c>
    </row>
    <row r="66" spans="1:19">
      <c r="A66" s="3">
        <v>2921</v>
      </c>
      <c r="B66" s="3" t="b">
        <f>ISNUMBER(MATCH(A66,[1]stockregister!$A$2:$A$2000,0))</f>
        <v>1</v>
      </c>
      <c r="C66" s="3" t="s">
        <v>238</v>
      </c>
      <c r="D66" s="3" t="str">
        <f>VLOOKUP($C66,[1]stockregister!$B$2:$B$2000,1,0)</f>
        <v>SMIRNOFF ICE RASPBERRY TWIST CAN 330ML</v>
      </c>
      <c r="E66" s="3" t="str">
        <f>IF(ISNA($D66),VLOOKUP($A66,[2]stockregister!$A$2:$B$2000,2,FALSE),"")</f>
        <v/>
      </c>
      <c r="F66" s="3" t="s">
        <v>21</v>
      </c>
      <c r="G66" s="3">
        <f>_xlfn.IFNA(VLOOKUP($A66,[3]stockregister!$A$2:$L$2000,11,0),0)</f>
        <v>360</v>
      </c>
      <c r="H66" s="3">
        <f>_xlfn.IFNA(VLOOKUP($A66,[3]stockregister!$A$2:$L$2000,11,0),0)-$G66</f>
        <v>0</v>
      </c>
      <c r="I66" s="3">
        <f>_xlfn.IFNA(VLOOKUP($A66,[3]stockregister!$A$2:$L$2000,12,0),0)</f>
        <v>34.3</v>
      </c>
      <c r="J66" s="3">
        <f>_xlfn.IFNA(VLOOKUP($A66,[3]stockregister!$A$1:$M$2000,12,0),0)-$I66</f>
        <v>0</v>
      </c>
      <c r="K66" s="3" t="s">
        <v>22</v>
      </c>
      <c r="L66" s="3" t="s">
        <v>23</v>
      </c>
      <c r="M66" s="3">
        <f>_xlfn.IFNA(VLOOKUP($A66,[2]stockregister!$A$2:$H$2000,8,0),0)</f>
        <v>50</v>
      </c>
      <c r="N66" s="3">
        <f>_xlfn.IFNA(VLOOKUP($A66,[2]stockregister!$A$2:$H$2000,8,0),0)-$M66</f>
        <v>0</v>
      </c>
      <c r="O66" s="3">
        <v>0</v>
      </c>
      <c r="P66" s="3">
        <v>0</v>
      </c>
      <c r="Q66" s="3" t="s">
        <v>239</v>
      </c>
      <c r="R66" s="3" t="s">
        <v>216</v>
      </c>
      <c r="S66" s="3" t="s">
        <v>240</v>
      </c>
    </row>
    <row r="67" spans="1:19">
      <c r="A67" s="3">
        <v>1489</v>
      </c>
      <c r="B67" s="3" t="b">
        <f>ISNUMBER(MATCH(A67,[1]stockregister!$A$2:$A$2000,0))</f>
        <v>1</v>
      </c>
      <c r="C67" s="3" t="s">
        <v>241</v>
      </c>
      <c r="D67" s="3" t="str">
        <f>VLOOKUP($C67,[1]stockregister!$B$2:$B$2000,1,0)</f>
        <v>TUSKER MALT CAN 500ML</v>
      </c>
      <c r="E67" s="3" t="str">
        <f>IF(ISNA($D67),VLOOKUP($A67,[2]stockregister!$A$2:$B$2000,2,FALSE),"")</f>
        <v/>
      </c>
      <c r="F67" s="3" t="s">
        <v>21</v>
      </c>
      <c r="G67" s="3">
        <f>_xlfn.IFNA(VLOOKUP($A67,[3]stockregister!$A$2:$L$2000,11,0),0)</f>
        <v>923</v>
      </c>
      <c r="H67" s="3">
        <f>_xlfn.IFNA(VLOOKUP($A67,[3]stockregister!$A$2:$L$2000,11,0),0)-$G67</f>
        <v>0</v>
      </c>
      <c r="I67" s="3">
        <f>_xlfn.IFNA(VLOOKUP($A67,[3]stockregister!$A$2:$L$2000,12,0),0)</f>
        <v>1550</v>
      </c>
      <c r="J67" s="3">
        <f>_xlfn.IFNA(VLOOKUP($A67,[3]stockregister!$A$1:$M$2000,12,0),0)-$I67</f>
        <v>0</v>
      </c>
      <c r="K67" s="3" t="s">
        <v>22</v>
      </c>
      <c r="L67" s="3" t="s">
        <v>23</v>
      </c>
      <c r="M67" s="3">
        <f>_xlfn.IFNA(VLOOKUP($A67,[2]stockregister!$A$2:$H$2000,8,0),0)</f>
        <v>1750</v>
      </c>
      <c r="N67" s="3">
        <f>_xlfn.IFNA(VLOOKUP($A67,[2]stockregister!$A$2:$H$2000,8,0),0)-$M67</f>
        <v>0</v>
      </c>
      <c r="O67" s="3" t="s">
        <v>242</v>
      </c>
      <c r="P67" s="3" t="s">
        <v>242</v>
      </c>
      <c r="Q67" s="3" t="s">
        <v>195</v>
      </c>
      <c r="R67" s="3" t="s">
        <v>68</v>
      </c>
      <c r="S67" s="3" t="s">
        <v>69</v>
      </c>
    </row>
    <row r="68" spans="1:18">
      <c r="A68" s="3">
        <v>2326</v>
      </c>
      <c r="B68" s="3" t="b">
        <f>ISNUMBER(MATCH(A68,[1]stockregister!$A$2:$A$2000,0))</f>
        <v>1</v>
      </c>
      <c r="C68" s="3" t="s">
        <v>243</v>
      </c>
      <c r="D68" s="3" t="str">
        <f>VLOOKUP($C68,[1]stockregister!$B$2:$B$2000,1,0)</f>
        <v>VERSUS RED DRY 1LTR </v>
      </c>
      <c r="E68" s="3" t="str">
        <f>IF(ISNA($D68),VLOOKUP($A68,[2]stockregister!$A$2:$B$2000,2,FALSE),"")</f>
        <v/>
      </c>
      <c r="F68" s="3" t="s">
        <v>21</v>
      </c>
      <c r="G68" s="3">
        <f>_xlfn.IFNA(VLOOKUP($A68,[3]stockregister!$A$2:$L$2000,11,0),0)</f>
        <v>885</v>
      </c>
      <c r="H68" s="3">
        <f>_xlfn.IFNA(VLOOKUP($A68,[3]stockregister!$A$2:$L$2000,11,0),0)-$G68</f>
        <v>0</v>
      </c>
      <c r="I68" s="3">
        <f>_xlfn.IFNA(VLOOKUP($A68,[3]stockregister!$A$2:$L$2000,12,0),0)</f>
        <v>410.8</v>
      </c>
      <c r="J68" s="3">
        <f>_xlfn.IFNA(VLOOKUP($A68,[3]stockregister!$A$1:$M$2000,12,0),0)-$I68</f>
        <v>0</v>
      </c>
      <c r="K68" s="3" t="s">
        <v>22</v>
      </c>
      <c r="L68" s="3" t="s">
        <v>23</v>
      </c>
      <c r="M68" s="3">
        <f>_xlfn.IFNA(VLOOKUP($A68,[2]stockregister!$A$2:$H$2000,8,0),0)</f>
        <v>416</v>
      </c>
      <c r="N68" s="3">
        <f>_xlfn.IFNA(VLOOKUP($A68,[2]stockregister!$A$2:$H$2000,8,0),0)-$M68</f>
        <v>0</v>
      </c>
      <c r="O68" s="3" t="s">
        <v>244</v>
      </c>
      <c r="P68" s="3" t="s">
        <v>244</v>
      </c>
      <c r="Q68" s="3" t="s">
        <v>245</v>
      </c>
      <c r="R68" s="3" t="s">
        <v>78</v>
      </c>
    </row>
    <row r="69" spans="1:19">
      <c r="A69" s="3">
        <v>2403</v>
      </c>
      <c r="B69" s="3" t="b">
        <f>ISNUMBER(MATCH(A69,[1]stockregister!$A$2:$A$2000,0))</f>
        <v>1</v>
      </c>
      <c r="C69" s="3" t="s">
        <v>246</v>
      </c>
      <c r="D69" s="3" t="str">
        <f>VLOOKUP($C69,[1]stockregister!$B$2:$B$2000,1,0)</f>
        <v>CLASE AZUL TEQUILA REPOSADO 750ML</v>
      </c>
      <c r="E69" s="3" t="str">
        <f>IF(ISNA($D69),VLOOKUP($A69,[2]stockregister!$A$2:$B$2000,2,FALSE),"")</f>
        <v/>
      </c>
      <c r="F69" s="3" t="s">
        <v>21</v>
      </c>
      <c r="G69" s="3">
        <f>_xlfn.IFNA(VLOOKUP($A69,[3]stockregister!$A$2:$L$2000,11,0),0)</f>
        <v>840</v>
      </c>
      <c r="H69" s="3">
        <f>_xlfn.IFNA(VLOOKUP($A69,[3]stockregister!$A$2:$L$2000,11,0),0)-$G69</f>
        <v>0</v>
      </c>
      <c r="I69" s="3">
        <f>_xlfn.IFNA(VLOOKUP($A69,[3]stockregister!$A$2:$L$2000,12,0),0)</f>
        <v>664</v>
      </c>
      <c r="J69" s="3">
        <f>_xlfn.IFNA(VLOOKUP($A69,[3]stockregister!$A$1:$M$2000,12,0),0)-$I69</f>
        <v>0</v>
      </c>
      <c r="K69" s="3" t="s">
        <v>22</v>
      </c>
      <c r="L69" s="3" t="s">
        <v>23</v>
      </c>
      <c r="M69" s="3">
        <f>_xlfn.IFNA(VLOOKUP($A69,[2]stockregister!$A$2:$H$2000,8,0),0)</f>
        <v>674</v>
      </c>
      <c r="N69" s="3">
        <f>_xlfn.IFNA(VLOOKUP($A69,[2]stockregister!$A$2:$H$2000,8,0),0)-$M69</f>
        <v>0</v>
      </c>
      <c r="O69" s="3" t="s">
        <v>247</v>
      </c>
      <c r="P69" s="3" t="s">
        <v>247</v>
      </c>
      <c r="Q69" s="3" t="s">
        <v>248</v>
      </c>
      <c r="R69" s="3" t="s">
        <v>126</v>
      </c>
      <c r="S69" s="3" t="s">
        <v>249</v>
      </c>
    </row>
    <row r="70" spans="1:19">
      <c r="A70" s="3">
        <v>237</v>
      </c>
      <c r="B70" s="3" t="b">
        <f>ISNUMBER(MATCH(A70,[1]stockregister!$A$2:$A$2000,0))</f>
        <v>1</v>
      </c>
      <c r="C70" s="3" t="s">
        <v>250</v>
      </c>
      <c r="D70" s="3" t="str">
        <f>VLOOKUP($C70,[1]stockregister!$B$2:$B$2000,1,0)</f>
        <v>SMIRNOFF RED VODKA 350ML</v>
      </c>
      <c r="E70" s="3" t="str">
        <f>IF(ISNA($D70),VLOOKUP($A70,[2]stockregister!$A$2:$B$2000,2,FALSE),"")</f>
        <v/>
      </c>
      <c r="F70" s="3" t="s">
        <v>21</v>
      </c>
      <c r="G70" s="3">
        <f>_xlfn.IFNA(VLOOKUP($A70,[3]stockregister!$A$2:$L$2000,11,0),0)</f>
        <v>853</v>
      </c>
      <c r="H70" s="3">
        <f>_xlfn.IFNA(VLOOKUP($A70,[3]stockregister!$A$2:$L$2000,11,0),0)-$G70</f>
        <v>0</v>
      </c>
      <c r="I70" s="3">
        <f>_xlfn.IFNA(VLOOKUP($A70,[3]stockregister!$A$2:$L$2000,12,0),0)</f>
        <v>900</v>
      </c>
      <c r="J70" s="3">
        <f>_xlfn.IFNA(VLOOKUP($A70,[3]stockregister!$A$1:$M$2000,12,0),0)-$I70</f>
        <v>0</v>
      </c>
      <c r="K70" s="3" t="s">
        <v>22</v>
      </c>
      <c r="L70" s="3" t="s">
        <v>23</v>
      </c>
      <c r="M70" s="3">
        <f>_xlfn.IFNA(VLOOKUP($A70,[2]stockregister!$A$2:$H$2000,8,0),0)</f>
        <v>1100</v>
      </c>
      <c r="N70" s="3">
        <f>_xlfn.IFNA(VLOOKUP($A70,[2]stockregister!$A$2:$H$2000,8,0),0)-$M70</f>
        <v>0</v>
      </c>
      <c r="O70" s="3" t="s">
        <v>251</v>
      </c>
      <c r="P70" s="3" t="s">
        <v>251</v>
      </c>
      <c r="Q70" s="3" t="s">
        <v>91</v>
      </c>
      <c r="R70" s="3" t="s">
        <v>92</v>
      </c>
      <c r="S70" s="3" t="s">
        <v>252</v>
      </c>
    </row>
    <row r="71" spans="1:19">
      <c r="A71" s="3">
        <v>265</v>
      </c>
      <c r="B71" s="3" t="b">
        <f>ISNUMBER(MATCH(A71,[1]stockregister!$A$2:$A$2000,0))</f>
        <v>1</v>
      </c>
      <c r="C71" s="3" t="s">
        <v>253</v>
      </c>
      <c r="D71" s="3" t="str">
        <f>VLOOKUP($C71,[1]stockregister!$B$2:$B$2000,1,0)</f>
        <v>GILBEYS GIN 350ML</v>
      </c>
      <c r="E71" s="3" t="str">
        <f>IF(ISNA($D71),VLOOKUP($A71,[2]stockregister!$A$2:$B$2000,2,FALSE),"")</f>
        <v/>
      </c>
      <c r="F71" s="3" t="s">
        <v>21</v>
      </c>
      <c r="G71" s="3">
        <f>_xlfn.IFNA(VLOOKUP($A71,[3]stockregister!$A$2:$L$2000,11,0),0)</f>
        <v>810</v>
      </c>
      <c r="H71" s="3">
        <f>_xlfn.IFNA(VLOOKUP($A71,[3]stockregister!$A$2:$L$2000,11,0),0)-$G71</f>
        <v>0</v>
      </c>
      <c r="I71" s="3">
        <f>_xlfn.IFNA(VLOOKUP($A71,[3]stockregister!$A$2:$L$2000,12,0),0)</f>
        <v>2400</v>
      </c>
      <c r="J71" s="3">
        <f>_xlfn.IFNA(VLOOKUP($A71,[3]stockregister!$A$1:$M$2000,12,0),0)-$I71</f>
        <v>0</v>
      </c>
      <c r="K71" s="3" t="s">
        <v>22</v>
      </c>
      <c r="L71" s="3" t="s">
        <v>23</v>
      </c>
      <c r="M71" s="3">
        <f>_xlfn.IFNA(VLOOKUP($A71,[2]stockregister!$A$2:$H$2000,8,0),0)</f>
        <v>2500</v>
      </c>
      <c r="N71" s="3">
        <f>_xlfn.IFNA(VLOOKUP($A71,[2]stockregister!$A$2:$H$2000,8,0),0)-$M71</f>
        <v>0</v>
      </c>
      <c r="O71" s="3" t="s">
        <v>254</v>
      </c>
      <c r="P71" s="3" t="s">
        <v>254</v>
      </c>
      <c r="Q71" s="3" t="s">
        <v>255</v>
      </c>
      <c r="R71" s="3" t="s">
        <v>78</v>
      </c>
      <c r="S71" s="3" t="s">
        <v>256</v>
      </c>
    </row>
    <row r="72" spans="1:19">
      <c r="A72" s="3">
        <v>9</v>
      </c>
      <c r="B72" s="3" t="b">
        <f>ISNUMBER(MATCH(A72,[1]stockregister!$A$2:$A$2000,0))</f>
        <v>1</v>
      </c>
      <c r="C72" s="3" t="s">
        <v>257</v>
      </c>
      <c r="D72" s="3" t="str">
        <f>VLOOKUP($C72,[1]stockregister!$B$2:$B$2000,1,0)</f>
        <v>SIR EDWARDS SMOKY  1L</v>
      </c>
      <c r="E72" s="3" t="str">
        <f>IF(ISNA($D72),VLOOKUP($A72,[2]stockregister!$A$2:$B$2000,2,FALSE),"")</f>
        <v/>
      </c>
      <c r="F72" s="3" t="s">
        <v>21</v>
      </c>
      <c r="G72" s="3">
        <f>_xlfn.IFNA(VLOOKUP($A72,[3]stockregister!$A$2:$L$2000,11,0),0)</f>
        <v>839</v>
      </c>
      <c r="H72" s="3">
        <f>_xlfn.IFNA(VLOOKUP($A72,[3]stockregister!$A$2:$L$2000,11,0),0)-$G72</f>
        <v>0</v>
      </c>
      <c r="I72" s="3">
        <f>_xlfn.IFNA(VLOOKUP($A72,[3]stockregister!$A$2:$L$2000,12,0),0)</f>
        <v>3220</v>
      </c>
      <c r="J72" s="3">
        <f>_xlfn.IFNA(VLOOKUP($A72,[3]stockregister!$A$1:$M$2000,12,0),0)-$I72</f>
        <v>0</v>
      </c>
      <c r="K72" s="3" t="s">
        <v>22</v>
      </c>
      <c r="L72" s="3" t="s">
        <v>23</v>
      </c>
      <c r="M72" s="3">
        <f>_xlfn.IFNA(VLOOKUP($A72,[2]stockregister!$A$2:$H$2000,8,0),0)</f>
        <v>3500</v>
      </c>
      <c r="N72" s="3">
        <f>_xlfn.IFNA(VLOOKUP($A72,[2]stockregister!$A$2:$H$2000,8,0),0)-$M72</f>
        <v>0</v>
      </c>
      <c r="O72" s="3" t="s">
        <v>258</v>
      </c>
      <c r="P72" s="3" t="s">
        <v>258</v>
      </c>
      <c r="Q72" s="3" t="s">
        <v>259</v>
      </c>
      <c r="R72" s="3" t="s">
        <v>73</v>
      </c>
      <c r="S72" s="3" t="s">
        <v>260</v>
      </c>
    </row>
    <row r="73" spans="1:19">
      <c r="A73" s="3">
        <v>1805</v>
      </c>
      <c r="B73" s="3" t="b">
        <f>ISNUMBER(MATCH(A73,[1]stockregister!$A$2:$A$2000,0))</f>
        <v>1</v>
      </c>
      <c r="C73" s="3" t="s">
        <v>261</v>
      </c>
      <c r="D73" s="3" t="str">
        <f>VLOOKUP($C73,[1]stockregister!$B$2:$B$2000,1,0)</f>
        <v>PIERRE MARCEL SWEET RED  1.5LTR</v>
      </c>
      <c r="E73" s="3" t="str">
        <f>IF(ISNA($D73),VLOOKUP($A73,[2]stockregister!$A$2:$B$2000,2,FALSE),"")</f>
        <v/>
      </c>
      <c r="F73" s="3" t="s">
        <v>21</v>
      </c>
      <c r="G73" s="3">
        <f>_xlfn.IFNA(VLOOKUP($A73,[3]stockregister!$A$2:$L$2000,11,0),0)</f>
        <v>832</v>
      </c>
      <c r="H73" s="3">
        <f>_xlfn.IFNA(VLOOKUP($A73,[3]stockregister!$A$2:$L$2000,11,0),0)-$G73</f>
        <v>0</v>
      </c>
      <c r="I73" s="3">
        <f>_xlfn.IFNA(VLOOKUP($A73,[3]stockregister!$A$2:$L$2000,12,0),0)</f>
        <v>1288</v>
      </c>
      <c r="J73" s="3">
        <f>_xlfn.IFNA(VLOOKUP($A73,[3]stockregister!$A$1:$M$2000,12,0),0)-$I73</f>
        <v>0</v>
      </c>
      <c r="K73" s="3" t="s">
        <v>22</v>
      </c>
      <c r="L73" s="3" t="s">
        <v>23</v>
      </c>
      <c r="M73" s="3">
        <f>_xlfn.IFNA(VLOOKUP($A73,[2]stockregister!$A$2:$H$2000,8,0),0)</f>
        <v>1400</v>
      </c>
      <c r="N73" s="3">
        <f>_xlfn.IFNA(VLOOKUP($A73,[2]stockregister!$A$2:$H$2000,8,0),0)-$M73</f>
        <v>0</v>
      </c>
      <c r="O73" s="3" t="s">
        <v>262</v>
      </c>
      <c r="P73" s="3" t="s">
        <v>262</v>
      </c>
      <c r="Q73" s="3" t="s">
        <v>263</v>
      </c>
      <c r="R73" s="3" t="s">
        <v>92</v>
      </c>
      <c r="S73" s="3" t="s">
        <v>134</v>
      </c>
    </row>
    <row r="74" spans="1:18">
      <c r="A74" s="3">
        <v>2795</v>
      </c>
      <c r="B74" s="3" t="b">
        <f>ISNUMBER(MATCH(A74,[1]stockregister!$A$2:$A$2000,0))</f>
        <v>1</v>
      </c>
      <c r="C74" s="3" t="s">
        <v>264</v>
      </c>
      <c r="D74" s="3" t="str">
        <f>VLOOKUP($C74,[1]stockregister!$B$2:$B$2000,1,0)</f>
        <v>CAPTAIN MORGAN MUCK PIT 250ML</v>
      </c>
      <c r="E74" s="3" t="str">
        <f>IF(ISNA($D74),VLOOKUP($A74,[2]stockregister!$A$2:$B$2000,2,FALSE),"")</f>
        <v/>
      </c>
      <c r="F74" s="3" t="s">
        <v>21</v>
      </c>
      <c r="G74" s="3">
        <f>_xlfn.IFNA(VLOOKUP($A74,[3]stockregister!$A$2:$L$2000,11,0),0)</f>
        <v>830</v>
      </c>
      <c r="H74" s="3">
        <f>_xlfn.IFNA(VLOOKUP($A74,[3]stockregister!$A$2:$L$2000,11,0),0)-$G74</f>
        <v>0</v>
      </c>
      <c r="I74" s="3">
        <f>_xlfn.IFNA(VLOOKUP($A74,[3]stockregister!$A$2:$L$2000,12,0),0)</f>
        <v>1200</v>
      </c>
      <c r="J74" s="3">
        <f>_xlfn.IFNA(VLOOKUP($A74,[3]stockregister!$A$1:$M$2000,12,0),0)-$I74</f>
        <v>0</v>
      </c>
      <c r="K74" s="3" t="s">
        <v>22</v>
      </c>
      <c r="L74" s="3" t="s">
        <v>23</v>
      </c>
      <c r="M74" s="3">
        <f>_xlfn.IFNA(VLOOKUP($A74,[2]stockregister!$A$2:$H$2000,8,0),0)</f>
        <v>1450</v>
      </c>
      <c r="N74" s="3">
        <f>_xlfn.IFNA(VLOOKUP($A74,[2]stockregister!$A$2:$H$2000,8,0),0)-$M74</f>
        <v>0</v>
      </c>
      <c r="O74" s="3" t="s">
        <v>265</v>
      </c>
      <c r="P74" s="3" t="s">
        <v>265</v>
      </c>
      <c r="Q74" s="3" t="s">
        <v>266</v>
      </c>
      <c r="R74" s="3" t="s">
        <v>78</v>
      </c>
    </row>
    <row r="75" spans="1:19">
      <c r="A75" s="3">
        <v>1067</v>
      </c>
      <c r="B75" s="3" t="b">
        <f>ISNUMBER(MATCH(A75,[1]stockregister!$A$2:$A$2000,0))</f>
        <v>1</v>
      </c>
      <c r="C75" s="3" t="s">
        <v>267</v>
      </c>
      <c r="D75" s="3" t="str">
        <f>VLOOKUP($C75,[1]stockregister!$B$2:$B$2000,1,0)</f>
        <v>SPRITE 1.25L</v>
      </c>
      <c r="E75" s="3" t="str">
        <f>IF(ISNA($D75),VLOOKUP($A75,[2]stockregister!$A$2:$B$2000,2,FALSE),"")</f>
        <v/>
      </c>
      <c r="F75" s="3" t="s">
        <v>21</v>
      </c>
      <c r="G75" s="3">
        <f>_xlfn.IFNA(VLOOKUP($A75,[3]stockregister!$A$2:$L$2000,11,0),0)</f>
        <v>707</v>
      </c>
      <c r="H75" s="3">
        <f>_xlfn.IFNA(VLOOKUP($A75,[3]stockregister!$A$2:$L$2000,11,0),0)-$G75</f>
        <v>0</v>
      </c>
      <c r="I75" s="3">
        <f>_xlfn.IFNA(VLOOKUP($A75,[3]stockregister!$A$2:$L$2000,12,0),0)</f>
        <v>2300</v>
      </c>
      <c r="J75" s="3">
        <f>_xlfn.IFNA(VLOOKUP($A75,[3]stockregister!$A$1:$M$2000,12,0),0)-$I75</f>
        <v>0</v>
      </c>
      <c r="K75" s="3" t="s">
        <v>22</v>
      </c>
      <c r="L75" s="3" t="s">
        <v>23</v>
      </c>
      <c r="M75" s="3">
        <f>_xlfn.IFNA(VLOOKUP($A75,[2]stockregister!$A$2:$H$2000,8,0),0)</f>
        <v>2400</v>
      </c>
      <c r="N75" s="3">
        <f>_xlfn.IFNA(VLOOKUP($A75,[2]stockregister!$A$2:$H$2000,8,0),0)-$M75</f>
        <v>0</v>
      </c>
      <c r="O75" s="3" t="s">
        <v>268</v>
      </c>
      <c r="P75" s="3" t="s">
        <v>268</v>
      </c>
      <c r="Q75" s="3" t="s">
        <v>269</v>
      </c>
      <c r="R75" s="3" t="s">
        <v>92</v>
      </c>
      <c r="S75" s="3" t="s">
        <v>134</v>
      </c>
    </row>
    <row r="76" spans="1:19">
      <c r="A76" s="3">
        <v>567</v>
      </c>
      <c r="B76" s="3" t="b">
        <f>ISNUMBER(MATCH(A76,[1]stockregister!$A$2:$A$2000,0))</f>
        <v>1</v>
      </c>
      <c r="C76" s="3" t="s">
        <v>270</v>
      </c>
      <c r="D76" s="3" t="str">
        <f>VLOOKUP($C76,[1]stockregister!$B$2:$B$2000,1,0)</f>
        <v>CAPTAIN MORGAN MUCK PIT 750ML</v>
      </c>
      <c r="E76" s="3" t="str">
        <f>IF(ISNA($D76),VLOOKUP($A76,[2]stockregister!$A$2:$B$2000,2,FALSE),"")</f>
        <v/>
      </c>
      <c r="F76" s="3" t="s">
        <v>21</v>
      </c>
      <c r="G76" s="3">
        <f>_xlfn.IFNA(VLOOKUP($A76,[3]stockregister!$A$2:$L$2000,11,0),0)</f>
        <v>847</v>
      </c>
      <c r="H76" s="3">
        <f>_xlfn.IFNA(VLOOKUP($A76,[3]stockregister!$A$2:$L$2000,11,0),0)-$G76</f>
        <v>0</v>
      </c>
      <c r="I76" s="3">
        <f>_xlfn.IFNA(VLOOKUP($A76,[3]stockregister!$A$2:$L$2000,12,0),0)</f>
        <v>57.18</v>
      </c>
      <c r="J76" s="3">
        <f>_xlfn.IFNA(VLOOKUP($A76,[3]stockregister!$A$1:$M$2000,12,0),0)-$I76</f>
        <v>0</v>
      </c>
      <c r="K76" s="3" t="s">
        <v>22</v>
      </c>
      <c r="L76" s="3" t="s">
        <v>23</v>
      </c>
      <c r="M76" s="3">
        <f>_xlfn.IFNA(VLOOKUP($A76,[2]stockregister!$A$2:$H$2000,8,0),0)</f>
        <v>100</v>
      </c>
      <c r="N76" s="3">
        <f>_xlfn.IFNA(VLOOKUP($A76,[2]stockregister!$A$2:$H$2000,8,0),0)-$M76</f>
        <v>0</v>
      </c>
      <c r="O76" s="3">
        <v>0</v>
      </c>
      <c r="P76" s="3">
        <v>0</v>
      </c>
      <c r="Q76" s="3" t="s">
        <v>239</v>
      </c>
      <c r="R76" s="3" t="s">
        <v>216</v>
      </c>
      <c r="S76" s="3" t="s">
        <v>240</v>
      </c>
    </row>
    <row r="77" spans="1:19">
      <c r="A77" s="3">
        <v>750</v>
      </c>
      <c r="B77" s="3" t="b">
        <f>ISNUMBER(MATCH(A77,[1]stockregister!$A$2:$A$2000,0))</f>
        <v>1</v>
      </c>
      <c r="C77" s="3" t="s">
        <v>271</v>
      </c>
      <c r="D77" s="3" t="str">
        <f>VLOOKUP($C77,[1]stockregister!$B$2:$B$2000,1,0)</f>
        <v>SMIRNOFF RED VODKA 750ML</v>
      </c>
      <c r="E77" s="3" t="str">
        <f>IF(ISNA($D77),VLOOKUP($A77,[2]stockregister!$A$2:$B$2000,2,FALSE),"")</f>
        <v/>
      </c>
      <c r="F77" s="3" t="s">
        <v>21</v>
      </c>
      <c r="G77" s="3">
        <f>_xlfn.IFNA(VLOOKUP($A77,[3]stockregister!$A$2:$L$2000,11,0),0)</f>
        <v>634</v>
      </c>
      <c r="H77" s="3">
        <f>_xlfn.IFNA(VLOOKUP($A77,[3]stockregister!$A$2:$L$2000,11,0),0)-$G77</f>
        <v>0</v>
      </c>
      <c r="I77" s="3">
        <f>_xlfn.IFNA(VLOOKUP($A77,[3]stockregister!$A$2:$L$2000,12,0),0)</f>
        <v>750</v>
      </c>
      <c r="J77" s="3">
        <f>_xlfn.IFNA(VLOOKUP($A77,[3]stockregister!$A$1:$M$2000,12,0),0)-$I77</f>
        <v>0</v>
      </c>
      <c r="K77" s="3" t="s">
        <v>22</v>
      </c>
      <c r="L77" s="3" t="s">
        <v>23</v>
      </c>
      <c r="M77" s="3">
        <f>_xlfn.IFNA(VLOOKUP($A77,[2]stockregister!$A$2:$H$2000,8,0),0)</f>
        <v>830</v>
      </c>
      <c r="N77" s="3">
        <f>_xlfn.IFNA(VLOOKUP($A77,[2]stockregister!$A$2:$H$2000,8,0),0)-$M77</f>
        <v>0</v>
      </c>
      <c r="O77" s="3" t="s">
        <v>272</v>
      </c>
      <c r="P77" s="3" t="s">
        <v>272</v>
      </c>
      <c r="Q77" s="3" t="s">
        <v>137</v>
      </c>
      <c r="R77" s="3" t="s">
        <v>68</v>
      </c>
      <c r="S77" s="3" t="s">
        <v>88</v>
      </c>
    </row>
    <row r="78" spans="1:19">
      <c r="A78" s="3">
        <v>1057</v>
      </c>
      <c r="B78" s="3" t="b">
        <f>ISNUMBER(MATCH(A78,[1]stockregister!$A$2:$A$2000,0))</f>
        <v>1</v>
      </c>
      <c r="C78" s="3" t="s">
        <v>273</v>
      </c>
      <c r="D78" s="3" t="str">
        <f>VLOOKUP($C78,[1]stockregister!$B$2:$B$2000,1,0)</f>
        <v>JOHNNIE WALKER GOLD RESERVE  1LTR</v>
      </c>
      <c r="E78" s="3" t="str">
        <f>IF(ISNA($D78),VLOOKUP($A78,[2]stockregister!$A$2:$B$2000,2,FALSE),"")</f>
        <v/>
      </c>
      <c r="F78" s="3" t="s">
        <v>21</v>
      </c>
      <c r="G78" s="3">
        <f>_xlfn.IFNA(VLOOKUP($A78,[3]stockregister!$A$2:$L$2000,11,0),0)</f>
        <v>702</v>
      </c>
      <c r="H78" s="3">
        <f>_xlfn.IFNA(VLOOKUP($A78,[3]stockregister!$A$2:$L$2000,11,0),0)-$G78</f>
        <v>0</v>
      </c>
      <c r="I78" s="3">
        <f>_xlfn.IFNA(VLOOKUP($A78,[3]stockregister!$A$2:$L$2000,12,0),0)</f>
        <v>3800</v>
      </c>
      <c r="J78" s="3">
        <f>_xlfn.IFNA(VLOOKUP($A78,[3]stockregister!$A$1:$M$2000,12,0),0)-$I78</f>
        <v>0</v>
      </c>
      <c r="K78" s="3" t="s">
        <v>22</v>
      </c>
      <c r="L78" s="3" t="s">
        <v>23</v>
      </c>
      <c r="M78" s="3">
        <f>_xlfn.IFNA(VLOOKUP($A78,[2]stockregister!$A$2:$H$2000,8,0),0)</f>
        <v>4000</v>
      </c>
      <c r="N78" s="3">
        <f>_xlfn.IFNA(VLOOKUP($A78,[2]stockregister!$A$2:$H$2000,8,0),0)-$M78</f>
        <v>0</v>
      </c>
      <c r="O78" s="3" t="s">
        <v>274</v>
      </c>
      <c r="P78" s="3" t="s">
        <v>274</v>
      </c>
      <c r="Q78" s="3" t="s">
        <v>269</v>
      </c>
      <c r="R78" s="3" t="s">
        <v>92</v>
      </c>
      <c r="S78" s="3" t="s">
        <v>275</v>
      </c>
    </row>
    <row r="79" spans="1:18">
      <c r="A79" s="3">
        <v>191</v>
      </c>
      <c r="B79" s="3" t="b">
        <f>ISNUMBER(MATCH(A79,[1]stockregister!$A$2:$A$2000,0))</f>
        <v>1</v>
      </c>
      <c r="C79" s="3" t="s">
        <v>276</v>
      </c>
      <c r="D79" s="3" t="str">
        <f>VLOOKUP($C79,[1]stockregister!$B$2:$B$2000,1,0)</f>
        <v>MINUTE MAID MANGO 400ML</v>
      </c>
      <c r="E79" s="3" t="str">
        <f>IF(ISNA($D79),VLOOKUP($A79,[2]stockregister!$A$2:$B$2000,2,FALSE),"")</f>
        <v/>
      </c>
      <c r="F79" s="3" t="s">
        <v>21</v>
      </c>
      <c r="G79" s="3">
        <f>_xlfn.IFNA(VLOOKUP($A79,[3]stockregister!$A$2:$L$2000,11,0),0)</f>
        <v>757</v>
      </c>
      <c r="H79" s="3">
        <f>_xlfn.IFNA(VLOOKUP($A79,[3]stockregister!$A$2:$L$2000,11,0),0)-$G79</f>
        <v>0</v>
      </c>
      <c r="I79" s="3">
        <f>_xlfn.IFNA(VLOOKUP($A79,[3]stockregister!$A$2:$L$2000,12,0),0)</f>
        <v>1840</v>
      </c>
      <c r="J79" s="3">
        <f>_xlfn.IFNA(VLOOKUP($A79,[3]stockregister!$A$1:$M$2000,12,0),0)-$I79</f>
        <v>0</v>
      </c>
      <c r="K79" s="3" t="s">
        <v>22</v>
      </c>
      <c r="L79" s="3" t="s">
        <v>23</v>
      </c>
      <c r="M79" s="3">
        <f>_xlfn.IFNA(VLOOKUP($A79,[2]stockregister!$A$2:$H$2000,8,0),0)</f>
        <v>2000</v>
      </c>
      <c r="N79" s="3">
        <f>_xlfn.IFNA(VLOOKUP($A79,[2]stockregister!$A$2:$H$2000,8,0),0)-$M79</f>
        <v>0</v>
      </c>
      <c r="O79" s="3" t="s">
        <v>277</v>
      </c>
      <c r="P79" s="3" t="s">
        <v>277</v>
      </c>
      <c r="Q79" s="3" t="s">
        <v>278</v>
      </c>
      <c r="R79" s="3" t="s">
        <v>78</v>
      </c>
    </row>
    <row r="80" spans="1:19">
      <c r="A80" s="3">
        <v>2430</v>
      </c>
      <c r="B80" s="3" t="b">
        <f>ISNUMBER(MATCH(A80,[1]stockregister!$A$2:$A$2000,0))</f>
        <v>1</v>
      </c>
      <c r="C80" s="3" t="s">
        <v>279</v>
      </c>
      <c r="D80" s="3" t="str">
        <f>VLOOKUP($C80,[1]stockregister!$B$2:$B$2000,1,0)</f>
        <v>KO LIME &amp; GINGER 330ML</v>
      </c>
      <c r="E80" s="3" t="str">
        <f>IF(ISNA($D80),VLOOKUP($A80,[2]stockregister!$A$2:$B$2000,2,FALSE),"")</f>
        <v/>
      </c>
      <c r="F80" s="3" t="s">
        <v>21</v>
      </c>
      <c r="G80" s="3">
        <f>_xlfn.IFNA(VLOOKUP($A80,[3]stockregister!$A$2:$L$2000,11,0),0)</f>
        <v>1224</v>
      </c>
      <c r="H80" s="3">
        <f>_xlfn.IFNA(VLOOKUP($A80,[3]stockregister!$A$2:$L$2000,11,0),0)-$G80</f>
        <v>0</v>
      </c>
      <c r="I80" s="3">
        <f>_xlfn.IFNA(VLOOKUP($A80,[3]stockregister!$A$2:$L$2000,12,0),0)</f>
        <v>172.7</v>
      </c>
      <c r="J80" s="3">
        <f>_xlfn.IFNA(VLOOKUP($A80,[3]stockregister!$A$1:$M$2000,12,0),0)-$I80</f>
        <v>0</v>
      </c>
      <c r="K80" s="3" t="s">
        <v>22</v>
      </c>
      <c r="L80" s="3" t="s">
        <v>23</v>
      </c>
      <c r="M80" s="3">
        <f>_xlfn.IFNA(VLOOKUP($A80,[2]stockregister!$A$2:$H$2000,8,0),0)</f>
        <v>180</v>
      </c>
      <c r="N80" s="3">
        <f>_xlfn.IFNA(VLOOKUP($A80,[2]stockregister!$A$2:$H$2000,8,0),0)-$M80</f>
        <v>0</v>
      </c>
      <c r="O80" s="3" t="s">
        <v>280</v>
      </c>
      <c r="P80" s="3" t="s">
        <v>280</v>
      </c>
      <c r="Q80" s="3" t="s">
        <v>189</v>
      </c>
      <c r="R80" s="3" t="s">
        <v>216</v>
      </c>
      <c r="S80" s="3" t="s">
        <v>130</v>
      </c>
    </row>
    <row r="81" spans="1:19">
      <c r="A81" s="3">
        <v>1705</v>
      </c>
      <c r="B81" s="3" t="b">
        <f>ISNUMBER(MATCH(A81,[1]stockregister!$A$2:$A$2000,0))</f>
        <v>1</v>
      </c>
      <c r="C81" s="3" t="s">
        <v>281</v>
      </c>
      <c r="D81" s="3" t="str">
        <f>VLOOKUP($C81,[1]stockregister!$B$2:$B$2000,1,0)</f>
        <v> CRATES DEPOSIT</v>
      </c>
      <c r="E81" s="3" t="str">
        <f>IF(ISNA($D81),VLOOKUP($A81,[2]stockregister!$A$2:$B$2000,2,FALSE),"")</f>
        <v/>
      </c>
      <c r="F81" s="3" t="s">
        <v>21</v>
      </c>
      <c r="G81" s="3">
        <f>_xlfn.IFNA(VLOOKUP($A81,[3]stockregister!$A$2:$L$2000,11,0),0)</f>
        <v>717</v>
      </c>
      <c r="H81" s="3">
        <f>_xlfn.IFNA(VLOOKUP($A81,[3]stockregister!$A$2:$L$2000,11,0),0)-$G81</f>
        <v>0</v>
      </c>
      <c r="I81" s="3">
        <f>_xlfn.IFNA(VLOOKUP($A81,[3]stockregister!$A$2:$L$2000,12,0),0)</f>
        <v>540</v>
      </c>
      <c r="J81" s="3">
        <f>_xlfn.IFNA(VLOOKUP($A81,[3]stockregister!$A$1:$M$2000,12,0),0)-$I81</f>
        <v>0</v>
      </c>
      <c r="K81" s="3" t="s">
        <v>22</v>
      </c>
      <c r="L81" s="3" t="s">
        <v>23</v>
      </c>
      <c r="M81" s="3">
        <f>_xlfn.IFNA(VLOOKUP($A81,[2]stockregister!$A$2:$H$2000,8,0),0)</f>
        <v>900</v>
      </c>
      <c r="N81" s="3">
        <f>_xlfn.IFNA(VLOOKUP($A81,[2]stockregister!$A$2:$H$2000,8,0),0)-$M81</f>
        <v>0</v>
      </c>
      <c r="O81" s="3" t="s">
        <v>282</v>
      </c>
      <c r="P81" s="3" t="s">
        <v>282</v>
      </c>
      <c r="Q81" s="3" t="s">
        <v>283</v>
      </c>
      <c r="R81" s="3" t="s">
        <v>92</v>
      </c>
      <c r="S81" s="3" t="s">
        <v>284</v>
      </c>
    </row>
    <row r="82" spans="1:19">
      <c r="A82" s="3">
        <v>2998</v>
      </c>
      <c r="B82" s="3" t="b">
        <f>ISNUMBER(MATCH(A82,[1]stockregister!$A$2:$A$2000,0))</f>
        <v>1</v>
      </c>
      <c r="C82" s="3" t="s">
        <v>285</v>
      </c>
      <c r="D82" s="3" t="str">
        <f>VLOOKUP($C82,[1]stockregister!$B$2:$B$2000,1,0)</f>
        <v>AMARULA RASPBERRY CHOCOLATE 750ML  </v>
      </c>
      <c r="E82" s="3" t="str">
        <f>IF(ISNA($D82),VLOOKUP($A82,[2]stockregister!$A$2:$B$2000,2,FALSE),"")</f>
        <v/>
      </c>
      <c r="F82" s="3" t="s">
        <v>21</v>
      </c>
      <c r="G82" s="3">
        <f>_xlfn.IFNA(VLOOKUP($A82,[3]stockregister!$A$2:$L$2000,11,0),0)</f>
        <v>716</v>
      </c>
      <c r="H82" s="3">
        <f>_xlfn.IFNA(VLOOKUP($A82,[3]stockregister!$A$2:$L$2000,11,0),0)-$G82</f>
        <v>0</v>
      </c>
      <c r="I82" s="3">
        <f>_xlfn.IFNA(VLOOKUP($A82,[3]stockregister!$A$2:$L$2000,12,0),0)</f>
        <v>750</v>
      </c>
      <c r="J82" s="3">
        <f>_xlfn.IFNA(VLOOKUP($A82,[3]stockregister!$A$1:$M$2000,12,0),0)-$I82</f>
        <v>0</v>
      </c>
      <c r="K82" s="3" t="s">
        <v>22</v>
      </c>
      <c r="L82" s="3" t="s">
        <v>23</v>
      </c>
      <c r="M82" s="3">
        <f>_xlfn.IFNA(VLOOKUP($A82,[2]stockregister!$A$2:$H$2000,8,0),0)</f>
        <v>900</v>
      </c>
      <c r="N82" s="3">
        <f>_xlfn.IFNA(VLOOKUP($A82,[2]stockregister!$A$2:$H$2000,8,0),0)-$M82</f>
        <v>0</v>
      </c>
      <c r="O82" s="3" t="s">
        <v>286</v>
      </c>
      <c r="P82" s="3" t="s">
        <v>286</v>
      </c>
      <c r="Q82" s="3" t="s">
        <v>233</v>
      </c>
      <c r="R82" s="3" t="s">
        <v>68</v>
      </c>
      <c r="S82" s="3" t="s">
        <v>69</v>
      </c>
    </row>
    <row r="83" spans="1:19">
      <c r="A83" s="3">
        <v>2993</v>
      </c>
      <c r="B83" s="3" t="b">
        <f>ISNUMBER(MATCH(A83,[1]stockregister!$A$2:$A$2000,0))</f>
        <v>1</v>
      </c>
      <c r="C83" s="3" t="s">
        <v>287</v>
      </c>
      <c r="D83" s="3" t="str">
        <f>VLOOKUP($C83,[1]stockregister!$B$2:$B$2000,1,0)</f>
        <v>TALL HORSE -  PINOTAGE 750ML</v>
      </c>
      <c r="E83" s="3" t="str">
        <f>IF(ISNA($D83),VLOOKUP($A83,[2]stockregister!$A$2:$B$2000,2,FALSE),"")</f>
        <v/>
      </c>
      <c r="F83" s="3" t="s">
        <v>21</v>
      </c>
      <c r="G83" s="3">
        <f>_xlfn.IFNA(VLOOKUP($A83,[3]stockregister!$A$2:$L$2000,11,0),0)</f>
        <v>684</v>
      </c>
      <c r="H83" s="3">
        <f>_xlfn.IFNA(VLOOKUP($A83,[3]stockregister!$A$2:$L$2000,11,0),0)-$G83</f>
        <v>0</v>
      </c>
      <c r="I83" s="3">
        <f>_xlfn.IFNA(VLOOKUP($A83,[3]stockregister!$A$2:$L$2000,12,0),0)</f>
        <v>750</v>
      </c>
      <c r="J83" s="3">
        <f>_xlfn.IFNA(VLOOKUP($A83,[3]stockregister!$A$1:$M$2000,12,0),0)-$I83</f>
        <v>0</v>
      </c>
      <c r="K83" s="3" t="s">
        <v>22</v>
      </c>
      <c r="L83" s="3" t="s">
        <v>23</v>
      </c>
      <c r="M83" s="3">
        <f>_xlfn.IFNA(VLOOKUP($A83,[2]stockregister!$A$2:$H$2000,8,0),0)</f>
        <v>900</v>
      </c>
      <c r="N83" s="3">
        <f>_xlfn.IFNA(VLOOKUP($A83,[2]stockregister!$A$2:$H$2000,8,0),0)-$M83</f>
        <v>0</v>
      </c>
      <c r="O83" s="3" t="s">
        <v>288</v>
      </c>
      <c r="P83" s="3" t="s">
        <v>288</v>
      </c>
      <c r="Q83" s="3" t="s">
        <v>233</v>
      </c>
      <c r="R83" s="3" t="s">
        <v>68</v>
      </c>
      <c r="S83" s="3" t="s">
        <v>82</v>
      </c>
    </row>
    <row r="84" spans="1:19">
      <c r="A84" s="3">
        <v>2792</v>
      </c>
      <c r="B84" s="3" t="b">
        <f>ISNUMBER(MATCH(A84,[1]stockregister!$A$2:$A$2000,0))</f>
        <v>1</v>
      </c>
      <c r="C84" s="3" t="s">
        <v>289</v>
      </c>
      <c r="D84" s="3" t="str">
        <f>VLOOKUP($C84,[1]stockregister!$B$2:$B$2000,1,0)</f>
        <v>BACARDI CARTA ORO GOLD 1LTR</v>
      </c>
      <c r="E84" s="3" t="str">
        <f>IF(ISNA($D84),VLOOKUP($A84,[2]stockregister!$A$2:$B$2000,2,FALSE),"")</f>
        <v/>
      </c>
      <c r="F84" s="3" t="s">
        <v>21</v>
      </c>
      <c r="G84" s="3">
        <f>_xlfn.IFNA(VLOOKUP($A84,[3]stockregister!$A$2:$L$2000,11,0),0)</f>
        <v>673</v>
      </c>
      <c r="H84" s="3">
        <f>_xlfn.IFNA(VLOOKUP($A84,[3]stockregister!$A$2:$L$2000,11,0),0)-$G84</f>
        <v>0</v>
      </c>
      <c r="I84" s="3">
        <f>_xlfn.IFNA(VLOOKUP($A84,[3]stockregister!$A$2:$L$2000,12,0),0)</f>
        <v>900</v>
      </c>
      <c r="J84" s="3">
        <f>_xlfn.IFNA(VLOOKUP($A84,[3]stockregister!$A$1:$M$2000,12,0),0)-$I84</f>
        <v>0</v>
      </c>
      <c r="K84" s="3" t="s">
        <v>22</v>
      </c>
      <c r="L84" s="3" t="s">
        <v>23</v>
      </c>
      <c r="M84" s="3">
        <f>_xlfn.IFNA(VLOOKUP($A84,[2]stockregister!$A$2:$H$2000,8,0),0)</f>
        <v>1100</v>
      </c>
      <c r="N84" s="3">
        <f>_xlfn.IFNA(VLOOKUP($A84,[2]stockregister!$A$2:$H$2000,8,0),0)-$M84</f>
        <v>0</v>
      </c>
      <c r="O84" s="3" t="s">
        <v>290</v>
      </c>
      <c r="P84" s="3" t="s">
        <v>290</v>
      </c>
      <c r="Q84" s="3" t="s">
        <v>112</v>
      </c>
      <c r="R84" s="3" t="s">
        <v>113</v>
      </c>
      <c r="S84" s="3" t="s">
        <v>114</v>
      </c>
    </row>
    <row r="85" spans="1:19">
      <c r="A85" s="3">
        <v>8</v>
      </c>
      <c r="B85" s="3" t="b">
        <f>ISNUMBER(MATCH(A85,[1]stockregister!$A$2:$A$2000,0))</f>
        <v>1</v>
      </c>
      <c r="C85" s="3" t="s">
        <v>291</v>
      </c>
      <c r="D85" s="3" t="str">
        <f>VLOOKUP($C85,[1]stockregister!$B$2:$B$2000,1,0)</f>
        <v>BUTLERS ESPRESSO LIQUEUR  750ML</v>
      </c>
      <c r="E85" s="3" t="str">
        <f>IF(ISNA($D85),VLOOKUP($A85,[2]stockregister!$A$2:$B$2000,2,FALSE),"")</f>
        <v/>
      </c>
      <c r="F85" s="3" t="s">
        <v>21</v>
      </c>
      <c r="G85" s="3">
        <f>_xlfn.IFNA(VLOOKUP($A85,[3]stockregister!$A$2:$L$2000,11,0),0)</f>
        <v>698</v>
      </c>
      <c r="H85" s="3">
        <f>_xlfn.IFNA(VLOOKUP($A85,[3]stockregister!$A$2:$L$2000,11,0),0)-$G85</f>
        <v>0</v>
      </c>
      <c r="I85" s="3">
        <f>_xlfn.IFNA(VLOOKUP($A85,[3]stockregister!$A$2:$L$2000,12,0),0)</f>
        <v>3220</v>
      </c>
      <c r="J85" s="3">
        <f>_xlfn.IFNA(VLOOKUP($A85,[3]stockregister!$A$1:$M$2000,12,0),0)-$I85</f>
        <v>0</v>
      </c>
      <c r="K85" s="3" t="s">
        <v>22</v>
      </c>
      <c r="L85" s="3" t="s">
        <v>23</v>
      </c>
      <c r="M85" s="3">
        <f>_xlfn.IFNA(VLOOKUP($A85,[2]stockregister!$A$2:$H$2000,8,0),0)</f>
        <v>3500</v>
      </c>
      <c r="N85" s="3">
        <f>_xlfn.IFNA(VLOOKUP($A85,[2]stockregister!$A$2:$H$2000,8,0),0)-$M85</f>
        <v>0</v>
      </c>
      <c r="O85" s="3" t="s">
        <v>292</v>
      </c>
      <c r="P85" s="3" t="s">
        <v>292</v>
      </c>
      <c r="Q85" s="3" t="s">
        <v>293</v>
      </c>
      <c r="R85" s="3" t="s">
        <v>73</v>
      </c>
      <c r="S85" s="3" t="s">
        <v>294</v>
      </c>
    </row>
    <row r="86" spans="1:19">
      <c r="A86" s="3">
        <v>2992</v>
      </c>
      <c r="B86" s="3" t="b">
        <f>ISNUMBER(MATCH(A86,[1]stockregister!$A$2:$A$2000,0))</f>
        <v>1</v>
      </c>
      <c r="C86" s="3" t="s">
        <v>295</v>
      </c>
      <c r="D86" s="3" t="str">
        <f>VLOOKUP($C86,[1]stockregister!$B$2:$B$2000,1,0)</f>
        <v>SPRITE 2L</v>
      </c>
      <c r="E86" s="3" t="str">
        <f>IF(ISNA($D86),VLOOKUP($A86,[2]stockregister!$A$2:$B$2000,2,FALSE),"")</f>
        <v/>
      </c>
      <c r="F86" s="3" t="s">
        <v>21</v>
      </c>
      <c r="G86" s="3">
        <f>_xlfn.IFNA(VLOOKUP($A86,[3]stockregister!$A$2:$L$2000,11,0),0)</f>
        <v>221</v>
      </c>
      <c r="H86" s="3">
        <f>_xlfn.IFNA(VLOOKUP($A86,[3]stockregister!$A$2:$L$2000,11,0),0)-$G86</f>
        <v>0</v>
      </c>
      <c r="I86" s="3">
        <f>_xlfn.IFNA(VLOOKUP($A86,[3]stockregister!$A$2:$L$2000,12,0),0)</f>
        <v>750</v>
      </c>
      <c r="J86" s="3">
        <f>_xlfn.IFNA(VLOOKUP($A86,[3]stockregister!$A$1:$M$2000,12,0),0)-$I86</f>
        <v>0</v>
      </c>
      <c r="K86" s="3" t="s">
        <v>22</v>
      </c>
      <c r="L86" s="3" t="s">
        <v>23</v>
      </c>
      <c r="M86" s="3">
        <f>_xlfn.IFNA(VLOOKUP($A86,[2]stockregister!$A$2:$H$2000,8,0),0)</f>
        <v>900</v>
      </c>
      <c r="N86" s="3">
        <f>_xlfn.IFNA(VLOOKUP($A86,[2]stockregister!$A$2:$H$2000,8,0),0)-$M86</f>
        <v>0</v>
      </c>
      <c r="O86" s="3" t="s">
        <v>296</v>
      </c>
      <c r="P86" s="3" t="s">
        <v>296</v>
      </c>
      <c r="Q86" s="3" t="s">
        <v>81</v>
      </c>
      <c r="R86" s="3" t="s">
        <v>68</v>
      </c>
      <c r="S86" s="3" t="s">
        <v>297</v>
      </c>
    </row>
    <row r="87" spans="1:19">
      <c r="A87" s="3">
        <v>1167</v>
      </c>
      <c r="B87" s="3" t="b">
        <f>ISNUMBER(MATCH(A87,[1]stockregister!$A$2:$A$2000,0))</f>
        <v>1</v>
      </c>
      <c r="C87" s="3" t="s">
        <v>298</v>
      </c>
      <c r="D87" s="3" t="str">
        <f>VLOOKUP($C87,[1]stockregister!$B$2:$B$2000,1,0)</f>
        <v>HENDRICKS LUNAR GIN 750ML</v>
      </c>
      <c r="E87" s="3" t="str">
        <f>IF(ISNA($D87),VLOOKUP($A87,[2]stockregister!$A$2:$B$2000,2,FALSE),"")</f>
        <v/>
      </c>
      <c r="F87" s="3" t="s">
        <v>21</v>
      </c>
      <c r="G87" s="3">
        <f>_xlfn.IFNA(VLOOKUP($A87,[3]stockregister!$A$2:$L$2000,11,0),0)</f>
        <v>686</v>
      </c>
      <c r="H87" s="3">
        <f>_xlfn.IFNA(VLOOKUP($A87,[3]stockregister!$A$2:$L$2000,11,0),0)-$G87</f>
        <v>0</v>
      </c>
      <c r="I87" s="3">
        <f>_xlfn.IFNA(VLOOKUP($A87,[3]stockregister!$A$2:$L$2000,12,0),0)</f>
        <v>2060</v>
      </c>
      <c r="J87" s="3">
        <f>_xlfn.IFNA(VLOOKUP($A87,[3]stockregister!$A$1:$M$2000,12,0),0)-$I87</f>
        <v>0</v>
      </c>
      <c r="K87" s="3" t="s">
        <v>22</v>
      </c>
      <c r="L87" s="3" t="s">
        <v>23</v>
      </c>
      <c r="M87" s="3">
        <f>_xlfn.IFNA(VLOOKUP($A87,[2]stockregister!$A$2:$H$2000,8,0),0)</f>
        <v>2300</v>
      </c>
      <c r="N87" s="3">
        <f>_xlfn.IFNA(VLOOKUP($A87,[2]stockregister!$A$2:$H$2000,8,0),0)-$M87</f>
        <v>0</v>
      </c>
      <c r="O87" s="3" t="s">
        <v>299</v>
      </c>
      <c r="P87" s="3" t="s">
        <v>299</v>
      </c>
      <c r="Q87" s="3" t="s">
        <v>300</v>
      </c>
      <c r="R87" s="3" t="s">
        <v>126</v>
      </c>
      <c r="S87" s="3" t="s">
        <v>301</v>
      </c>
    </row>
    <row r="88" spans="1:19">
      <c r="A88" s="3">
        <v>365</v>
      </c>
      <c r="B88" s="3" t="b">
        <f>ISNUMBER(MATCH(A88,[1]stockregister!$A$2:$A$2000,0))</f>
        <v>1</v>
      </c>
      <c r="C88" s="3" t="s">
        <v>302</v>
      </c>
      <c r="D88" s="3" t="str">
        <f>VLOOKUP($C88,[1]stockregister!$B$2:$B$2000,1,0)</f>
        <v>BACARDI CARTA ORO GOLD 750ML</v>
      </c>
      <c r="E88" s="3" t="str">
        <f>IF(ISNA($D88),VLOOKUP($A88,[2]stockregister!$A$2:$B$2000,2,FALSE),"")</f>
        <v/>
      </c>
      <c r="F88" s="3" t="s">
        <v>21</v>
      </c>
      <c r="G88" s="3">
        <f>_xlfn.IFNA(VLOOKUP($A88,[3]stockregister!$A$2:$L$2000,11,0),0)</f>
        <v>681</v>
      </c>
      <c r="H88" s="3">
        <f>_xlfn.IFNA(VLOOKUP($A88,[3]stockregister!$A$2:$L$2000,11,0),0)-$G88</f>
        <v>0</v>
      </c>
      <c r="I88" s="3">
        <f>_xlfn.IFNA(VLOOKUP($A88,[3]stockregister!$A$2:$L$2000,12,0),0)</f>
        <v>1870</v>
      </c>
      <c r="J88" s="3">
        <f>_xlfn.IFNA(VLOOKUP($A88,[3]stockregister!$A$1:$M$2000,12,0),0)-$I88</f>
        <v>0</v>
      </c>
      <c r="K88" s="3" t="s">
        <v>22</v>
      </c>
      <c r="L88" s="3" t="s">
        <v>23</v>
      </c>
      <c r="M88" s="3">
        <f>_xlfn.IFNA(VLOOKUP($A88,[2]stockregister!$A$2:$H$2000,8,0),0)</f>
        <v>2100</v>
      </c>
      <c r="N88" s="3">
        <f>_xlfn.IFNA(VLOOKUP($A88,[2]stockregister!$A$2:$H$2000,8,0),0)-$M88</f>
        <v>0</v>
      </c>
      <c r="O88" s="3" t="s">
        <v>303</v>
      </c>
      <c r="P88" s="3" t="s">
        <v>303</v>
      </c>
      <c r="Q88" s="3" t="s">
        <v>304</v>
      </c>
      <c r="R88" s="3" t="s">
        <v>92</v>
      </c>
      <c r="S88" s="3" t="s">
        <v>114</v>
      </c>
    </row>
    <row r="89" spans="1:19">
      <c r="A89" s="3">
        <v>310</v>
      </c>
      <c r="B89" s="3" t="b">
        <f>ISNUMBER(MATCH(A89,[1]stockregister!$A$2:$A$2000,0))</f>
        <v>1</v>
      </c>
      <c r="C89" s="3" t="s">
        <v>305</v>
      </c>
      <c r="D89" s="3" t="str">
        <f>VLOOKUP($C89,[1]stockregister!$B$2:$B$2000,1,0)</f>
        <v>CONSIGNIA  MERLOT 750ML</v>
      </c>
      <c r="E89" s="3" t="str">
        <f>IF(ISNA($D89),VLOOKUP($A89,[2]stockregister!$A$2:$B$2000,2,FALSE),"")</f>
        <v/>
      </c>
      <c r="F89" s="3" t="s">
        <v>21</v>
      </c>
      <c r="G89" s="3">
        <f>_xlfn.IFNA(VLOOKUP($A89,[3]stockregister!$A$2:$L$2000,11,0),0)</f>
        <v>666</v>
      </c>
      <c r="H89" s="3">
        <f>_xlfn.IFNA(VLOOKUP($A89,[3]stockregister!$A$2:$L$2000,11,0),0)-$G89</f>
        <v>0</v>
      </c>
      <c r="I89" s="3">
        <f>_xlfn.IFNA(VLOOKUP($A89,[3]stockregister!$A$2:$L$2000,12,0),0)</f>
        <v>2300</v>
      </c>
      <c r="J89" s="3">
        <f>_xlfn.IFNA(VLOOKUP($A89,[3]stockregister!$A$1:$M$2000,12,0),0)-$I89</f>
        <v>0</v>
      </c>
      <c r="K89" s="3" t="s">
        <v>22</v>
      </c>
      <c r="L89" s="3" t="s">
        <v>23</v>
      </c>
      <c r="M89" s="3">
        <f>_xlfn.IFNA(VLOOKUP($A89,[2]stockregister!$A$2:$H$2000,8,0),0)</f>
        <v>2500</v>
      </c>
      <c r="N89" s="3">
        <f>_xlfn.IFNA(VLOOKUP($A89,[2]stockregister!$A$2:$H$2000,8,0),0)-$M89</f>
        <v>0</v>
      </c>
      <c r="O89" s="3" t="s">
        <v>306</v>
      </c>
      <c r="P89" s="3" t="s">
        <v>306</v>
      </c>
      <c r="Q89" s="3" t="s">
        <v>307</v>
      </c>
      <c r="R89" s="3" t="s">
        <v>92</v>
      </c>
      <c r="S89" s="3" t="s">
        <v>134</v>
      </c>
    </row>
    <row r="90" spans="1:19">
      <c r="A90" s="3">
        <v>223</v>
      </c>
      <c r="B90" s="3" t="b">
        <f>ISNUMBER(MATCH(A90,[1]stockregister!$A$2:$A$2000,0))</f>
        <v>1</v>
      </c>
      <c r="C90" s="3" t="s">
        <v>308</v>
      </c>
      <c r="D90" s="3" t="str">
        <f>VLOOKUP($C90,[1]stockregister!$B$2:$B$2000,1,0)</f>
        <v>ROSSO NOBILE CHERRY  750ML</v>
      </c>
      <c r="E90" s="3" t="str">
        <f>IF(ISNA($D90),VLOOKUP($A90,[2]stockregister!$A$2:$B$2000,2,FALSE),"")</f>
        <v/>
      </c>
      <c r="F90" s="3" t="s">
        <v>21</v>
      </c>
      <c r="G90" s="3">
        <f>_xlfn.IFNA(VLOOKUP($A90,[3]stockregister!$A$2:$L$2000,11,0),0)</f>
        <v>624</v>
      </c>
      <c r="H90" s="3">
        <f>_xlfn.IFNA(VLOOKUP($A90,[3]stockregister!$A$2:$L$2000,11,0),0)-$G90</f>
        <v>0</v>
      </c>
      <c r="I90" s="3">
        <f>_xlfn.IFNA(VLOOKUP($A90,[3]stockregister!$A$2:$L$2000,12,0),0)</f>
        <v>885</v>
      </c>
      <c r="J90" s="3">
        <f>_xlfn.IFNA(VLOOKUP($A90,[3]stockregister!$A$1:$M$2000,12,0),0)-$I90</f>
        <v>0</v>
      </c>
      <c r="K90" s="3" t="s">
        <v>22</v>
      </c>
      <c r="L90" s="3" t="s">
        <v>23</v>
      </c>
      <c r="M90" s="3">
        <f>_xlfn.IFNA(VLOOKUP($A90,[2]stockregister!$A$2:$H$2000,8,0),0)</f>
        <v>950</v>
      </c>
      <c r="N90" s="3">
        <f>_xlfn.IFNA(VLOOKUP($A90,[2]stockregister!$A$2:$H$2000,8,0),0)-$M90</f>
        <v>0</v>
      </c>
      <c r="O90" s="3" t="s">
        <v>309</v>
      </c>
      <c r="P90" s="3" t="s">
        <v>309</v>
      </c>
      <c r="Q90" s="3" t="s">
        <v>77</v>
      </c>
      <c r="R90" s="3" t="s">
        <v>92</v>
      </c>
      <c r="S90" s="3" t="s">
        <v>252</v>
      </c>
    </row>
    <row r="91" spans="1:19">
      <c r="A91" s="3">
        <v>1806</v>
      </c>
      <c r="B91" s="3" t="b">
        <f>ISNUMBER(MATCH(A91,[1]stockregister!$A$2:$A$2000,0))</f>
        <v>1</v>
      </c>
      <c r="C91" s="3" t="s">
        <v>310</v>
      </c>
      <c r="D91" s="3" t="str">
        <f>VLOOKUP($C91,[1]stockregister!$B$2:$B$2000,1,0)</f>
        <v>WHITLEY NEILL BLACK BERRY GIN 750ML </v>
      </c>
      <c r="E91" s="3" t="str">
        <f>IF(ISNA($D91),VLOOKUP($A91,[2]stockregister!$A$2:$B$2000,2,FALSE),"")</f>
        <v/>
      </c>
      <c r="F91" s="3" t="s">
        <v>21</v>
      </c>
      <c r="G91" s="3">
        <f>_xlfn.IFNA(VLOOKUP($A91,[3]stockregister!$A$2:$L$2000,11,0),0)</f>
        <v>486</v>
      </c>
      <c r="H91" s="3">
        <f>_xlfn.IFNA(VLOOKUP($A91,[3]stockregister!$A$2:$L$2000,11,0),0)-$G91</f>
        <v>0</v>
      </c>
      <c r="I91" s="3">
        <f>_xlfn.IFNA(VLOOKUP($A91,[3]stockregister!$A$2:$L$2000,12,0),0)</f>
        <v>1380</v>
      </c>
      <c r="J91" s="3">
        <f>_xlfn.IFNA(VLOOKUP($A91,[3]stockregister!$A$1:$M$2000,12,0),0)-$I91</f>
        <v>0</v>
      </c>
      <c r="K91" s="3" t="s">
        <v>22</v>
      </c>
      <c r="L91" s="3" t="s">
        <v>23</v>
      </c>
      <c r="M91" s="3">
        <f>_xlfn.IFNA(VLOOKUP($A91,[2]stockregister!$A$2:$H$2000,8,0),0)</f>
        <v>1450</v>
      </c>
      <c r="N91" s="3">
        <f>_xlfn.IFNA(VLOOKUP($A91,[2]stockregister!$A$2:$H$2000,8,0),0)-$M91</f>
        <v>0</v>
      </c>
      <c r="O91" s="3" t="s">
        <v>311</v>
      </c>
      <c r="P91" s="3" t="s">
        <v>311</v>
      </c>
      <c r="Q91" s="3" t="s">
        <v>263</v>
      </c>
      <c r="R91" s="3" t="s">
        <v>92</v>
      </c>
      <c r="S91" s="3" t="s">
        <v>134</v>
      </c>
    </row>
    <row r="92" spans="1:19">
      <c r="A92" s="3">
        <v>2991</v>
      </c>
      <c r="B92" s="3" t="b">
        <f>ISNUMBER(MATCH(A92,[1]stockregister!$A$2:$A$2000,0))</f>
        <v>1</v>
      </c>
      <c r="C92" s="3" t="s">
        <v>312</v>
      </c>
      <c r="D92" s="3" t="str">
        <f>VLOOKUP($C92,[1]stockregister!$B$2:$B$2000,1,0)</f>
        <v>ERISTOFF 750ML </v>
      </c>
      <c r="E92" s="3" t="str">
        <f>IF(ISNA($D92),VLOOKUP($A92,[2]stockregister!$A$2:$B$2000,2,FALSE),"")</f>
        <v/>
      </c>
      <c r="F92" s="3" t="s">
        <v>21</v>
      </c>
      <c r="G92" s="3">
        <f>_xlfn.IFNA(VLOOKUP($A92,[3]stockregister!$A$2:$L$2000,11,0),0)</f>
        <v>611</v>
      </c>
      <c r="H92" s="3">
        <f>_xlfn.IFNA(VLOOKUP($A92,[3]stockregister!$A$2:$L$2000,11,0),0)-$G92</f>
        <v>0</v>
      </c>
      <c r="I92" s="3">
        <f>_xlfn.IFNA(VLOOKUP($A92,[3]stockregister!$A$2:$L$2000,12,0),0)</f>
        <v>750</v>
      </c>
      <c r="J92" s="3">
        <f>_xlfn.IFNA(VLOOKUP($A92,[3]stockregister!$A$1:$M$2000,12,0),0)-$I92</f>
        <v>0</v>
      </c>
      <c r="K92" s="3" t="s">
        <v>22</v>
      </c>
      <c r="L92" s="3" t="s">
        <v>23</v>
      </c>
      <c r="M92" s="3">
        <f>_xlfn.IFNA(VLOOKUP($A92,[2]stockregister!$A$2:$H$2000,8,0),0)</f>
        <v>1000</v>
      </c>
      <c r="N92" s="3">
        <f>_xlfn.IFNA(VLOOKUP($A92,[2]stockregister!$A$2:$H$2000,8,0),0)-$M92</f>
        <v>0</v>
      </c>
      <c r="O92" s="3" t="s">
        <v>313</v>
      </c>
      <c r="P92" s="3" t="s">
        <v>313</v>
      </c>
      <c r="Q92" s="3" t="s">
        <v>81</v>
      </c>
      <c r="R92" s="3" t="s">
        <v>68</v>
      </c>
      <c r="S92" s="3" t="s">
        <v>69</v>
      </c>
    </row>
    <row r="93" spans="1:19">
      <c r="A93" s="3">
        <v>1169</v>
      </c>
      <c r="B93" s="3" t="b">
        <f>ISNUMBER(MATCH(A93,[1]stockregister!$A$2:$A$2000,0))</f>
        <v>1</v>
      </c>
      <c r="C93" s="3" t="s">
        <v>314</v>
      </c>
      <c r="D93" s="3" t="str">
        <f>VLOOKUP($C93,[1]stockregister!$B$2:$B$2000,1,0)</f>
        <v>CARLO ROSSI DRY WHITE 3LTR </v>
      </c>
      <c r="E93" s="3" t="str">
        <f>IF(ISNA($D93),VLOOKUP($A93,[2]stockregister!$A$2:$B$2000,2,FALSE),"")</f>
        <v/>
      </c>
      <c r="F93" s="3" t="s">
        <v>21</v>
      </c>
      <c r="G93" s="3">
        <f>_xlfn.IFNA(VLOOKUP($A93,[3]stockregister!$A$2:$L$2000,11,0),0)</f>
        <v>627</v>
      </c>
      <c r="H93" s="3">
        <f>_xlfn.IFNA(VLOOKUP($A93,[3]stockregister!$A$2:$L$2000,11,0),0)-$G93</f>
        <v>0</v>
      </c>
      <c r="I93" s="3">
        <f>_xlfn.IFNA(VLOOKUP($A93,[3]stockregister!$A$2:$L$2000,12,0),0)</f>
        <v>1228</v>
      </c>
      <c r="J93" s="3">
        <f>_xlfn.IFNA(VLOOKUP($A93,[3]stockregister!$A$1:$M$2000,12,0),0)-$I93</f>
        <v>0</v>
      </c>
      <c r="K93" s="3" t="s">
        <v>22</v>
      </c>
      <c r="L93" s="3" t="s">
        <v>23</v>
      </c>
      <c r="M93" s="3">
        <f>_xlfn.IFNA(VLOOKUP($A93,[2]stockregister!$A$2:$H$2000,8,0),0)</f>
        <v>2100</v>
      </c>
      <c r="N93" s="3">
        <f>_xlfn.IFNA(VLOOKUP($A93,[2]stockregister!$A$2:$H$2000,8,0),0)-$M93</f>
        <v>0</v>
      </c>
      <c r="O93" s="3" t="s">
        <v>299</v>
      </c>
      <c r="P93" s="3" t="s">
        <v>299</v>
      </c>
      <c r="Q93" s="3" t="s">
        <v>300</v>
      </c>
      <c r="R93" s="3" t="s">
        <v>126</v>
      </c>
      <c r="S93" s="3" t="s">
        <v>301</v>
      </c>
    </row>
    <row r="94" spans="1:18">
      <c r="A94" s="3">
        <v>1197</v>
      </c>
      <c r="B94" s="3" t="b">
        <f>ISNUMBER(MATCH(A94,[1]stockregister!$A$2:$A$2000,0))</f>
        <v>1</v>
      </c>
      <c r="C94" s="3" t="s">
        <v>315</v>
      </c>
      <c r="D94" s="3" t="str">
        <f>VLOOKUP($C94,[1]stockregister!$B$2:$B$2000,1,0)</f>
        <v>BUTLERS  CRÈME DE BANANA 750ML</v>
      </c>
      <c r="E94" s="3" t="str">
        <f>IF(ISNA($D94),VLOOKUP($A94,[2]stockregister!$A$2:$B$2000,2,FALSE),"")</f>
        <v/>
      </c>
      <c r="F94" s="3" t="s">
        <v>21</v>
      </c>
      <c r="G94" s="3">
        <f>_xlfn.IFNA(VLOOKUP($A94,[3]stockregister!$A$2:$L$2000,11,0),0)</f>
        <v>480</v>
      </c>
      <c r="H94" s="3">
        <f>_xlfn.IFNA(VLOOKUP($A94,[3]stockregister!$A$2:$L$2000,11,0),0)-$G94</f>
        <v>0</v>
      </c>
      <c r="I94" s="3">
        <f>_xlfn.IFNA(VLOOKUP($A94,[3]stockregister!$A$2:$L$2000,12,0),0)</f>
        <v>220.68</v>
      </c>
      <c r="J94" s="3">
        <f>_xlfn.IFNA(VLOOKUP($A94,[3]stockregister!$A$1:$M$2000,12,0),0)-$I94</f>
        <v>0</v>
      </c>
      <c r="K94" s="3" t="s">
        <v>22</v>
      </c>
      <c r="L94" s="3" t="s">
        <v>23</v>
      </c>
      <c r="M94" s="3">
        <f>_xlfn.IFNA(VLOOKUP($A94,[2]stockregister!$A$2:$H$2000,8,0),0)</f>
        <v>225</v>
      </c>
      <c r="N94" s="3">
        <f>_xlfn.IFNA(VLOOKUP($A94,[2]stockregister!$A$2:$H$2000,8,0),0)-$M94</f>
        <v>0</v>
      </c>
      <c r="O94" s="3" t="s">
        <v>316</v>
      </c>
      <c r="P94" s="3" t="s">
        <v>316</v>
      </c>
      <c r="Q94" s="3" t="s">
        <v>317</v>
      </c>
      <c r="R94" s="3" t="s">
        <v>318</v>
      </c>
    </row>
    <row r="95" spans="1:19">
      <c r="A95" s="3">
        <v>1694</v>
      </c>
      <c r="B95" s="3" t="b">
        <f>ISNUMBER(MATCH(A95,[1]stockregister!$A$2:$A$2000,0))</f>
        <v>1</v>
      </c>
      <c r="C95" s="3" t="s">
        <v>319</v>
      </c>
      <c r="D95" s="3" t="str">
        <f>VLOOKUP($C95,[1]stockregister!$B$2:$B$2000,1,0)</f>
        <v>EMBER PINE POA 750  ML</v>
      </c>
      <c r="E95" s="3" t="str">
        <f>IF(ISNA($D95),VLOOKUP($A95,[2]stockregister!$A$2:$B$2000,2,FALSE),"")</f>
        <v/>
      </c>
      <c r="F95" s="3" t="s">
        <v>21</v>
      </c>
      <c r="G95" s="3">
        <f>_xlfn.IFNA(VLOOKUP($A95,[3]stockregister!$A$2:$L$2000,11,0),0)</f>
        <v>267</v>
      </c>
      <c r="H95" s="3">
        <f>_xlfn.IFNA(VLOOKUP($A95,[3]stockregister!$A$2:$L$2000,11,0),0)-$G95</f>
        <v>0</v>
      </c>
      <c r="I95" s="3">
        <f>_xlfn.IFNA(VLOOKUP($A95,[3]stockregister!$A$2:$L$2000,12,0),0)</f>
        <v>1100</v>
      </c>
      <c r="J95" s="3">
        <f>_xlfn.IFNA(VLOOKUP($A95,[3]stockregister!$A$1:$M$2000,12,0),0)-$I95</f>
        <v>0</v>
      </c>
      <c r="K95" s="3" t="s">
        <v>22</v>
      </c>
      <c r="L95" s="3" t="s">
        <v>23</v>
      </c>
      <c r="M95" s="3">
        <f>_xlfn.IFNA(VLOOKUP($A95,[2]stockregister!$A$2:$H$2000,8,0),0)</f>
        <v>1200</v>
      </c>
      <c r="N95" s="3">
        <f>_xlfn.IFNA(VLOOKUP($A95,[2]stockregister!$A$2:$H$2000,8,0),0)-$M95</f>
        <v>0</v>
      </c>
      <c r="O95" s="3" t="s">
        <v>320</v>
      </c>
      <c r="P95" s="3" t="s">
        <v>320</v>
      </c>
      <c r="Q95" s="3" t="s">
        <v>321</v>
      </c>
      <c r="R95" s="3" t="s">
        <v>68</v>
      </c>
      <c r="S95" s="3" t="s">
        <v>322</v>
      </c>
    </row>
    <row r="96" spans="1:18">
      <c r="A96" s="3">
        <v>2852</v>
      </c>
      <c r="B96" s="3" t="b">
        <f>ISNUMBER(MATCH(A96,[1]stockregister!$A$2:$A$2000,0))</f>
        <v>1</v>
      </c>
      <c r="C96" s="3" t="s">
        <v>323</v>
      </c>
      <c r="D96" s="3" t="str">
        <f>VLOOKUP($C96,[1]stockregister!$B$2:$B$2000,1,0)</f>
        <v>JAMESON SINGLE  POT STILL 750ML</v>
      </c>
      <c r="E96" s="3" t="str">
        <f>IF(ISNA($D96),VLOOKUP($A96,[2]stockregister!$A$2:$B$2000,2,FALSE),"")</f>
        <v/>
      </c>
      <c r="F96" s="3" t="s">
        <v>21</v>
      </c>
      <c r="G96" s="3">
        <f>_xlfn.IFNA(VLOOKUP($A96,[3]stockregister!$A$2:$L$2000,11,0),0)</f>
        <v>584</v>
      </c>
      <c r="H96" s="3">
        <f>_xlfn.IFNA(VLOOKUP($A96,[3]stockregister!$A$2:$L$2000,11,0),0)-$G96</f>
        <v>0</v>
      </c>
      <c r="I96" s="3">
        <f>_xlfn.IFNA(VLOOKUP($A96,[3]stockregister!$A$2:$L$2000,12,0),0)</f>
        <v>1100</v>
      </c>
      <c r="J96" s="3">
        <f>_xlfn.IFNA(VLOOKUP($A96,[3]stockregister!$A$1:$M$2000,12,0),0)-$I96</f>
        <v>0</v>
      </c>
      <c r="K96" s="3" t="s">
        <v>22</v>
      </c>
      <c r="L96" s="3" t="s">
        <v>23</v>
      </c>
      <c r="M96" s="3">
        <f>_xlfn.IFNA(VLOOKUP($A96,[2]stockregister!$A$2:$H$2000,8,0),0)</f>
        <v>1400</v>
      </c>
      <c r="N96" s="3">
        <f>_xlfn.IFNA(VLOOKUP($A96,[2]stockregister!$A$2:$H$2000,8,0),0)-$M96</f>
        <v>0</v>
      </c>
      <c r="O96" s="3" t="s">
        <v>324</v>
      </c>
      <c r="P96" s="3" t="s">
        <v>324</v>
      </c>
      <c r="Q96" s="3" t="s">
        <v>325</v>
      </c>
      <c r="R96" s="3" t="s">
        <v>318</v>
      </c>
    </row>
    <row r="97" spans="1:18">
      <c r="A97" s="3">
        <v>1832</v>
      </c>
      <c r="B97" s="3" t="b">
        <f>ISNUMBER(MATCH(A97,[1]stockregister!$A$2:$A$2000,0))</f>
        <v>1</v>
      </c>
      <c r="C97" s="3" t="s">
        <v>326</v>
      </c>
      <c r="D97" s="3" t="str">
        <f>VLOOKUP($C97,[1]stockregister!$B$2:$B$2000,1,0)</f>
        <v>PENASOL TEMPRANILLO GARNACHA 750ML</v>
      </c>
      <c r="E97" s="3" t="str">
        <f>IF(ISNA($D97),VLOOKUP($A97,[2]stockregister!$A$2:$B$2000,2,FALSE),"")</f>
        <v/>
      </c>
      <c r="F97" s="3" t="s">
        <v>21</v>
      </c>
      <c r="G97" s="3">
        <f>_xlfn.IFNA(VLOOKUP($A97,[3]stockregister!$A$2:$L$2000,11,0),0)</f>
        <v>580</v>
      </c>
      <c r="H97" s="3">
        <f>_xlfn.IFNA(VLOOKUP($A97,[3]stockregister!$A$2:$L$2000,11,0),0)-$G97</f>
        <v>0</v>
      </c>
      <c r="I97" s="3">
        <f>_xlfn.IFNA(VLOOKUP($A97,[3]stockregister!$A$2:$L$2000,12,0),0)</f>
        <v>410.8</v>
      </c>
      <c r="J97" s="3">
        <f>_xlfn.IFNA(VLOOKUP($A97,[3]stockregister!$A$1:$M$2000,12,0),0)-$I97</f>
        <v>0</v>
      </c>
      <c r="K97" s="3" t="s">
        <v>22</v>
      </c>
      <c r="L97" s="3" t="s">
        <v>23</v>
      </c>
      <c r="M97" s="3">
        <f>_xlfn.IFNA(VLOOKUP($A97,[2]stockregister!$A$2:$H$2000,8,0),0)</f>
        <v>416</v>
      </c>
      <c r="N97" s="3">
        <f>_xlfn.IFNA(VLOOKUP($A97,[2]stockregister!$A$2:$H$2000,8,0),0)-$M97</f>
        <v>0</v>
      </c>
      <c r="O97" s="3" t="s">
        <v>327</v>
      </c>
      <c r="P97" s="3" t="s">
        <v>327</v>
      </c>
      <c r="Q97" s="3" t="s">
        <v>189</v>
      </c>
      <c r="R97" s="3" t="s">
        <v>318</v>
      </c>
    </row>
    <row r="98" spans="1:19">
      <c r="A98" s="3">
        <v>1626</v>
      </c>
      <c r="B98" s="3" t="b">
        <f>ISNUMBER(MATCH(A98,[1]stockregister!$A$2:$A$2000,0))</f>
        <v>1</v>
      </c>
      <c r="C98" s="3" t="s">
        <v>328</v>
      </c>
      <c r="D98" s="3" t="str">
        <f>VLOOKUP($C98,[1]stockregister!$B$2:$B$2000,1,0)</f>
        <v>TASSENBERG  750ML</v>
      </c>
      <c r="E98" s="3" t="str">
        <f>IF(ISNA($D98),VLOOKUP($A98,[2]stockregister!$A$2:$B$2000,2,FALSE),"")</f>
        <v/>
      </c>
      <c r="F98" s="3" t="s">
        <v>21</v>
      </c>
      <c r="G98" s="3">
        <f>_xlfn.IFNA(VLOOKUP($A98,[3]stockregister!$A$2:$L$2000,11,0),0)</f>
        <v>432</v>
      </c>
      <c r="H98" s="3">
        <f>_xlfn.IFNA(VLOOKUP($A98,[3]stockregister!$A$2:$L$2000,11,0),0)-$G98</f>
        <v>0</v>
      </c>
      <c r="I98" s="3">
        <f>_xlfn.IFNA(VLOOKUP($A98,[3]stockregister!$A$2:$L$2000,12,0),0)</f>
        <v>196.7</v>
      </c>
      <c r="J98" s="3">
        <f>_xlfn.IFNA(VLOOKUP($A98,[3]stockregister!$A$1:$M$2000,12,0),0)-$I98</f>
        <v>0</v>
      </c>
      <c r="K98" s="3" t="s">
        <v>22</v>
      </c>
      <c r="L98" s="3" t="s">
        <v>23</v>
      </c>
      <c r="M98" s="3">
        <f>_xlfn.IFNA(VLOOKUP($A98,[2]stockregister!$A$2:$H$2000,8,0),0)</f>
        <v>205</v>
      </c>
      <c r="N98" s="3">
        <f>_xlfn.IFNA(VLOOKUP($A98,[2]stockregister!$A$2:$H$2000,8,0),0)-$M98</f>
        <v>0</v>
      </c>
      <c r="O98" s="3" t="s">
        <v>329</v>
      </c>
      <c r="P98" s="3" t="s">
        <v>329</v>
      </c>
      <c r="Q98" s="3" t="s">
        <v>330</v>
      </c>
      <c r="R98" s="3" t="s">
        <v>97</v>
      </c>
      <c r="S98" s="3" t="s">
        <v>98</v>
      </c>
    </row>
    <row r="99" spans="1:19">
      <c r="A99" s="3">
        <v>3003</v>
      </c>
      <c r="B99" s="3" t="b">
        <f>ISNUMBER(MATCH(A99,[1]stockregister!$A$2:$A$2000,0))</f>
        <v>1</v>
      </c>
      <c r="C99" s="3" t="s">
        <v>331</v>
      </c>
      <c r="D99" s="3" t="str">
        <f>VLOOKUP($C99,[1]stockregister!$B$2:$B$2000,1,0)</f>
        <v>MAISON CASTEL  SAUV BLANC 750ML</v>
      </c>
      <c r="E99" s="3" t="str">
        <f>IF(ISNA($D99),VLOOKUP($A99,[2]stockregister!$A$2:$B$2000,2,FALSE),"")</f>
        <v/>
      </c>
      <c r="F99" s="3" t="s">
        <v>21</v>
      </c>
      <c r="G99" s="3">
        <f>_xlfn.IFNA(VLOOKUP($A99,[3]stockregister!$A$2:$L$2000,11,0),0)</f>
        <v>558</v>
      </c>
      <c r="H99" s="3">
        <f>_xlfn.IFNA(VLOOKUP($A99,[3]stockregister!$A$2:$L$2000,11,0),0)-$G99</f>
        <v>0</v>
      </c>
      <c r="I99" s="3">
        <f>_xlfn.IFNA(VLOOKUP($A99,[3]stockregister!$A$2:$L$2000,12,0),0)</f>
        <v>1500</v>
      </c>
      <c r="J99" s="3">
        <f>_xlfn.IFNA(VLOOKUP($A99,[3]stockregister!$A$1:$M$2000,12,0),0)-$I99</f>
        <v>0</v>
      </c>
      <c r="K99" s="3" t="s">
        <v>22</v>
      </c>
      <c r="L99" s="3" t="s">
        <v>23</v>
      </c>
      <c r="M99" s="3">
        <f>_xlfn.IFNA(VLOOKUP($A99,[2]stockregister!$A$2:$H$2000,8,0),0)</f>
        <v>1800</v>
      </c>
      <c r="N99" s="3">
        <f>_xlfn.IFNA(VLOOKUP($A99,[2]stockregister!$A$2:$H$2000,8,0),0)-$M99</f>
        <v>0</v>
      </c>
      <c r="O99" s="3" t="s">
        <v>332</v>
      </c>
      <c r="P99" s="3" t="s">
        <v>332</v>
      </c>
      <c r="Q99" s="3" t="s">
        <v>333</v>
      </c>
      <c r="R99" s="3" t="s">
        <v>73</v>
      </c>
      <c r="S99" s="3" t="s">
        <v>334</v>
      </c>
    </row>
    <row r="100" spans="1:18">
      <c r="A100" s="3">
        <v>2418</v>
      </c>
      <c r="B100" s="3" t="b">
        <f>ISNUMBER(MATCH(A100,[1]stockregister!$A$2:$A$2000,0))</f>
        <v>1</v>
      </c>
      <c r="C100" s="3" t="s">
        <v>335</v>
      </c>
      <c r="D100" s="3" t="str">
        <f>VLOOKUP($C100,[1]stockregister!$B$2:$B$2000,1,0)</f>
        <v>GREY GOOSE VODKA  750ML</v>
      </c>
      <c r="E100" s="3" t="str">
        <f>IF(ISNA($D100),VLOOKUP($A100,[2]stockregister!$A$2:$B$2000,2,FALSE),"")</f>
        <v/>
      </c>
      <c r="F100" s="3" t="s">
        <v>21</v>
      </c>
      <c r="G100" s="3">
        <f>_xlfn.IFNA(VLOOKUP($A100,[3]stockregister!$A$2:$L$2000,11,0),0)</f>
        <v>1630</v>
      </c>
      <c r="H100" s="3">
        <f>_xlfn.IFNA(VLOOKUP($A100,[3]stockregister!$A$2:$L$2000,11,0),0)-$G100</f>
        <v>0</v>
      </c>
      <c r="I100" s="3">
        <f>_xlfn.IFNA(VLOOKUP($A100,[3]stockregister!$A$2:$L$2000,12,0),0)</f>
        <v>331.8</v>
      </c>
      <c r="J100" s="3">
        <f>_xlfn.IFNA(VLOOKUP($A100,[3]stockregister!$A$1:$M$2000,12,0),0)-$I100</f>
        <v>0</v>
      </c>
      <c r="K100" s="3" t="s">
        <v>22</v>
      </c>
      <c r="L100" s="3" t="s">
        <v>23</v>
      </c>
      <c r="M100" s="3">
        <f>_xlfn.IFNA(VLOOKUP($A100,[2]stockregister!$A$2:$H$2000,8,0),0)</f>
        <v>336</v>
      </c>
      <c r="N100" s="3">
        <f>_xlfn.IFNA(VLOOKUP($A100,[2]stockregister!$A$2:$H$2000,8,0),0)-$M100</f>
        <v>0</v>
      </c>
      <c r="O100" s="3" t="s">
        <v>336</v>
      </c>
      <c r="P100" s="3" t="s">
        <v>336</v>
      </c>
      <c r="Q100" s="3" t="s">
        <v>201</v>
      </c>
      <c r="R100" s="3" t="s">
        <v>156</v>
      </c>
    </row>
    <row r="101" spans="1:18">
      <c r="A101" s="3">
        <v>2423</v>
      </c>
      <c r="B101" s="3" t="b">
        <f>ISNUMBER(MATCH(A101,[1]stockregister!$A$2:$A$2000,0))</f>
        <v>1</v>
      </c>
      <c r="C101" s="3" t="s">
        <v>337</v>
      </c>
      <c r="D101" s="3" t="str">
        <f>VLOOKUP($C101,[1]stockregister!$B$2:$B$2000,1,0)</f>
        <v>EXPRESSION SWEET WHITE  750ml</v>
      </c>
      <c r="E101" s="3" t="str">
        <f>IF(ISNA($D101),VLOOKUP($A101,[2]stockregister!$A$2:$B$2000,2,FALSE),"")</f>
        <v/>
      </c>
      <c r="F101" s="3" t="s">
        <v>21</v>
      </c>
      <c r="G101" s="3">
        <f>_xlfn.IFNA(VLOOKUP($A101,[3]stockregister!$A$2:$L$2000,11,0),0)</f>
        <v>385</v>
      </c>
      <c r="H101" s="3">
        <f>_xlfn.IFNA(VLOOKUP($A101,[3]stockregister!$A$2:$L$2000,11,0),0)-$G101</f>
        <v>0</v>
      </c>
      <c r="I101" s="3">
        <f>_xlfn.IFNA(VLOOKUP($A101,[3]stockregister!$A$2:$L$2000,12,0),0)</f>
        <v>1223.98</v>
      </c>
      <c r="J101" s="3">
        <f>_xlfn.IFNA(VLOOKUP($A101,[3]stockregister!$A$1:$M$2000,12,0),0)-$I101</f>
        <v>0</v>
      </c>
      <c r="K101" s="3" t="s">
        <v>22</v>
      </c>
      <c r="L101" s="3" t="s">
        <v>23</v>
      </c>
      <c r="M101" s="3">
        <f>_xlfn.IFNA(VLOOKUP($A101,[2]stockregister!$A$2:$H$2000,8,0),0)</f>
        <v>1240</v>
      </c>
      <c r="N101" s="3">
        <f>_xlfn.IFNA(VLOOKUP($A101,[2]stockregister!$A$2:$H$2000,8,0),0)-$M101</f>
        <v>0</v>
      </c>
      <c r="O101" s="3" t="s">
        <v>338</v>
      </c>
      <c r="P101" s="3" t="s">
        <v>338</v>
      </c>
      <c r="Q101" s="3" t="s">
        <v>245</v>
      </c>
      <c r="R101" s="3" t="s">
        <v>78</v>
      </c>
    </row>
    <row r="102" spans="1:19">
      <c r="A102" s="3">
        <v>2008</v>
      </c>
      <c r="B102" s="3" t="b">
        <f>ISNUMBER(MATCH(A102,[1]stockregister!$A$2:$A$2000,0))</f>
        <v>1</v>
      </c>
      <c r="C102" s="3" t="s">
        <v>339</v>
      </c>
      <c r="D102" s="3" t="str">
        <f>VLOOKUP($C102,[1]stockregister!$B$2:$B$2000,1,0)</f>
        <v>WHITLEY NEILL BLOOD ORANGE  GIN 750ML </v>
      </c>
      <c r="E102" s="3" t="str">
        <f>IF(ISNA($D102),VLOOKUP($A102,[2]stockregister!$A$2:$B$2000,2,FALSE),"")</f>
        <v/>
      </c>
      <c r="F102" s="3" t="s">
        <v>21</v>
      </c>
      <c r="G102" s="3">
        <f>_xlfn.IFNA(VLOOKUP($A102,[3]stockregister!$A$2:$L$2000,11,0),0)</f>
        <v>120</v>
      </c>
      <c r="H102" s="3">
        <f>_xlfn.IFNA(VLOOKUP($A102,[3]stockregister!$A$2:$L$2000,11,0),0)-$G102</f>
        <v>0</v>
      </c>
      <c r="I102" s="3">
        <f>_xlfn.IFNA(VLOOKUP($A102,[3]stockregister!$A$2:$L$2000,12,0),0)</f>
        <v>66.67</v>
      </c>
      <c r="J102" s="3">
        <f>_xlfn.IFNA(VLOOKUP($A102,[3]stockregister!$A$1:$M$2000,12,0),0)-$I102</f>
        <v>0</v>
      </c>
      <c r="K102" s="3" t="s">
        <v>22</v>
      </c>
      <c r="L102" s="3" t="s">
        <v>23</v>
      </c>
      <c r="M102" s="3">
        <f>_xlfn.IFNA(VLOOKUP($A102,[2]stockregister!$A$2:$H$2000,8,0),0)</f>
        <v>80</v>
      </c>
      <c r="N102" s="3">
        <f>_xlfn.IFNA(VLOOKUP($A102,[2]stockregister!$A$2:$H$2000,8,0),0)-$M102</f>
        <v>0</v>
      </c>
      <c r="O102" s="3" t="s">
        <v>340</v>
      </c>
      <c r="P102" s="3" t="s">
        <v>340</v>
      </c>
      <c r="Q102" s="3" t="s">
        <v>341</v>
      </c>
      <c r="R102" s="3" t="s">
        <v>26</v>
      </c>
      <c r="S102" s="3" t="s">
        <v>342</v>
      </c>
    </row>
    <row r="103" spans="1:19">
      <c r="A103" s="3">
        <v>596</v>
      </c>
      <c r="B103" s="3" t="b">
        <f>ISNUMBER(MATCH(A103,[1]stockregister!$A$2:$A$2000,0))</f>
        <v>1</v>
      </c>
      <c r="C103" s="3" t="s">
        <v>343</v>
      </c>
      <c r="D103" s="3" t="str">
        <f>VLOOKUP($C103,[1]stockregister!$B$2:$B$2000,1,0)</f>
        <v>LIONS DRY WHITE  750ML</v>
      </c>
      <c r="E103" s="3" t="str">
        <f>IF(ISNA($D103),VLOOKUP($A103,[2]stockregister!$A$2:$B$2000,2,FALSE),"")</f>
        <v/>
      </c>
      <c r="F103" s="3" t="s">
        <v>21</v>
      </c>
      <c r="G103" s="3">
        <f>_xlfn.IFNA(VLOOKUP($A103,[3]stockregister!$A$2:$L$2000,11,0),0)</f>
        <v>537</v>
      </c>
      <c r="H103" s="3">
        <f>_xlfn.IFNA(VLOOKUP($A103,[3]stockregister!$A$2:$L$2000,11,0),0)-$G103</f>
        <v>0</v>
      </c>
      <c r="I103" s="3">
        <f>_xlfn.IFNA(VLOOKUP($A103,[3]stockregister!$A$2:$L$2000,12,0),0)</f>
        <v>750</v>
      </c>
      <c r="J103" s="3">
        <f>_xlfn.IFNA(VLOOKUP($A103,[3]stockregister!$A$1:$M$2000,12,0),0)-$I103</f>
        <v>0</v>
      </c>
      <c r="K103" s="3" t="s">
        <v>22</v>
      </c>
      <c r="L103" s="3" t="s">
        <v>23</v>
      </c>
      <c r="M103" s="3">
        <f>_xlfn.IFNA(VLOOKUP($A103,[2]stockregister!$A$2:$H$2000,8,0),0)</f>
        <v>850</v>
      </c>
      <c r="N103" s="3">
        <f>_xlfn.IFNA(VLOOKUP($A103,[2]stockregister!$A$2:$H$2000,8,0),0)-$M103</f>
        <v>0</v>
      </c>
      <c r="O103" s="3" t="s">
        <v>344</v>
      </c>
      <c r="P103" s="3" t="s">
        <v>344</v>
      </c>
      <c r="Q103" s="3" t="s">
        <v>345</v>
      </c>
      <c r="R103" s="3" t="s">
        <v>68</v>
      </c>
      <c r="S103" s="3" t="s">
        <v>88</v>
      </c>
    </row>
    <row r="104" spans="1:18">
      <c r="A104" s="3">
        <v>888</v>
      </c>
      <c r="B104" s="3" t="b">
        <f>ISNUMBER(MATCH(A104,[1]stockregister!$A$2:$A$2000,0))</f>
        <v>1</v>
      </c>
      <c r="C104" s="3" t="s">
        <v>346</v>
      </c>
      <c r="D104" s="3" t="str">
        <f>VLOOKUP($C104,[1]stockregister!$B$2:$B$2000,1,0)</f>
        <v>SWARTLAND  SYRAH 750ML</v>
      </c>
      <c r="E104" s="3" t="str">
        <f>IF(ISNA($D104),VLOOKUP($A104,[2]stockregister!$A$2:$B$2000,2,FALSE),"")</f>
        <v/>
      </c>
      <c r="F104" s="3" t="s">
        <v>21</v>
      </c>
      <c r="G104" s="3">
        <f>_xlfn.IFNA(VLOOKUP($A104,[3]stockregister!$A$2:$L$2000,11,0),0)</f>
        <v>602</v>
      </c>
      <c r="H104" s="3">
        <f>_xlfn.IFNA(VLOOKUP($A104,[3]stockregister!$A$2:$L$2000,11,0),0)-$G104</f>
        <v>0</v>
      </c>
      <c r="I104" s="3">
        <f>_xlfn.IFNA(VLOOKUP($A104,[3]stockregister!$A$2:$L$2000,12,0),0)</f>
        <v>1600</v>
      </c>
      <c r="J104" s="3">
        <f>_xlfn.IFNA(VLOOKUP($A104,[3]stockregister!$A$1:$M$2000,12,0),0)-$I104</f>
        <v>0</v>
      </c>
      <c r="K104" s="3" t="s">
        <v>22</v>
      </c>
      <c r="L104" s="3" t="s">
        <v>23</v>
      </c>
      <c r="M104" s="3">
        <f>_xlfn.IFNA(VLOOKUP($A104,[2]stockregister!$A$2:$H$2000,8,0),0)</f>
        <v>2100</v>
      </c>
      <c r="N104" s="3">
        <f>_xlfn.IFNA(VLOOKUP($A104,[2]stockregister!$A$2:$H$2000,8,0),0)-$M104</f>
        <v>0</v>
      </c>
      <c r="O104" s="3" t="s">
        <v>347</v>
      </c>
      <c r="P104" s="3" t="s">
        <v>347</v>
      </c>
      <c r="Q104" s="3" t="s">
        <v>348</v>
      </c>
      <c r="R104" s="3" t="s">
        <v>78</v>
      </c>
    </row>
    <row r="105" spans="1:19">
      <c r="A105" s="3">
        <v>1846</v>
      </c>
      <c r="B105" s="3" t="b">
        <f>ISNUMBER(MATCH(A105,[1]stockregister!$A$2:$A$2000,0))</f>
        <v>1</v>
      </c>
      <c r="C105" s="3" t="s">
        <v>349</v>
      </c>
      <c r="D105" s="3" t="str">
        <f>VLOOKUP($C105,[1]stockregister!$B$2:$B$2000,1,0)</f>
        <v>HENDRICKS ORBIUM GIN 700ML</v>
      </c>
      <c r="E105" s="3" t="str">
        <f>IF(ISNA($D105),VLOOKUP($A105,[2]stockregister!$A$2:$B$2000,2,FALSE),"")</f>
        <v/>
      </c>
      <c r="F105" s="3" t="s">
        <v>21</v>
      </c>
      <c r="G105" s="3">
        <f>_xlfn.IFNA(VLOOKUP($A105,[3]stockregister!$A$2:$L$2000,11,0),0)</f>
        <v>264</v>
      </c>
      <c r="H105" s="3">
        <f>_xlfn.IFNA(VLOOKUP($A105,[3]stockregister!$A$2:$L$2000,11,0),0)-$G105</f>
        <v>0</v>
      </c>
      <c r="I105" s="3">
        <f>_xlfn.IFNA(VLOOKUP($A105,[3]stockregister!$A$2:$L$2000,12,0),0)</f>
        <v>172.7</v>
      </c>
      <c r="J105" s="3">
        <f>_xlfn.IFNA(VLOOKUP($A105,[3]stockregister!$A$1:$M$2000,12,0),0)-$I105</f>
        <v>0</v>
      </c>
      <c r="K105" s="3" t="s">
        <v>22</v>
      </c>
      <c r="L105" s="3" t="s">
        <v>23</v>
      </c>
      <c r="M105" s="3">
        <f>_xlfn.IFNA(VLOOKUP($A105,[2]stockregister!$A$2:$H$2000,8,0),0)</f>
        <v>180</v>
      </c>
      <c r="N105" s="3">
        <f>_xlfn.IFNA(VLOOKUP($A105,[2]stockregister!$A$2:$H$2000,8,0),0)-$M105</f>
        <v>0</v>
      </c>
      <c r="O105" s="3" t="s">
        <v>350</v>
      </c>
      <c r="P105" s="3" t="s">
        <v>350</v>
      </c>
      <c r="Q105" s="3" t="s">
        <v>351</v>
      </c>
      <c r="R105" s="3" t="s">
        <v>97</v>
      </c>
      <c r="S105" s="3" t="s">
        <v>352</v>
      </c>
    </row>
    <row r="106" spans="1:19">
      <c r="A106" s="3">
        <v>1939</v>
      </c>
      <c r="B106" s="3" t="b">
        <f>ISNUMBER(MATCH(A106,[1]stockregister!$A$2:$A$2000,0))</f>
        <v>1</v>
      </c>
      <c r="C106" s="3" t="s">
        <v>353</v>
      </c>
      <c r="D106" s="3" t="str">
        <f>VLOOKUP($C106,[1]stockregister!$B$2:$B$2000,1,0)</f>
        <v>BUSHMILL BLACK BUSH 750ML</v>
      </c>
      <c r="E106" s="3" t="str">
        <f>IF(ISNA($D106),VLOOKUP($A106,[2]stockregister!$A$2:$B$2000,2,FALSE),"")</f>
        <v/>
      </c>
      <c r="F106" s="3" t="s">
        <v>21</v>
      </c>
      <c r="G106" s="3">
        <f>_xlfn.IFNA(VLOOKUP($A106,[3]stockregister!$A$2:$L$2000,11,0),0)</f>
        <v>520</v>
      </c>
      <c r="H106" s="3">
        <f>_xlfn.IFNA(VLOOKUP($A106,[3]stockregister!$A$2:$L$2000,11,0),0)-$G106</f>
        <v>0</v>
      </c>
      <c r="I106" s="3">
        <f>_xlfn.IFNA(VLOOKUP($A106,[3]stockregister!$A$2:$L$2000,12,0),0)</f>
        <v>3036</v>
      </c>
      <c r="J106" s="3">
        <f>_xlfn.IFNA(VLOOKUP($A106,[3]stockregister!$A$1:$M$2000,12,0),0)-$I106</f>
        <v>0</v>
      </c>
      <c r="K106" s="3" t="s">
        <v>22</v>
      </c>
      <c r="L106" s="3" t="s">
        <v>23</v>
      </c>
      <c r="M106" s="3">
        <f>_xlfn.IFNA(VLOOKUP($A106,[2]stockregister!$A$2:$H$2000,8,0),0)</f>
        <v>3300</v>
      </c>
      <c r="N106" s="3">
        <f>_xlfn.IFNA(VLOOKUP($A106,[2]stockregister!$A$2:$H$2000,8,0),0)-$M106</f>
        <v>0</v>
      </c>
      <c r="O106" s="3" t="s">
        <v>354</v>
      </c>
      <c r="P106" s="3" t="s">
        <v>354</v>
      </c>
      <c r="Q106" s="3" t="s">
        <v>221</v>
      </c>
      <c r="R106" s="3" t="s">
        <v>78</v>
      </c>
      <c r="S106" s="3" t="s">
        <v>355</v>
      </c>
    </row>
    <row r="107" spans="1:19">
      <c r="A107" s="3">
        <v>37</v>
      </c>
      <c r="B107" s="3" t="b">
        <f>ISNUMBER(MATCH(A107,[1]stockregister!$A$2:$A$2000,0))</f>
        <v>1</v>
      </c>
      <c r="C107" s="3" t="s">
        <v>356</v>
      </c>
      <c r="D107" s="3" t="str">
        <f>VLOOKUP($C107,[1]stockregister!$B$2:$B$2000,1,0)</f>
        <v>LEOPARDS LEAP CAB SAUV  MERLOT 750ML</v>
      </c>
      <c r="E107" s="3" t="str">
        <f>IF(ISNA($D107),VLOOKUP($A107,[2]stockregister!$A$2:$B$2000,2,FALSE),"")</f>
        <v/>
      </c>
      <c r="F107" s="3" t="s">
        <v>21</v>
      </c>
      <c r="G107" s="3">
        <f>_xlfn.IFNA(VLOOKUP($A107,[3]stockregister!$A$2:$L$2000,11,0),0)</f>
        <v>471</v>
      </c>
      <c r="H107" s="3">
        <f>_xlfn.IFNA(VLOOKUP($A107,[3]stockregister!$A$2:$L$2000,11,0),0)-$G107</f>
        <v>0</v>
      </c>
      <c r="I107" s="3">
        <f>_xlfn.IFNA(VLOOKUP($A107,[3]stockregister!$A$2:$L$2000,12,0),0)</f>
        <v>1595</v>
      </c>
      <c r="J107" s="3">
        <f>_xlfn.IFNA(VLOOKUP($A107,[3]stockregister!$A$1:$M$2000,12,0),0)-$I107</f>
        <v>0</v>
      </c>
      <c r="K107" s="3" t="s">
        <v>22</v>
      </c>
      <c r="L107" s="3" t="s">
        <v>23</v>
      </c>
      <c r="M107" s="3">
        <f>_xlfn.IFNA(VLOOKUP($A107,[2]stockregister!$A$2:$H$2000,8,0),0)</f>
        <v>2000</v>
      </c>
      <c r="N107" s="3">
        <f>_xlfn.IFNA(VLOOKUP($A107,[2]stockregister!$A$2:$H$2000,8,0),0)-$M107</f>
        <v>0</v>
      </c>
      <c r="O107" s="3" t="s">
        <v>357</v>
      </c>
      <c r="P107" s="3" t="s">
        <v>357</v>
      </c>
      <c r="Q107" s="3" t="s">
        <v>358</v>
      </c>
      <c r="R107" s="3" t="s">
        <v>318</v>
      </c>
      <c r="S107" s="3" t="s">
        <v>359</v>
      </c>
    </row>
    <row r="108" spans="1:19">
      <c r="A108" s="3">
        <v>1961</v>
      </c>
      <c r="B108" s="3" t="b">
        <f>ISNUMBER(MATCH(A108,[1]stockregister!$A$2:$A$2000,0))</f>
        <v>1</v>
      </c>
      <c r="C108" s="3" t="s">
        <v>360</v>
      </c>
      <c r="D108" s="3" t="str">
        <f>VLOOKUP($C108,[1]stockregister!$B$2:$B$2000,1,0)</f>
        <v>WOOSH 9000 PUFFS BLUE RAZZ </v>
      </c>
      <c r="E108" s="3" t="str">
        <f>IF(ISNA($D108),VLOOKUP($A108,[2]stockregister!$A$2:$B$2000,2,FALSE),"")</f>
        <v/>
      </c>
      <c r="F108" s="3" t="s">
        <v>21</v>
      </c>
      <c r="G108" s="3">
        <f>_xlfn.IFNA(VLOOKUP($A108,[3]stockregister!$A$2:$L$2000,11,0),0)</f>
        <v>334</v>
      </c>
      <c r="H108" s="3">
        <f>_xlfn.IFNA(VLOOKUP($A108,[3]stockregister!$A$2:$L$2000,11,0),0)-$G108</f>
        <v>0</v>
      </c>
      <c r="I108" s="3">
        <f>_xlfn.IFNA(VLOOKUP($A108,[3]stockregister!$A$2:$L$2000,12,0),0)</f>
        <v>1900</v>
      </c>
      <c r="J108" s="3">
        <f>_xlfn.IFNA(VLOOKUP($A108,[3]stockregister!$A$1:$M$2000,12,0),0)-$I108</f>
        <v>0</v>
      </c>
      <c r="K108" s="3" t="s">
        <v>22</v>
      </c>
      <c r="L108" s="3" t="s">
        <v>23</v>
      </c>
      <c r="M108" s="3">
        <f>_xlfn.IFNA(VLOOKUP($A108,[2]stockregister!$A$2:$H$2000,8,0),0)</f>
        <v>2000</v>
      </c>
      <c r="N108" s="3">
        <f>_xlfn.IFNA(VLOOKUP($A108,[2]stockregister!$A$2:$H$2000,8,0),0)-$M108</f>
        <v>0</v>
      </c>
      <c r="O108" s="3" t="s">
        <v>361</v>
      </c>
      <c r="P108" s="3" t="s">
        <v>361</v>
      </c>
      <c r="Q108" s="3" t="s">
        <v>362</v>
      </c>
      <c r="R108" s="3" t="s">
        <v>92</v>
      </c>
      <c r="S108" s="3" t="s">
        <v>134</v>
      </c>
    </row>
    <row r="109" spans="1:20">
      <c r="A109" s="3">
        <v>839</v>
      </c>
      <c r="B109" s="3" t="b">
        <f>ISNUMBER(MATCH(A109,[1]stockregister!$A$2:$A$2000,0))</f>
        <v>1</v>
      </c>
      <c r="C109" s="3" t="s">
        <v>363</v>
      </c>
      <c r="D109" s="3" t="str">
        <f>VLOOKUP($C109,[1]stockregister!$B$2:$B$2000,1,0)</f>
        <v>INVERROCHE CLASSIC 750ML </v>
      </c>
      <c r="E109" s="3" t="str">
        <f>IF(ISNA($D109),VLOOKUP($A109,[2]stockregister!$A$2:$B$2000,2,FALSE),"")</f>
        <v/>
      </c>
      <c r="F109" s="3" t="s">
        <v>21</v>
      </c>
      <c r="G109" s="3">
        <f>_xlfn.IFNA(VLOOKUP($A109,[3]stockregister!$A$2:$L$2000,11,0),0)</f>
        <v>500</v>
      </c>
      <c r="H109" s="3">
        <f>_xlfn.IFNA(VLOOKUP($A109,[3]stockregister!$A$2:$L$2000,11,0),0)-$G109</f>
        <v>0</v>
      </c>
      <c r="I109" s="3">
        <f>_xlfn.IFNA(VLOOKUP($A109,[3]stockregister!$A$2:$L$2000,12,0),0)</f>
        <v>8720</v>
      </c>
      <c r="J109" s="3">
        <f>_xlfn.IFNA(VLOOKUP($A109,[3]stockregister!$A$1:$M$2000,12,0),0)-$I109</f>
        <v>0</v>
      </c>
      <c r="K109" s="3" t="s">
        <v>22</v>
      </c>
      <c r="L109" s="3" t="s">
        <v>23</v>
      </c>
      <c r="M109" s="3">
        <f>_xlfn.IFNA(VLOOKUP($A109,[2]stockregister!$A$2:$H$2000,8,0),0)</f>
        <v>11500</v>
      </c>
      <c r="N109" s="3">
        <f>_xlfn.IFNA(VLOOKUP($A109,[2]stockregister!$A$2:$H$2000,8,0),0)-$M109</f>
        <v>0</v>
      </c>
      <c r="O109" s="3" t="s">
        <v>364</v>
      </c>
      <c r="P109" s="3" t="s">
        <v>364</v>
      </c>
      <c r="Q109" s="3" t="s">
        <v>365</v>
      </c>
      <c r="R109" s="3" t="s">
        <v>92</v>
      </c>
      <c r="S109" s="3" t="s">
        <v>134</v>
      </c>
      <c r="T109" s="3">
        <v>18</v>
      </c>
    </row>
    <row r="110" spans="1:19">
      <c r="A110" s="3">
        <v>1517</v>
      </c>
      <c r="B110" s="3" t="b">
        <f>ISNUMBER(MATCH(A110,[1]stockregister!$A$2:$A$2000,0))</f>
        <v>1</v>
      </c>
      <c r="C110" s="3" t="s">
        <v>366</v>
      </c>
      <c r="D110" s="3" t="str">
        <f>VLOOKUP($C110,[1]stockregister!$B$2:$B$2000,1,0)</f>
        <v>WHITLEY NEILL PROTEA &amp; HIBISCUS GIN 750ML </v>
      </c>
      <c r="E110" s="3" t="str">
        <f>IF(ISNA($D110),VLOOKUP($A110,[2]stockregister!$A$2:$B$2000,2,FALSE),"")</f>
        <v/>
      </c>
      <c r="F110" s="3" t="s">
        <v>21</v>
      </c>
      <c r="G110" s="3">
        <f>_xlfn.IFNA(VLOOKUP($A110,[3]stockregister!$A$2:$L$2000,11,0),0)</f>
        <v>462</v>
      </c>
      <c r="H110" s="3">
        <f>_xlfn.IFNA(VLOOKUP($A110,[3]stockregister!$A$2:$L$2000,11,0),0)-$G110</f>
        <v>0</v>
      </c>
      <c r="I110" s="3">
        <f>_xlfn.IFNA(VLOOKUP($A110,[3]stockregister!$A$2:$L$2000,12,0),0)</f>
        <v>1250</v>
      </c>
      <c r="J110" s="3">
        <f>_xlfn.IFNA(VLOOKUP($A110,[3]stockregister!$A$1:$M$2000,12,0),0)-$I110</f>
        <v>0</v>
      </c>
      <c r="K110" s="3" t="s">
        <v>22</v>
      </c>
      <c r="L110" s="3" t="s">
        <v>23</v>
      </c>
      <c r="M110" s="3">
        <f>_xlfn.IFNA(VLOOKUP($A110,[2]stockregister!$A$2:$H$2000,8,0),0)</f>
        <v>1350</v>
      </c>
      <c r="N110" s="3">
        <f>_xlfn.IFNA(VLOOKUP($A110,[2]stockregister!$A$2:$H$2000,8,0),0)-$M110</f>
        <v>0</v>
      </c>
      <c r="O110" s="3" t="s">
        <v>367</v>
      </c>
      <c r="P110" s="3" t="s">
        <v>367</v>
      </c>
      <c r="Q110" s="3" t="s">
        <v>368</v>
      </c>
      <c r="R110" s="3" t="s">
        <v>68</v>
      </c>
      <c r="S110" s="3" t="s">
        <v>369</v>
      </c>
    </row>
    <row r="111" spans="1:18">
      <c r="A111" s="3">
        <v>2619</v>
      </c>
      <c r="B111" s="3" t="b">
        <f>ISNUMBER(MATCH(A111,[1]stockregister!$A$2:$A$2000,0))</f>
        <v>1</v>
      </c>
      <c r="C111" s="3" t="s">
        <v>370</v>
      </c>
      <c r="D111" s="3" t="str">
        <f>VLOOKUP($C111,[1]stockregister!$B$2:$B$2000,1,0)</f>
        <v>GLENMORANGIE 18YRS WHISKY EXTREME  700ML</v>
      </c>
      <c r="E111" s="3" t="str">
        <f>IF(ISNA($D111),VLOOKUP($A111,[2]stockregister!$A$2:$B$2000,2,FALSE),"")</f>
        <v/>
      </c>
      <c r="F111" s="3" t="s">
        <v>21</v>
      </c>
      <c r="G111" s="3">
        <f>_xlfn.IFNA(VLOOKUP($A111,[3]stockregister!$A$2:$L$2000,11,0),0)</f>
        <v>440</v>
      </c>
      <c r="H111" s="3">
        <f>_xlfn.IFNA(VLOOKUP($A111,[3]stockregister!$A$2:$L$2000,11,0),0)-$G111</f>
        <v>0</v>
      </c>
      <c r="I111" s="3">
        <f>_xlfn.IFNA(VLOOKUP($A111,[3]stockregister!$A$2:$L$2000,12,0),0)</f>
        <v>232</v>
      </c>
      <c r="J111" s="3">
        <f>_xlfn.IFNA(VLOOKUP($A111,[3]stockregister!$A$1:$M$2000,12,0),0)-$I111</f>
        <v>0</v>
      </c>
      <c r="K111" s="3" t="s">
        <v>22</v>
      </c>
      <c r="L111" s="3" t="s">
        <v>23</v>
      </c>
      <c r="M111" s="3">
        <f>_xlfn.IFNA(VLOOKUP($A111,[2]stockregister!$A$2:$H$2000,8,0),0)</f>
        <v>248</v>
      </c>
      <c r="N111" s="3">
        <f>_xlfn.IFNA(VLOOKUP($A111,[2]stockregister!$A$2:$H$2000,8,0),0)-$M111</f>
        <v>0</v>
      </c>
      <c r="O111" s="3" t="s">
        <v>371</v>
      </c>
      <c r="P111" s="3" t="s">
        <v>371</v>
      </c>
      <c r="Q111" s="3" t="s">
        <v>372</v>
      </c>
      <c r="R111" s="3" t="s">
        <v>373</v>
      </c>
    </row>
    <row r="112" spans="1:18">
      <c r="A112" s="3">
        <v>188</v>
      </c>
      <c r="B112" s="3" t="b">
        <f>ISNUMBER(MATCH(A112,[1]stockregister!$A$2:$A$2000,0))</f>
        <v>1</v>
      </c>
      <c r="C112" s="3" t="s">
        <v>374</v>
      </c>
      <c r="D112" s="3" t="str">
        <f>VLOOKUP($C112,[1]stockregister!$B$2:$B$2000,1,0)</f>
        <v>JOHNNIE WALKER BLUE LABEL GHOST &amp; RARE 750ML</v>
      </c>
      <c r="E112" s="3" t="str">
        <f>IF(ISNA($D112),VLOOKUP($A112,[2]stockregister!$A$2:$B$2000,2,FALSE),"")</f>
        <v/>
      </c>
      <c r="F112" s="3" t="s">
        <v>21</v>
      </c>
      <c r="G112" s="3">
        <f>_xlfn.IFNA(VLOOKUP($A112,[3]stockregister!$A$2:$L$2000,11,0),0)</f>
        <v>480</v>
      </c>
      <c r="H112" s="3">
        <f>_xlfn.IFNA(VLOOKUP($A112,[3]stockregister!$A$2:$L$2000,11,0),0)-$G112</f>
        <v>0</v>
      </c>
      <c r="I112" s="3">
        <f>_xlfn.IFNA(VLOOKUP($A112,[3]stockregister!$A$2:$L$2000,12,0),0)</f>
        <v>1932</v>
      </c>
      <c r="J112" s="3">
        <f>_xlfn.IFNA(VLOOKUP($A112,[3]stockregister!$A$1:$M$2000,12,0),0)-$I112</f>
        <v>0</v>
      </c>
      <c r="K112" s="3" t="s">
        <v>22</v>
      </c>
      <c r="L112" s="3" t="s">
        <v>23</v>
      </c>
      <c r="M112" s="3">
        <f>_xlfn.IFNA(VLOOKUP($A112,[2]stockregister!$A$2:$H$2000,8,0),0)</f>
        <v>2100</v>
      </c>
      <c r="N112" s="3">
        <f>_xlfn.IFNA(VLOOKUP($A112,[2]stockregister!$A$2:$H$2000,8,0),0)-$M112</f>
        <v>0</v>
      </c>
      <c r="O112" s="3" t="s">
        <v>375</v>
      </c>
      <c r="P112" s="3" t="s">
        <v>375</v>
      </c>
      <c r="Q112" s="3" t="s">
        <v>278</v>
      </c>
      <c r="R112" s="3" t="s">
        <v>78</v>
      </c>
    </row>
    <row r="113" spans="1:19">
      <c r="A113" s="3">
        <v>1021</v>
      </c>
      <c r="B113" s="3" t="b">
        <f>ISNUMBER(MATCH(A113,[1]stockregister!$A$2:$A$2000,0))</f>
        <v>1</v>
      </c>
      <c r="C113" s="3" t="s">
        <v>376</v>
      </c>
      <c r="D113" s="3" t="str">
        <f>VLOOKUP($C113,[1]stockregister!$B$2:$B$2000,1,0)</f>
        <v>LEOPARDS LEAP  CAB SAuv 750ML</v>
      </c>
      <c r="E113" s="3" t="str">
        <f>IF(ISNA($D113),VLOOKUP($A113,[2]stockregister!$A$2:$B$2000,2,FALSE),"")</f>
        <v/>
      </c>
      <c r="F113" s="3" t="s">
        <v>21</v>
      </c>
      <c r="G113" s="3">
        <f>_xlfn.IFNA(VLOOKUP($A113,[3]stockregister!$A$2:$L$2000,11,0),0)</f>
        <v>146</v>
      </c>
      <c r="H113" s="3">
        <f>_xlfn.IFNA(VLOOKUP($A113,[3]stockregister!$A$2:$L$2000,11,0),0)-$G113</f>
        <v>0</v>
      </c>
      <c r="I113" s="3">
        <f>_xlfn.IFNA(VLOOKUP($A113,[3]stockregister!$A$2:$L$2000,12,0),0)</f>
        <v>2540</v>
      </c>
      <c r="J113" s="3">
        <f>_xlfn.IFNA(VLOOKUP($A113,[3]stockregister!$A$1:$M$2000,12,0),0)-$I113</f>
        <v>0</v>
      </c>
      <c r="K113" s="3" t="s">
        <v>22</v>
      </c>
      <c r="L113" s="3" t="s">
        <v>23</v>
      </c>
      <c r="M113" s="3">
        <f>_xlfn.IFNA(VLOOKUP($A113,[2]stockregister!$A$2:$H$2000,8,0),0)</f>
        <v>3100</v>
      </c>
      <c r="N113" s="3">
        <f>_xlfn.IFNA(VLOOKUP($A113,[2]stockregister!$A$2:$H$2000,8,0),0)-$M113</f>
        <v>0</v>
      </c>
      <c r="O113" s="3" t="s">
        <v>235</v>
      </c>
      <c r="P113" s="3" t="s">
        <v>235</v>
      </c>
      <c r="Q113" s="3" t="s">
        <v>236</v>
      </c>
      <c r="R113" s="3" t="s">
        <v>92</v>
      </c>
      <c r="S113" s="3" t="s">
        <v>237</v>
      </c>
    </row>
    <row r="114" spans="1:19">
      <c r="A114" s="3">
        <v>2433</v>
      </c>
      <c r="B114" s="3" t="b">
        <f>ISNUMBER(MATCH(A114,[1]stockregister!$A$2:$A$2000,0))</f>
        <v>1</v>
      </c>
      <c r="C114" s="3" t="s">
        <v>377</v>
      </c>
      <c r="D114" s="3" t="str">
        <f>VLOOKUP($C114,[1]stockregister!$B$2:$B$2000,1,0)</f>
        <v>LAURENT- PERRIER ROSE CHAMPAGNE  750ML</v>
      </c>
      <c r="E114" s="3" t="str">
        <f>IF(ISNA($D114),VLOOKUP($A114,[2]stockregister!$A$2:$B$2000,2,FALSE),"")</f>
        <v/>
      </c>
      <c r="F114" s="3" t="s">
        <v>21</v>
      </c>
      <c r="G114" s="3">
        <f>_xlfn.IFNA(VLOOKUP($A114,[3]stockregister!$A$2:$L$2000,11,0),0)</f>
        <v>885</v>
      </c>
      <c r="H114" s="3">
        <f>_xlfn.IFNA(VLOOKUP($A114,[3]stockregister!$A$2:$L$2000,11,0),0)-$G114</f>
        <v>0</v>
      </c>
      <c r="I114" s="3">
        <f>_xlfn.IFNA(VLOOKUP($A114,[3]stockregister!$A$2:$L$2000,12,0),0)</f>
        <v>237.4</v>
      </c>
      <c r="J114" s="3">
        <f>_xlfn.IFNA(VLOOKUP($A114,[3]stockregister!$A$1:$M$2000,12,0),0)-$I114</f>
        <v>0</v>
      </c>
      <c r="K114" s="3" t="s">
        <v>22</v>
      </c>
      <c r="L114" s="3" t="s">
        <v>23</v>
      </c>
      <c r="M114" s="3">
        <f>_xlfn.IFNA(VLOOKUP($A114,[2]stockregister!$A$2:$H$2000,8,0),0)</f>
        <v>245</v>
      </c>
      <c r="N114" s="3">
        <f>_xlfn.IFNA(VLOOKUP($A114,[2]stockregister!$A$2:$H$2000,8,0),0)-$M114</f>
        <v>0</v>
      </c>
      <c r="O114" s="3" t="s">
        <v>378</v>
      </c>
      <c r="P114" s="3" t="s">
        <v>378</v>
      </c>
      <c r="Q114" s="3" t="s">
        <v>184</v>
      </c>
      <c r="R114" s="3" t="s">
        <v>97</v>
      </c>
      <c r="S114" s="3" t="s">
        <v>379</v>
      </c>
    </row>
    <row r="115" spans="1:19">
      <c r="A115" s="3">
        <v>2047</v>
      </c>
      <c r="B115" s="3" t="b">
        <f>ISNUMBER(MATCH(A115,[1]stockregister!$A$2:$A$2000,0))</f>
        <v>1</v>
      </c>
      <c r="C115" s="3" t="s">
        <v>380</v>
      </c>
      <c r="D115" s="3" t="str">
        <f>VLOOKUP($C115,[1]stockregister!$B$2:$B$2000,1,0)</f>
        <v>PENASOL MEDIUM SWEET WHITE 1L</v>
      </c>
      <c r="E115" s="3" t="str">
        <f>IF(ISNA($D115),VLOOKUP($A115,[2]stockregister!$A$2:$B$2000,2,FALSE),"")</f>
        <v/>
      </c>
      <c r="F115" s="3" t="s">
        <v>21</v>
      </c>
      <c r="G115" s="3">
        <f>_xlfn.IFNA(VLOOKUP($A115,[3]stockregister!$A$2:$L$2000,11,0),0)</f>
        <v>408</v>
      </c>
      <c r="H115" s="3">
        <f>_xlfn.IFNA(VLOOKUP($A115,[3]stockregister!$A$2:$L$2000,11,0),0)-$G115</f>
        <v>0</v>
      </c>
      <c r="I115" s="3">
        <f>_xlfn.IFNA(VLOOKUP($A115,[3]stockregister!$A$2:$L$2000,12,0),0)</f>
        <v>727</v>
      </c>
      <c r="J115" s="3">
        <f>_xlfn.IFNA(VLOOKUP($A115,[3]stockregister!$A$1:$M$2000,12,0),0)-$I115</f>
        <v>0</v>
      </c>
      <c r="K115" s="3" t="s">
        <v>22</v>
      </c>
      <c r="L115" s="3" t="s">
        <v>23</v>
      </c>
      <c r="M115" s="3">
        <f>_xlfn.IFNA(VLOOKUP($A115,[2]stockregister!$A$2:$H$2000,8,0),0)</f>
        <v>1300</v>
      </c>
      <c r="N115" s="3">
        <f>_xlfn.IFNA(VLOOKUP($A115,[2]stockregister!$A$2:$H$2000,8,0),0)-$M115</f>
        <v>0</v>
      </c>
      <c r="O115" s="3" t="s">
        <v>381</v>
      </c>
      <c r="P115" s="3" t="s">
        <v>381</v>
      </c>
      <c r="Q115" s="3" t="s">
        <v>382</v>
      </c>
      <c r="R115" s="3" t="s">
        <v>92</v>
      </c>
      <c r="S115" s="3" t="s">
        <v>134</v>
      </c>
    </row>
    <row r="116" spans="1:19">
      <c r="A116" s="3">
        <v>376</v>
      </c>
      <c r="B116" s="3" t="b">
        <f>ISNUMBER(MATCH(A116,[1]stockregister!$A$2:$A$2000,0))</f>
        <v>1</v>
      </c>
      <c r="C116" s="3" t="s">
        <v>383</v>
      </c>
      <c r="D116" s="3" t="str">
        <f>VLOOKUP($C116,[1]stockregister!$B$2:$B$2000,1,0)</f>
        <v>JP AZEITAO RED 750ML </v>
      </c>
      <c r="E116" s="3" t="str">
        <f>IF(ISNA($D116),VLOOKUP($A116,[2]stockregister!$A$2:$B$2000,2,FALSE),"")</f>
        <v/>
      </c>
      <c r="F116" s="3" t="s">
        <v>21</v>
      </c>
      <c r="G116" s="3">
        <f>_xlfn.IFNA(VLOOKUP($A116,[3]stockregister!$A$2:$L$2000,11,0),0)</f>
        <v>453</v>
      </c>
      <c r="H116" s="3">
        <f>_xlfn.IFNA(VLOOKUP($A116,[3]stockregister!$A$2:$L$2000,11,0),0)-$G116</f>
        <v>0</v>
      </c>
      <c r="I116" s="3">
        <f>_xlfn.IFNA(VLOOKUP($A116,[3]stockregister!$A$2:$L$2000,12,0),0)</f>
        <v>1748</v>
      </c>
      <c r="J116" s="3">
        <f>_xlfn.IFNA(VLOOKUP($A116,[3]stockregister!$A$1:$M$2000,12,0),0)-$I116</f>
        <v>0</v>
      </c>
      <c r="K116" s="3" t="s">
        <v>22</v>
      </c>
      <c r="L116" s="3" t="s">
        <v>23</v>
      </c>
      <c r="M116" s="3">
        <f>_xlfn.IFNA(VLOOKUP($A116,[2]stockregister!$A$2:$H$2000,8,0),0)</f>
        <v>1900</v>
      </c>
      <c r="N116" s="3">
        <f>_xlfn.IFNA(VLOOKUP($A116,[2]stockregister!$A$2:$H$2000,8,0),0)-$M116</f>
        <v>0</v>
      </c>
      <c r="O116" s="3" t="s">
        <v>384</v>
      </c>
      <c r="P116" s="3" t="s">
        <v>384</v>
      </c>
      <c r="Q116" s="3" t="s">
        <v>201</v>
      </c>
      <c r="R116" s="3" t="s">
        <v>156</v>
      </c>
      <c r="S116" s="3" t="s">
        <v>385</v>
      </c>
    </row>
    <row r="117" spans="1:19">
      <c r="A117" s="3">
        <v>2856</v>
      </c>
      <c r="B117" s="3" t="b">
        <f>ISNUMBER(MATCH(A117,[1]stockregister!$A$2:$A$2000,0))</f>
        <v>1</v>
      </c>
      <c r="C117" s="3" t="s">
        <v>386</v>
      </c>
      <c r="D117" s="3" t="str">
        <f>VLOOKUP($C117,[1]stockregister!$B$2:$B$2000,1,0)</f>
        <v>JP AZEITAO WHITE 750ML </v>
      </c>
      <c r="E117" s="3" t="str">
        <f>IF(ISNA($D117),VLOOKUP($A117,[2]stockregister!$A$2:$B$2000,2,FALSE),"")</f>
        <v/>
      </c>
      <c r="F117" s="3" t="s">
        <v>21</v>
      </c>
      <c r="G117" s="3">
        <f>_xlfn.IFNA(VLOOKUP($A117,[3]stockregister!$A$2:$L$2000,11,0),0)</f>
        <v>396</v>
      </c>
      <c r="H117" s="3">
        <f>_xlfn.IFNA(VLOOKUP($A117,[3]stockregister!$A$2:$L$2000,11,0),0)-$G117</f>
        <v>0</v>
      </c>
      <c r="I117" s="3">
        <f>_xlfn.IFNA(VLOOKUP($A117,[3]stockregister!$A$2:$L$2000,12,0),0)</f>
        <v>72.56</v>
      </c>
      <c r="J117" s="3">
        <f>_xlfn.IFNA(VLOOKUP($A117,[3]stockregister!$A$1:$M$2000,12,0),0)-$I117</f>
        <v>0</v>
      </c>
      <c r="K117" s="3" t="s">
        <v>22</v>
      </c>
      <c r="L117" s="3" t="s">
        <v>23</v>
      </c>
      <c r="M117" s="3">
        <f>_xlfn.IFNA(VLOOKUP($A117,[2]stockregister!$A$2:$H$2000,8,0),0)</f>
        <v>100</v>
      </c>
      <c r="N117" s="3">
        <f>_xlfn.IFNA(VLOOKUP($A117,[2]stockregister!$A$2:$H$2000,8,0),0)-$M117</f>
        <v>0</v>
      </c>
      <c r="O117" s="3">
        <v>0</v>
      </c>
      <c r="P117" s="3">
        <v>0</v>
      </c>
      <c r="Q117" s="3" t="s">
        <v>239</v>
      </c>
      <c r="R117" s="3" t="s">
        <v>26</v>
      </c>
      <c r="S117" s="3" t="s">
        <v>240</v>
      </c>
    </row>
    <row r="118" spans="1:18">
      <c r="A118" s="3">
        <v>1663</v>
      </c>
      <c r="B118" s="3" t="b">
        <f>ISNUMBER(MATCH(A118,[1]stockregister!$A$2:$A$2000,0))</f>
        <v>1</v>
      </c>
      <c r="C118" s="3" t="s">
        <v>387</v>
      </c>
      <c r="D118" s="3" t="str">
        <f>VLOOKUP($C118,[1]stockregister!$B$2:$B$2000,1,0)</f>
        <v>BOWMORE 12YRS WHISKY 700ML </v>
      </c>
      <c r="E118" s="3" t="str">
        <f>IF(ISNA($D118),VLOOKUP($A118,[2]stockregister!$A$2:$B$2000,2,FALSE),"")</f>
        <v/>
      </c>
      <c r="F118" s="3" t="s">
        <v>21</v>
      </c>
      <c r="G118" s="3">
        <f>_xlfn.IFNA(VLOOKUP($A118,[3]stockregister!$A$2:$L$2000,11,0),0)</f>
        <v>440</v>
      </c>
      <c r="H118" s="3">
        <f>_xlfn.IFNA(VLOOKUP($A118,[3]stockregister!$A$2:$L$2000,11,0),0)-$G118</f>
        <v>0</v>
      </c>
      <c r="I118" s="3">
        <f>_xlfn.IFNA(VLOOKUP($A118,[3]stockregister!$A$2:$L$2000,12,0),0)</f>
        <v>410.8</v>
      </c>
      <c r="J118" s="3">
        <f>_xlfn.IFNA(VLOOKUP($A118,[3]stockregister!$A$1:$M$2000,12,0),0)-$I118</f>
        <v>0</v>
      </c>
      <c r="K118" s="3" t="s">
        <v>22</v>
      </c>
      <c r="L118" s="3" t="s">
        <v>23</v>
      </c>
      <c r="M118" s="3">
        <f>_xlfn.IFNA(VLOOKUP($A118,[2]stockregister!$A$2:$H$2000,8,0),0)</f>
        <v>416</v>
      </c>
      <c r="N118" s="3">
        <f>_xlfn.IFNA(VLOOKUP($A118,[2]stockregister!$A$2:$H$2000,8,0),0)-$M118</f>
        <v>0</v>
      </c>
      <c r="O118" s="3" t="s">
        <v>388</v>
      </c>
      <c r="P118" s="3" t="s">
        <v>388</v>
      </c>
      <c r="Q118" s="3" t="s">
        <v>389</v>
      </c>
      <c r="R118" s="3" t="s">
        <v>109</v>
      </c>
    </row>
    <row r="119" spans="1:19">
      <c r="A119" s="3">
        <v>472</v>
      </c>
      <c r="B119" s="3" t="b">
        <f>ISNUMBER(MATCH(A119,[1]stockregister!$A$2:$A$2000,0))</f>
        <v>1</v>
      </c>
      <c r="C119" s="3" t="s">
        <v>390</v>
      </c>
      <c r="D119" s="3" t="str">
        <f>VLOOKUP($C119,[1]stockregister!$B$2:$B$2000,1,0)</f>
        <v>BACARDI SUPERIOR  350ML</v>
      </c>
      <c r="E119" s="3" t="str">
        <f>IF(ISNA($D119),VLOOKUP($A119,[2]stockregister!$A$2:$B$2000,2,FALSE),"")</f>
        <v/>
      </c>
      <c r="F119" s="3" t="s">
        <v>21</v>
      </c>
      <c r="G119" s="3">
        <f>_xlfn.IFNA(VLOOKUP($A119,[3]stockregister!$A$2:$L$2000,11,0),0)</f>
        <v>440</v>
      </c>
      <c r="H119" s="3">
        <f>_xlfn.IFNA(VLOOKUP($A119,[3]stockregister!$A$2:$L$2000,11,0),0)-$G119</f>
        <v>0</v>
      </c>
      <c r="I119" s="3">
        <f>_xlfn.IFNA(VLOOKUP($A119,[3]stockregister!$A$2:$L$2000,12,0),0)</f>
        <v>192.28</v>
      </c>
      <c r="J119" s="3">
        <f>_xlfn.IFNA(VLOOKUP($A119,[3]stockregister!$A$1:$M$2000,12,0),0)-$I119</f>
        <v>0</v>
      </c>
      <c r="K119" s="3" t="s">
        <v>22</v>
      </c>
      <c r="L119" s="3" t="s">
        <v>23</v>
      </c>
      <c r="M119" s="3">
        <f>_xlfn.IFNA(VLOOKUP($A119,[2]stockregister!$A$2:$H$2000,8,0),0)</f>
        <v>210</v>
      </c>
      <c r="N119" s="3">
        <f>_xlfn.IFNA(VLOOKUP($A119,[2]stockregister!$A$2:$H$2000,8,0),0)-$M119</f>
        <v>0</v>
      </c>
      <c r="O119" s="3" t="s">
        <v>391</v>
      </c>
      <c r="P119" s="3" t="s">
        <v>391</v>
      </c>
      <c r="Q119" s="3" t="s">
        <v>392</v>
      </c>
      <c r="R119" s="3" t="s">
        <v>78</v>
      </c>
      <c r="S119" s="3" t="s">
        <v>393</v>
      </c>
    </row>
    <row r="120" spans="1:19">
      <c r="A120" s="3">
        <v>2845</v>
      </c>
      <c r="B120" s="3" t="b">
        <f>ISNUMBER(MATCH(A120,[1]stockregister!$A$2:$A$2000,0))</f>
        <v>1</v>
      </c>
      <c r="C120" s="3" t="s">
        <v>394</v>
      </c>
      <c r="D120" s="3" t="str">
        <f>VLOOKUP($C120,[1]stockregister!$B$2:$B$2000,1,0)</f>
        <v>WOOSH 9000 PUFFS COLA LIME</v>
      </c>
      <c r="E120" s="3" t="str">
        <f>IF(ISNA($D120),VLOOKUP($A120,[2]stockregister!$A$2:$B$2000,2,FALSE),"")</f>
        <v/>
      </c>
      <c r="F120" s="3" t="s">
        <v>21</v>
      </c>
      <c r="G120" s="3">
        <f>_xlfn.IFNA(VLOOKUP($A120,[3]stockregister!$A$2:$L$2000,11,0),0)</f>
        <v>264</v>
      </c>
      <c r="H120" s="3">
        <f>_xlfn.IFNA(VLOOKUP($A120,[3]stockregister!$A$2:$L$2000,11,0),0)-$G120</f>
        <v>0</v>
      </c>
      <c r="I120" s="3">
        <f>_xlfn.IFNA(VLOOKUP($A120,[3]stockregister!$A$2:$L$2000,12,0),0)</f>
        <v>175.95</v>
      </c>
      <c r="J120" s="3">
        <f>_xlfn.IFNA(VLOOKUP($A120,[3]stockregister!$A$1:$M$2000,12,0),0)-$I120</f>
        <v>0</v>
      </c>
      <c r="K120" s="3" t="s">
        <v>22</v>
      </c>
      <c r="L120" s="3" t="s">
        <v>23</v>
      </c>
      <c r="M120" s="3">
        <f>_xlfn.IFNA(VLOOKUP($A120,[2]stockregister!$A$2:$H$2000,8,0),0)</f>
        <v>180</v>
      </c>
      <c r="N120" s="3">
        <f>_xlfn.IFNA(VLOOKUP($A120,[2]stockregister!$A$2:$H$2000,8,0),0)-$M120</f>
        <v>0</v>
      </c>
      <c r="O120" s="3" t="s">
        <v>395</v>
      </c>
      <c r="P120" s="3" t="s">
        <v>395</v>
      </c>
      <c r="Q120" s="3" t="s">
        <v>189</v>
      </c>
      <c r="R120" s="3" t="s">
        <v>216</v>
      </c>
      <c r="S120" s="3" t="s">
        <v>130</v>
      </c>
    </row>
    <row r="121" spans="1:19">
      <c r="A121" s="3">
        <v>1521</v>
      </c>
      <c r="B121" s="3" t="b">
        <f>ISNUMBER(MATCH(A121,[1]stockregister!$A$2:$A$2000,0))</f>
        <v>1</v>
      </c>
      <c r="C121" s="3" t="s">
        <v>396</v>
      </c>
      <c r="D121" s="3" t="str">
        <f>VLOOKUP($C121,[1]stockregister!$B$2:$B$2000,1,0)</f>
        <v>MARTINI  BIANCO 1LTR</v>
      </c>
      <c r="E121" s="3" t="str">
        <f>IF(ISNA($D121),VLOOKUP($A121,[2]stockregister!$A$2:$B$2000,2,FALSE),"")</f>
        <v/>
      </c>
      <c r="F121" s="3" t="s">
        <v>21</v>
      </c>
      <c r="G121" s="3">
        <f>_xlfn.IFNA(VLOOKUP($A121,[3]stockregister!$A$2:$L$2000,11,0),0)</f>
        <v>420</v>
      </c>
      <c r="H121" s="3">
        <f>_xlfn.IFNA(VLOOKUP($A121,[3]stockregister!$A$2:$L$2000,11,0),0)-$G121</f>
        <v>0</v>
      </c>
      <c r="I121" s="3">
        <f>_xlfn.IFNA(VLOOKUP($A121,[3]stockregister!$A$2:$L$2000,12,0),0)</f>
        <v>1334</v>
      </c>
      <c r="J121" s="3">
        <f>_xlfn.IFNA(VLOOKUP($A121,[3]stockregister!$A$1:$M$2000,12,0),0)-$I121</f>
        <v>0</v>
      </c>
      <c r="K121" s="3" t="s">
        <v>22</v>
      </c>
      <c r="L121" s="3" t="s">
        <v>23</v>
      </c>
      <c r="M121" s="3">
        <f>_xlfn.IFNA(VLOOKUP($A121,[2]stockregister!$A$2:$H$2000,8,0),0)</f>
        <v>1450</v>
      </c>
      <c r="N121" s="3">
        <f>_xlfn.IFNA(VLOOKUP($A121,[2]stockregister!$A$2:$H$2000,8,0),0)-$M121</f>
        <v>0</v>
      </c>
      <c r="O121" s="3" t="s">
        <v>397</v>
      </c>
      <c r="P121" s="3" t="s">
        <v>397</v>
      </c>
      <c r="Q121" s="3" t="s">
        <v>368</v>
      </c>
      <c r="R121" s="3" t="s">
        <v>68</v>
      </c>
      <c r="S121" s="3" t="s">
        <v>398</v>
      </c>
    </row>
    <row r="122" spans="1:19">
      <c r="A122" s="3">
        <v>1398</v>
      </c>
      <c r="B122" s="3" t="b">
        <f>ISNUMBER(MATCH(A122,[1]stockregister!$A$2:$A$2000,0))</f>
        <v>1</v>
      </c>
      <c r="C122" s="3" t="s">
        <v>399</v>
      </c>
      <c r="D122" s="3" t="str">
        <f>VLOOKUP($C122,[1]stockregister!$B$2:$B$2000,1,0)</f>
        <v>JACK DANIELS SINATRA  1LTR</v>
      </c>
      <c r="E122" s="3" t="str">
        <f>IF(ISNA($D122),VLOOKUP($A122,[2]stockregister!$A$2:$B$2000,2,FALSE),"")</f>
        <v/>
      </c>
      <c r="F122" s="3" t="s">
        <v>21</v>
      </c>
      <c r="G122" s="3">
        <f>_xlfn.IFNA(VLOOKUP($A122,[3]stockregister!$A$2:$L$2000,11,0),0)</f>
        <v>383</v>
      </c>
      <c r="H122" s="3">
        <f>_xlfn.IFNA(VLOOKUP($A122,[3]stockregister!$A$2:$L$2000,11,0),0)-$G122</f>
        <v>0</v>
      </c>
      <c r="I122" s="3">
        <f>_xlfn.IFNA(VLOOKUP($A122,[3]stockregister!$A$2:$L$2000,12,0),0)</f>
        <v>21850</v>
      </c>
      <c r="J122" s="3">
        <f>_xlfn.IFNA(VLOOKUP($A122,[3]stockregister!$A$1:$M$2000,12,0),0)-$I122</f>
        <v>0</v>
      </c>
      <c r="K122" s="3" t="s">
        <v>22</v>
      </c>
      <c r="L122" s="3" t="s">
        <v>23</v>
      </c>
      <c r="M122" s="3">
        <f>_xlfn.IFNA(VLOOKUP($A122,[2]stockregister!$A$2:$H$2000,8,0),0)</f>
        <v>26300</v>
      </c>
      <c r="N122" s="3">
        <f>_xlfn.IFNA(VLOOKUP($A122,[2]stockregister!$A$2:$H$2000,8,0),0)-$M122</f>
        <v>0</v>
      </c>
      <c r="O122" s="3" t="s">
        <v>400</v>
      </c>
      <c r="P122" s="3" t="s">
        <v>400</v>
      </c>
      <c r="Q122" s="3" t="s">
        <v>101</v>
      </c>
      <c r="R122" s="3" t="s">
        <v>102</v>
      </c>
      <c r="S122" s="3" t="s">
        <v>401</v>
      </c>
    </row>
    <row r="123" spans="1:19">
      <c r="A123" s="3">
        <v>425</v>
      </c>
      <c r="B123" s="3" t="b">
        <f>ISNUMBER(MATCH(A123,[1]stockregister!$A$2:$A$2000,0))</f>
        <v>1</v>
      </c>
      <c r="C123" s="3" t="s">
        <v>402</v>
      </c>
      <c r="D123" s="3" t="str">
        <f>VLOOKUP($C123,[1]stockregister!$B$2:$B$2000,1,0)</f>
        <v>SIX  DOGS KAROO 750ML</v>
      </c>
      <c r="E123" s="3" t="str">
        <f>IF(ISNA($D123),VLOOKUP($A123,[2]stockregister!$A$2:$B$2000,2,FALSE),"")</f>
        <v/>
      </c>
      <c r="F123" s="3" t="s">
        <v>21</v>
      </c>
      <c r="G123" s="3">
        <f>_xlfn.IFNA(VLOOKUP($A123,[3]stockregister!$A$2:$L$2000,11,0),0)</f>
        <v>395</v>
      </c>
      <c r="H123" s="3">
        <f>_xlfn.IFNA(VLOOKUP($A123,[3]stockregister!$A$2:$L$2000,11,0),0)-$G123</f>
        <v>0</v>
      </c>
      <c r="I123" s="3">
        <f>_xlfn.IFNA(VLOOKUP($A123,[3]stockregister!$A$2:$L$2000,12,0),0)</f>
        <v>3300</v>
      </c>
      <c r="J123" s="3">
        <f>_xlfn.IFNA(VLOOKUP($A123,[3]stockregister!$A$1:$M$2000,12,0),0)-$I123</f>
        <v>0</v>
      </c>
      <c r="K123" s="3" t="s">
        <v>22</v>
      </c>
      <c r="L123" s="3" t="s">
        <v>23</v>
      </c>
      <c r="M123" s="3">
        <f>_xlfn.IFNA(VLOOKUP($A123,[2]stockregister!$A$2:$H$2000,8,0),0)</f>
        <v>3800</v>
      </c>
      <c r="N123" s="3">
        <f>_xlfn.IFNA(VLOOKUP($A123,[2]stockregister!$A$2:$H$2000,8,0),0)-$M123</f>
        <v>0</v>
      </c>
      <c r="O123" s="3" t="s">
        <v>403</v>
      </c>
      <c r="P123" s="3" t="s">
        <v>403</v>
      </c>
      <c r="Q123" s="3" t="s">
        <v>117</v>
      </c>
      <c r="R123" s="3" t="s">
        <v>68</v>
      </c>
      <c r="S123" s="3" t="s">
        <v>69</v>
      </c>
    </row>
    <row r="124" spans="1:18">
      <c r="A124" s="3">
        <v>357</v>
      </c>
      <c r="B124" s="3" t="b">
        <f>ISNUMBER(MATCH(A124,[1]stockregister!$A$2:$A$2000,0))</f>
        <v>1</v>
      </c>
      <c r="C124" s="3" t="s">
        <v>404</v>
      </c>
      <c r="D124" s="3" t="str">
        <f>VLOOKUP($C124,[1]stockregister!$B$2:$B$2000,1,0)</f>
        <v>AUCHENTOSHAN AMERICAN  OAK 700ML</v>
      </c>
      <c r="E124" s="3" t="str">
        <f>IF(ISNA($D124),VLOOKUP($A124,[2]stockregister!$A$2:$B$2000,2,FALSE),"")</f>
        <v/>
      </c>
      <c r="F124" s="3" t="s">
        <v>21</v>
      </c>
      <c r="G124" s="3">
        <f>_xlfn.IFNA(VLOOKUP($A124,[3]stockregister!$A$2:$L$2000,11,0),0)</f>
        <v>391</v>
      </c>
      <c r="H124" s="3">
        <f>_xlfn.IFNA(VLOOKUP($A124,[3]stockregister!$A$2:$L$2000,11,0),0)-$G124</f>
        <v>0</v>
      </c>
      <c r="I124" s="3">
        <f>_xlfn.IFNA(VLOOKUP($A124,[3]stockregister!$A$2:$L$2000,12,0),0)</f>
        <v>1630</v>
      </c>
      <c r="J124" s="3">
        <f>_xlfn.IFNA(VLOOKUP($A124,[3]stockregister!$A$1:$M$2000,12,0),0)-$I124</f>
        <v>0</v>
      </c>
      <c r="K124" s="3" t="s">
        <v>22</v>
      </c>
      <c r="L124" s="3" t="s">
        <v>23</v>
      </c>
      <c r="M124" s="3">
        <f>_xlfn.IFNA(VLOOKUP($A124,[2]stockregister!$A$2:$H$2000,8,0),0)</f>
        <v>2500</v>
      </c>
      <c r="N124" s="3">
        <f>_xlfn.IFNA(VLOOKUP($A124,[2]stockregister!$A$2:$H$2000,8,0),0)-$M124</f>
        <v>0</v>
      </c>
      <c r="O124" s="3" t="s">
        <v>405</v>
      </c>
      <c r="P124" s="3" t="s">
        <v>405</v>
      </c>
      <c r="Q124" s="3" t="s">
        <v>406</v>
      </c>
      <c r="R124" s="3" t="s">
        <v>373</v>
      </c>
    </row>
    <row r="125" spans="1:19">
      <c r="A125" s="3">
        <v>1029</v>
      </c>
      <c r="B125" s="3" t="b">
        <f>ISNUMBER(MATCH(A125,[1]stockregister!$A$2:$A$2000,0))</f>
        <v>1</v>
      </c>
      <c r="C125" s="3" t="s">
        <v>407</v>
      </c>
      <c r="D125" s="3" t="str">
        <f>VLOOKUP($C125,[1]stockregister!$B$2:$B$2000,1,0)</f>
        <v>TALISKER  PORT RUIGHE WHISKY 700ML</v>
      </c>
      <c r="E125" s="3" t="str">
        <f>IF(ISNA($D125),VLOOKUP($A125,[2]stockregister!$A$2:$B$2000,2,FALSE),"")</f>
        <v/>
      </c>
      <c r="F125" s="3" t="s">
        <v>21</v>
      </c>
      <c r="G125" s="3">
        <f>_xlfn.IFNA(VLOOKUP($A125,[3]stockregister!$A$2:$L$2000,11,0),0)</f>
        <v>368</v>
      </c>
      <c r="H125" s="3">
        <f>_xlfn.IFNA(VLOOKUP($A125,[3]stockregister!$A$2:$L$2000,11,0),0)-$G125</f>
        <v>0</v>
      </c>
      <c r="I125" s="3">
        <f>_xlfn.IFNA(VLOOKUP($A125,[3]stockregister!$A$2:$L$2000,12,0),0)</f>
        <v>2680</v>
      </c>
      <c r="J125" s="3">
        <f>_xlfn.IFNA(VLOOKUP($A125,[3]stockregister!$A$1:$M$2000,12,0),0)-$I125</f>
        <v>0</v>
      </c>
      <c r="K125" s="3" t="s">
        <v>22</v>
      </c>
      <c r="L125" s="3" t="s">
        <v>23</v>
      </c>
      <c r="M125" s="3">
        <f>_xlfn.IFNA(VLOOKUP($A125,[2]stockregister!$A$2:$H$2000,8,0),0)</f>
        <v>3500</v>
      </c>
      <c r="N125" s="3">
        <f>_xlfn.IFNA(VLOOKUP($A125,[2]stockregister!$A$2:$H$2000,8,0),0)-$M125</f>
        <v>0</v>
      </c>
      <c r="O125" s="3" t="s">
        <v>408</v>
      </c>
      <c r="P125" s="3" t="s">
        <v>408</v>
      </c>
      <c r="Q125" s="3" t="s">
        <v>236</v>
      </c>
      <c r="R125" s="3" t="s">
        <v>92</v>
      </c>
      <c r="S125" s="3" t="s">
        <v>237</v>
      </c>
    </row>
    <row r="126" spans="1:19">
      <c r="A126" s="3">
        <v>2434</v>
      </c>
      <c r="B126" s="3" t="b">
        <f>ISNUMBER(MATCH(A126,[1]stockregister!$A$2:$A$2000,0))</f>
        <v>1</v>
      </c>
      <c r="C126" s="3" t="s">
        <v>409</v>
      </c>
      <c r="D126" s="3" t="str">
        <f>VLOOKUP($C126,[1]stockregister!$B$2:$B$2000,1,0)</f>
        <v>HAUTE CABRIERE CHARDONNAY  PINOT 750ML750ML</v>
      </c>
      <c r="E126" s="3" t="str">
        <f>IF(ISNA($D126),VLOOKUP($A126,[2]stockregister!$A$2:$B$2000,2,FALSE),"")</f>
        <v/>
      </c>
      <c r="F126" s="3" t="s">
        <v>21</v>
      </c>
      <c r="G126" s="3">
        <f>_xlfn.IFNA(VLOOKUP($A126,[3]stockregister!$A$2:$L$2000,11,0),0)</f>
        <v>840</v>
      </c>
      <c r="H126" s="3">
        <f>_xlfn.IFNA(VLOOKUP($A126,[3]stockregister!$A$2:$L$2000,11,0),0)-$G126</f>
        <v>0</v>
      </c>
      <c r="I126" s="3">
        <f>_xlfn.IFNA(VLOOKUP($A126,[3]stockregister!$A$2:$L$2000,12,0),0)</f>
        <v>236.99</v>
      </c>
      <c r="J126" s="3">
        <f>_xlfn.IFNA(VLOOKUP($A126,[3]stockregister!$A$1:$M$2000,12,0),0)-$I126</f>
        <v>0</v>
      </c>
      <c r="K126" s="3" t="s">
        <v>22</v>
      </c>
      <c r="L126" s="3" t="s">
        <v>23</v>
      </c>
      <c r="M126" s="3">
        <f>_xlfn.IFNA(VLOOKUP($A126,[2]stockregister!$A$2:$H$2000,8,0),0)</f>
        <v>245</v>
      </c>
      <c r="N126" s="3">
        <f>_xlfn.IFNA(VLOOKUP($A126,[2]stockregister!$A$2:$H$2000,8,0),0)-$M126</f>
        <v>0</v>
      </c>
      <c r="O126" s="3" t="s">
        <v>410</v>
      </c>
      <c r="P126" s="3" t="s">
        <v>410</v>
      </c>
      <c r="Q126" s="3" t="s">
        <v>184</v>
      </c>
      <c r="R126" s="3" t="s">
        <v>97</v>
      </c>
      <c r="S126" s="3" t="s">
        <v>93</v>
      </c>
    </row>
    <row r="127" spans="1:18">
      <c r="A127" s="3">
        <v>1664</v>
      </c>
      <c r="B127" s="3" t="b">
        <f>ISNUMBER(MATCH(A127,[1]stockregister!$A$2:$A$2000,0))</f>
        <v>1</v>
      </c>
      <c r="C127" s="3" t="s">
        <v>411</v>
      </c>
      <c r="D127" s="3" t="str">
        <f>VLOOKUP($C127,[1]stockregister!$B$2:$B$2000,1,0)</f>
        <v>WAVE DANCER SWT WHITE  700ML</v>
      </c>
      <c r="E127" s="3" t="str">
        <f>IF(ISNA($D127),VLOOKUP($A127,[2]stockregister!$A$2:$B$2000,2,FALSE),"")</f>
        <v/>
      </c>
      <c r="F127" s="3" t="s">
        <v>21</v>
      </c>
      <c r="G127" s="3">
        <f>_xlfn.IFNA(VLOOKUP($A127,[3]stockregister!$A$2:$L$2000,11,0),0)</f>
        <v>312</v>
      </c>
      <c r="H127" s="3">
        <f>_xlfn.IFNA(VLOOKUP($A127,[3]stockregister!$A$2:$L$2000,11,0),0)-$G127</f>
        <v>0</v>
      </c>
      <c r="I127" s="3">
        <f>_xlfn.IFNA(VLOOKUP($A127,[3]stockregister!$A$2:$L$2000,12,0),0)</f>
        <v>570.85</v>
      </c>
      <c r="J127" s="3">
        <f>_xlfn.IFNA(VLOOKUP($A127,[3]stockregister!$A$1:$M$2000,12,0),0)-$I127</f>
        <v>0</v>
      </c>
      <c r="K127" s="3" t="s">
        <v>22</v>
      </c>
      <c r="L127" s="3" t="s">
        <v>23</v>
      </c>
      <c r="M127" s="3">
        <f>_xlfn.IFNA(VLOOKUP($A127,[2]stockregister!$A$2:$H$2000,8,0),0)</f>
        <v>576</v>
      </c>
      <c r="N127" s="3">
        <f>_xlfn.IFNA(VLOOKUP($A127,[2]stockregister!$A$2:$H$2000,8,0),0)-$M127</f>
        <v>0</v>
      </c>
      <c r="O127" s="3" t="s">
        <v>412</v>
      </c>
      <c r="P127" s="3" t="s">
        <v>412</v>
      </c>
      <c r="Q127" s="3" t="s">
        <v>389</v>
      </c>
      <c r="R127" s="3" t="s">
        <v>109</v>
      </c>
    </row>
    <row r="128" spans="1:18">
      <c r="A128" s="3">
        <v>1201</v>
      </c>
      <c r="B128" s="3" t="b">
        <f>ISNUMBER(MATCH(A128,[1]stockregister!$A$2:$A$2000,0))</f>
        <v>1</v>
      </c>
      <c r="C128" s="3" t="s">
        <v>413</v>
      </c>
      <c r="D128" s="3" t="str">
        <f>VLOOKUP($C128,[1]stockregister!$B$2:$B$2000,1,0)</f>
        <v>WHITLEY NEILL LEMON GRASS  GIN 1LTR</v>
      </c>
      <c r="E128" s="3" t="str">
        <f>IF(ISNA($D128),VLOOKUP($A128,[2]stockregister!$A$2:$B$2000,2,FALSE),"")</f>
        <v/>
      </c>
      <c r="F128" s="3" t="s">
        <v>21</v>
      </c>
      <c r="G128" s="3">
        <f>_xlfn.IFNA(VLOOKUP($A128,[3]stockregister!$A$2:$L$2000,11,0),0)</f>
        <v>396</v>
      </c>
      <c r="H128" s="3">
        <f>_xlfn.IFNA(VLOOKUP($A128,[3]stockregister!$A$2:$L$2000,11,0),0)-$G128</f>
        <v>0</v>
      </c>
      <c r="I128" s="3">
        <f>_xlfn.IFNA(VLOOKUP($A128,[3]stockregister!$A$2:$L$2000,12,0),0)</f>
        <v>332.33</v>
      </c>
      <c r="J128" s="3">
        <f>_xlfn.IFNA(VLOOKUP($A128,[3]stockregister!$A$1:$M$2000,12,0),0)-$I128</f>
        <v>0</v>
      </c>
      <c r="K128" s="3" t="s">
        <v>22</v>
      </c>
      <c r="L128" s="3" t="s">
        <v>23</v>
      </c>
      <c r="M128" s="3">
        <f>_xlfn.IFNA(VLOOKUP($A128,[2]stockregister!$A$2:$H$2000,8,0),0)</f>
        <v>332</v>
      </c>
      <c r="N128" s="3">
        <f>_xlfn.IFNA(VLOOKUP($A128,[2]stockregister!$A$2:$H$2000,8,0),0)-$M128</f>
        <v>0</v>
      </c>
      <c r="O128" s="3" t="s">
        <v>414</v>
      </c>
      <c r="P128" s="3" t="s">
        <v>414</v>
      </c>
      <c r="Q128" s="3" t="s">
        <v>415</v>
      </c>
      <c r="R128" s="3" t="s">
        <v>78</v>
      </c>
    </row>
    <row r="129" spans="1:18">
      <c r="A129" s="3">
        <v>2419</v>
      </c>
      <c r="B129" s="3" t="b">
        <f>ISNUMBER(MATCH(A129,[1]stockregister!$A$2:$A$2000,0))</f>
        <v>1</v>
      </c>
      <c r="C129" s="3" t="s">
        <v>416</v>
      </c>
      <c r="D129" s="3" t="str">
        <f>VLOOKUP($C129,[1]stockregister!$B$2:$B$2000,1,0)</f>
        <v>MAISON CASTEL CUVEE ROSEE  750ML</v>
      </c>
      <c r="E129" s="3" t="str">
        <f>IF(ISNA($D129),VLOOKUP($A129,[2]stockregister!$A$2:$B$2000,2,FALSE),"")</f>
        <v/>
      </c>
      <c r="F129" s="3" t="s">
        <v>21</v>
      </c>
      <c r="G129" s="3">
        <f>_xlfn.IFNA(VLOOKUP($A129,[3]stockregister!$A$2:$L$2000,11,0),0)</f>
        <v>720</v>
      </c>
      <c r="H129" s="3">
        <f>_xlfn.IFNA(VLOOKUP($A129,[3]stockregister!$A$2:$L$2000,11,0),0)-$G129</f>
        <v>0</v>
      </c>
      <c r="I129" s="3">
        <f>_xlfn.IFNA(VLOOKUP($A129,[3]stockregister!$A$2:$L$2000,12,0),0)</f>
        <v>205.5</v>
      </c>
      <c r="J129" s="3">
        <f>_xlfn.IFNA(VLOOKUP($A129,[3]stockregister!$A$1:$M$2000,12,0),0)-$I129</f>
        <v>0</v>
      </c>
      <c r="K129" s="3" t="s">
        <v>22</v>
      </c>
      <c r="L129" s="3" t="s">
        <v>23</v>
      </c>
      <c r="M129" s="3">
        <f>_xlfn.IFNA(VLOOKUP($A129,[2]stockregister!$A$2:$H$2000,8,0),0)</f>
        <v>209</v>
      </c>
      <c r="N129" s="3">
        <f>_xlfn.IFNA(VLOOKUP($A129,[2]stockregister!$A$2:$H$2000,8,0),0)-$M129</f>
        <v>0</v>
      </c>
      <c r="O129" s="3" t="s">
        <v>417</v>
      </c>
      <c r="P129" s="3" t="s">
        <v>417</v>
      </c>
      <c r="Q129" s="3" t="s">
        <v>392</v>
      </c>
      <c r="R129" s="3" t="s">
        <v>78</v>
      </c>
    </row>
    <row r="130" spans="1:19">
      <c r="A130" s="3">
        <v>1449</v>
      </c>
      <c r="B130" s="3" t="b">
        <f>ISNUMBER(MATCH(A130,[1]stockregister!$A$2:$A$2000,0))</f>
        <v>1</v>
      </c>
      <c r="C130" s="3" t="s">
        <v>418</v>
      </c>
      <c r="D130" s="3" t="str">
        <f>VLOOKUP($C130,[1]stockregister!$B$2:$B$2000,1,0)</f>
        <v>ANGOVE  MCLAREN VALE SHIRAZ 2016 750ML</v>
      </c>
      <c r="E130" s="3" t="str">
        <f>IF(ISNA($D130),VLOOKUP($A130,[2]stockregister!$A$2:$B$2000,2,FALSE),"")</f>
        <v/>
      </c>
      <c r="F130" s="3" t="s">
        <v>21</v>
      </c>
      <c r="G130" s="3">
        <f>_xlfn.IFNA(VLOOKUP($A130,[3]stockregister!$A$2:$L$2000,11,0),0)</f>
        <v>390</v>
      </c>
      <c r="H130" s="3">
        <f>_xlfn.IFNA(VLOOKUP($A130,[3]stockregister!$A$2:$L$2000,11,0),0)-$G130</f>
        <v>0</v>
      </c>
      <c r="I130" s="3">
        <f>_xlfn.IFNA(VLOOKUP($A130,[3]stockregister!$A$2:$L$2000,12,0),0)</f>
        <v>10078.88</v>
      </c>
      <c r="J130" s="3">
        <f>_xlfn.IFNA(VLOOKUP($A130,[3]stockregister!$A$1:$M$2000,12,0),0)-$I130</f>
        <v>0</v>
      </c>
      <c r="K130" s="3" t="s">
        <v>22</v>
      </c>
      <c r="L130" s="3" t="s">
        <v>23</v>
      </c>
      <c r="M130" s="3">
        <f>_xlfn.IFNA(VLOOKUP($A130,[2]stockregister!$A$2:$H$2000,8,0),0)</f>
        <v>12500</v>
      </c>
      <c r="N130" s="3">
        <f>_xlfn.IFNA(VLOOKUP($A130,[2]stockregister!$A$2:$H$2000,8,0),0)-$M130</f>
        <v>0</v>
      </c>
      <c r="O130" s="3" t="s">
        <v>419</v>
      </c>
      <c r="P130" s="3" t="s">
        <v>419</v>
      </c>
      <c r="Q130" s="3" t="s">
        <v>420</v>
      </c>
      <c r="R130" s="3" t="s">
        <v>68</v>
      </c>
      <c r="S130" s="3" t="s">
        <v>421</v>
      </c>
    </row>
    <row r="131" spans="1:19">
      <c r="A131" s="3">
        <v>1048</v>
      </c>
      <c r="B131" s="3" t="b">
        <f>ISNUMBER(MATCH(A131,[1]stockregister!$A$2:$A$2000,0))</f>
        <v>1</v>
      </c>
      <c r="C131" s="3" t="s">
        <v>422</v>
      </c>
      <c r="D131" s="3" t="str">
        <f>VLOOKUP($C131,[1]stockregister!$B$2:$B$2000,1,0)</f>
        <v>WOOSH PEN 1800 PUFFS COLA LIME </v>
      </c>
      <c r="E131" s="3" t="str">
        <f>IF(ISNA($D131),VLOOKUP($A131,[2]stockregister!$A$2:$B$2000,2,FALSE),"")</f>
        <v/>
      </c>
      <c r="F131" s="3" t="s">
        <v>21</v>
      </c>
      <c r="G131" s="3">
        <f>_xlfn.IFNA(VLOOKUP($A131,[3]stockregister!$A$2:$L$2000,11,0),0)</f>
        <v>386</v>
      </c>
      <c r="H131" s="3">
        <f>_xlfn.IFNA(VLOOKUP($A131,[3]stockregister!$A$2:$L$2000,11,0),0)-$G131</f>
        <v>0</v>
      </c>
      <c r="I131" s="3">
        <f>_xlfn.IFNA(VLOOKUP($A131,[3]stockregister!$A$2:$L$2000,12,0),0)</f>
        <v>2024</v>
      </c>
      <c r="J131" s="3">
        <f>_xlfn.IFNA(VLOOKUP($A131,[3]stockregister!$A$1:$M$2000,12,0),0)-$I131</f>
        <v>0</v>
      </c>
      <c r="K131" s="3" t="s">
        <v>22</v>
      </c>
      <c r="L131" s="3" t="s">
        <v>23</v>
      </c>
      <c r="M131" s="3">
        <f>_xlfn.IFNA(VLOOKUP($A131,[2]stockregister!$A$2:$H$2000,8,0),0)</f>
        <v>2200</v>
      </c>
      <c r="N131" s="3">
        <f>_xlfn.IFNA(VLOOKUP($A131,[2]stockregister!$A$2:$H$2000,8,0),0)-$M131</f>
        <v>0</v>
      </c>
      <c r="O131" s="3" t="s">
        <v>423</v>
      </c>
      <c r="P131" s="3" t="s">
        <v>423</v>
      </c>
      <c r="Q131" s="3" t="s">
        <v>151</v>
      </c>
      <c r="R131" s="3" t="s">
        <v>126</v>
      </c>
      <c r="S131" s="3" t="s">
        <v>152</v>
      </c>
    </row>
    <row r="132" spans="1:19">
      <c r="A132" s="3">
        <v>1652</v>
      </c>
      <c r="B132" s="3" t="b">
        <f>ISNUMBER(MATCH(A132,[1]stockregister!$A$2:$A$2000,0))</f>
        <v>1</v>
      </c>
      <c r="C132" s="3" t="s">
        <v>424</v>
      </c>
      <c r="D132" s="3" t="str">
        <f>VLOOKUP($C132,[1]stockregister!$B$2:$B$2000,1,0)</f>
        <v>WOOSH 9000 PUFFS WATERMELON ICE </v>
      </c>
      <c r="E132" s="3" t="str">
        <f>IF(ISNA($D132),VLOOKUP($A132,[2]stockregister!$A$2:$B$2000,2,FALSE),"")</f>
        <v/>
      </c>
      <c r="F132" s="3" t="s">
        <v>21</v>
      </c>
      <c r="G132" s="3">
        <f>_xlfn.IFNA(VLOOKUP($A132,[3]stockregister!$A$2:$L$2000,11,0),0)</f>
        <v>373</v>
      </c>
      <c r="H132" s="3">
        <f>_xlfn.IFNA(VLOOKUP($A132,[3]stockregister!$A$2:$L$2000,11,0),0)-$G132</f>
        <v>0</v>
      </c>
      <c r="I132" s="3">
        <f>_xlfn.IFNA(VLOOKUP($A132,[3]stockregister!$A$2:$L$2000,12,0),0)</f>
        <v>7000</v>
      </c>
      <c r="J132" s="3">
        <f>_xlfn.IFNA(VLOOKUP($A132,[3]stockregister!$A$1:$M$2000,12,0),0)-$I132</f>
        <v>0</v>
      </c>
      <c r="K132" s="3" t="s">
        <v>22</v>
      </c>
      <c r="L132" s="3" t="s">
        <v>23</v>
      </c>
      <c r="M132" s="3">
        <f>_xlfn.IFNA(VLOOKUP($A132,[2]stockregister!$A$2:$H$2000,8,0),0)</f>
        <v>8000</v>
      </c>
      <c r="N132" s="3">
        <f>_xlfn.IFNA(VLOOKUP($A132,[2]stockregister!$A$2:$H$2000,8,0),0)-$M132</f>
        <v>0</v>
      </c>
      <c r="O132" s="3" t="s">
        <v>425</v>
      </c>
      <c r="P132" s="3" t="s">
        <v>425</v>
      </c>
      <c r="Q132" s="3" t="s">
        <v>426</v>
      </c>
      <c r="R132" s="3" t="s">
        <v>102</v>
      </c>
      <c r="S132" s="3" t="s">
        <v>36</v>
      </c>
    </row>
    <row r="133" spans="1:18">
      <c r="A133" s="3">
        <v>2421</v>
      </c>
      <c r="B133" s="3" t="b">
        <f>ISNUMBER(MATCH(A133,[1]stockregister!$A$2:$A$2000,0))</f>
        <v>1</v>
      </c>
      <c r="C133" s="3" t="s">
        <v>427</v>
      </c>
      <c r="D133" s="3" t="str">
        <f>VLOOKUP($C133,[1]stockregister!$B$2:$B$2000,1,0)</f>
        <v>FRONTERA CAB SAUV  750ML</v>
      </c>
      <c r="E133" s="3" t="str">
        <f>IF(ISNA($D133),VLOOKUP($A133,[2]stockregister!$A$2:$B$2000,2,FALSE),"")</f>
        <v/>
      </c>
      <c r="F133" s="3" t="s">
        <v>21</v>
      </c>
      <c r="G133" s="3">
        <f>_xlfn.IFNA(VLOOKUP($A133,[3]stockregister!$A$2:$L$2000,11,0),0)</f>
        <v>1000</v>
      </c>
      <c r="H133" s="3">
        <f>_xlfn.IFNA(VLOOKUP($A133,[3]stockregister!$A$2:$L$2000,11,0),0)-$G133</f>
        <v>0</v>
      </c>
      <c r="I133" s="3">
        <f>_xlfn.IFNA(VLOOKUP($A133,[3]stockregister!$A$2:$L$2000,12,0),0)</f>
        <v>205.5</v>
      </c>
      <c r="J133" s="3">
        <f>_xlfn.IFNA(VLOOKUP($A133,[3]stockregister!$A$1:$M$2000,12,0),0)-$I133</f>
        <v>0</v>
      </c>
      <c r="K133" s="3" t="s">
        <v>22</v>
      </c>
      <c r="L133" s="3" t="s">
        <v>23</v>
      </c>
      <c r="M133" s="3">
        <f>_xlfn.IFNA(VLOOKUP($A133,[2]stockregister!$A$2:$H$2000,8,0),0)</f>
        <v>210</v>
      </c>
      <c r="N133" s="3">
        <f>_xlfn.IFNA(VLOOKUP($A133,[2]stockregister!$A$2:$H$2000,8,0),0)-$M133</f>
        <v>0</v>
      </c>
      <c r="O133" s="3" t="s">
        <v>428</v>
      </c>
      <c r="P133" s="3" t="s">
        <v>428</v>
      </c>
      <c r="Q133" s="3" t="s">
        <v>392</v>
      </c>
      <c r="R133" s="3" t="s">
        <v>318</v>
      </c>
    </row>
    <row r="134" spans="1:19">
      <c r="A134" s="3">
        <v>2426</v>
      </c>
      <c r="B134" s="3" t="b">
        <f>ISNUMBER(MATCH(A134,[1]stockregister!$A$2:$A$2000,0))</f>
        <v>1</v>
      </c>
      <c r="C134" s="3" t="s">
        <v>429</v>
      </c>
      <c r="D134" s="3" t="str">
        <f>VLOOKUP($C134,[1]stockregister!$B$2:$B$2000,1,0)</f>
        <v>WOOSH 9000 PUFFS SUN KISSED GRAPE</v>
      </c>
      <c r="E134" s="3" t="str">
        <f>IF(ISNA($D134),VLOOKUP($A134,[2]stockregister!$A$2:$B$2000,2,FALSE),"")</f>
        <v/>
      </c>
      <c r="F134" s="3" t="s">
        <v>21</v>
      </c>
      <c r="G134" s="3">
        <f>_xlfn.IFNA(VLOOKUP($A134,[3]stockregister!$A$2:$L$2000,11,0),0)</f>
        <v>216</v>
      </c>
      <c r="H134" s="3">
        <f>_xlfn.IFNA(VLOOKUP($A134,[3]stockregister!$A$2:$L$2000,11,0),0)-$G134</f>
        <v>0</v>
      </c>
      <c r="I134" s="3">
        <f>_xlfn.IFNA(VLOOKUP($A134,[3]stockregister!$A$2:$L$2000,12,0),0)</f>
        <v>1650</v>
      </c>
      <c r="J134" s="3">
        <f>_xlfn.IFNA(VLOOKUP($A134,[3]stockregister!$A$1:$M$2000,12,0),0)-$I134</f>
        <v>0</v>
      </c>
      <c r="K134" s="3" t="s">
        <v>22</v>
      </c>
      <c r="L134" s="3" t="s">
        <v>23</v>
      </c>
      <c r="M134" s="3">
        <f>_xlfn.IFNA(VLOOKUP($A134,[2]stockregister!$A$2:$H$2000,8,0),0)</f>
        <v>1800</v>
      </c>
      <c r="N134" s="3">
        <f>_xlfn.IFNA(VLOOKUP($A134,[2]stockregister!$A$2:$H$2000,8,0),0)-$M134</f>
        <v>0</v>
      </c>
      <c r="O134" s="3" t="s">
        <v>430</v>
      </c>
      <c r="P134" s="3" t="s">
        <v>430</v>
      </c>
      <c r="Q134" s="3" t="s">
        <v>133</v>
      </c>
      <c r="R134" s="3" t="s">
        <v>92</v>
      </c>
      <c r="S134" s="3" t="s">
        <v>134</v>
      </c>
    </row>
    <row r="135" spans="1:18">
      <c r="A135" s="3">
        <v>2188</v>
      </c>
      <c r="B135" s="3" t="b">
        <f>ISNUMBER(MATCH(A135,[1]stockregister!$A$2:$A$2000,0))</f>
        <v>1</v>
      </c>
      <c r="C135" s="3" t="s">
        <v>431</v>
      </c>
      <c r="D135" s="3" t="str">
        <f>VLOOKUP($C135,[1]stockregister!$B$2:$B$2000,1,0)</f>
        <v>JOHNNIE WALKER RED LABEL  1LTR</v>
      </c>
      <c r="E135" s="3" t="str">
        <f>IF(ISNA($D135),VLOOKUP($A135,[2]stockregister!$A$2:$B$2000,2,FALSE),"")</f>
        <v/>
      </c>
      <c r="F135" s="3" t="s">
        <v>21</v>
      </c>
      <c r="G135" s="3">
        <f>_xlfn.IFNA(VLOOKUP($A135,[3]stockregister!$A$2:$L$2000,11,0),0)</f>
        <v>348</v>
      </c>
      <c r="H135" s="3">
        <f>_xlfn.IFNA(VLOOKUP($A135,[3]stockregister!$A$2:$L$2000,11,0),0)-$G135</f>
        <v>0</v>
      </c>
      <c r="I135" s="3">
        <f>_xlfn.IFNA(VLOOKUP($A135,[3]stockregister!$A$2:$L$2000,12,0),0)</f>
        <v>1700</v>
      </c>
      <c r="J135" s="3">
        <f>_xlfn.IFNA(VLOOKUP($A135,[3]stockregister!$A$1:$M$2000,12,0),0)-$I135</f>
        <v>0</v>
      </c>
      <c r="K135" s="3" t="s">
        <v>22</v>
      </c>
      <c r="L135" s="3" t="s">
        <v>23</v>
      </c>
      <c r="M135" s="3">
        <f>_xlfn.IFNA(VLOOKUP($A135,[2]stockregister!$A$2:$H$2000,8,0),0)</f>
        <v>1900</v>
      </c>
      <c r="N135" s="3">
        <f>_xlfn.IFNA(VLOOKUP($A135,[2]stockregister!$A$2:$H$2000,8,0),0)-$M135</f>
        <v>0</v>
      </c>
      <c r="O135" s="3" t="s">
        <v>432</v>
      </c>
      <c r="P135" s="3" t="s">
        <v>432</v>
      </c>
      <c r="Q135" s="3" t="s">
        <v>433</v>
      </c>
      <c r="R135" s="3" t="s">
        <v>113</v>
      </c>
    </row>
    <row r="136" spans="1:18">
      <c r="A136" s="3">
        <v>2983</v>
      </c>
      <c r="B136" s="3" t="b">
        <f>ISNUMBER(MATCH(A136,[1]stockregister!$A$2:$A$2000,0))</f>
        <v>1</v>
      </c>
      <c r="C136" s="3" t="s">
        <v>434</v>
      </c>
      <c r="D136" s="3" t="str">
        <f>VLOOKUP($C136,[1]stockregister!$B$2:$B$2000,1,0)</f>
        <v>STARCHASER  750ML</v>
      </c>
      <c r="E136" s="3" t="str">
        <f>IF(ISNA($D136),VLOOKUP($A136,[2]stockregister!$A$2:$B$2000,2,FALSE),"")</f>
        <v/>
      </c>
      <c r="F136" s="3" t="s">
        <v>21</v>
      </c>
      <c r="G136" s="3">
        <f>_xlfn.IFNA(VLOOKUP($A136,[3]stockregister!$A$2:$L$2000,11,0),0)</f>
        <v>320</v>
      </c>
      <c r="H136" s="3">
        <f>_xlfn.IFNA(VLOOKUP($A136,[3]stockregister!$A$2:$L$2000,11,0),0)-$G136</f>
        <v>0</v>
      </c>
      <c r="I136" s="3">
        <f>_xlfn.IFNA(VLOOKUP($A136,[3]stockregister!$A$2:$L$2000,12,0),0)</f>
        <v>200</v>
      </c>
      <c r="J136" s="3">
        <f>_xlfn.IFNA(VLOOKUP($A136,[3]stockregister!$A$1:$M$2000,12,0),0)-$I136</f>
        <v>0</v>
      </c>
      <c r="K136" s="3" t="s">
        <v>22</v>
      </c>
      <c r="L136" s="3" t="s">
        <v>23</v>
      </c>
      <c r="M136" s="3">
        <f>_xlfn.IFNA(VLOOKUP($A136,[2]stockregister!$A$2:$H$2000,8,0),0)</f>
        <v>250</v>
      </c>
      <c r="N136" s="3">
        <f>_xlfn.IFNA(VLOOKUP($A136,[2]stockregister!$A$2:$H$2000,8,0),0)-$M136</f>
        <v>0</v>
      </c>
      <c r="O136" s="3" t="s">
        <v>435</v>
      </c>
      <c r="P136" s="3" t="s">
        <v>435</v>
      </c>
      <c r="Q136" s="3" t="s">
        <v>392</v>
      </c>
      <c r="R136" s="3" t="s">
        <v>109</v>
      </c>
    </row>
    <row r="137" spans="1:19">
      <c r="A137" s="3">
        <v>2577</v>
      </c>
      <c r="B137" s="3" t="b">
        <f>ISNUMBER(MATCH(A137,[1]stockregister!$A$2:$A$2000,0))</f>
        <v>1</v>
      </c>
      <c r="C137" s="3" t="s">
        <v>436</v>
      </c>
      <c r="D137" s="3" t="str">
        <f>VLOOKUP($C137,[1]stockregister!$B$2:$B$2000,1,0)</f>
        <v>ROOIBERG WINERY RED MUSCADEL  750ML</v>
      </c>
      <c r="E137" s="3" t="str">
        <f>IF(ISNA($D137),VLOOKUP($A137,[2]stockregister!$A$2:$B$2000,2,FALSE),"")</f>
        <v/>
      </c>
      <c r="F137" s="3" t="s">
        <v>21</v>
      </c>
      <c r="G137" s="3">
        <f>_xlfn.IFNA(VLOOKUP($A137,[3]stockregister!$A$2:$L$2000,11,0),0)</f>
        <v>357</v>
      </c>
      <c r="H137" s="3">
        <f>_xlfn.IFNA(VLOOKUP($A137,[3]stockregister!$A$2:$L$2000,11,0),0)-$G137</f>
        <v>0</v>
      </c>
      <c r="I137" s="3">
        <f>_xlfn.IFNA(VLOOKUP($A137,[3]stockregister!$A$2:$L$2000,12,0),0)</f>
        <v>2300</v>
      </c>
      <c r="J137" s="3">
        <f>_xlfn.IFNA(VLOOKUP($A137,[3]stockregister!$A$1:$M$2000,12,0),0)-$I137</f>
        <v>0</v>
      </c>
      <c r="K137" s="3" t="s">
        <v>22</v>
      </c>
      <c r="L137" s="3" t="s">
        <v>23</v>
      </c>
      <c r="M137" s="3">
        <f>_xlfn.IFNA(VLOOKUP($A137,[2]stockregister!$A$2:$H$2000,8,0),0)</f>
        <v>2600</v>
      </c>
      <c r="N137" s="3">
        <f>_xlfn.IFNA(VLOOKUP($A137,[2]stockregister!$A$2:$H$2000,8,0),0)-$M137</f>
        <v>0</v>
      </c>
      <c r="O137" s="3" t="s">
        <v>437</v>
      </c>
      <c r="P137" s="3" t="s">
        <v>437</v>
      </c>
      <c r="Q137" s="3" t="s">
        <v>438</v>
      </c>
      <c r="R137" s="3" t="s">
        <v>113</v>
      </c>
      <c r="S137" s="3" t="s">
        <v>114</v>
      </c>
    </row>
    <row r="138" spans="1:19">
      <c r="A138" s="3">
        <v>2457</v>
      </c>
      <c r="B138" s="3" t="b">
        <f>ISNUMBER(MATCH(A138,[1]stockregister!$A$2:$A$2000,0))</f>
        <v>1</v>
      </c>
      <c r="C138" s="3" t="s">
        <v>439</v>
      </c>
      <c r="D138" s="3" t="str">
        <f>VLOOKUP($C138,[1]stockregister!$B$2:$B$2000,1,0)</f>
        <v>ROSSO BIANCO NOBILE ALLA VANIGLIA 750ML</v>
      </c>
      <c r="E138" s="3" t="str">
        <f>IF(ISNA($D138),VLOOKUP($A138,[2]stockregister!$A$2:$B$2000,2,FALSE),"")</f>
        <v/>
      </c>
      <c r="F138" s="3" t="s">
        <v>21</v>
      </c>
      <c r="G138" s="3">
        <f>_xlfn.IFNA(VLOOKUP($A138,[3]stockregister!$A$2:$L$2000,11,0),0)</f>
        <v>354</v>
      </c>
      <c r="H138" s="3">
        <f>_xlfn.IFNA(VLOOKUP($A138,[3]stockregister!$A$2:$L$2000,11,0),0)-$G138</f>
        <v>0</v>
      </c>
      <c r="I138" s="3">
        <f>_xlfn.IFNA(VLOOKUP($A138,[3]stockregister!$A$2:$L$2000,12,0),0)</f>
        <v>1725</v>
      </c>
      <c r="J138" s="3">
        <f>_xlfn.IFNA(VLOOKUP($A138,[3]stockregister!$A$1:$M$2000,12,0),0)-$I138</f>
        <v>0</v>
      </c>
      <c r="K138" s="3" t="s">
        <v>22</v>
      </c>
      <c r="L138" s="3" t="s">
        <v>23</v>
      </c>
      <c r="M138" s="3">
        <f>_xlfn.IFNA(VLOOKUP($A138,[2]stockregister!$A$2:$H$2000,8,0),0)</f>
        <v>2000</v>
      </c>
      <c r="N138" s="3">
        <f>_xlfn.IFNA(VLOOKUP($A138,[2]stockregister!$A$2:$H$2000,8,0),0)-$M138</f>
        <v>0</v>
      </c>
      <c r="O138" s="3" t="s">
        <v>440</v>
      </c>
      <c r="P138" s="3" t="s">
        <v>440</v>
      </c>
      <c r="Q138" s="3" t="s">
        <v>358</v>
      </c>
      <c r="R138" s="3" t="s">
        <v>318</v>
      </c>
      <c r="S138" s="3" t="s">
        <v>441</v>
      </c>
    </row>
    <row r="139" spans="1:19">
      <c r="A139" s="3">
        <v>2911</v>
      </c>
      <c r="B139" s="3" t="b">
        <f>ISNUMBER(MATCH(A139,[1]stockregister!$A$2:$A$2000,0))</f>
        <v>1</v>
      </c>
      <c r="C139" s="3" t="s">
        <v>442</v>
      </c>
      <c r="D139" s="3" t="str">
        <f>VLOOKUP($C139,[1]stockregister!$B$2:$B$2000,1,0)</f>
        <v>MANYATTA  MANGO &amp; GINGER 330ML</v>
      </c>
      <c r="E139" s="3" t="str">
        <f>IF(ISNA($D139),VLOOKUP($A139,[2]stockregister!$A$2:$B$2000,2,FALSE),"")</f>
        <v/>
      </c>
      <c r="F139" s="3" t="s">
        <v>21</v>
      </c>
      <c r="G139" s="3">
        <f>_xlfn.IFNA(VLOOKUP($A139,[3]stockregister!$A$2:$L$2000,11,0),0)</f>
        <v>288</v>
      </c>
      <c r="H139" s="3">
        <f>_xlfn.IFNA(VLOOKUP($A139,[3]stockregister!$A$2:$L$2000,11,0),0)-$G139</f>
        <v>0</v>
      </c>
      <c r="I139" s="3">
        <f>_xlfn.IFNA(VLOOKUP($A139,[3]stockregister!$A$2:$L$2000,12,0),0)</f>
        <v>244.76</v>
      </c>
      <c r="J139" s="3">
        <f>_xlfn.IFNA(VLOOKUP($A139,[3]stockregister!$A$1:$M$2000,12,0),0)-$I139</f>
        <v>0</v>
      </c>
      <c r="K139" s="3" t="s">
        <v>22</v>
      </c>
      <c r="L139" s="3" t="s">
        <v>23</v>
      </c>
      <c r="M139" s="3">
        <f>_xlfn.IFNA(VLOOKUP($A139,[2]stockregister!$A$2:$H$2000,8,0),0)</f>
        <v>260</v>
      </c>
      <c r="N139" s="3">
        <f>_xlfn.IFNA(VLOOKUP($A139,[2]stockregister!$A$2:$H$2000,8,0),0)-$M139</f>
        <v>0</v>
      </c>
      <c r="O139" s="3" t="s">
        <v>443</v>
      </c>
      <c r="P139" s="3" t="s">
        <v>443</v>
      </c>
      <c r="Q139" s="3" t="s">
        <v>444</v>
      </c>
      <c r="R139" s="3" t="s">
        <v>113</v>
      </c>
      <c r="S139" s="3" t="s">
        <v>114</v>
      </c>
    </row>
    <row r="140" spans="1:19">
      <c r="A140" s="3">
        <v>53</v>
      </c>
      <c r="B140" s="3" t="b">
        <f>ISNUMBER(MATCH(A140,[1]stockregister!$A$2:$A$2000,0))</f>
        <v>1</v>
      </c>
      <c r="C140" s="3" t="s">
        <v>445</v>
      </c>
      <c r="D140" s="3" t="str">
        <f>VLOOKUP($C140,[1]stockregister!$B$2:$B$2000,1,0)</f>
        <v>KO LIME AND GINGER 330 ML CAN </v>
      </c>
      <c r="E140" s="3" t="str">
        <f>IF(ISNA($D140),VLOOKUP($A140,[2]stockregister!$A$2:$B$2000,2,FALSE),"")</f>
        <v/>
      </c>
      <c r="F140" s="3" t="s">
        <v>21</v>
      </c>
      <c r="G140" s="3">
        <f>_xlfn.IFNA(VLOOKUP($A140,[3]stockregister!$A$2:$L$2000,11,0),0)</f>
        <v>334</v>
      </c>
      <c r="H140" s="3">
        <f>_xlfn.IFNA(VLOOKUP($A140,[3]stockregister!$A$2:$L$2000,11,0),0)-$G140</f>
        <v>0</v>
      </c>
      <c r="I140" s="3">
        <f>_xlfn.IFNA(VLOOKUP($A140,[3]stockregister!$A$2:$L$2000,12,0),0)</f>
        <v>1725</v>
      </c>
      <c r="J140" s="3">
        <f>_xlfn.IFNA(VLOOKUP($A140,[3]stockregister!$A$1:$M$2000,12,0),0)-$I140</f>
        <v>0</v>
      </c>
      <c r="K140" s="3" t="s">
        <v>22</v>
      </c>
      <c r="L140" s="3" t="s">
        <v>23</v>
      </c>
      <c r="M140" s="3">
        <f>_xlfn.IFNA(VLOOKUP($A140,[2]stockregister!$A$2:$H$2000,8,0),0)</f>
        <v>2200</v>
      </c>
      <c r="N140" s="3">
        <f>_xlfn.IFNA(VLOOKUP($A140,[2]stockregister!$A$2:$H$2000,8,0),0)-$M140</f>
        <v>0</v>
      </c>
      <c r="O140" s="3" t="s">
        <v>446</v>
      </c>
      <c r="P140" s="3" t="s">
        <v>446</v>
      </c>
      <c r="Q140" s="3" t="s">
        <v>447</v>
      </c>
      <c r="R140" s="3" t="s">
        <v>318</v>
      </c>
      <c r="S140" s="3" t="s">
        <v>448</v>
      </c>
    </row>
    <row r="141" spans="1:19">
      <c r="A141" s="3">
        <v>2052</v>
      </c>
      <c r="B141" s="3" t="b">
        <f>ISNUMBER(MATCH(A141,[1]stockregister!$A$2:$A$2000,0))</f>
        <v>1</v>
      </c>
      <c r="C141" s="3" t="s">
        <v>449</v>
      </c>
      <c r="D141" s="3" t="str">
        <f>VLOOKUP($C141,[1]stockregister!$B$2:$B$2000,1,0)</f>
        <v>KO  DRY CIDER 500ML</v>
      </c>
      <c r="E141" s="3" t="str">
        <f>IF(ISNA($D141),VLOOKUP($A141,[2]stockregister!$A$2:$B$2000,2,FALSE),"")</f>
        <v/>
      </c>
      <c r="F141" s="3" t="s">
        <v>21</v>
      </c>
      <c r="G141" s="3">
        <f>_xlfn.IFNA(VLOOKUP($A141,[3]stockregister!$A$2:$L$2000,11,0),0)</f>
        <v>334</v>
      </c>
      <c r="H141" s="3">
        <f>_xlfn.IFNA(VLOOKUP($A141,[3]stockregister!$A$2:$L$2000,11,0),0)-$G141</f>
        <v>0</v>
      </c>
      <c r="I141" s="3">
        <f>_xlfn.IFNA(VLOOKUP($A141,[3]stockregister!$A$2:$L$2000,12,0),0)</f>
        <v>1012</v>
      </c>
      <c r="J141" s="3">
        <f>_xlfn.IFNA(VLOOKUP($A141,[3]stockregister!$A$1:$M$2000,12,0),0)-$I141</f>
        <v>0</v>
      </c>
      <c r="K141" s="3" t="s">
        <v>22</v>
      </c>
      <c r="L141" s="3" t="s">
        <v>23</v>
      </c>
      <c r="M141" s="3">
        <f>_xlfn.IFNA(VLOOKUP($A141,[2]stockregister!$A$2:$H$2000,8,0),0)</f>
        <v>1100</v>
      </c>
      <c r="N141" s="3">
        <f>_xlfn.IFNA(VLOOKUP($A141,[2]stockregister!$A$2:$H$2000,8,0),0)-$M141</f>
        <v>0</v>
      </c>
      <c r="O141" s="3" t="s">
        <v>450</v>
      </c>
      <c r="P141" s="3" t="s">
        <v>450</v>
      </c>
      <c r="Q141" s="3" t="s">
        <v>451</v>
      </c>
      <c r="R141" s="3" t="s">
        <v>68</v>
      </c>
      <c r="S141" s="3" t="s">
        <v>82</v>
      </c>
    </row>
    <row r="142" spans="1:19">
      <c r="A142" s="3">
        <v>1114</v>
      </c>
      <c r="B142" s="3" t="b">
        <f>ISNUMBER(MATCH(A142,[1]stockregister!$A$2:$A$2000,0))</f>
        <v>1</v>
      </c>
      <c r="C142" s="3" t="s">
        <v>452</v>
      </c>
      <c r="D142" s="3" t="str">
        <f>VLOOKUP($C142,[1]stockregister!$B$2:$B$2000,1,0)</f>
        <v>RED BULL ENERGY DRINK 250ML</v>
      </c>
      <c r="E142" s="3" t="str">
        <f>IF(ISNA($D142),VLOOKUP($A142,[2]stockregister!$A$2:$B$2000,2,FALSE),"")</f>
        <v/>
      </c>
      <c r="F142" s="3" t="s">
        <v>21</v>
      </c>
      <c r="G142" s="3">
        <f>_xlfn.IFNA(VLOOKUP($A142,[3]stockregister!$A$2:$L$2000,11,0),0)</f>
        <v>322</v>
      </c>
      <c r="H142" s="3">
        <f>_xlfn.IFNA(VLOOKUP($A142,[3]stockregister!$A$2:$L$2000,11,0),0)-$G142</f>
        <v>0</v>
      </c>
      <c r="I142" s="3">
        <f>_xlfn.IFNA(VLOOKUP($A142,[3]stockregister!$A$2:$L$2000,12,0),0)</f>
        <v>5200</v>
      </c>
      <c r="J142" s="3">
        <f>_xlfn.IFNA(VLOOKUP($A142,[3]stockregister!$A$1:$M$2000,12,0),0)-$I142</f>
        <v>0</v>
      </c>
      <c r="K142" s="3" t="s">
        <v>22</v>
      </c>
      <c r="L142" s="3" t="s">
        <v>23</v>
      </c>
      <c r="M142" s="3">
        <f>_xlfn.IFNA(VLOOKUP($A142,[2]stockregister!$A$2:$H$2000,8,0),0)</f>
        <v>6200</v>
      </c>
      <c r="N142" s="3">
        <f>_xlfn.IFNA(VLOOKUP($A142,[2]stockregister!$A$2:$H$2000,8,0),0)-$M142</f>
        <v>0</v>
      </c>
      <c r="O142" s="3" t="s">
        <v>453</v>
      </c>
      <c r="P142" s="3" t="s">
        <v>453</v>
      </c>
      <c r="Q142" s="3" t="s">
        <v>133</v>
      </c>
      <c r="R142" s="3" t="s">
        <v>92</v>
      </c>
      <c r="S142" s="3" t="s">
        <v>134</v>
      </c>
    </row>
    <row r="143" spans="1:19">
      <c r="A143" s="3">
        <v>1186</v>
      </c>
      <c r="B143" s="3" t="b">
        <f>ISNUMBER(MATCH(A143,[1]stockregister!$A$2:$A$2000,0))</f>
        <v>1</v>
      </c>
      <c r="C143" s="3" t="s">
        <v>454</v>
      </c>
      <c r="D143" s="3" t="str">
        <f>VLOOKUP($C143,[1]stockregister!$B$2:$B$2000,1,0)</f>
        <v>FANTA  BLACKCURRANT 1.25L</v>
      </c>
      <c r="E143" s="3" t="str">
        <f>IF(ISNA($D143),VLOOKUP($A143,[2]stockregister!$A$2:$B$2000,2,FALSE),"")</f>
        <v/>
      </c>
      <c r="F143" s="3" t="s">
        <v>21</v>
      </c>
      <c r="G143" s="3">
        <f>_xlfn.IFNA(VLOOKUP($A143,[3]stockregister!$A$2:$L$2000,11,0),0)</f>
        <v>360</v>
      </c>
      <c r="H143" s="3">
        <f>_xlfn.IFNA(VLOOKUP($A143,[3]stockregister!$A$2:$L$2000,11,0),0)-$G143</f>
        <v>0</v>
      </c>
      <c r="I143" s="3">
        <f>_xlfn.IFNA(VLOOKUP($A143,[3]stockregister!$A$2:$L$2000,12,0),0)</f>
        <v>79.16</v>
      </c>
      <c r="J143" s="3">
        <f>_xlfn.IFNA(VLOOKUP($A143,[3]stockregister!$A$1:$M$2000,12,0),0)-$I143</f>
        <v>0</v>
      </c>
      <c r="K143" s="3" t="s">
        <v>22</v>
      </c>
      <c r="L143" s="3" t="s">
        <v>23</v>
      </c>
      <c r="M143" s="3">
        <f>_xlfn.IFNA(VLOOKUP($A143,[2]stockregister!$A$2:$H$2000,8,0),0)</f>
        <v>120</v>
      </c>
      <c r="N143" s="3">
        <f>_xlfn.IFNA(VLOOKUP($A143,[2]stockregister!$A$2:$H$2000,8,0),0)-$M143</f>
        <v>0</v>
      </c>
      <c r="O143" s="3" t="s">
        <v>455</v>
      </c>
      <c r="P143" s="3" t="s">
        <v>455</v>
      </c>
      <c r="Q143" s="3" t="s">
        <v>456</v>
      </c>
      <c r="R143" s="3" t="s">
        <v>26</v>
      </c>
      <c r="S143" s="3" t="s">
        <v>457</v>
      </c>
    </row>
    <row r="144" spans="1:18">
      <c r="A144" s="3">
        <v>2417</v>
      </c>
      <c r="B144" s="3" t="b">
        <f>ISNUMBER(MATCH(A144,[1]stockregister!$A$2:$A$2000,0))</f>
        <v>1</v>
      </c>
      <c r="C144" s="3" t="s">
        <v>458</v>
      </c>
      <c r="D144" s="3" t="str">
        <f>VLOOKUP($C144,[1]stockregister!$B$2:$B$2000,1,0)</f>
        <v>FANTA BLACKCURRANT 2L</v>
      </c>
      <c r="E144" s="3" t="str">
        <f>IF(ISNA($D144),VLOOKUP($A144,[2]stockregister!$A$2:$B$2000,2,FALSE),"")</f>
        <v/>
      </c>
      <c r="F144" s="3" t="s">
        <v>21</v>
      </c>
      <c r="G144" s="3">
        <f>_xlfn.IFNA(VLOOKUP($A144,[3]stockregister!$A$2:$L$2000,11,0),0)</f>
        <v>120</v>
      </c>
      <c r="H144" s="3">
        <f>_xlfn.IFNA(VLOOKUP($A144,[3]stockregister!$A$2:$L$2000,11,0),0)-$G144</f>
        <v>0</v>
      </c>
      <c r="I144" s="3">
        <f>_xlfn.IFNA(VLOOKUP($A144,[3]stockregister!$A$2:$L$2000,12,0),0)</f>
        <v>947</v>
      </c>
      <c r="J144" s="3">
        <f>_xlfn.IFNA(VLOOKUP($A144,[3]stockregister!$A$1:$M$2000,12,0),0)-$I144</f>
        <v>0</v>
      </c>
      <c r="K144" s="3" t="s">
        <v>22</v>
      </c>
      <c r="L144" s="3" t="s">
        <v>23</v>
      </c>
      <c r="M144" s="3">
        <f>_xlfn.IFNA(VLOOKUP($A144,[2]stockregister!$A$2:$H$2000,8,0),0)</f>
        <v>960</v>
      </c>
      <c r="N144" s="3">
        <f>_xlfn.IFNA(VLOOKUP($A144,[2]stockregister!$A$2:$H$2000,8,0),0)-$M144</f>
        <v>0</v>
      </c>
      <c r="O144" s="3" t="s">
        <v>459</v>
      </c>
      <c r="P144" s="3" t="s">
        <v>459</v>
      </c>
      <c r="Q144" s="3" t="s">
        <v>201</v>
      </c>
      <c r="R144" s="3" t="s">
        <v>156</v>
      </c>
    </row>
    <row r="145" spans="1:19">
      <c r="A145" s="3">
        <v>1561</v>
      </c>
      <c r="B145" s="3" t="b">
        <f>ISNUMBER(MATCH(A145,[1]stockregister!$A$2:$A$2000,0))</f>
        <v>1</v>
      </c>
      <c r="C145" s="3" t="s">
        <v>460</v>
      </c>
      <c r="D145" s="3" t="str">
        <f>VLOOKUP($C145,[1]stockregister!$B$2:$B$2000,1,0)</f>
        <v>FANTA BLACKCURRANT 500ML</v>
      </c>
      <c r="E145" s="3" t="str">
        <f>IF(ISNA($D145),VLOOKUP($A145,[2]stockregister!$A$2:$B$2000,2,FALSE),"")</f>
        <v/>
      </c>
      <c r="F145" s="3" t="s">
        <v>21</v>
      </c>
      <c r="G145" s="3">
        <f>_xlfn.IFNA(VLOOKUP($A145,[3]stockregister!$A$2:$L$2000,11,0),0)</f>
        <v>276</v>
      </c>
      <c r="H145" s="3">
        <f>_xlfn.IFNA(VLOOKUP($A145,[3]stockregister!$A$2:$L$2000,11,0),0)-$G145</f>
        <v>0</v>
      </c>
      <c r="I145" s="3">
        <f>_xlfn.IFNA(VLOOKUP($A145,[3]stockregister!$A$2:$L$2000,12,0),0)</f>
        <v>2300</v>
      </c>
      <c r="J145" s="3">
        <f>_xlfn.IFNA(VLOOKUP($A145,[3]stockregister!$A$1:$M$2000,12,0),0)-$I145</f>
        <v>0</v>
      </c>
      <c r="K145" s="3" t="s">
        <v>22</v>
      </c>
      <c r="L145" s="3" t="s">
        <v>23</v>
      </c>
      <c r="M145" s="3">
        <f>_xlfn.IFNA(VLOOKUP($A145,[2]stockregister!$A$2:$H$2000,8,0),0)</f>
        <v>2500</v>
      </c>
      <c r="N145" s="3">
        <f>_xlfn.IFNA(VLOOKUP($A145,[2]stockregister!$A$2:$H$2000,8,0),0)-$M145</f>
        <v>0</v>
      </c>
      <c r="O145" s="3" t="s">
        <v>461</v>
      </c>
      <c r="P145" s="3" t="s">
        <v>461</v>
      </c>
      <c r="Q145" s="3" t="s">
        <v>462</v>
      </c>
      <c r="R145" s="3" t="s">
        <v>73</v>
      </c>
      <c r="S145" s="3" t="s">
        <v>322</v>
      </c>
    </row>
    <row r="146" spans="1:18">
      <c r="A146" s="3">
        <v>1229</v>
      </c>
      <c r="B146" s="3" t="b">
        <f>ISNUMBER(MATCH(A146,[1]stockregister!$A$2:$A$2000,0))</f>
        <v>1</v>
      </c>
      <c r="C146" s="3" t="s">
        <v>463</v>
      </c>
      <c r="D146" s="3" t="str">
        <f>VLOOKUP($C146,[1]stockregister!$B$2:$B$2000,1,0)</f>
        <v>FANTA BLACKCURRANT 350ML</v>
      </c>
      <c r="E146" s="3" t="str">
        <f>IF(ISNA($D146),VLOOKUP($A146,[2]stockregister!$A$2:$B$2000,2,FALSE),"")</f>
        <v/>
      </c>
      <c r="F146" s="3" t="s">
        <v>21</v>
      </c>
      <c r="G146" s="3">
        <f>_xlfn.IFNA(VLOOKUP($A146,[3]stockregister!$A$2:$L$2000,11,0),0)</f>
        <v>65</v>
      </c>
      <c r="H146" s="3">
        <f>_xlfn.IFNA(VLOOKUP($A146,[3]stockregister!$A$2:$L$2000,11,0),0)-$G146</f>
        <v>0</v>
      </c>
      <c r="I146" s="3">
        <f>_xlfn.IFNA(VLOOKUP($A146,[3]stockregister!$A$2:$L$2000,12,0),0)</f>
        <v>225.02</v>
      </c>
      <c r="J146" s="3">
        <f>_xlfn.IFNA(VLOOKUP($A146,[3]stockregister!$A$1:$M$2000,12,0),0)-$I146</f>
        <v>0</v>
      </c>
      <c r="K146" s="3" t="s">
        <v>22</v>
      </c>
      <c r="L146" s="3" t="s">
        <v>23</v>
      </c>
      <c r="M146" s="3">
        <f>_xlfn.IFNA(VLOOKUP($A146,[2]stockregister!$A$2:$H$2000,8,0),0)</f>
        <v>280</v>
      </c>
      <c r="N146" s="3">
        <f>_xlfn.IFNA(VLOOKUP($A146,[2]stockregister!$A$2:$H$2000,8,0),0)-$M146</f>
        <v>0</v>
      </c>
      <c r="O146" s="3" t="s">
        <v>464</v>
      </c>
      <c r="P146" s="3" t="s">
        <v>464</v>
      </c>
      <c r="Q146" s="3" t="s">
        <v>465</v>
      </c>
      <c r="R146" s="3" t="s">
        <v>466</v>
      </c>
    </row>
    <row r="147" spans="1:18">
      <c r="A147" s="3">
        <v>2420</v>
      </c>
      <c r="B147" s="3" t="b">
        <f>ISNUMBER(MATCH(A147,[1]stockregister!$A$2:$A$2000,0))</f>
        <v>1</v>
      </c>
      <c r="C147" s="3" t="s">
        <v>467</v>
      </c>
      <c r="D147" s="3" t="str">
        <f>VLOOKUP($C147,[1]stockregister!$B$2:$B$2000,1,0)</f>
        <v>HENNESSY MASTER BLENDER'S  500ml</v>
      </c>
      <c r="E147" s="3" t="str">
        <f>IF(ISNA($D147),VLOOKUP($A147,[2]stockregister!$A$2:$B$2000,2,FALSE),"")</f>
        <v/>
      </c>
      <c r="F147" s="3" t="s">
        <v>21</v>
      </c>
      <c r="G147" s="3">
        <f>_xlfn.IFNA(VLOOKUP($A147,[3]stockregister!$A$2:$L$2000,11,0),0)</f>
        <v>309</v>
      </c>
      <c r="H147" s="3">
        <f>_xlfn.IFNA(VLOOKUP($A147,[3]stockregister!$A$2:$L$2000,11,0),0)-$G147</f>
        <v>0</v>
      </c>
      <c r="I147" s="3">
        <f>_xlfn.IFNA(VLOOKUP($A147,[3]stockregister!$A$2:$L$2000,12,0),0)</f>
        <v>558</v>
      </c>
      <c r="J147" s="3">
        <f>_xlfn.IFNA(VLOOKUP($A147,[3]stockregister!$A$1:$M$2000,12,0),0)-$I147</f>
        <v>0</v>
      </c>
      <c r="K147" s="3" t="s">
        <v>22</v>
      </c>
      <c r="L147" s="3" t="s">
        <v>23</v>
      </c>
      <c r="M147" s="3">
        <f>_xlfn.IFNA(VLOOKUP($A147,[2]stockregister!$A$2:$H$2000,8,0),0)</f>
        <v>565</v>
      </c>
      <c r="N147" s="3">
        <f>_xlfn.IFNA(VLOOKUP($A147,[2]stockregister!$A$2:$H$2000,8,0),0)-$M147</f>
        <v>0</v>
      </c>
      <c r="O147" s="3" t="s">
        <v>468</v>
      </c>
      <c r="P147" s="3" t="s">
        <v>468</v>
      </c>
      <c r="Q147" s="3" t="s">
        <v>392</v>
      </c>
      <c r="R147" s="3" t="s">
        <v>318</v>
      </c>
    </row>
    <row r="148" spans="1:19">
      <c r="A148" s="3">
        <v>2121</v>
      </c>
      <c r="B148" s="3" t="b">
        <f>ISNUMBER(MATCH(A148,[1]stockregister!$A$2:$A$2000,0))</f>
        <v>1</v>
      </c>
      <c r="C148" s="3" t="s">
        <v>469</v>
      </c>
      <c r="D148" s="3" t="str">
        <f>VLOOKUP($C148,[1]stockregister!$B$2:$B$2000,1,0)</f>
        <v>MARTEL V.S  COGNAC 1LTR</v>
      </c>
      <c r="E148" s="3" t="str">
        <f>IF(ISNA($D148),VLOOKUP($A148,[2]stockregister!$A$2:$B$2000,2,FALSE),"")</f>
        <v/>
      </c>
      <c r="F148" s="3" t="s">
        <v>21</v>
      </c>
      <c r="G148" s="3">
        <f>_xlfn.IFNA(VLOOKUP($A148,[3]stockregister!$A$2:$L$2000,11,0),0)</f>
        <v>301</v>
      </c>
      <c r="H148" s="3">
        <f>_xlfn.IFNA(VLOOKUP($A148,[3]stockregister!$A$2:$L$2000,11,0),0)-$G148</f>
        <v>0</v>
      </c>
      <c r="I148" s="3">
        <f>_xlfn.IFNA(VLOOKUP($A148,[3]stockregister!$A$2:$L$2000,12,0),0)</f>
        <v>1600</v>
      </c>
      <c r="J148" s="3">
        <f>_xlfn.IFNA(VLOOKUP($A148,[3]stockregister!$A$1:$M$2000,12,0),0)-$I148</f>
        <v>0</v>
      </c>
      <c r="K148" s="3" t="s">
        <v>22</v>
      </c>
      <c r="L148" s="3" t="s">
        <v>23</v>
      </c>
      <c r="M148" s="3">
        <f>_xlfn.IFNA(VLOOKUP($A148,[2]stockregister!$A$2:$H$2000,8,0),0)</f>
        <v>2100</v>
      </c>
      <c r="N148" s="3">
        <f>_xlfn.IFNA(VLOOKUP($A148,[2]stockregister!$A$2:$H$2000,8,0),0)-$M148</f>
        <v>0</v>
      </c>
      <c r="O148" s="3" t="s">
        <v>470</v>
      </c>
      <c r="P148" s="3" t="s">
        <v>470</v>
      </c>
      <c r="Q148" s="3" t="s">
        <v>471</v>
      </c>
      <c r="R148" s="3" t="s">
        <v>92</v>
      </c>
      <c r="S148" s="3" t="s">
        <v>134</v>
      </c>
    </row>
    <row r="149" spans="1:19">
      <c r="A149" s="3">
        <v>624</v>
      </c>
      <c r="B149" s="3" t="b">
        <f>ISNUMBER(MATCH(A149,[1]stockregister!$A$2:$A$2000,0))</f>
        <v>1</v>
      </c>
      <c r="C149" s="3" t="s">
        <v>472</v>
      </c>
      <c r="D149" s="3" t="str">
        <f>VLOOKUP($C149,[1]stockregister!$B$2:$B$2000,1,0)</f>
        <v>FOUR COUSINS MARULA CREAM 500ML </v>
      </c>
      <c r="E149" s="3" t="str">
        <f>IF(ISNA($D149),VLOOKUP($A149,[2]stockregister!$A$2:$B$2000,2,FALSE),"")</f>
        <v/>
      </c>
      <c r="F149" s="3" t="s">
        <v>21</v>
      </c>
      <c r="G149" s="3">
        <f>_xlfn.IFNA(VLOOKUP($A149,[3]stockregister!$A$2:$L$2000,11,0),0)</f>
        <v>276</v>
      </c>
      <c r="H149" s="3">
        <f>_xlfn.IFNA(VLOOKUP($A149,[3]stockregister!$A$2:$L$2000,11,0),0)-$G149</f>
        <v>0</v>
      </c>
      <c r="I149" s="3">
        <f>_xlfn.IFNA(VLOOKUP($A149,[3]stockregister!$A$2:$L$2000,12,0),0)</f>
        <v>7300</v>
      </c>
      <c r="J149" s="3">
        <f>_xlfn.IFNA(VLOOKUP($A149,[3]stockregister!$A$1:$M$2000,12,0),0)-$I149</f>
        <v>0</v>
      </c>
      <c r="K149" s="3" t="s">
        <v>22</v>
      </c>
      <c r="L149" s="3" t="s">
        <v>23</v>
      </c>
      <c r="M149" s="3">
        <f>_xlfn.IFNA(VLOOKUP($A149,[2]stockregister!$A$2:$H$2000,8,0),0)</f>
        <v>7600</v>
      </c>
      <c r="N149" s="3">
        <f>_xlfn.IFNA(VLOOKUP($A149,[2]stockregister!$A$2:$H$2000,8,0),0)-$M149</f>
        <v>0</v>
      </c>
      <c r="O149" s="3" t="s">
        <v>473</v>
      </c>
      <c r="P149" s="3" t="s">
        <v>473</v>
      </c>
      <c r="Q149" s="3" t="s">
        <v>474</v>
      </c>
      <c r="R149" s="3" t="s">
        <v>73</v>
      </c>
      <c r="S149" s="3" t="s">
        <v>260</v>
      </c>
    </row>
    <row r="150" spans="1:19">
      <c r="A150" s="3">
        <v>509</v>
      </c>
      <c r="B150" s="3" t="b">
        <f>ISNUMBER(MATCH(A150,[1]stockregister!$A$2:$A$2000,0))</f>
        <v>1</v>
      </c>
      <c r="C150" s="3" t="s">
        <v>475</v>
      </c>
      <c r="D150" s="3" t="str">
        <f>VLOOKUP($C150,[1]stockregister!$B$2:$B$2000,1,0)</f>
        <v>WHITLEY NEILL LEMON GRASS  GIN 750ML </v>
      </c>
      <c r="E150" s="3" t="str">
        <f>IF(ISNA($D150),VLOOKUP($A150,[2]stockregister!$A$2:$B$2000,2,FALSE),"")</f>
        <v/>
      </c>
      <c r="F150" s="3" t="s">
        <v>21</v>
      </c>
      <c r="G150" s="3">
        <f>_xlfn.IFNA(VLOOKUP($A150,[3]stockregister!$A$2:$L$2000,11,0),0)</f>
        <v>432</v>
      </c>
      <c r="H150" s="3">
        <f>_xlfn.IFNA(VLOOKUP($A150,[3]stockregister!$A$2:$L$2000,11,0),0)-$G150</f>
        <v>0</v>
      </c>
      <c r="I150" s="3">
        <f>_xlfn.IFNA(VLOOKUP($A150,[3]stockregister!$A$2:$L$2000,12,0),0)</f>
        <v>65.83</v>
      </c>
      <c r="J150" s="3">
        <f>_xlfn.IFNA(VLOOKUP($A150,[3]stockregister!$A$1:$M$2000,12,0),0)-$I150</f>
        <v>0</v>
      </c>
      <c r="K150" s="3" t="s">
        <v>22</v>
      </c>
      <c r="L150" s="3" t="s">
        <v>23</v>
      </c>
      <c r="M150" s="3">
        <f>_xlfn.IFNA(VLOOKUP($A150,[2]stockregister!$A$2:$H$2000,8,0),0)</f>
        <v>80</v>
      </c>
      <c r="N150" s="3">
        <f>_xlfn.IFNA(VLOOKUP($A150,[2]stockregister!$A$2:$H$2000,8,0),0)-$M150</f>
        <v>0</v>
      </c>
      <c r="O150" s="3" t="s">
        <v>476</v>
      </c>
      <c r="P150" s="3" t="s">
        <v>476</v>
      </c>
      <c r="Q150" s="3" t="s">
        <v>25</v>
      </c>
      <c r="R150" s="3" t="s">
        <v>26</v>
      </c>
      <c r="S150" s="3" t="s">
        <v>27</v>
      </c>
    </row>
    <row r="151" spans="1:18">
      <c r="A151" s="3">
        <v>535</v>
      </c>
      <c r="B151" s="3" t="b">
        <f>ISNUMBER(MATCH(A151,[1]stockregister!$A$2:$A$2000,0))</f>
        <v>1</v>
      </c>
      <c r="C151" s="3" t="s">
        <v>477</v>
      </c>
      <c r="D151" s="3" t="str">
        <f>VLOOKUP($C151,[1]stockregister!$B$2:$B$2000,1,0)</f>
        <v>GILBEYS BERRY BRAMBLE COCKTAIL 750ML</v>
      </c>
      <c r="E151" s="3" t="str">
        <f>IF(ISNA($D151),VLOOKUP($A151,[2]stockregister!$A$2:$B$2000,2,FALSE),"")</f>
        <v/>
      </c>
      <c r="F151" s="3" t="s">
        <v>21</v>
      </c>
      <c r="G151" s="3">
        <f>_xlfn.IFNA(VLOOKUP($A151,[3]stockregister!$A$2:$L$2000,11,0),0)</f>
        <v>240</v>
      </c>
      <c r="H151" s="3">
        <f>_xlfn.IFNA(VLOOKUP($A151,[3]stockregister!$A$2:$L$2000,11,0),0)-$G151</f>
        <v>0</v>
      </c>
      <c r="I151" s="3">
        <f>_xlfn.IFNA(VLOOKUP($A151,[3]stockregister!$A$2:$L$2000,12,0),0)</f>
        <v>632.15</v>
      </c>
      <c r="J151" s="3">
        <f>_xlfn.IFNA(VLOOKUP($A151,[3]stockregister!$A$1:$M$2000,12,0),0)-$I151</f>
        <v>0</v>
      </c>
      <c r="K151" s="3" t="s">
        <v>22</v>
      </c>
      <c r="L151" s="3" t="s">
        <v>23</v>
      </c>
      <c r="M151" s="3">
        <f>_xlfn.IFNA(VLOOKUP($A151,[2]stockregister!$A$2:$H$2000,8,0),0)</f>
        <v>655</v>
      </c>
      <c r="N151" s="3">
        <f>_xlfn.IFNA(VLOOKUP($A151,[2]stockregister!$A$2:$H$2000,8,0),0)-$M151</f>
        <v>0</v>
      </c>
      <c r="O151" s="3" t="s">
        <v>478</v>
      </c>
      <c r="P151" s="3" t="s">
        <v>478</v>
      </c>
      <c r="Q151" s="3" t="s">
        <v>172</v>
      </c>
      <c r="R151" s="3" t="s">
        <v>109</v>
      </c>
    </row>
    <row r="152" spans="1:18">
      <c r="A152" s="3">
        <v>1831</v>
      </c>
      <c r="B152" s="3" t="b">
        <f>ISNUMBER(MATCH(A152,[1]stockregister!$A$2:$A$2000,0))</f>
        <v>1</v>
      </c>
      <c r="C152" s="3" t="s">
        <v>479</v>
      </c>
      <c r="D152" s="3" t="str">
        <f>VLOOKUP($C152,[1]stockregister!$B$2:$B$2000,1,0)</f>
        <v>WHITLEY NEILL RASPBERRY GIN 750ML </v>
      </c>
      <c r="E152" s="3" t="str">
        <f>IF(ISNA($D152),VLOOKUP($A152,[2]stockregister!$A$2:$B$2000,2,FALSE),"")</f>
        <v/>
      </c>
      <c r="F152" s="3" t="s">
        <v>21</v>
      </c>
      <c r="G152" s="3">
        <f>_xlfn.IFNA(VLOOKUP($A152,[3]stockregister!$A$2:$L$2000,11,0),0)</f>
        <v>218</v>
      </c>
      <c r="H152" s="3">
        <f>_xlfn.IFNA(VLOOKUP($A152,[3]stockregister!$A$2:$L$2000,11,0),0)-$G152</f>
        <v>0</v>
      </c>
      <c r="I152" s="3">
        <f>_xlfn.IFNA(VLOOKUP($A152,[3]stockregister!$A$2:$L$2000,12,0),0)</f>
        <v>1300</v>
      </c>
      <c r="J152" s="3">
        <f>_xlfn.IFNA(VLOOKUP($A152,[3]stockregister!$A$1:$M$2000,12,0),0)-$I152</f>
        <v>0</v>
      </c>
      <c r="K152" s="3" t="s">
        <v>22</v>
      </c>
      <c r="L152" s="3" t="s">
        <v>23</v>
      </c>
      <c r="M152" s="3">
        <f>_xlfn.IFNA(VLOOKUP($A152,[2]stockregister!$A$2:$H$2000,8,0),0)</f>
        <v>1600</v>
      </c>
      <c r="N152" s="3">
        <f>_xlfn.IFNA(VLOOKUP($A152,[2]stockregister!$A$2:$H$2000,8,0),0)-$M152</f>
        <v>0</v>
      </c>
      <c r="O152" s="3" t="s">
        <v>480</v>
      </c>
      <c r="P152" s="3" t="s">
        <v>480</v>
      </c>
      <c r="Q152" s="3" t="s">
        <v>481</v>
      </c>
      <c r="R152" s="3" t="s">
        <v>318</v>
      </c>
    </row>
    <row r="153" spans="1:19">
      <c r="A153" s="3">
        <v>2088</v>
      </c>
      <c r="B153" s="3" t="b">
        <f>ISNUMBER(MATCH(A153,[1]stockregister!$A$2:$A$2000,0))</f>
        <v>1</v>
      </c>
      <c r="C153" s="3" t="s">
        <v>482</v>
      </c>
      <c r="D153" s="3" t="str">
        <f>VLOOKUP($C153,[1]stockregister!$B$2:$B$2000,1,0)</f>
        <v>GREENALL WILDBERRY  1LTR</v>
      </c>
      <c r="E153" s="3" t="str">
        <f>IF(ISNA($D153),VLOOKUP($A153,[2]stockregister!$A$2:$B$2000,2,FALSE),"")</f>
        <v/>
      </c>
      <c r="F153" s="3" t="s">
        <v>21</v>
      </c>
      <c r="G153" s="3">
        <f>_xlfn.IFNA(VLOOKUP($A153,[3]stockregister!$A$2:$L$2000,11,0),0)</f>
        <v>264</v>
      </c>
      <c r="H153" s="3">
        <f>_xlfn.IFNA(VLOOKUP($A153,[3]stockregister!$A$2:$L$2000,11,0),0)-$G153</f>
        <v>0</v>
      </c>
      <c r="I153" s="3">
        <f>_xlfn.IFNA(VLOOKUP($A153,[3]stockregister!$A$2:$L$2000,12,0),0)</f>
        <v>228.98</v>
      </c>
      <c r="J153" s="3">
        <f>_xlfn.IFNA(VLOOKUP($A153,[3]stockregister!$A$1:$M$2000,12,0),0)-$I153</f>
        <v>0</v>
      </c>
      <c r="K153" s="3" t="s">
        <v>22</v>
      </c>
      <c r="L153" s="3" t="s">
        <v>23</v>
      </c>
      <c r="M153" s="3">
        <f>_xlfn.IFNA(VLOOKUP($A153,[2]stockregister!$A$2:$H$2000,8,0),0)</f>
        <v>240</v>
      </c>
      <c r="N153" s="3">
        <f>_xlfn.IFNA(VLOOKUP($A153,[2]stockregister!$A$2:$H$2000,8,0),0)-$M153</f>
        <v>0</v>
      </c>
      <c r="O153" s="3" t="s">
        <v>483</v>
      </c>
      <c r="P153" s="3" t="s">
        <v>483</v>
      </c>
      <c r="Q153" s="3" t="s">
        <v>484</v>
      </c>
      <c r="R153" s="3" t="s">
        <v>97</v>
      </c>
      <c r="S153" s="3" t="s">
        <v>485</v>
      </c>
    </row>
    <row r="154" spans="1:19">
      <c r="A154" s="3">
        <v>884</v>
      </c>
      <c r="B154" s="3" t="b">
        <f>ISNUMBER(MATCH(A154,[1]stockregister!$A$2:$A$2000,0))</f>
        <v>1</v>
      </c>
      <c r="C154" s="3" t="s">
        <v>486</v>
      </c>
      <c r="D154" s="3" t="str">
        <f>VLOOKUP($C154,[1]stockregister!$B$2:$B$2000,1,0)</f>
        <v>KO CLASSIC GIN 750ML </v>
      </c>
      <c r="E154" s="3" t="str">
        <f>IF(ISNA($D154),VLOOKUP($A154,[2]stockregister!$A$2:$B$2000,2,FALSE),"")</f>
        <v/>
      </c>
      <c r="F154" s="3" t="s">
        <v>21</v>
      </c>
      <c r="G154" s="3">
        <f>_xlfn.IFNA(VLOOKUP($A154,[3]stockregister!$A$2:$L$2000,11,0),0)</f>
        <v>600</v>
      </c>
      <c r="H154" s="3">
        <f>_xlfn.IFNA(VLOOKUP($A154,[3]stockregister!$A$2:$L$2000,11,0),0)-$G154</f>
        <v>0</v>
      </c>
      <c r="I154" s="3">
        <f>_xlfn.IFNA(VLOOKUP($A154,[3]stockregister!$A$2:$L$2000,12,0),0)</f>
        <v>189.1</v>
      </c>
      <c r="J154" s="3">
        <f>_xlfn.IFNA(VLOOKUP($A154,[3]stockregister!$A$1:$M$2000,12,0),0)-$I154</f>
        <v>0</v>
      </c>
      <c r="K154" s="3" t="s">
        <v>22</v>
      </c>
      <c r="L154" s="3" t="s">
        <v>23</v>
      </c>
      <c r="M154" s="3">
        <f>_xlfn.IFNA(VLOOKUP($A154,[2]stockregister!$A$2:$H$2000,8,0),0)</f>
        <v>200</v>
      </c>
      <c r="N154" s="3">
        <f>_xlfn.IFNA(VLOOKUP($A154,[2]stockregister!$A$2:$H$2000,8,0),0)-$M154</f>
        <v>0</v>
      </c>
      <c r="O154" s="3" t="s">
        <v>487</v>
      </c>
      <c r="P154" s="3" t="s">
        <v>487</v>
      </c>
      <c r="Q154" s="3" t="s">
        <v>348</v>
      </c>
      <c r="R154" s="3" t="s">
        <v>26</v>
      </c>
      <c r="S154" s="3" t="s">
        <v>130</v>
      </c>
    </row>
    <row r="155" spans="1:18">
      <c r="A155" s="3">
        <v>1202</v>
      </c>
      <c r="B155" s="3" t="b">
        <f>ISNUMBER(MATCH(A155,[1]stockregister!$A$2:$A$2000,0))</f>
        <v>1</v>
      </c>
      <c r="C155" s="3" t="s">
        <v>488</v>
      </c>
      <c r="D155" s="3" t="str">
        <f>VLOOKUP($C155,[1]stockregister!$B$2:$B$2000,1,0)</f>
        <v>IRISH  MIST 1LTR</v>
      </c>
      <c r="E155" s="3" t="str">
        <f>IF(ISNA($D155),VLOOKUP($A155,[2]stockregister!$A$2:$B$2000,2,FALSE),"")</f>
        <v/>
      </c>
      <c r="F155" s="3" t="s">
        <v>21</v>
      </c>
      <c r="G155" s="3">
        <f>_xlfn.IFNA(VLOOKUP($A155,[3]stockregister!$A$2:$L$2000,11,0),0)</f>
        <v>288</v>
      </c>
      <c r="H155" s="3">
        <f>_xlfn.IFNA(VLOOKUP($A155,[3]stockregister!$A$2:$L$2000,11,0),0)-$G155</f>
        <v>0</v>
      </c>
      <c r="I155" s="3">
        <f>_xlfn.IFNA(VLOOKUP($A155,[3]stockregister!$A$2:$L$2000,12,0),0)</f>
        <v>616.8</v>
      </c>
      <c r="J155" s="3">
        <f>_xlfn.IFNA(VLOOKUP($A155,[3]stockregister!$A$1:$M$2000,12,0),0)-$I155</f>
        <v>0</v>
      </c>
      <c r="K155" s="3" t="s">
        <v>22</v>
      </c>
      <c r="L155" s="3" t="s">
        <v>23</v>
      </c>
      <c r="M155" s="3">
        <f>_xlfn.IFNA(VLOOKUP($A155,[2]stockregister!$A$2:$H$2000,8,0),0)</f>
        <v>616.75</v>
      </c>
      <c r="N155" s="3">
        <f>_xlfn.IFNA(VLOOKUP($A155,[2]stockregister!$A$2:$H$2000,8,0),0)-$M155</f>
        <v>0</v>
      </c>
      <c r="O155" s="3" t="s">
        <v>489</v>
      </c>
      <c r="P155" s="3" t="s">
        <v>489</v>
      </c>
      <c r="Q155" s="3" t="s">
        <v>415</v>
      </c>
      <c r="R155" s="3" t="s">
        <v>78</v>
      </c>
    </row>
    <row r="156" spans="1:19">
      <c r="A156" s="3">
        <v>965</v>
      </c>
      <c r="B156" s="3" t="b">
        <f>ISNUMBER(MATCH(A156,[1]stockregister!$A$2:$A$2000,0))</f>
        <v>1</v>
      </c>
      <c r="C156" s="3" t="s">
        <v>490</v>
      </c>
      <c r="D156" s="3" t="str">
        <f>VLOOKUP($C156,[1]stockregister!$B$2:$B$2000,1,0)</f>
        <v>WHITLEY NEILL ORIGINAL  GIN 1LTR</v>
      </c>
      <c r="E156" s="3" t="str">
        <f>IF(ISNA($D156),VLOOKUP($A156,[2]stockregister!$A$2:$B$2000,2,FALSE),"")</f>
        <v/>
      </c>
      <c r="F156" s="3" t="s">
        <v>21</v>
      </c>
      <c r="G156" s="3">
        <f>_xlfn.IFNA(VLOOKUP($A156,[3]stockregister!$A$2:$L$2000,11,0),0)</f>
        <v>221</v>
      </c>
      <c r="H156" s="3">
        <f>_xlfn.IFNA(VLOOKUP($A156,[3]stockregister!$A$2:$L$2000,11,0),0)-$G156</f>
        <v>0</v>
      </c>
      <c r="I156" s="3">
        <f>_xlfn.IFNA(VLOOKUP($A156,[3]stockregister!$A$2:$L$2000,12,0),0)</f>
        <v>7208.67</v>
      </c>
      <c r="J156" s="3">
        <f>_xlfn.IFNA(VLOOKUP($A156,[3]stockregister!$A$1:$M$2000,12,0),0)-$I156</f>
        <v>0</v>
      </c>
      <c r="K156" s="3" t="s">
        <v>22</v>
      </c>
      <c r="L156" s="3" t="s">
        <v>23</v>
      </c>
      <c r="M156" s="3">
        <f>_xlfn.IFNA(VLOOKUP($A156,[2]stockregister!$A$2:$H$2000,8,0),0)</f>
        <v>8200</v>
      </c>
      <c r="N156" s="3">
        <f>_xlfn.IFNA(VLOOKUP($A156,[2]stockregister!$A$2:$H$2000,8,0),0)-$M156</f>
        <v>0</v>
      </c>
      <c r="O156" s="3" t="s">
        <v>491</v>
      </c>
      <c r="P156" s="3" t="s">
        <v>491</v>
      </c>
      <c r="Q156" s="3" t="s">
        <v>227</v>
      </c>
      <c r="R156" s="3" t="s">
        <v>102</v>
      </c>
      <c r="S156" s="3" t="s">
        <v>36</v>
      </c>
    </row>
    <row r="157" spans="1:19">
      <c r="A157" s="3">
        <v>496</v>
      </c>
      <c r="B157" s="3" t="b">
        <f>ISNUMBER(MATCH(A157,[1]stockregister!$A$2:$A$2000,0))</f>
        <v>1</v>
      </c>
      <c r="C157" s="3" t="s">
        <v>492</v>
      </c>
      <c r="D157" s="3" t="str">
        <f>VLOOKUP($C157,[1]stockregister!$B$2:$B$2000,1,0)</f>
        <v>WHITLEY NEILL ORIGINAL  GIN 750ML </v>
      </c>
      <c r="E157" s="3" t="str">
        <f>IF(ISNA($D157),VLOOKUP($A157,[2]stockregister!$A$2:$B$2000,2,FALSE),"")</f>
        <v/>
      </c>
      <c r="F157" s="3" t="s">
        <v>21</v>
      </c>
      <c r="G157" s="3">
        <f>_xlfn.IFNA(VLOOKUP($A157,[3]stockregister!$A$2:$L$2000,11,0),0)</f>
        <v>281</v>
      </c>
      <c r="H157" s="3">
        <f>_xlfn.IFNA(VLOOKUP($A157,[3]stockregister!$A$2:$L$2000,11,0),0)-$G157</f>
        <v>0</v>
      </c>
      <c r="I157" s="3">
        <f>_xlfn.IFNA(VLOOKUP($A157,[3]stockregister!$A$2:$L$2000,12,0),0)</f>
        <v>26400</v>
      </c>
      <c r="J157" s="3">
        <f>_xlfn.IFNA(VLOOKUP($A157,[3]stockregister!$A$1:$M$2000,12,0),0)-$I157</f>
        <v>0</v>
      </c>
      <c r="K157" s="3" t="s">
        <v>22</v>
      </c>
      <c r="L157" s="3" t="s">
        <v>23</v>
      </c>
      <c r="M157" s="3">
        <f>_xlfn.IFNA(VLOOKUP($A157,[2]stockregister!$A$2:$H$2000,8,0),0)</f>
        <v>31000</v>
      </c>
      <c r="N157" s="3">
        <f>_xlfn.IFNA(VLOOKUP($A157,[2]stockregister!$A$2:$H$2000,8,0),0)-$M157</f>
        <v>0</v>
      </c>
      <c r="O157" s="3" t="s">
        <v>493</v>
      </c>
      <c r="P157" s="3" t="s">
        <v>493</v>
      </c>
      <c r="Q157" s="3" t="s">
        <v>494</v>
      </c>
      <c r="R157" s="3" t="s">
        <v>73</v>
      </c>
      <c r="S157" s="3" t="s">
        <v>260</v>
      </c>
    </row>
    <row r="158" spans="1:18">
      <c r="A158" s="3">
        <v>2429</v>
      </c>
      <c r="B158" s="3" t="b">
        <f>ISNUMBER(MATCH(A158,[1]stockregister!$A$2:$A$2000,0))</f>
        <v>1</v>
      </c>
      <c r="C158" s="3" t="s">
        <v>495</v>
      </c>
      <c r="D158" s="3" t="str">
        <f>VLOOKUP($C158,[1]stockregister!$B$2:$B$2000,1,0)</f>
        <v>GINBERYS LONDON DRY GIN  700ML</v>
      </c>
      <c r="E158" s="3" t="str">
        <f>IF(ISNA($D158),VLOOKUP($A158,[2]stockregister!$A$2:$B$2000,2,FALSE),"")</f>
        <v/>
      </c>
      <c r="F158" s="3" t="s">
        <v>21</v>
      </c>
      <c r="G158" s="3">
        <f>_xlfn.IFNA(VLOOKUP($A158,[3]stockregister!$A$2:$L$2000,11,0),0)</f>
        <v>1280</v>
      </c>
      <c r="H158" s="3">
        <f>_xlfn.IFNA(VLOOKUP($A158,[3]stockregister!$A$2:$L$2000,11,0),0)-$G158</f>
        <v>0</v>
      </c>
      <c r="I158" s="3">
        <f>_xlfn.IFNA(VLOOKUP($A158,[3]stockregister!$A$2:$L$2000,12,0),0)</f>
        <v>251.88</v>
      </c>
      <c r="J158" s="3">
        <f>_xlfn.IFNA(VLOOKUP($A158,[3]stockregister!$A$1:$M$2000,12,0),0)-$I158</f>
        <v>0</v>
      </c>
      <c r="K158" s="3" t="s">
        <v>22</v>
      </c>
      <c r="L158" s="3" t="s">
        <v>23</v>
      </c>
      <c r="M158" s="3">
        <f>_xlfn.IFNA(VLOOKUP($A158,[2]stockregister!$A$2:$H$2000,8,0),0)</f>
        <v>256</v>
      </c>
      <c r="N158" s="3">
        <f>_xlfn.IFNA(VLOOKUP($A158,[2]stockregister!$A$2:$H$2000,8,0),0)-$M158</f>
        <v>0</v>
      </c>
      <c r="O158" s="3" t="s">
        <v>496</v>
      </c>
      <c r="P158" s="3" t="s">
        <v>496</v>
      </c>
      <c r="Q158" s="3" t="s">
        <v>497</v>
      </c>
      <c r="R158" s="3" t="s">
        <v>318</v>
      </c>
    </row>
    <row r="159" spans="1:19">
      <c r="A159" s="3">
        <v>267</v>
      </c>
      <c r="B159" s="3" t="b">
        <f>ISNUMBER(MATCH(A159,[1]stockregister!$A$2:$A$2000,0))</f>
        <v>1</v>
      </c>
      <c r="C159" s="3" t="s">
        <v>498</v>
      </c>
      <c r="D159" s="3" t="str">
        <f>VLOOKUP($C159,[1]stockregister!$B$2:$B$2000,1,0)</f>
        <v>TANG SOUR  - APPLE 750ML</v>
      </c>
      <c r="E159" s="3" t="str">
        <f>IF(ISNA($D159),VLOOKUP($A159,[2]stockregister!$A$2:$B$2000,2,FALSE),"")</f>
        <v/>
      </c>
      <c r="F159" s="3" t="s">
        <v>21</v>
      </c>
      <c r="G159" s="3">
        <f>_xlfn.IFNA(VLOOKUP($A159,[3]stockregister!$A$2:$L$2000,11,0),0)</f>
        <v>840</v>
      </c>
      <c r="H159" s="3">
        <f>_xlfn.IFNA(VLOOKUP($A159,[3]stockregister!$A$2:$L$2000,11,0),0)-$G159</f>
        <v>0</v>
      </c>
      <c r="I159" s="3">
        <f>_xlfn.IFNA(VLOOKUP($A159,[3]stockregister!$A$2:$L$2000,12,0),0)</f>
        <v>410.8</v>
      </c>
      <c r="J159" s="3">
        <f>_xlfn.IFNA(VLOOKUP($A159,[3]stockregister!$A$1:$M$2000,12,0),0)-$I159</f>
        <v>0</v>
      </c>
      <c r="K159" s="3" t="s">
        <v>22</v>
      </c>
      <c r="L159" s="3" t="s">
        <v>23</v>
      </c>
      <c r="M159" s="3">
        <f>_xlfn.IFNA(VLOOKUP($A159,[2]stockregister!$A$2:$H$2000,8,0),0)</f>
        <v>416</v>
      </c>
      <c r="N159" s="3">
        <f>_xlfn.IFNA(VLOOKUP($A159,[2]stockregister!$A$2:$H$2000,8,0),0)-$M159</f>
        <v>0</v>
      </c>
      <c r="O159" s="3" t="s">
        <v>499</v>
      </c>
      <c r="P159" s="3" t="s">
        <v>499</v>
      </c>
      <c r="Q159" s="3" t="s">
        <v>500</v>
      </c>
      <c r="R159" s="3" t="s">
        <v>92</v>
      </c>
      <c r="S159" s="3" t="s">
        <v>134</v>
      </c>
    </row>
    <row r="160" spans="1:18">
      <c r="A160" s="3">
        <v>1933</v>
      </c>
      <c r="B160" s="3" t="b">
        <f>ISNUMBER(MATCH(A160,[1]stockregister!$A$2:$A$2000,0))</f>
        <v>1</v>
      </c>
      <c r="C160" s="3" t="s">
        <v>501</v>
      </c>
      <c r="D160" s="3" t="str">
        <f>VLOOKUP($C160,[1]stockregister!$B$2:$B$2000,1,0)</f>
        <v>JAGERMEISTER 1.75L</v>
      </c>
      <c r="E160" s="3" t="str">
        <f>IF(ISNA($D160),VLOOKUP($A160,[2]stockregister!$A$2:$B$2000,2,FALSE),"")</f>
        <v/>
      </c>
      <c r="F160" s="3" t="s">
        <v>21</v>
      </c>
      <c r="G160" s="3">
        <f>_xlfn.IFNA(VLOOKUP($A160,[3]stockregister!$A$2:$L$2000,11,0),0)</f>
        <v>243</v>
      </c>
      <c r="H160" s="3">
        <f>_xlfn.IFNA(VLOOKUP($A160,[3]stockregister!$A$2:$L$2000,11,0),0)-$G160</f>
        <v>0</v>
      </c>
      <c r="I160" s="3">
        <f>_xlfn.IFNA(VLOOKUP($A160,[3]stockregister!$A$2:$L$2000,12,0),0)</f>
        <v>2760</v>
      </c>
      <c r="J160" s="3">
        <f>_xlfn.IFNA(VLOOKUP($A160,[3]stockregister!$A$1:$M$2000,12,0),0)-$I160</f>
        <v>0</v>
      </c>
      <c r="K160" s="3" t="s">
        <v>22</v>
      </c>
      <c r="L160" s="3" t="s">
        <v>23</v>
      </c>
      <c r="M160" s="3">
        <f>_xlfn.IFNA(VLOOKUP($A160,[2]stockregister!$A$2:$H$2000,8,0),0)</f>
        <v>3000</v>
      </c>
      <c r="N160" s="3">
        <f>_xlfn.IFNA(VLOOKUP($A160,[2]stockregister!$A$2:$H$2000,8,0),0)-$M160</f>
        <v>0</v>
      </c>
      <c r="O160" s="3" t="s">
        <v>502</v>
      </c>
      <c r="P160" s="3" t="s">
        <v>502</v>
      </c>
      <c r="Q160" s="3" t="s">
        <v>221</v>
      </c>
      <c r="R160" s="3" t="s">
        <v>78</v>
      </c>
    </row>
    <row r="161" spans="1:19">
      <c r="A161" s="3">
        <v>2834</v>
      </c>
      <c r="B161" s="3" t="b">
        <f>ISNUMBER(MATCH(A161,[1]stockregister!$A$2:$A$2000,0))</f>
        <v>1</v>
      </c>
      <c r="C161" s="3" t="s">
        <v>503</v>
      </c>
      <c r="D161" s="3" t="str">
        <f>VLOOKUP($C161,[1]stockregister!$B$2:$B$2000,1,0)</f>
        <v>JAGERMEISTER WITH CORK  750ML </v>
      </c>
      <c r="E161" s="3" t="str">
        <f>IF(ISNA($D161),VLOOKUP($A161,[2]stockregister!$A$2:$B$2000,2,FALSE),"")</f>
        <v/>
      </c>
      <c r="F161" s="3" t="s">
        <v>21</v>
      </c>
      <c r="G161" s="3">
        <f>_xlfn.IFNA(VLOOKUP($A161,[3]stockregister!$A$2:$L$2000,11,0),0)</f>
        <v>276</v>
      </c>
      <c r="H161" s="3">
        <f>_xlfn.IFNA(VLOOKUP($A161,[3]stockregister!$A$2:$L$2000,11,0),0)-$G161</f>
        <v>0</v>
      </c>
      <c r="I161" s="3">
        <f>_xlfn.IFNA(VLOOKUP($A161,[3]stockregister!$A$2:$L$2000,12,0),0)</f>
        <v>350</v>
      </c>
      <c r="J161" s="3">
        <f>_xlfn.IFNA(VLOOKUP($A161,[3]stockregister!$A$1:$M$2000,12,0),0)-$I161</f>
        <v>0</v>
      </c>
      <c r="K161" s="3" t="s">
        <v>22</v>
      </c>
      <c r="L161" s="3" t="s">
        <v>23</v>
      </c>
      <c r="M161" s="3">
        <f>_xlfn.IFNA(VLOOKUP($A161,[2]stockregister!$A$2:$H$2000,8,0),0)</f>
        <v>380</v>
      </c>
      <c r="N161" s="3">
        <f>_xlfn.IFNA(VLOOKUP($A161,[2]stockregister!$A$2:$H$2000,8,0),0)-$M161</f>
        <v>0</v>
      </c>
      <c r="O161" s="3" t="s">
        <v>504</v>
      </c>
      <c r="P161" s="3" t="s">
        <v>504</v>
      </c>
      <c r="Q161" s="3" t="s">
        <v>505</v>
      </c>
      <c r="R161" s="3" t="s">
        <v>506</v>
      </c>
      <c r="S161" s="3" t="s">
        <v>507</v>
      </c>
    </row>
    <row r="162" spans="1:19">
      <c r="A162" s="3">
        <v>229</v>
      </c>
      <c r="B162" s="3" t="b">
        <f>ISNUMBER(MATCH(A162,[1]stockregister!$A$2:$A$2000,0))</f>
        <v>1</v>
      </c>
      <c r="C162" s="3" t="s">
        <v>508</v>
      </c>
      <c r="D162" s="3" t="str">
        <f>VLOOKUP($C162,[1]stockregister!$B$2:$B$2000,1,0)</f>
        <v>CAPTAIN MORGAN DARK 750ML</v>
      </c>
      <c r="E162" s="3" t="str">
        <f>IF(ISNA($D162),VLOOKUP($A162,[2]stockregister!$A$2:$B$2000,2,FALSE),"")</f>
        <v/>
      </c>
      <c r="F162" s="3" t="s">
        <v>21</v>
      </c>
      <c r="G162" s="3">
        <f>_xlfn.IFNA(VLOOKUP($A162,[3]stockregister!$A$2:$L$2000,11,0),0)</f>
        <v>180</v>
      </c>
      <c r="H162" s="3">
        <f>_xlfn.IFNA(VLOOKUP($A162,[3]stockregister!$A$2:$L$2000,11,0),0)-$G162</f>
        <v>0</v>
      </c>
      <c r="I162" s="3">
        <f>_xlfn.IFNA(VLOOKUP($A162,[3]stockregister!$A$2:$L$2000,12,0),0)</f>
        <v>1000</v>
      </c>
      <c r="J162" s="3">
        <f>_xlfn.IFNA(VLOOKUP($A162,[3]stockregister!$A$1:$M$2000,12,0),0)-$I162</f>
        <v>0</v>
      </c>
      <c r="K162" s="3" t="s">
        <v>22</v>
      </c>
      <c r="L162" s="3" t="s">
        <v>23</v>
      </c>
      <c r="M162" s="3">
        <f>_xlfn.IFNA(VLOOKUP($A162,[2]stockregister!$A$2:$H$2000,8,0),0)</f>
        <v>1450</v>
      </c>
      <c r="N162" s="3">
        <f>_xlfn.IFNA(VLOOKUP($A162,[2]stockregister!$A$2:$H$2000,8,0),0)-$M162</f>
        <v>0</v>
      </c>
      <c r="O162" s="3" t="s">
        <v>509</v>
      </c>
      <c r="P162" s="3" t="s">
        <v>509</v>
      </c>
      <c r="Q162" s="3" t="s">
        <v>510</v>
      </c>
      <c r="R162" s="3" t="s">
        <v>92</v>
      </c>
      <c r="S162" s="3" t="s">
        <v>134</v>
      </c>
    </row>
    <row r="163" spans="1:19">
      <c r="A163" s="3">
        <v>1946</v>
      </c>
      <c r="B163" s="3" t="b">
        <f>ISNUMBER(MATCH(A163,[1]stockregister!$A$2:$A$2000,0))</f>
        <v>1</v>
      </c>
      <c r="C163" s="3" t="s">
        <v>511</v>
      </c>
      <c r="D163" s="3" t="str">
        <f>VLOOKUP($C163,[1]stockregister!$B$2:$B$2000,1,0)</f>
        <v>CAPTAIN MORGAN SPICED GOLD 750ML</v>
      </c>
      <c r="E163" s="3" t="str">
        <f>IF(ISNA($D163),VLOOKUP($A163,[2]stockregister!$A$2:$B$2000,2,FALSE),"")</f>
        <v/>
      </c>
      <c r="F163" s="3" t="s">
        <v>21</v>
      </c>
      <c r="G163" s="3">
        <f>_xlfn.IFNA(VLOOKUP($A163,[3]stockregister!$A$2:$L$2000,11,0),0)</f>
        <v>251</v>
      </c>
      <c r="H163" s="3">
        <f>_xlfn.IFNA(VLOOKUP($A163,[3]stockregister!$A$2:$L$2000,11,0),0)-$G163</f>
        <v>0</v>
      </c>
      <c r="I163" s="3">
        <f>_xlfn.IFNA(VLOOKUP($A163,[3]stockregister!$A$2:$L$2000,12,0),0)</f>
        <v>1636</v>
      </c>
      <c r="J163" s="3">
        <f>_xlfn.IFNA(VLOOKUP($A163,[3]stockregister!$A$1:$M$2000,12,0),0)-$I163</f>
        <v>0</v>
      </c>
      <c r="K163" s="3" t="s">
        <v>22</v>
      </c>
      <c r="L163" s="3" t="s">
        <v>23</v>
      </c>
      <c r="M163" s="3">
        <f>_xlfn.IFNA(VLOOKUP($A163,[2]stockregister!$A$2:$H$2000,8,0),0)</f>
        <v>1700</v>
      </c>
      <c r="N163" s="3">
        <f>_xlfn.IFNA(VLOOKUP($A163,[2]stockregister!$A$2:$H$2000,8,0),0)-$M163</f>
        <v>0</v>
      </c>
      <c r="O163" s="3" t="s">
        <v>512</v>
      </c>
      <c r="P163" s="3" t="s">
        <v>512</v>
      </c>
      <c r="Q163" s="3" t="s">
        <v>513</v>
      </c>
      <c r="R163" s="3" t="s">
        <v>92</v>
      </c>
      <c r="S163" s="3" t="s">
        <v>252</v>
      </c>
    </row>
    <row r="164" spans="1:19">
      <c r="A164" s="3">
        <v>2988</v>
      </c>
      <c r="B164" s="3" t="b">
        <f>ISNUMBER(MATCH(A164,[1]stockregister!$A$2:$A$2000,0))</f>
        <v>1</v>
      </c>
      <c r="C164" s="3" t="s">
        <v>514</v>
      </c>
      <c r="D164" s="3" t="str">
        <f>VLOOKUP($C164,[1]stockregister!$B$2:$B$2000,1,0)</f>
        <v>BACARDI LIMON 1 LITRE</v>
      </c>
      <c r="E164" s="3" t="str">
        <f>IF(ISNA($D164),VLOOKUP($A164,[2]stockregister!$A$2:$B$2000,2,FALSE),"")</f>
        <v/>
      </c>
      <c r="F164" s="3" t="s">
        <v>21</v>
      </c>
      <c r="G164" s="3">
        <f>_xlfn.IFNA(VLOOKUP($A164,[3]stockregister!$A$2:$L$2000,11,0),0)</f>
        <v>264</v>
      </c>
      <c r="H164" s="3">
        <f>_xlfn.IFNA(VLOOKUP($A164,[3]stockregister!$A$2:$L$2000,11,0),0)-$G164</f>
        <v>0</v>
      </c>
      <c r="I164" s="3">
        <f>_xlfn.IFNA(VLOOKUP($A164,[3]stockregister!$A$2:$L$2000,12,0),0)</f>
        <v>3000</v>
      </c>
      <c r="J164" s="3">
        <f>_xlfn.IFNA(VLOOKUP($A164,[3]stockregister!$A$1:$M$2000,12,0),0)-$I164</f>
        <v>0</v>
      </c>
      <c r="K164" s="3" t="s">
        <v>22</v>
      </c>
      <c r="L164" s="3" t="s">
        <v>23</v>
      </c>
      <c r="M164" s="3">
        <f>_xlfn.IFNA(VLOOKUP($A164,[2]stockregister!$A$2:$H$2000,8,0),0)</f>
        <v>3200</v>
      </c>
      <c r="N164" s="3">
        <f>_xlfn.IFNA(VLOOKUP($A164,[2]stockregister!$A$2:$H$2000,8,0),0)-$M164</f>
        <v>0</v>
      </c>
      <c r="O164" s="3" t="s">
        <v>515</v>
      </c>
      <c r="P164" s="3" t="s">
        <v>515</v>
      </c>
      <c r="Q164" s="3" t="s">
        <v>81</v>
      </c>
      <c r="R164" s="3" t="s">
        <v>68</v>
      </c>
      <c r="S164" s="3" t="s">
        <v>297</v>
      </c>
    </row>
    <row r="165" spans="1:19">
      <c r="A165" s="3">
        <v>2024</v>
      </c>
      <c r="B165" s="3" t="b">
        <f>ISNUMBER(MATCH(A165,[1]stockregister!$A$2:$A$2000,0))</f>
        <v>1</v>
      </c>
      <c r="C165" s="3" t="s">
        <v>516</v>
      </c>
      <c r="D165" s="3" t="str">
        <f>VLOOKUP($C165,[1]stockregister!$B$2:$B$2000,1,0)</f>
        <v>BACARDI CARTA BLANCA 700 ML</v>
      </c>
      <c r="E165" s="3" t="str">
        <f>IF(ISNA($D165),VLOOKUP($A165,[2]stockregister!$A$2:$B$2000,2,FALSE),"")</f>
        <v/>
      </c>
      <c r="F165" s="3" t="s">
        <v>21</v>
      </c>
      <c r="G165" s="3">
        <f>_xlfn.IFNA(VLOOKUP($A165,[3]stockregister!$A$2:$L$2000,11,0),0)</f>
        <v>273</v>
      </c>
      <c r="H165" s="3">
        <f>_xlfn.IFNA(VLOOKUP($A165,[3]stockregister!$A$2:$L$2000,11,0),0)-$G165</f>
        <v>0</v>
      </c>
      <c r="I165" s="3">
        <f>_xlfn.IFNA(VLOOKUP($A165,[3]stockregister!$A$2:$L$2000,12,0),0)</f>
        <v>3100</v>
      </c>
      <c r="J165" s="3">
        <f>_xlfn.IFNA(VLOOKUP($A165,[3]stockregister!$A$1:$M$2000,12,0),0)-$I165</f>
        <v>0</v>
      </c>
      <c r="K165" s="3" t="s">
        <v>22</v>
      </c>
      <c r="L165" s="3" t="s">
        <v>23</v>
      </c>
      <c r="M165" s="3">
        <f>_xlfn.IFNA(VLOOKUP($A165,[2]stockregister!$A$2:$H$2000,8,0),0)</f>
        <v>3500</v>
      </c>
      <c r="N165" s="3">
        <f>_xlfn.IFNA(VLOOKUP($A165,[2]stockregister!$A$2:$H$2000,8,0),0)-$M165</f>
        <v>0</v>
      </c>
      <c r="O165" s="3" t="s">
        <v>517</v>
      </c>
      <c r="P165" s="3" t="s">
        <v>517</v>
      </c>
      <c r="Q165" s="3" t="s">
        <v>518</v>
      </c>
      <c r="R165" s="3" t="s">
        <v>92</v>
      </c>
      <c r="S165" s="3" t="s">
        <v>519</v>
      </c>
    </row>
    <row r="166" spans="1:19">
      <c r="A166" s="3">
        <v>1672</v>
      </c>
      <c r="B166" s="3" t="b">
        <f>ISNUMBER(MATCH(A166,[1]stockregister!$A$2:$A$2000,0))</f>
        <v>1</v>
      </c>
      <c r="C166" s="3" t="s">
        <v>520</v>
      </c>
      <c r="D166" s="3" t="str">
        <f>VLOOKUP($C166,[1]stockregister!$B$2:$B$2000,1,0)</f>
        <v>OLMECA ANEJO 750ML </v>
      </c>
      <c r="E166" s="3" t="str">
        <f>IF(ISNA($D166),VLOOKUP($A166,[2]stockregister!$A$2:$B$2000,2,FALSE),"")</f>
        <v/>
      </c>
      <c r="F166" s="3" t="s">
        <v>21</v>
      </c>
      <c r="G166" s="3">
        <f>_xlfn.IFNA(VLOOKUP($A166,[3]stockregister!$A$2:$L$2000,11,0),0)</f>
        <v>270</v>
      </c>
      <c r="H166" s="3">
        <f>_xlfn.IFNA(VLOOKUP($A166,[3]stockregister!$A$2:$L$2000,11,0),0)-$G166</f>
        <v>0</v>
      </c>
      <c r="I166" s="3">
        <f>_xlfn.IFNA(VLOOKUP($A166,[3]stockregister!$A$2:$L$2000,12,0),0)</f>
        <v>1030</v>
      </c>
      <c r="J166" s="3">
        <f>_xlfn.IFNA(VLOOKUP($A166,[3]stockregister!$A$1:$M$2000,12,0),0)-$I166</f>
        <v>0</v>
      </c>
      <c r="K166" s="3" t="s">
        <v>22</v>
      </c>
      <c r="L166" s="3" t="s">
        <v>23</v>
      </c>
      <c r="M166" s="3">
        <f>_xlfn.IFNA(VLOOKUP($A166,[2]stockregister!$A$2:$H$2000,8,0),0)</f>
        <v>1700</v>
      </c>
      <c r="N166" s="3">
        <f>_xlfn.IFNA(VLOOKUP($A166,[2]stockregister!$A$2:$H$2000,8,0),0)-$M166</f>
        <v>0</v>
      </c>
      <c r="O166" s="3" t="s">
        <v>521</v>
      </c>
      <c r="P166" s="3" t="s">
        <v>521</v>
      </c>
      <c r="Q166" s="3" t="s">
        <v>522</v>
      </c>
      <c r="R166" s="3" t="s">
        <v>68</v>
      </c>
      <c r="S166" s="3" t="s">
        <v>69</v>
      </c>
    </row>
    <row r="167" spans="1:18">
      <c r="A167" s="3">
        <v>1200</v>
      </c>
      <c r="B167" s="3" t="b">
        <f>ISNUMBER(MATCH(A167,[1]stockregister!$A$2:$A$2000,0))</f>
        <v>1</v>
      </c>
      <c r="C167" s="3" t="s">
        <v>523</v>
      </c>
      <c r="D167" s="3" t="str">
        <f>VLOOKUP($C167,[1]stockregister!$B$2:$B$2000,1,0)</f>
        <v>CLASE AZUL ANEJO 700ML </v>
      </c>
      <c r="E167" s="3" t="str">
        <f>IF(ISNA($D167),VLOOKUP($A167,[2]stockregister!$A$2:$B$2000,2,FALSE),"")</f>
        <v/>
      </c>
      <c r="F167" s="3" t="s">
        <v>21</v>
      </c>
      <c r="G167" s="3">
        <f>_xlfn.IFNA(VLOOKUP($A167,[3]stockregister!$A$2:$L$2000,11,0),0)</f>
        <v>264</v>
      </c>
      <c r="H167" s="3">
        <f>_xlfn.IFNA(VLOOKUP($A167,[3]stockregister!$A$2:$L$2000,11,0),0)-$G167</f>
        <v>0</v>
      </c>
      <c r="I167" s="3">
        <f>_xlfn.IFNA(VLOOKUP($A167,[3]stockregister!$A$2:$L$2000,12,0),0)</f>
        <v>220.67</v>
      </c>
      <c r="J167" s="3">
        <f>_xlfn.IFNA(VLOOKUP($A167,[3]stockregister!$A$1:$M$2000,12,0),0)-$I167</f>
        <v>0</v>
      </c>
      <c r="K167" s="3" t="s">
        <v>22</v>
      </c>
      <c r="L167" s="3" t="s">
        <v>23</v>
      </c>
      <c r="M167" s="3">
        <f>_xlfn.IFNA(VLOOKUP($A167,[2]stockregister!$A$2:$H$2000,8,0),0)</f>
        <v>220.67</v>
      </c>
      <c r="N167" s="3">
        <f>_xlfn.IFNA(VLOOKUP($A167,[2]stockregister!$A$2:$H$2000,8,0),0)-$M167</f>
        <v>0</v>
      </c>
      <c r="O167" s="3" t="s">
        <v>524</v>
      </c>
      <c r="P167" s="3" t="s">
        <v>524</v>
      </c>
      <c r="Q167" s="3" t="s">
        <v>415</v>
      </c>
      <c r="R167" s="3" t="s">
        <v>78</v>
      </c>
    </row>
    <row r="168" spans="1:18">
      <c r="A168" s="3">
        <v>1833</v>
      </c>
      <c r="B168" s="3" t="b">
        <f>ISNUMBER(MATCH(A168,[1]stockregister!$A$2:$A$2000,0))</f>
        <v>1</v>
      </c>
      <c r="C168" s="3" t="s">
        <v>525</v>
      </c>
      <c r="D168" s="3" t="str">
        <f>VLOOKUP($C168,[1]stockregister!$B$2:$B$2000,1,0)</f>
        <v>WOOSH PEN 1800 PUFFS BLUEBERRY ICE</v>
      </c>
      <c r="E168" s="3" t="str">
        <f>IF(ISNA($D168),VLOOKUP($A168,[2]stockregister!$A$2:$B$2000,2,FALSE),"")</f>
        <v/>
      </c>
      <c r="F168" s="3" t="s">
        <v>21</v>
      </c>
      <c r="G168" s="3">
        <f>_xlfn.IFNA(VLOOKUP($A168,[3]stockregister!$A$2:$L$2000,11,0),0)</f>
        <v>144</v>
      </c>
      <c r="H168" s="3">
        <f>_xlfn.IFNA(VLOOKUP($A168,[3]stockregister!$A$2:$L$2000,11,0),0)-$G168</f>
        <v>0</v>
      </c>
      <c r="I168" s="3">
        <f>_xlfn.IFNA(VLOOKUP($A168,[3]stockregister!$A$2:$L$2000,12,0),0)</f>
        <v>570.85</v>
      </c>
      <c r="J168" s="3">
        <f>_xlfn.IFNA(VLOOKUP($A168,[3]stockregister!$A$1:$M$2000,12,0),0)-$I168</f>
        <v>0</v>
      </c>
      <c r="K168" s="3" t="s">
        <v>22</v>
      </c>
      <c r="L168" s="3" t="s">
        <v>23</v>
      </c>
      <c r="M168" s="3">
        <f>_xlfn.IFNA(VLOOKUP($A168,[2]stockregister!$A$2:$H$2000,8,0),0)</f>
        <v>576</v>
      </c>
      <c r="N168" s="3">
        <f>_xlfn.IFNA(VLOOKUP($A168,[2]stockregister!$A$2:$H$2000,8,0),0)-$M168</f>
        <v>0</v>
      </c>
      <c r="O168" s="3" t="s">
        <v>526</v>
      </c>
      <c r="P168" s="3" t="s">
        <v>526</v>
      </c>
      <c r="Q168" s="3" t="s">
        <v>189</v>
      </c>
      <c r="R168" s="3" t="s">
        <v>318</v>
      </c>
    </row>
    <row r="169" spans="1:18">
      <c r="A169" s="3">
        <v>1184</v>
      </c>
      <c r="B169" s="3" t="b">
        <f>ISNUMBER(MATCH(A169,[1]stockregister!$A$2:$A$2000,0))</f>
        <v>1</v>
      </c>
      <c r="C169" s="3" t="s">
        <v>527</v>
      </c>
      <c r="D169" s="3" t="str">
        <f>VLOOKUP($C169,[1]stockregister!$B$2:$B$2000,1,0)</f>
        <v>MARTINI BIANCO 750ML</v>
      </c>
      <c r="E169" s="3" t="str">
        <f>IF(ISNA($D169),VLOOKUP($A169,[2]stockregister!$A$2:$B$2000,2,FALSE),"")</f>
        <v/>
      </c>
      <c r="F169" s="3" t="s">
        <v>21</v>
      </c>
      <c r="G169" s="3">
        <f>_xlfn.IFNA(VLOOKUP($A169,[3]stockregister!$A$2:$L$2000,11,0),0)</f>
        <v>504</v>
      </c>
      <c r="H169" s="3">
        <f>_xlfn.IFNA(VLOOKUP($A169,[3]stockregister!$A$2:$L$2000,11,0),0)-$G169</f>
        <v>0</v>
      </c>
      <c r="I169" s="3">
        <f>_xlfn.IFNA(VLOOKUP($A169,[3]stockregister!$A$2:$L$2000,12,0),0)</f>
        <v>338</v>
      </c>
      <c r="J169" s="3">
        <f>_xlfn.IFNA(VLOOKUP($A169,[3]stockregister!$A$1:$M$2000,12,0),0)-$I169</f>
        <v>0</v>
      </c>
      <c r="K169" s="3" t="s">
        <v>22</v>
      </c>
      <c r="L169" s="3" t="s">
        <v>23</v>
      </c>
      <c r="M169" s="3">
        <f>_xlfn.IFNA(VLOOKUP($A169,[2]stockregister!$A$2:$H$2000,8,0),0)</f>
        <v>354</v>
      </c>
      <c r="N169" s="3">
        <f>_xlfn.IFNA(VLOOKUP($A169,[2]stockregister!$A$2:$H$2000,8,0),0)-$M169</f>
        <v>0</v>
      </c>
      <c r="O169" s="3" t="s">
        <v>528</v>
      </c>
      <c r="P169" s="3" t="s">
        <v>528</v>
      </c>
      <c r="Q169" s="3" t="s">
        <v>497</v>
      </c>
      <c r="R169" s="3" t="s">
        <v>318</v>
      </c>
    </row>
    <row r="170" spans="1:19">
      <c r="A170" s="3">
        <v>2801</v>
      </c>
      <c r="B170" s="3" t="b">
        <f>ISNUMBER(MATCH(A170,[1]stockregister!$A$2:$A$2000,0))</f>
        <v>1</v>
      </c>
      <c r="C170" s="3" t="s">
        <v>529</v>
      </c>
      <c r="D170" s="3" t="str">
        <f>VLOOKUP($C170,[1]stockregister!$B$2:$B$2000,1,0)</f>
        <v>PETROVSKAIA CHOCOLATE VODKA LITRE</v>
      </c>
      <c r="E170" s="3" t="str">
        <f>IF(ISNA($D170),VLOOKUP($A170,[2]stockregister!$A$2:$B$2000,2,FALSE),"")</f>
        <v/>
      </c>
      <c r="F170" s="3" t="s">
        <v>21</v>
      </c>
      <c r="G170" s="3">
        <f>_xlfn.IFNA(VLOOKUP($A170,[3]stockregister!$A$2:$L$2000,11,0),0)</f>
        <v>264</v>
      </c>
      <c r="H170" s="3">
        <f>_xlfn.IFNA(VLOOKUP($A170,[3]stockregister!$A$2:$L$2000,11,0),0)-$G170</f>
        <v>0</v>
      </c>
      <c r="I170" s="3">
        <f>_xlfn.IFNA(VLOOKUP($A170,[3]stockregister!$A$2:$L$2000,12,0),0)</f>
        <v>3233</v>
      </c>
      <c r="J170" s="3">
        <f>_xlfn.IFNA(VLOOKUP($A170,[3]stockregister!$A$1:$M$2000,12,0),0)-$I170</f>
        <v>0</v>
      </c>
      <c r="K170" s="3" t="s">
        <v>22</v>
      </c>
      <c r="L170" s="3" t="s">
        <v>23</v>
      </c>
      <c r="M170" s="3">
        <f>_xlfn.IFNA(VLOOKUP($A170,[2]stockregister!$A$2:$H$2000,8,0),0)</f>
        <v>4500</v>
      </c>
      <c r="N170" s="3">
        <f>_xlfn.IFNA(VLOOKUP($A170,[2]stockregister!$A$2:$H$2000,8,0),0)-$M170</f>
        <v>0</v>
      </c>
      <c r="O170" s="3" t="s">
        <v>530</v>
      </c>
      <c r="P170" s="3" t="s">
        <v>530</v>
      </c>
      <c r="Q170" s="3" t="s">
        <v>531</v>
      </c>
      <c r="R170" s="3" t="s">
        <v>113</v>
      </c>
      <c r="S170" s="3" t="s">
        <v>114</v>
      </c>
    </row>
    <row r="171" spans="1:19">
      <c r="A171" s="3">
        <v>1450</v>
      </c>
      <c r="B171" s="3" t="b">
        <f>ISNUMBER(MATCH(A171,[1]stockregister!$A$2:$A$2000,0))</f>
        <v>1</v>
      </c>
      <c r="C171" s="3" t="s">
        <v>532</v>
      </c>
      <c r="D171" s="3" t="str">
        <f>VLOOKUP($C171,[1]stockregister!$B$2:$B$2000,1,0)</f>
        <v>FLIRT VODKA LEMON  1LTR</v>
      </c>
      <c r="E171" s="3" t="str">
        <f>IF(ISNA($D171),VLOOKUP($A171,[2]stockregister!$A$2:$B$2000,2,FALSE),"")</f>
        <v/>
      </c>
      <c r="F171" s="3" t="s">
        <v>21</v>
      </c>
      <c r="G171" s="3">
        <f>_xlfn.IFNA(VLOOKUP($A171,[3]stockregister!$A$2:$L$2000,11,0),0)</f>
        <v>246</v>
      </c>
      <c r="H171" s="3">
        <f>_xlfn.IFNA(VLOOKUP($A171,[3]stockregister!$A$2:$L$2000,11,0),0)-$G171</f>
        <v>0</v>
      </c>
      <c r="I171" s="3">
        <f>_xlfn.IFNA(VLOOKUP($A171,[3]stockregister!$A$2:$L$2000,12,0),0)</f>
        <v>7709.7</v>
      </c>
      <c r="J171" s="3">
        <f>_xlfn.IFNA(VLOOKUP($A171,[3]stockregister!$A$1:$M$2000,12,0),0)-$I171</f>
        <v>0</v>
      </c>
      <c r="K171" s="3" t="s">
        <v>22</v>
      </c>
      <c r="L171" s="3" t="s">
        <v>23</v>
      </c>
      <c r="M171" s="3">
        <f>_xlfn.IFNA(VLOOKUP($A171,[2]stockregister!$A$2:$H$2000,8,0),0)</f>
        <v>8000</v>
      </c>
      <c r="N171" s="3">
        <f>_xlfn.IFNA(VLOOKUP($A171,[2]stockregister!$A$2:$H$2000,8,0),0)-$M171</f>
        <v>0</v>
      </c>
      <c r="O171" s="3" t="s">
        <v>533</v>
      </c>
      <c r="P171" s="3" t="s">
        <v>533</v>
      </c>
      <c r="Q171" s="3" t="s">
        <v>420</v>
      </c>
      <c r="R171" s="3" t="s">
        <v>68</v>
      </c>
      <c r="S171" s="3" t="s">
        <v>534</v>
      </c>
    </row>
    <row r="172" spans="1:19">
      <c r="A172" s="3">
        <v>2850</v>
      </c>
      <c r="B172" s="3" t="b">
        <f>ISNUMBER(MATCH(A172,[1]stockregister!$A$2:$A$2000,0))</f>
        <v>1</v>
      </c>
      <c r="C172" s="3" t="s">
        <v>535</v>
      </c>
      <c r="D172" s="3" t="str">
        <f>VLOOKUP($C172,[1]stockregister!$B$2:$B$2000,1,0)</f>
        <v>FLIRT VODKA ORANGE  1LTR</v>
      </c>
      <c r="E172" s="3" t="str">
        <f>IF(ISNA($D172),VLOOKUP($A172,[2]stockregister!$A$2:$B$2000,2,FALSE),"")</f>
        <v/>
      </c>
      <c r="F172" s="3" t="s">
        <v>21</v>
      </c>
      <c r="G172" s="3">
        <f>_xlfn.IFNA(VLOOKUP($A172,[3]stockregister!$A$2:$L$2000,11,0),0)</f>
        <v>246</v>
      </c>
      <c r="H172" s="3">
        <f>_xlfn.IFNA(VLOOKUP($A172,[3]stockregister!$A$2:$L$2000,11,0),0)-$G172</f>
        <v>0</v>
      </c>
      <c r="I172" s="3">
        <f>_xlfn.IFNA(VLOOKUP($A172,[3]stockregister!$A$2:$L$2000,12,0),0)</f>
        <v>1100</v>
      </c>
      <c r="J172" s="3">
        <f>_xlfn.IFNA(VLOOKUP($A172,[3]stockregister!$A$1:$M$2000,12,0),0)-$I172</f>
        <v>0</v>
      </c>
      <c r="K172" s="3" t="s">
        <v>22</v>
      </c>
      <c r="L172" s="3" t="s">
        <v>23</v>
      </c>
      <c r="M172" s="3">
        <f>_xlfn.IFNA(VLOOKUP($A172,[2]stockregister!$A$2:$H$2000,8,0),0)</f>
        <v>1400</v>
      </c>
      <c r="N172" s="3">
        <f>_xlfn.IFNA(VLOOKUP($A172,[2]stockregister!$A$2:$H$2000,8,0),0)-$M172</f>
        <v>0</v>
      </c>
      <c r="O172" s="3" t="s">
        <v>536</v>
      </c>
      <c r="P172" s="3" t="s">
        <v>536</v>
      </c>
      <c r="Q172" s="3" t="s">
        <v>368</v>
      </c>
      <c r="R172" s="3" t="s">
        <v>537</v>
      </c>
      <c r="S172" s="3" t="s">
        <v>538</v>
      </c>
    </row>
    <row r="173" spans="1:19">
      <c r="A173" s="3">
        <v>1900</v>
      </c>
      <c r="B173" s="3" t="b">
        <f>ISNUMBER(MATCH(A173,[1]stockregister!$A$2:$A$2000,0))</f>
        <v>1</v>
      </c>
      <c r="C173" s="3" t="s">
        <v>539</v>
      </c>
      <c r="D173" s="3" t="str">
        <f>VLOOKUP($C173,[1]stockregister!$B$2:$B$2000,1,0)</f>
        <v>PETROVSKAIA CRANBERRY VODKA LITRE</v>
      </c>
      <c r="E173" s="3" t="str">
        <f>IF(ISNA($D173),VLOOKUP($A173,[2]stockregister!$A$2:$B$2000,2,FALSE),"")</f>
        <v/>
      </c>
      <c r="F173" s="3" t="s">
        <v>21</v>
      </c>
      <c r="G173" s="3">
        <f>_xlfn.IFNA(VLOOKUP($A173,[3]stockregister!$A$2:$L$2000,11,0),0)</f>
        <v>253</v>
      </c>
      <c r="H173" s="3">
        <f>_xlfn.IFNA(VLOOKUP($A173,[3]stockregister!$A$2:$L$2000,11,0),0)-$G173</f>
        <v>0</v>
      </c>
      <c r="I173" s="3">
        <f>_xlfn.IFNA(VLOOKUP($A173,[3]stockregister!$A$2:$L$2000,12,0),0)</f>
        <v>1472</v>
      </c>
      <c r="J173" s="3">
        <f>_xlfn.IFNA(VLOOKUP($A173,[3]stockregister!$A$1:$M$2000,12,0),0)-$I173</f>
        <v>0</v>
      </c>
      <c r="K173" s="3" t="s">
        <v>22</v>
      </c>
      <c r="L173" s="3" t="s">
        <v>23</v>
      </c>
      <c r="M173" s="3">
        <f>_xlfn.IFNA(VLOOKUP($A173,[2]stockregister!$A$2:$H$2000,8,0),0)</f>
        <v>1600</v>
      </c>
      <c r="N173" s="3">
        <f>_xlfn.IFNA(VLOOKUP($A173,[2]stockregister!$A$2:$H$2000,8,0),0)-$M173</f>
        <v>0</v>
      </c>
      <c r="O173" s="3" t="s">
        <v>540</v>
      </c>
      <c r="P173" s="3" t="s">
        <v>540</v>
      </c>
      <c r="Q173" s="3" t="s">
        <v>541</v>
      </c>
      <c r="R173" s="3" t="s">
        <v>78</v>
      </c>
      <c r="S173" s="3" t="s">
        <v>542</v>
      </c>
    </row>
    <row r="174" spans="1:19">
      <c r="A174" s="3">
        <v>806</v>
      </c>
      <c r="B174" s="3" t="b">
        <f>ISNUMBER(MATCH(A174,[1]stockregister!$A$2:$A$2000,0))</f>
        <v>1</v>
      </c>
      <c r="C174" s="3" t="s">
        <v>543</v>
      </c>
      <c r="D174" s="3" t="str">
        <f>VLOOKUP($C174,[1]stockregister!$B$2:$B$2000,1,0)</f>
        <v>PETROVSKAIA PLATIMUM VODKA LITRE</v>
      </c>
      <c r="E174" s="3" t="str">
        <f>IF(ISNA($D174),VLOOKUP($A174,[2]stockregister!$A$2:$B$2000,2,FALSE),"")</f>
        <v/>
      </c>
      <c r="F174" s="3" t="s">
        <v>21</v>
      </c>
      <c r="G174" s="3">
        <f>_xlfn.IFNA(VLOOKUP($A174,[3]stockregister!$A$2:$L$2000,11,0),0)</f>
        <v>253</v>
      </c>
      <c r="H174" s="3">
        <f>_xlfn.IFNA(VLOOKUP($A174,[3]stockregister!$A$2:$L$2000,11,0),0)-$G174</f>
        <v>0</v>
      </c>
      <c r="I174" s="3">
        <f>_xlfn.IFNA(VLOOKUP($A174,[3]stockregister!$A$2:$L$2000,12,0),0)</f>
        <v>782</v>
      </c>
      <c r="J174" s="3">
        <f>_xlfn.IFNA(VLOOKUP($A174,[3]stockregister!$A$1:$M$2000,12,0),0)-$I174</f>
        <v>0</v>
      </c>
      <c r="K174" s="3" t="s">
        <v>22</v>
      </c>
      <c r="L174" s="3" t="s">
        <v>23</v>
      </c>
      <c r="M174" s="3">
        <f>_xlfn.IFNA(VLOOKUP($A174,[2]stockregister!$A$2:$H$2000,8,0),0)</f>
        <v>850</v>
      </c>
      <c r="N174" s="3">
        <f>_xlfn.IFNA(VLOOKUP($A174,[2]stockregister!$A$2:$H$2000,8,0),0)-$M174</f>
        <v>0</v>
      </c>
      <c r="O174" s="3" t="s">
        <v>544</v>
      </c>
      <c r="P174" s="3" t="s">
        <v>544</v>
      </c>
      <c r="Q174" s="3" t="s">
        <v>545</v>
      </c>
      <c r="R174" s="3" t="s">
        <v>68</v>
      </c>
      <c r="S174" s="3" t="s">
        <v>546</v>
      </c>
    </row>
    <row r="175" spans="1:19">
      <c r="A175" s="3">
        <v>759</v>
      </c>
      <c r="B175" s="3" t="b">
        <f>ISNUMBER(MATCH(A175,[1]stockregister!$A$2:$A$2000,0))</f>
        <v>1</v>
      </c>
      <c r="C175" s="3" t="s">
        <v>547</v>
      </c>
      <c r="D175" s="3" t="str">
        <f>VLOOKUP($C175,[1]stockregister!$B$2:$B$2000,1,0)</f>
        <v>KETEL ONE VODKA 750ML</v>
      </c>
      <c r="E175" s="3" t="str">
        <f>IF(ISNA($D175),VLOOKUP($A175,[2]stockregister!$A$2:$B$2000,2,FALSE),"")</f>
        <v/>
      </c>
      <c r="F175" s="3" t="s">
        <v>21</v>
      </c>
      <c r="G175" s="3">
        <f>_xlfn.IFNA(VLOOKUP($A175,[3]stockregister!$A$2:$L$2000,11,0),0)</f>
        <v>252</v>
      </c>
      <c r="H175" s="3">
        <f>_xlfn.IFNA(VLOOKUP($A175,[3]stockregister!$A$2:$L$2000,11,0),0)-$G175</f>
        <v>0</v>
      </c>
      <c r="I175" s="3">
        <f>_xlfn.IFNA(VLOOKUP($A175,[3]stockregister!$A$2:$L$2000,12,0),0)</f>
        <v>1426</v>
      </c>
      <c r="J175" s="3">
        <f>_xlfn.IFNA(VLOOKUP($A175,[3]stockregister!$A$1:$M$2000,12,0),0)-$I175</f>
        <v>0</v>
      </c>
      <c r="K175" s="3" t="s">
        <v>22</v>
      </c>
      <c r="L175" s="3" t="s">
        <v>23</v>
      </c>
      <c r="M175" s="3">
        <f>_xlfn.IFNA(VLOOKUP($A175,[2]stockregister!$A$2:$H$2000,8,0),0)</f>
        <v>1550</v>
      </c>
      <c r="N175" s="3">
        <f>_xlfn.IFNA(VLOOKUP($A175,[2]stockregister!$A$2:$H$2000,8,0),0)-$M175</f>
        <v>0</v>
      </c>
      <c r="O175" s="3" t="s">
        <v>548</v>
      </c>
      <c r="P175" s="3" t="s">
        <v>548</v>
      </c>
      <c r="Q175" s="3" t="s">
        <v>137</v>
      </c>
      <c r="R175" s="3" t="s">
        <v>68</v>
      </c>
      <c r="S175" s="3" t="s">
        <v>549</v>
      </c>
    </row>
    <row r="176" spans="1:19">
      <c r="A176" s="3">
        <v>745</v>
      </c>
      <c r="B176" s="3" t="b">
        <f>ISNUMBER(MATCH(A176,[1]stockregister!$A$2:$A$2000,0))</f>
        <v>1</v>
      </c>
      <c r="C176" s="3" t="s">
        <v>550</v>
      </c>
      <c r="D176" s="3" t="str">
        <f>VLOOKUP($C176,[1]stockregister!$B$2:$B$2000,1,0)</f>
        <v>SIR EDWARDS WHISKY  700ML</v>
      </c>
      <c r="E176" s="3" t="str">
        <f>IF(ISNA($D176),VLOOKUP($A176,[2]stockregister!$A$2:$B$2000,2,FALSE),"")</f>
        <v/>
      </c>
      <c r="F176" s="3" t="s">
        <v>21</v>
      </c>
      <c r="G176" s="3">
        <f>_xlfn.IFNA(VLOOKUP($A176,[3]stockregister!$A$2:$L$2000,11,0),0)</f>
        <v>246</v>
      </c>
      <c r="H176" s="3">
        <f>_xlfn.IFNA(VLOOKUP($A176,[3]stockregister!$A$2:$L$2000,11,0),0)-$G176</f>
        <v>0</v>
      </c>
      <c r="I176" s="3">
        <f>_xlfn.IFNA(VLOOKUP($A176,[3]stockregister!$A$2:$L$2000,12,0),0)</f>
        <v>1426</v>
      </c>
      <c r="J176" s="3">
        <f>_xlfn.IFNA(VLOOKUP($A176,[3]stockregister!$A$1:$M$2000,12,0),0)-$I176</f>
        <v>0</v>
      </c>
      <c r="K176" s="3" t="s">
        <v>22</v>
      </c>
      <c r="L176" s="3" t="s">
        <v>23</v>
      </c>
      <c r="M176" s="3">
        <f>_xlfn.IFNA(VLOOKUP($A176,[2]stockregister!$A$2:$H$2000,8,0),0)</f>
        <v>1550</v>
      </c>
      <c r="N176" s="3">
        <f>_xlfn.IFNA(VLOOKUP($A176,[2]stockregister!$A$2:$H$2000,8,0),0)-$M176</f>
        <v>0</v>
      </c>
      <c r="O176" s="3" t="s">
        <v>551</v>
      </c>
      <c r="P176" s="3" t="s">
        <v>551</v>
      </c>
      <c r="Q176" s="3" t="s">
        <v>137</v>
      </c>
      <c r="R176" s="3" t="s">
        <v>68</v>
      </c>
      <c r="S176" s="3" t="s">
        <v>88</v>
      </c>
    </row>
    <row r="177" spans="1:19">
      <c r="A177" s="3">
        <v>2180</v>
      </c>
      <c r="B177" s="3" t="b">
        <f>ISNUMBER(MATCH(A177,[1]stockregister!$A$2:$A$2000,0))</f>
        <v>1</v>
      </c>
      <c r="C177" s="3" t="s">
        <v>552</v>
      </c>
      <c r="D177" s="3" t="str">
        <f>VLOOKUP($C177,[1]stockregister!$B$2:$B$2000,1,0)</f>
        <v>GRANT'S WITHOUT GLASS 750ML </v>
      </c>
      <c r="E177" s="3" t="str">
        <f>IF(ISNA($D177),VLOOKUP($A177,[2]stockregister!$A$2:$B$2000,2,FALSE),"")</f>
        <v/>
      </c>
      <c r="F177" s="3" t="s">
        <v>21</v>
      </c>
      <c r="G177" s="3">
        <f>_xlfn.IFNA(VLOOKUP($A177,[3]stockregister!$A$2:$L$2000,11,0),0)</f>
        <v>251</v>
      </c>
      <c r="H177" s="3">
        <f>_xlfn.IFNA(VLOOKUP($A177,[3]stockregister!$A$2:$L$2000,11,0),0)-$G177</f>
        <v>0</v>
      </c>
      <c r="I177" s="3">
        <f>_xlfn.IFNA(VLOOKUP($A177,[3]stockregister!$A$2:$L$2000,12,0),0)</f>
        <v>4200</v>
      </c>
      <c r="J177" s="3">
        <f>_xlfn.IFNA(VLOOKUP($A177,[3]stockregister!$A$1:$M$2000,12,0),0)-$I177</f>
        <v>0</v>
      </c>
      <c r="K177" s="3" t="s">
        <v>22</v>
      </c>
      <c r="L177" s="3" t="s">
        <v>23</v>
      </c>
      <c r="M177" s="3">
        <f>_xlfn.IFNA(VLOOKUP($A177,[2]stockregister!$A$2:$H$2000,8,0),0)</f>
        <v>4500</v>
      </c>
      <c r="N177" s="3">
        <f>_xlfn.IFNA(VLOOKUP($A177,[2]stockregister!$A$2:$H$2000,8,0),0)-$M177</f>
        <v>0</v>
      </c>
      <c r="O177" s="3" t="s">
        <v>553</v>
      </c>
      <c r="P177" s="3" t="s">
        <v>553</v>
      </c>
      <c r="Q177" s="3" t="s">
        <v>554</v>
      </c>
      <c r="R177" s="3" t="s">
        <v>68</v>
      </c>
      <c r="S177" s="3" t="s">
        <v>555</v>
      </c>
    </row>
    <row r="178" spans="1:18">
      <c r="A178" s="3">
        <v>1188</v>
      </c>
      <c r="B178" s="3" t="b">
        <f>ISNUMBER(MATCH(A178,[1]stockregister!$A$2:$A$2000,0))</f>
        <v>1</v>
      </c>
      <c r="C178" s="3" t="s">
        <v>556</v>
      </c>
      <c r="D178" s="3" t="str">
        <f>VLOOKUP($C178,[1]stockregister!$B$2:$B$2000,1,0)</f>
        <v>DALWHINNE 15YRS WHISKY 750ML </v>
      </c>
      <c r="E178" s="3" t="str">
        <f>IF(ISNA($D178),VLOOKUP($A178,[2]stockregister!$A$2:$B$2000,2,FALSE),"")</f>
        <v/>
      </c>
      <c r="F178" s="3" t="s">
        <v>21</v>
      </c>
      <c r="G178" s="3">
        <f>_xlfn.IFNA(VLOOKUP($A178,[3]stockregister!$A$2:$L$2000,11,0),0)</f>
        <v>246</v>
      </c>
      <c r="H178" s="3">
        <f>_xlfn.IFNA(VLOOKUP($A178,[3]stockregister!$A$2:$L$2000,11,0),0)-$G178</f>
        <v>0</v>
      </c>
      <c r="I178" s="3">
        <f>_xlfn.IFNA(VLOOKUP($A178,[3]stockregister!$A$2:$L$2000,12,0),0)</f>
        <v>2760</v>
      </c>
      <c r="J178" s="3">
        <f>_xlfn.IFNA(VLOOKUP($A178,[3]stockregister!$A$1:$M$2000,12,0),0)-$I178</f>
        <v>0</v>
      </c>
      <c r="K178" s="3" t="s">
        <v>22</v>
      </c>
      <c r="L178" s="3" t="s">
        <v>23</v>
      </c>
      <c r="M178" s="3">
        <f>_xlfn.IFNA(VLOOKUP($A178,[2]stockregister!$A$2:$H$2000,8,0),0)</f>
        <v>3000</v>
      </c>
      <c r="N178" s="3">
        <f>_xlfn.IFNA(VLOOKUP($A178,[2]stockregister!$A$2:$H$2000,8,0),0)-$M178</f>
        <v>0</v>
      </c>
      <c r="O178" s="3" t="s">
        <v>557</v>
      </c>
      <c r="P178" s="3" t="s">
        <v>557</v>
      </c>
      <c r="Q178" s="3" t="s">
        <v>558</v>
      </c>
      <c r="R178" s="3" t="s">
        <v>318</v>
      </c>
    </row>
    <row r="179" spans="1:19">
      <c r="A179" s="3">
        <v>2055</v>
      </c>
      <c r="B179" s="3" t="b">
        <f>ISNUMBER(MATCH(A179,[1]stockregister!$A$2:$A$2000,0))</f>
        <v>1</v>
      </c>
      <c r="C179" s="3" t="s">
        <v>559</v>
      </c>
      <c r="D179" s="3" t="str">
        <f>VLOOKUP($C179,[1]stockregister!$B$2:$B$2000,1,0)</f>
        <v>THE GLENLIVET GEORGE SMITH 12 YO  750ML</v>
      </c>
      <c r="E179" s="3" t="str">
        <f>IF(ISNA($D179),VLOOKUP($A179,[2]stockregister!$A$2:$B$2000,2,FALSE),"")</f>
        <v/>
      </c>
      <c r="F179" s="3" t="s">
        <v>21</v>
      </c>
      <c r="G179" s="3">
        <f>_xlfn.IFNA(VLOOKUP($A179,[3]stockregister!$A$2:$L$2000,11,0),0)</f>
        <v>246</v>
      </c>
      <c r="H179" s="3">
        <f>_xlfn.IFNA(VLOOKUP($A179,[3]stockregister!$A$2:$L$2000,11,0),0)-$G179</f>
        <v>0</v>
      </c>
      <c r="I179" s="3">
        <f>_xlfn.IFNA(VLOOKUP($A179,[3]stockregister!$A$2:$L$2000,12,0),0)</f>
        <v>1012</v>
      </c>
      <c r="J179" s="3">
        <f>_xlfn.IFNA(VLOOKUP($A179,[3]stockregister!$A$1:$M$2000,12,0),0)-$I179</f>
        <v>0</v>
      </c>
      <c r="K179" s="3" t="s">
        <v>22</v>
      </c>
      <c r="L179" s="3" t="s">
        <v>23</v>
      </c>
      <c r="M179" s="3">
        <f>_xlfn.IFNA(VLOOKUP($A179,[2]stockregister!$A$2:$H$2000,8,0),0)</f>
        <v>1100</v>
      </c>
      <c r="N179" s="3">
        <f>_xlfn.IFNA(VLOOKUP($A179,[2]stockregister!$A$2:$H$2000,8,0),0)-$M179</f>
        <v>0</v>
      </c>
      <c r="O179" s="3" t="s">
        <v>560</v>
      </c>
      <c r="P179" s="3" t="s">
        <v>560</v>
      </c>
      <c r="Q179" s="3" t="s">
        <v>451</v>
      </c>
      <c r="R179" s="3" t="s">
        <v>68</v>
      </c>
      <c r="S179" s="3" t="s">
        <v>549</v>
      </c>
    </row>
    <row r="180" spans="1:18">
      <c r="A180" s="3">
        <v>925</v>
      </c>
      <c r="B180" s="3" t="b">
        <f>ISNUMBER(MATCH(A180,[1]stockregister!$A$2:$A$2000,0))</f>
        <v>1</v>
      </c>
      <c r="C180" s="3" t="s">
        <v>561</v>
      </c>
      <c r="D180" s="3" t="str">
        <f>VLOOKUP($C180,[1]stockregister!$B$2:$B$2000,1,0)</f>
        <v>ABERLOUR 16 YRS  DOUBLE CASK WHISKY 700ML</v>
      </c>
      <c r="E180" s="3" t="str">
        <f>IF(ISNA($D180),VLOOKUP($A180,[2]stockregister!$A$2:$B$2000,2,FALSE),"")</f>
        <v/>
      </c>
      <c r="F180" s="3" t="s">
        <v>21</v>
      </c>
      <c r="G180" s="3">
        <f>_xlfn.IFNA(VLOOKUP($A180,[3]stockregister!$A$2:$L$2000,11,0),0)</f>
        <v>238</v>
      </c>
      <c r="H180" s="3">
        <f>_xlfn.IFNA(VLOOKUP($A180,[3]stockregister!$A$2:$L$2000,11,0),0)-$G180</f>
        <v>0</v>
      </c>
      <c r="I180" s="3">
        <f>_xlfn.IFNA(VLOOKUP($A180,[3]stockregister!$A$2:$L$2000,12,0),0)</f>
        <v>4416</v>
      </c>
      <c r="J180" s="3">
        <f>_xlfn.IFNA(VLOOKUP($A180,[3]stockregister!$A$1:$M$2000,12,0),0)-$I180</f>
        <v>0</v>
      </c>
      <c r="K180" s="3" t="s">
        <v>22</v>
      </c>
      <c r="L180" s="3" t="s">
        <v>23</v>
      </c>
      <c r="M180" s="3">
        <f>_xlfn.IFNA(VLOOKUP($A180,[2]stockregister!$A$2:$H$2000,8,0),0)</f>
        <v>4800</v>
      </c>
      <c r="N180" s="3">
        <f>_xlfn.IFNA(VLOOKUP($A180,[2]stockregister!$A$2:$H$2000,8,0),0)-$M180</f>
        <v>0</v>
      </c>
      <c r="O180" s="3" t="s">
        <v>562</v>
      </c>
      <c r="P180" s="3" t="s">
        <v>562</v>
      </c>
      <c r="Q180" s="3" t="s">
        <v>563</v>
      </c>
      <c r="R180" s="3" t="s">
        <v>318</v>
      </c>
    </row>
    <row r="181" spans="1:19">
      <c r="A181" s="3">
        <v>1187</v>
      </c>
      <c r="B181" s="3" t="b">
        <f>ISNUMBER(MATCH(A181,[1]stockregister!$A$2:$A$2000,0))</f>
        <v>1</v>
      </c>
      <c r="C181" s="3" t="s">
        <v>564</v>
      </c>
      <c r="D181" s="3" t="str">
        <f>VLOOKUP($C181,[1]stockregister!$B$2:$B$2000,1,0)</f>
        <v>ROYAL CIRCLE HONEY 750ML  </v>
      </c>
      <c r="E181" s="3" t="str">
        <f>IF(ISNA($D181),VLOOKUP($A181,[2]stockregister!$A$2:$B$2000,2,FALSE),"")</f>
        <v/>
      </c>
      <c r="F181" s="3" t="s">
        <v>21</v>
      </c>
      <c r="G181" s="3">
        <f>_xlfn.IFNA(VLOOKUP($A181,[3]stockregister!$A$2:$L$2000,11,0),0)</f>
        <v>192</v>
      </c>
      <c r="H181" s="3">
        <f>_xlfn.IFNA(VLOOKUP($A181,[3]stockregister!$A$2:$L$2000,11,0),0)-$G181</f>
        <v>0</v>
      </c>
      <c r="I181" s="3">
        <f>_xlfn.IFNA(VLOOKUP($A181,[3]stockregister!$A$2:$L$2000,12,0),0)</f>
        <v>54.17</v>
      </c>
      <c r="J181" s="3">
        <f>_xlfn.IFNA(VLOOKUP($A181,[3]stockregister!$A$1:$M$2000,12,0),0)-$I181</f>
        <v>0</v>
      </c>
      <c r="K181" s="3" t="s">
        <v>22</v>
      </c>
      <c r="L181" s="3" t="s">
        <v>23</v>
      </c>
      <c r="M181" s="3">
        <f>_xlfn.IFNA(VLOOKUP($A181,[2]stockregister!$A$2:$H$2000,8,0),0)</f>
        <v>70</v>
      </c>
      <c r="N181" s="3">
        <f>_xlfn.IFNA(VLOOKUP($A181,[2]stockregister!$A$2:$H$2000,8,0),0)-$M181</f>
        <v>0</v>
      </c>
      <c r="O181" s="3" t="s">
        <v>565</v>
      </c>
      <c r="P181" s="3" t="s">
        <v>565</v>
      </c>
      <c r="Q181" s="3" t="s">
        <v>566</v>
      </c>
      <c r="R181" s="3" t="s">
        <v>26</v>
      </c>
      <c r="S181" s="3" t="s">
        <v>240</v>
      </c>
    </row>
    <row r="182" spans="1:18">
      <c r="A182" s="3">
        <v>1665</v>
      </c>
      <c r="B182" s="3" t="b">
        <f>ISNUMBER(MATCH(A182,[1]stockregister!$A$2:$A$2000,0))</f>
        <v>1</v>
      </c>
      <c r="C182" s="3" t="s">
        <v>567</v>
      </c>
      <c r="D182" s="3" t="str">
        <f>VLOOKUP($C182,[1]stockregister!$B$2:$B$2000,1,0)</f>
        <v>JAMESON WHISKY  4.5LTR</v>
      </c>
      <c r="E182" s="3" t="str">
        <f>IF(ISNA($D182),VLOOKUP($A182,[2]stockregister!$A$2:$B$2000,2,FALSE),"")</f>
        <v/>
      </c>
      <c r="F182" s="3" t="s">
        <v>21</v>
      </c>
      <c r="G182" s="3">
        <f>_xlfn.IFNA(VLOOKUP($A182,[3]stockregister!$A$2:$L$2000,11,0),0)</f>
        <v>216</v>
      </c>
      <c r="H182" s="3">
        <f>_xlfn.IFNA(VLOOKUP($A182,[3]stockregister!$A$2:$L$2000,11,0),0)-$G182</f>
        <v>0</v>
      </c>
      <c r="I182" s="3">
        <f>_xlfn.IFNA(VLOOKUP($A182,[3]stockregister!$A$2:$L$2000,12,0),0)</f>
        <v>1223.98</v>
      </c>
      <c r="J182" s="3">
        <f>_xlfn.IFNA(VLOOKUP($A182,[3]stockregister!$A$1:$M$2000,12,0),0)-$I182</f>
        <v>0</v>
      </c>
      <c r="K182" s="3" t="s">
        <v>22</v>
      </c>
      <c r="L182" s="3" t="s">
        <v>23</v>
      </c>
      <c r="M182" s="3">
        <f>_xlfn.IFNA(VLOOKUP($A182,[2]stockregister!$A$2:$H$2000,8,0),0)</f>
        <v>1240</v>
      </c>
      <c r="N182" s="3">
        <f>_xlfn.IFNA(VLOOKUP($A182,[2]stockregister!$A$2:$H$2000,8,0),0)-$M182</f>
        <v>0</v>
      </c>
      <c r="O182" s="3" t="s">
        <v>568</v>
      </c>
      <c r="P182" s="3" t="s">
        <v>568</v>
      </c>
      <c r="Q182" s="3" t="s">
        <v>389</v>
      </c>
      <c r="R182" s="3" t="s">
        <v>109</v>
      </c>
    </row>
    <row r="183" spans="1:18">
      <c r="A183" s="3">
        <v>2041</v>
      </c>
      <c r="B183" s="3" t="b">
        <f>ISNUMBER(MATCH(A183,[1]stockregister!$A$2:$A$2000,0))</f>
        <v>1</v>
      </c>
      <c r="C183" s="3" t="s">
        <v>569</v>
      </c>
      <c r="D183" s="3" t="str">
        <f>VLOOKUP($C183,[1]stockregister!$B$2:$B$2000,1,0)</f>
        <v>HIGH COMMISSIONER  1LTR</v>
      </c>
      <c r="E183" s="3" t="str">
        <f>IF(ISNA($D183),VLOOKUP($A183,[2]stockregister!$A$2:$B$2000,2,FALSE),"")</f>
        <v/>
      </c>
      <c r="F183" s="3" t="s">
        <v>21</v>
      </c>
      <c r="G183" s="3">
        <f>_xlfn.IFNA(VLOOKUP($A183,[3]stockregister!$A$2:$L$2000,11,0),0)</f>
        <v>240</v>
      </c>
      <c r="H183" s="3">
        <f>_xlfn.IFNA(VLOOKUP($A183,[3]stockregister!$A$2:$L$2000,11,0),0)-$G183</f>
        <v>0</v>
      </c>
      <c r="I183" s="3">
        <f>_xlfn.IFNA(VLOOKUP($A183,[3]stockregister!$A$2:$L$2000,12,0),0)</f>
        <v>292.52</v>
      </c>
      <c r="J183" s="3">
        <f>_xlfn.IFNA(VLOOKUP($A183,[3]stockregister!$A$1:$M$2000,12,0),0)-$I183</f>
        <v>0</v>
      </c>
      <c r="K183" s="3" t="s">
        <v>22</v>
      </c>
      <c r="L183" s="3" t="s">
        <v>23</v>
      </c>
      <c r="M183" s="3">
        <f>_xlfn.IFNA(VLOOKUP($A183,[2]stockregister!$A$2:$H$2000,8,0),0)</f>
        <v>300</v>
      </c>
      <c r="N183" s="3">
        <f>_xlfn.IFNA(VLOOKUP($A183,[2]stockregister!$A$2:$H$2000,8,0),0)-$M183</f>
        <v>0</v>
      </c>
      <c r="O183" s="3" t="s">
        <v>570</v>
      </c>
      <c r="P183" s="3" t="s">
        <v>570</v>
      </c>
      <c r="Q183" s="3" t="s">
        <v>571</v>
      </c>
      <c r="R183" s="3" t="s">
        <v>126</v>
      </c>
    </row>
    <row r="184" spans="1:18">
      <c r="A184" s="3">
        <v>2864</v>
      </c>
      <c r="B184" s="3" t="b">
        <f>ISNUMBER(MATCH(A184,[1]stockregister!$A$2:$A$2000,0))</f>
        <v>1</v>
      </c>
      <c r="C184" s="3" t="s">
        <v>572</v>
      </c>
      <c r="D184" s="3" t="str">
        <f>VLOOKUP($C184,[1]stockregister!$B$2:$B$2000,1,0)</f>
        <v>VAT 69 1L</v>
      </c>
      <c r="E184" s="3" t="str">
        <f>IF(ISNA($D184),VLOOKUP($A184,[2]stockregister!$A$2:$B$2000,2,FALSE),"")</f>
        <v/>
      </c>
      <c r="F184" s="3" t="s">
        <v>21</v>
      </c>
      <c r="G184" s="3">
        <f>_xlfn.IFNA(VLOOKUP($A184,[3]stockregister!$A$2:$L$2000,11,0),0)</f>
        <v>80</v>
      </c>
      <c r="H184" s="3">
        <f>_xlfn.IFNA(VLOOKUP($A184,[3]stockregister!$A$2:$L$2000,11,0),0)-$G184</f>
        <v>0</v>
      </c>
      <c r="I184" s="3">
        <f>_xlfn.IFNA(VLOOKUP($A184,[3]stockregister!$A$2:$L$2000,12,0),0)</f>
        <v>191.03</v>
      </c>
      <c r="J184" s="3">
        <f>_xlfn.IFNA(VLOOKUP($A184,[3]stockregister!$A$1:$M$2000,12,0),0)-$I184</f>
        <v>0</v>
      </c>
      <c r="K184" s="3" t="s">
        <v>22</v>
      </c>
      <c r="L184" s="3" t="s">
        <v>23</v>
      </c>
      <c r="M184" s="3">
        <f>_xlfn.IFNA(VLOOKUP($A184,[2]stockregister!$A$2:$H$2000,8,0),0)</f>
        <v>195</v>
      </c>
      <c r="N184" s="3">
        <f>_xlfn.IFNA(VLOOKUP($A184,[2]stockregister!$A$2:$H$2000,8,0),0)-$M184</f>
        <v>0</v>
      </c>
      <c r="O184" s="3" t="s">
        <v>573</v>
      </c>
      <c r="P184" s="3" t="s">
        <v>573</v>
      </c>
      <c r="Q184" s="3" t="s">
        <v>574</v>
      </c>
      <c r="R184" s="3" t="s">
        <v>466</v>
      </c>
    </row>
    <row r="185" spans="1:19">
      <c r="A185" s="3">
        <v>217</v>
      </c>
      <c r="B185" s="3" t="b">
        <f>ISNUMBER(MATCH(A185,[1]stockregister!$A$2:$A$2000,0))</f>
        <v>1</v>
      </c>
      <c r="C185" s="3" t="s">
        <v>575</v>
      </c>
      <c r="D185" s="3" t="str">
        <f>VLOOKUP($C185,[1]stockregister!$B$2:$B$2000,1,0)</f>
        <v>GLENFIDDICH 25YRS WHISKY 750ML </v>
      </c>
      <c r="E185" s="3" t="str">
        <f>IF(ISNA($D185),VLOOKUP($A185,[2]stockregister!$A$2:$B$2000,2,FALSE),"")</f>
        <v/>
      </c>
      <c r="F185" s="3" t="s">
        <v>21</v>
      </c>
      <c r="G185" s="3">
        <f>_xlfn.IFNA(VLOOKUP($A185,[3]stockregister!$A$2:$L$2000,11,0),0)</f>
        <v>204</v>
      </c>
      <c r="H185" s="3">
        <f>_xlfn.IFNA(VLOOKUP($A185,[3]stockregister!$A$2:$L$2000,11,0),0)-$G185</f>
        <v>0</v>
      </c>
      <c r="I185" s="3">
        <f>_xlfn.IFNA(VLOOKUP($A185,[3]stockregister!$A$2:$L$2000,12,0),0)</f>
        <v>901.6</v>
      </c>
      <c r="J185" s="3">
        <f>_xlfn.IFNA(VLOOKUP($A185,[3]stockregister!$A$1:$M$2000,12,0),0)-$I185</f>
        <v>0</v>
      </c>
      <c r="K185" s="3" t="s">
        <v>22</v>
      </c>
      <c r="L185" s="3" t="s">
        <v>23</v>
      </c>
      <c r="M185" s="3">
        <f>_xlfn.IFNA(VLOOKUP($A185,[2]stockregister!$A$2:$H$2000,8,0),0)</f>
        <v>1030</v>
      </c>
      <c r="N185" s="3">
        <f>_xlfn.IFNA(VLOOKUP($A185,[2]stockregister!$A$2:$H$2000,8,0),0)-$M185</f>
        <v>0</v>
      </c>
      <c r="O185" s="3" t="s">
        <v>576</v>
      </c>
      <c r="P185" s="3" t="s">
        <v>576</v>
      </c>
      <c r="Q185" s="3" t="s">
        <v>77</v>
      </c>
      <c r="R185" s="3" t="s">
        <v>92</v>
      </c>
      <c r="S185" s="3" t="s">
        <v>577</v>
      </c>
    </row>
    <row r="186" spans="1:19">
      <c r="A186" s="3">
        <v>1901</v>
      </c>
      <c r="B186" s="3" t="b">
        <f>ISNUMBER(MATCH(A186,[1]stockregister!$A$2:$A$2000,0))</f>
        <v>1</v>
      </c>
      <c r="C186" s="3" t="s">
        <v>578</v>
      </c>
      <c r="D186" s="3" t="str">
        <f>VLOOKUP($C186,[1]stockregister!$B$2:$B$2000,1,0)</f>
        <v>GRANTS 12YRS WHISKY 750ML </v>
      </c>
      <c r="E186" s="3" t="str">
        <f>IF(ISNA($D186),VLOOKUP($A186,[2]stockregister!$A$2:$B$2000,2,FALSE),"")</f>
        <v/>
      </c>
      <c r="F186" s="3" t="s">
        <v>21</v>
      </c>
      <c r="G186" s="3">
        <f>_xlfn.IFNA(VLOOKUP($A186,[3]stockregister!$A$2:$L$2000,11,0),0)</f>
        <v>238</v>
      </c>
      <c r="H186" s="3">
        <f>_xlfn.IFNA(VLOOKUP($A186,[3]stockregister!$A$2:$L$2000,11,0),0)-$G186</f>
        <v>0</v>
      </c>
      <c r="I186" s="3">
        <f>_xlfn.IFNA(VLOOKUP($A186,[3]stockregister!$A$2:$L$2000,12,0),0)</f>
        <v>1472</v>
      </c>
      <c r="J186" s="3">
        <f>_xlfn.IFNA(VLOOKUP($A186,[3]stockregister!$A$1:$M$2000,12,0),0)-$I186</f>
        <v>0</v>
      </c>
      <c r="K186" s="3" t="s">
        <v>22</v>
      </c>
      <c r="L186" s="3" t="s">
        <v>23</v>
      </c>
      <c r="M186" s="3">
        <f>_xlfn.IFNA(VLOOKUP($A186,[2]stockregister!$A$2:$H$2000,8,0),0)</f>
        <v>1600</v>
      </c>
      <c r="N186" s="3">
        <f>_xlfn.IFNA(VLOOKUP($A186,[2]stockregister!$A$2:$H$2000,8,0),0)-$M186</f>
        <v>0</v>
      </c>
      <c r="O186" s="3" t="s">
        <v>579</v>
      </c>
      <c r="P186" s="3" t="s">
        <v>579</v>
      </c>
      <c r="Q186" s="3" t="s">
        <v>541</v>
      </c>
      <c r="R186" s="3" t="s">
        <v>78</v>
      </c>
      <c r="S186" s="3" t="s">
        <v>580</v>
      </c>
    </row>
    <row r="187" spans="1:18">
      <c r="A187" s="3">
        <v>388</v>
      </c>
      <c r="B187" s="3" t="b">
        <f>ISNUMBER(MATCH(A187,[1]stockregister!$A$2:$A$2000,0))</f>
        <v>1</v>
      </c>
      <c r="C187" s="3" t="s">
        <v>581</v>
      </c>
      <c r="D187" s="3" t="str">
        <f>VLOOKUP($C187,[1]stockregister!$B$2:$B$2000,1,0)</f>
        <v>HARRINGTON  WHISKY 750ML</v>
      </c>
      <c r="E187" s="3" t="str">
        <f>IF(ISNA($D187),VLOOKUP($A187,[2]stockregister!$A$2:$B$2000,2,FALSE),"")</f>
        <v/>
      </c>
      <c r="F187" s="3" t="s">
        <v>21</v>
      </c>
      <c r="G187" s="3">
        <f>_xlfn.IFNA(VLOOKUP($A187,[3]stockregister!$A$2:$L$2000,11,0),0)</f>
        <v>156</v>
      </c>
      <c r="H187" s="3">
        <f>_xlfn.IFNA(VLOOKUP($A187,[3]stockregister!$A$2:$L$2000,11,0),0)-$G187</f>
        <v>0</v>
      </c>
      <c r="I187" s="3">
        <f>_xlfn.IFNA(VLOOKUP($A187,[3]stockregister!$A$2:$L$2000,12,0),0)</f>
        <v>347.07</v>
      </c>
      <c r="J187" s="3">
        <f>_xlfn.IFNA(VLOOKUP($A187,[3]stockregister!$A$1:$M$2000,12,0),0)-$I187</f>
        <v>0</v>
      </c>
      <c r="K187" s="3" t="s">
        <v>22</v>
      </c>
      <c r="L187" s="3" t="s">
        <v>23</v>
      </c>
      <c r="M187" s="3">
        <f>_xlfn.IFNA(VLOOKUP($A187,[2]stockregister!$A$2:$H$2000,8,0),0)</f>
        <v>360</v>
      </c>
      <c r="N187" s="3">
        <f>_xlfn.IFNA(VLOOKUP($A187,[2]stockregister!$A$2:$H$2000,8,0),0)-$M187</f>
        <v>0</v>
      </c>
      <c r="O187" s="3" t="s">
        <v>582</v>
      </c>
      <c r="P187" s="3" t="s">
        <v>582</v>
      </c>
      <c r="Q187" s="3" t="s">
        <v>583</v>
      </c>
      <c r="R187" s="3" t="s">
        <v>78</v>
      </c>
    </row>
    <row r="188" spans="1:19">
      <c r="A188" s="3">
        <v>962</v>
      </c>
      <c r="B188" s="3" t="b">
        <f>ISNUMBER(MATCH(A188,[1]stockregister!$A$2:$A$2000,0))</f>
        <v>1</v>
      </c>
      <c r="C188" s="3" t="s">
        <v>584</v>
      </c>
      <c r="D188" s="3" t="str">
        <f>VLOOKUP($C188,[1]stockregister!$B$2:$B$2000,1,0)</f>
        <v>JOHNNIE WALKER BLONDE  750ml</v>
      </c>
      <c r="E188" s="3" t="str">
        <f>IF(ISNA($D188),VLOOKUP($A188,[2]stockregister!$A$2:$B$2000,2,FALSE),"")</f>
        <v/>
      </c>
      <c r="F188" s="3" t="s">
        <v>21</v>
      </c>
      <c r="G188" s="3">
        <f>_xlfn.IFNA(VLOOKUP($A188,[3]stockregister!$A$2:$L$2000,11,0),0)</f>
        <v>166</v>
      </c>
      <c r="H188" s="3">
        <f>_xlfn.IFNA(VLOOKUP($A188,[3]stockregister!$A$2:$L$2000,11,0),0)-$G188</f>
        <v>0</v>
      </c>
      <c r="I188" s="3">
        <f>_xlfn.IFNA(VLOOKUP($A188,[3]stockregister!$A$2:$L$2000,12,0),0)</f>
        <v>4500</v>
      </c>
      <c r="J188" s="3">
        <f>_xlfn.IFNA(VLOOKUP($A188,[3]stockregister!$A$1:$M$2000,12,0),0)-$I188</f>
        <v>0</v>
      </c>
      <c r="K188" s="3" t="s">
        <v>22</v>
      </c>
      <c r="L188" s="3" t="s">
        <v>23</v>
      </c>
      <c r="M188" s="3">
        <f>_xlfn.IFNA(VLOOKUP($A188,[2]stockregister!$A$2:$H$2000,8,0),0)</f>
        <v>4800</v>
      </c>
      <c r="N188" s="3">
        <f>_xlfn.IFNA(VLOOKUP($A188,[2]stockregister!$A$2:$H$2000,8,0),0)-$M188</f>
        <v>0</v>
      </c>
      <c r="O188" s="3" t="s">
        <v>585</v>
      </c>
      <c r="P188" s="3" t="s">
        <v>585</v>
      </c>
      <c r="Q188" s="3" t="s">
        <v>227</v>
      </c>
      <c r="R188" s="3" t="s">
        <v>102</v>
      </c>
      <c r="S188" s="3" t="s">
        <v>103</v>
      </c>
    </row>
    <row r="189" spans="1:18">
      <c r="A189" s="3">
        <v>489</v>
      </c>
      <c r="B189" s="3" t="b">
        <f>ISNUMBER(MATCH(A189,[1]stockregister!$A$2:$A$2000,0))</f>
        <v>1</v>
      </c>
      <c r="C189" s="3" t="s">
        <v>586</v>
      </c>
      <c r="D189" s="3" t="str">
        <f>VLOOKUP($C189,[1]stockregister!$B$2:$B$2000,1,0)</f>
        <v>JOHNNIE WALKER  PLATINUM WHISKY 1LTR</v>
      </c>
      <c r="E189" s="3" t="str">
        <f>IF(ISNA($D189),VLOOKUP($A189,[2]stockregister!$A$2:$B$2000,2,FALSE),"")</f>
        <v/>
      </c>
      <c r="F189" s="3" t="s">
        <v>21</v>
      </c>
      <c r="G189" s="3">
        <f>_xlfn.IFNA(VLOOKUP($A189,[3]stockregister!$A$2:$L$2000,11,0),0)</f>
        <v>231</v>
      </c>
      <c r="H189" s="3">
        <f>_xlfn.IFNA(VLOOKUP($A189,[3]stockregister!$A$2:$L$2000,11,0),0)-$G189</f>
        <v>0</v>
      </c>
      <c r="I189" s="3">
        <f>_xlfn.IFNA(VLOOKUP($A189,[3]stockregister!$A$2:$L$2000,12,0),0)</f>
        <v>2585</v>
      </c>
      <c r="J189" s="3">
        <f>_xlfn.IFNA(VLOOKUP($A189,[3]stockregister!$A$1:$M$2000,12,0),0)-$I189</f>
        <v>0</v>
      </c>
      <c r="K189" s="3" t="s">
        <v>22</v>
      </c>
      <c r="L189" s="3" t="s">
        <v>23</v>
      </c>
      <c r="M189" s="3">
        <f>_xlfn.IFNA(VLOOKUP($A189,[2]stockregister!$A$2:$H$2000,8,0),0)</f>
        <v>4800</v>
      </c>
      <c r="N189" s="3">
        <f>_xlfn.IFNA(VLOOKUP($A189,[2]stockregister!$A$2:$H$2000,8,0),0)-$M189</f>
        <v>0</v>
      </c>
      <c r="O189" s="3" t="s">
        <v>587</v>
      </c>
      <c r="P189" s="3" t="s">
        <v>587</v>
      </c>
      <c r="Q189" s="3" t="s">
        <v>588</v>
      </c>
      <c r="R189" s="3" t="s">
        <v>318</v>
      </c>
    </row>
    <row r="190" spans="1:19">
      <c r="A190" s="3">
        <v>1015</v>
      </c>
      <c r="B190" s="3" t="b">
        <f>ISNUMBER(MATCH(A190,[1]stockregister!$A$2:$A$2000,0))</f>
        <v>1</v>
      </c>
      <c r="C190" s="3" t="s">
        <v>589</v>
      </c>
      <c r="D190" s="3" t="str">
        <f>VLOOKUP($C190,[1]stockregister!$B$2:$B$2000,1,0)</f>
        <v>SIR EDWARDS WHISKY  4.5LTR</v>
      </c>
      <c r="E190" s="3" t="str">
        <f>IF(ISNA($D190),VLOOKUP($A190,[2]stockregister!$A$2:$B$2000,2,FALSE),"")</f>
        <v/>
      </c>
      <c r="F190" s="3" t="s">
        <v>21</v>
      </c>
      <c r="G190" s="3">
        <f>_xlfn.IFNA(VLOOKUP($A190,[3]stockregister!$A$2:$L$2000,11,0),0)</f>
        <v>204</v>
      </c>
      <c r="H190" s="3">
        <f>_xlfn.IFNA(VLOOKUP($A190,[3]stockregister!$A$2:$L$2000,11,0),0)-$G190</f>
        <v>0</v>
      </c>
      <c r="I190" s="3">
        <f>_xlfn.IFNA(VLOOKUP($A190,[3]stockregister!$A$2:$L$2000,12,0),0)</f>
        <v>1600</v>
      </c>
      <c r="J190" s="3">
        <f>_xlfn.IFNA(VLOOKUP($A190,[3]stockregister!$A$1:$M$2000,12,0),0)-$I190</f>
        <v>0</v>
      </c>
      <c r="K190" s="3" t="s">
        <v>22</v>
      </c>
      <c r="L190" s="3" t="s">
        <v>23</v>
      </c>
      <c r="M190" s="3">
        <f>_xlfn.IFNA(VLOOKUP($A190,[2]stockregister!$A$2:$H$2000,8,0),0)</f>
        <v>2000</v>
      </c>
      <c r="N190" s="3">
        <f>_xlfn.IFNA(VLOOKUP($A190,[2]stockregister!$A$2:$H$2000,8,0),0)-$M190</f>
        <v>0</v>
      </c>
      <c r="O190" s="3" t="s">
        <v>590</v>
      </c>
      <c r="P190" s="3" t="s">
        <v>590</v>
      </c>
      <c r="Q190" s="3" t="s">
        <v>591</v>
      </c>
      <c r="R190" s="3" t="s">
        <v>92</v>
      </c>
      <c r="S190" s="3" t="s">
        <v>134</v>
      </c>
    </row>
    <row r="191" spans="1:19">
      <c r="A191" s="3">
        <v>233</v>
      </c>
      <c r="B191" s="3" t="b">
        <f>ISNUMBER(MATCH(A191,[1]stockregister!$A$2:$A$2000,0))</f>
        <v>1</v>
      </c>
      <c r="C191" s="3" t="s">
        <v>592</v>
      </c>
      <c r="D191" s="3" t="str">
        <f>VLOOKUP($C191,[1]stockregister!$B$2:$B$2000,1,0)</f>
        <v>TALISKER  NEIST POINT 700ml</v>
      </c>
      <c r="E191" s="3" t="str">
        <f>IF(ISNA($D191),VLOOKUP($A191,[2]stockregister!$A$2:$B$2000,2,FALSE),"")</f>
        <v/>
      </c>
      <c r="F191" s="3" t="s">
        <v>21</v>
      </c>
      <c r="G191" s="3">
        <f>_xlfn.IFNA(VLOOKUP($A191,[3]stockregister!$A$2:$L$2000,11,0),0)</f>
        <v>204</v>
      </c>
      <c r="H191" s="3">
        <f>_xlfn.IFNA(VLOOKUP($A191,[3]stockregister!$A$2:$L$2000,11,0),0)-$G191</f>
        <v>0</v>
      </c>
      <c r="I191" s="3">
        <f>_xlfn.IFNA(VLOOKUP($A191,[3]stockregister!$A$2:$L$2000,12,0),0)</f>
        <v>849</v>
      </c>
      <c r="J191" s="3">
        <f>_xlfn.IFNA(VLOOKUP($A191,[3]stockregister!$A$1:$M$2000,12,0),0)-$I191</f>
        <v>0</v>
      </c>
      <c r="K191" s="3" t="s">
        <v>22</v>
      </c>
      <c r="L191" s="3" t="s">
        <v>23</v>
      </c>
      <c r="M191" s="3">
        <f>_xlfn.IFNA(VLOOKUP($A191,[2]stockregister!$A$2:$H$2000,8,0),0)</f>
        <v>950</v>
      </c>
      <c r="N191" s="3">
        <f>_xlfn.IFNA(VLOOKUP($A191,[2]stockregister!$A$2:$H$2000,8,0),0)-$M191</f>
        <v>0</v>
      </c>
      <c r="O191" s="3" t="s">
        <v>593</v>
      </c>
      <c r="P191" s="3" t="s">
        <v>593</v>
      </c>
      <c r="Q191" s="3" t="s">
        <v>594</v>
      </c>
      <c r="R191" s="3" t="s">
        <v>68</v>
      </c>
      <c r="S191" s="3" t="s">
        <v>88</v>
      </c>
    </row>
    <row r="192" spans="1:19">
      <c r="A192" s="3">
        <v>598</v>
      </c>
      <c r="B192" s="3" t="b">
        <f>ISNUMBER(MATCH(A192,[1]stockregister!$A$2:$A$2000,0))</f>
        <v>1</v>
      </c>
      <c r="C192" s="3" t="s">
        <v>595</v>
      </c>
      <c r="D192" s="3" t="str">
        <f>VLOOKUP($C192,[1]stockregister!$B$2:$B$2000,1,0)</f>
        <v>LUC BELAIRE  RARE BRUT 750ML</v>
      </c>
      <c r="E192" s="3" t="str">
        <f>IF(ISNA($D192),VLOOKUP($A192,[2]stockregister!$A$2:$B$2000,2,FALSE),"")</f>
        <v/>
      </c>
      <c r="F192" s="3" t="s">
        <v>21</v>
      </c>
      <c r="G192" s="3">
        <f>_xlfn.IFNA(VLOOKUP($A192,[3]stockregister!$A$2:$L$2000,11,0),0)</f>
        <v>228</v>
      </c>
      <c r="H192" s="3">
        <f>_xlfn.IFNA(VLOOKUP($A192,[3]stockregister!$A$2:$L$2000,11,0),0)-$G192</f>
        <v>0</v>
      </c>
      <c r="I192" s="3">
        <f>_xlfn.IFNA(VLOOKUP($A192,[3]stockregister!$A$2:$L$2000,12,0),0)</f>
        <v>672</v>
      </c>
      <c r="J192" s="3">
        <f>_xlfn.IFNA(VLOOKUP($A192,[3]stockregister!$A$1:$M$2000,12,0),0)-$I192</f>
        <v>0</v>
      </c>
      <c r="K192" s="3" t="s">
        <v>22</v>
      </c>
      <c r="L192" s="3" t="s">
        <v>23</v>
      </c>
      <c r="M192" s="3">
        <f>_xlfn.IFNA(VLOOKUP($A192,[2]stockregister!$A$2:$H$2000,8,0),0)</f>
        <v>850</v>
      </c>
      <c r="N192" s="3">
        <f>_xlfn.IFNA(VLOOKUP($A192,[2]stockregister!$A$2:$H$2000,8,0),0)-$M192</f>
        <v>0</v>
      </c>
      <c r="O192" s="3" t="s">
        <v>596</v>
      </c>
      <c r="P192" s="3" t="s">
        <v>596</v>
      </c>
      <c r="Q192" s="3" t="s">
        <v>345</v>
      </c>
      <c r="R192" s="3" t="s">
        <v>68</v>
      </c>
      <c r="S192" s="3" t="s">
        <v>69</v>
      </c>
    </row>
    <row r="193" spans="1:18">
      <c r="A193" s="3">
        <v>2422</v>
      </c>
      <c r="B193" s="3" t="b">
        <f>ISNUMBER(MATCH(A193,[1]stockregister!$A$2:$A$2000,0))</f>
        <v>1</v>
      </c>
      <c r="C193" s="3" t="s">
        <v>597</v>
      </c>
      <c r="D193" s="3" t="str">
        <f>VLOOKUP($C193,[1]stockregister!$B$2:$B$2000,1,0)</f>
        <v>FRONTERA CAB  BLUSH 750ML</v>
      </c>
      <c r="E193" s="3" t="str">
        <f>IF(ISNA($D193),VLOOKUP($A193,[2]stockregister!$A$2:$B$2000,2,FALSE),"")</f>
        <v/>
      </c>
      <c r="F193" s="3" t="s">
        <v>21</v>
      </c>
      <c r="G193" s="3">
        <f>_xlfn.IFNA(VLOOKUP($A193,[3]stockregister!$A$2:$L$2000,11,0),0)</f>
        <v>419</v>
      </c>
      <c r="H193" s="3">
        <f>_xlfn.IFNA(VLOOKUP($A193,[3]stockregister!$A$2:$L$2000,11,0),0)-$G193</f>
        <v>0</v>
      </c>
      <c r="I193" s="3">
        <f>_xlfn.IFNA(VLOOKUP($A193,[3]stockregister!$A$2:$L$2000,12,0),0)</f>
        <v>551</v>
      </c>
      <c r="J193" s="3">
        <f>_xlfn.IFNA(VLOOKUP($A193,[3]stockregister!$A$1:$M$2000,12,0),0)-$I193</f>
        <v>0</v>
      </c>
      <c r="K193" s="3" t="s">
        <v>22</v>
      </c>
      <c r="L193" s="3" t="s">
        <v>23</v>
      </c>
      <c r="M193" s="3">
        <f>_xlfn.IFNA(VLOOKUP($A193,[2]stockregister!$A$2:$H$2000,8,0),0)</f>
        <v>576</v>
      </c>
      <c r="N193" s="3">
        <f>_xlfn.IFNA(VLOOKUP($A193,[2]stockregister!$A$2:$H$2000,8,0),0)-$M193</f>
        <v>0</v>
      </c>
      <c r="O193" s="3" t="s">
        <v>598</v>
      </c>
      <c r="P193" s="3" t="s">
        <v>598</v>
      </c>
      <c r="Q193" s="3" t="s">
        <v>245</v>
      </c>
      <c r="R193" s="3" t="s">
        <v>78</v>
      </c>
    </row>
    <row r="194" spans="1:19">
      <c r="A194" s="3">
        <v>56</v>
      </c>
      <c r="B194" s="3" t="b">
        <f>ISNUMBER(MATCH(A194,[1]stockregister!$A$2:$A$2000,0))</f>
        <v>1</v>
      </c>
      <c r="C194" s="3" t="s">
        <v>599</v>
      </c>
      <c r="D194" s="3" t="str">
        <f>VLOOKUP($C194,[1]stockregister!$B$2:$B$2000,1,0)</f>
        <v>FRONTERA CAB SAUV  1.5LTR</v>
      </c>
      <c r="E194" s="3" t="str">
        <f>IF(ISNA($D194),VLOOKUP($A194,[2]stockregister!$A$2:$B$2000,2,FALSE),"")</f>
        <v/>
      </c>
      <c r="F194" s="3" t="s">
        <v>21</v>
      </c>
      <c r="G194" s="3">
        <f>_xlfn.IFNA(VLOOKUP($A194,[3]stockregister!$A$2:$L$2000,11,0),0)</f>
        <v>227</v>
      </c>
      <c r="H194" s="3">
        <f>_xlfn.IFNA(VLOOKUP($A194,[3]stockregister!$A$2:$L$2000,11,0),0)-$G194</f>
        <v>0</v>
      </c>
      <c r="I194" s="3">
        <f>_xlfn.IFNA(VLOOKUP($A194,[3]stockregister!$A$2:$L$2000,12,0),0)</f>
        <v>1830</v>
      </c>
      <c r="J194" s="3">
        <f>_xlfn.IFNA(VLOOKUP($A194,[3]stockregister!$A$1:$M$2000,12,0),0)-$I194</f>
        <v>0</v>
      </c>
      <c r="K194" s="3" t="s">
        <v>22</v>
      </c>
      <c r="L194" s="3" t="s">
        <v>23</v>
      </c>
      <c r="M194" s="3">
        <f>_xlfn.IFNA(VLOOKUP($A194,[2]stockregister!$A$2:$H$2000,8,0),0)</f>
        <v>2200</v>
      </c>
      <c r="N194" s="3">
        <f>_xlfn.IFNA(VLOOKUP($A194,[2]stockregister!$A$2:$H$2000,8,0),0)-$M194</f>
        <v>0</v>
      </c>
      <c r="O194" s="3" t="s">
        <v>600</v>
      </c>
      <c r="P194" s="3" t="s">
        <v>600</v>
      </c>
      <c r="Q194" s="3" t="s">
        <v>358</v>
      </c>
      <c r="R194" s="3" t="s">
        <v>318</v>
      </c>
      <c r="S194" s="3" t="s">
        <v>601</v>
      </c>
    </row>
    <row r="195" spans="1:19">
      <c r="A195" s="3">
        <v>2162</v>
      </c>
      <c r="B195" s="3" t="b">
        <f>ISNUMBER(MATCH(A195,[1]stockregister!$A$2:$A$2000,0))</f>
        <v>1</v>
      </c>
      <c r="C195" s="3" t="s">
        <v>602</v>
      </c>
      <c r="D195" s="3" t="str">
        <f>VLOOKUP($C195,[1]stockregister!$B$2:$B$2000,1,0)</f>
        <v>ROCHE MAZET CAB SAUV  750ml </v>
      </c>
      <c r="E195" s="3" t="str">
        <f>IF(ISNA($D195),VLOOKUP($A195,[2]stockregister!$A$2:$B$2000,2,FALSE),"")</f>
        <v/>
      </c>
      <c r="F195" s="3" t="s">
        <v>21</v>
      </c>
      <c r="G195" s="3">
        <f>_xlfn.IFNA(VLOOKUP($A195,[3]stockregister!$A$2:$L$2000,11,0),0)</f>
        <v>223</v>
      </c>
      <c r="H195" s="3">
        <f>_xlfn.IFNA(VLOOKUP($A195,[3]stockregister!$A$2:$L$2000,11,0),0)-$G195</f>
        <v>0</v>
      </c>
      <c r="I195" s="3">
        <f>_xlfn.IFNA(VLOOKUP($A195,[3]stockregister!$A$2:$L$2000,12,0),0)</f>
        <v>1600</v>
      </c>
      <c r="J195" s="3">
        <f>_xlfn.IFNA(VLOOKUP($A195,[3]stockregister!$A$1:$M$2000,12,0),0)-$I195</f>
        <v>0</v>
      </c>
      <c r="K195" s="3" t="s">
        <v>22</v>
      </c>
      <c r="L195" s="3" t="s">
        <v>23</v>
      </c>
      <c r="M195" s="3">
        <f>_xlfn.IFNA(VLOOKUP($A195,[2]stockregister!$A$2:$H$2000,8,0),0)</f>
        <v>1650</v>
      </c>
      <c r="N195" s="3">
        <f>_xlfn.IFNA(VLOOKUP($A195,[2]stockregister!$A$2:$H$2000,8,0),0)-$M195</f>
        <v>0</v>
      </c>
      <c r="O195" s="3" t="s">
        <v>603</v>
      </c>
      <c r="P195" s="3" t="s">
        <v>603</v>
      </c>
      <c r="Q195" s="3" t="s">
        <v>263</v>
      </c>
      <c r="R195" s="3" t="s">
        <v>92</v>
      </c>
      <c r="S195" s="3" t="s">
        <v>284</v>
      </c>
    </row>
    <row r="196" spans="1:19">
      <c r="A196" s="3">
        <v>2147</v>
      </c>
      <c r="B196" s="3" t="b">
        <f>ISNUMBER(MATCH(A196,[1]stockregister!$A$2:$A$2000,0))</f>
        <v>1</v>
      </c>
      <c r="C196" s="3" t="s">
        <v>604</v>
      </c>
      <c r="D196" s="3" t="str">
        <f>VLOOKUP($C196,[1]stockregister!$B$2:$B$2000,1,0)</f>
        <v>ROCHE MAZET CHARDONNAY 750ML </v>
      </c>
      <c r="E196" s="3" t="str">
        <f>IF(ISNA($D196),VLOOKUP($A196,[2]stockregister!$A$2:$B$2000,2,FALSE),"")</f>
        <v/>
      </c>
      <c r="F196" s="3" t="s">
        <v>21</v>
      </c>
      <c r="G196" s="3">
        <f>_xlfn.IFNA(VLOOKUP($A196,[3]stockregister!$A$2:$L$2000,11,0),0)</f>
        <v>226</v>
      </c>
      <c r="H196" s="3">
        <f>_xlfn.IFNA(VLOOKUP($A196,[3]stockregister!$A$2:$L$2000,11,0),0)-$G196</f>
        <v>0</v>
      </c>
      <c r="I196" s="3">
        <f>_xlfn.IFNA(VLOOKUP($A196,[3]stockregister!$A$2:$L$2000,12,0),0)</f>
        <v>1334</v>
      </c>
      <c r="J196" s="3">
        <f>_xlfn.IFNA(VLOOKUP($A196,[3]stockregister!$A$1:$M$2000,12,0),0)-$I196</f>
        <v>0</v>
      </c>
      <c r="K196" s="3" t="s">
        <v>22</v>
      </c>
      <c r="L196" s="3" t="s">
        <v>23</v>
      </c>
      <c r="M196" s="3">
        <f>_xlfn.IFNA(VLOOKUP($A196,[2]stockregister!$A$2:$H$2000,8,0),0)</f>
        <v>1450</v>
      </c>
      <c r="N196" s="3">
        <f>_xlfn.IFNA(VLOOKUP($A196,[2]stockregister!$A$2:$H$2000,8,0),0)-$M196</f>
        <v>0</v>
      </c>
      <c r="O196" s="3" t="s">
        <v>605</v>
      </c>
      <c r="P196" s="3" t="s">
        <v>605</v>
      </c>
      <c r="Q196" s="3" t="s">
        <v>606</v>
      </c>
      <c r="R196" s="3" t="s">
        <v>126</v>
      </c>
      <c r="S196" s="3" t="s">
        <v>607</v>
      </c>
    </row>
    <row r="197" spans="1:20">
      <c r="A197" s="3">
        <v>857</v>
      </c>
      <c r="B197" s="3" t="b">
        <f>ISNUMBER(MATCH(A197,[1]stockregister!$A$2:$A$2000,0))</f>
        <v>1</v>
      </c>
      <c r="C197" s="3" t="s">
        <v>608</v>
      </c>
      <c r="D197" s="3" t="str">
        <f>VLOOKUP($C197,[1]stockregister!$B$2:$B$2000,1,0)</f>
        <v>ROBERTSON  WINERY CHENIN BLANC 750ML</v>
      </c>
      <c r="E197" s="3" t="str">
        <f>IF(ISNA($D197),VLOOKUP($A197,[2]stockregister!$A$2:$B$2000,2,FALSE),"")</f>
        <v/>
      </c>
      <c r="F197" s="3" t="s">
        <v>21</v>
      </c>
      <c r="G197" s="3">
        <f>_xlfn.IFNA(VLOOKUP($A197,[3]stockregister!$A$2:$L$2000,11,0),0)</f>
        <v>222</v>
      </c>
      <c r="H197" s="3">
        <f>_xlfn.IFNA(VLOOKUP($A197,[3]stockregister!$A$2:$L$2000,11,0),0)-$G197</f>
        <v>0</v>
      </c>
      <c r="I197" s="3">
        <f>_xlfn.IFNA(VLOOKUP($A197,[3]stockregister!$A$2:$L$2000,12,0),0)</f>
        <v>6000</v>
      </c>
      <c r="J197" s="3">
        <f>_xlfn.IFNA(VLOOKUP($A197,[3]stockregister!$A$1:$M$2000,12,0),0)-$I197</f>
        <v>0</v>
      </c>
      <c r="K197" s="3" t="s">
        <v>22</v>
      </c>
      <c r="L197" s="3" t="s">
        <v>23</v>
      </c>
      <c r="M197" s="3">
        <f>_xlfn.IFNA(VLOOKUP($A197,[2]stockregister!$A$2:$H$2000,8,0),0)</f>
        <v>7500</v>
      </c>
      <c r="N197" s="3">
        <f>_xlfn.IFNA(VLOOKUP($A197,[2]stockregister!$A$2:$H$2000,8,0),0)-$M197</f>
        <v>0</v>
      </c>
      <c r="O197" s="3" t="s">
        <v>609</v>
      </c>
      <c r="P197" s="3" t="s">
        <v>609</v>
      </c>
      <c r="Q197" s="3" t="s">
        <v>365</v>
      </c>
      <c r="R197" s="3" t="s">
        <v>92</v>
      </c>
      <c r="S197" s="3" t="s">
        <v>134</v>
      </c>
      <c r="T197" s="3">
        <v>12</v>
      </c>
    </row>
    <row r="198" spans="1:19">
      <c r="A198" s="3">
        <v>2941</v>
      </c>
      <c r="B198" s="3" t="b">
        <f>ISNUMBER(MATCH(A198,[1]stockregister!$A$2:$A$2000,0))</f>
        <v>1</v>
      </c>
      <c r="C198" s="3" t="s">
        <v>610</v>
      </c>
      <c r="D198" s="3" t="str">
        <f>VLOOKUP($C198,[1]stockregister!$B$2:$B$2000,1,0)</f>
        <v>NAMAQUA DRY RED  5LTR </v>
      </c>
      <c r="E198" s="3" t="str">
        <f>IF(ISNA($D198),VLOOKUP($A198,[2]stockregister!$A$2:$B$2000,2,FALSE),"")</f>
        <v/>
      </c>
      <c r="F198" s="3" t="s">
        <v>21</v>
      </c>
      <c r="G198" s="3">
        <f>_xlfn.IFNA(VLOOKUP($A198,[3]stockregister!$A$2:$L$2000,11,0),0)</f>
        <v>166</v>
      </c>
      <c r="H198" s="3">
        <f>_xlfn.IFNA(VLOOKUP($A198,[3]stockregister!$A$2:$L$2000,11,0),0)-$G198</f>
        <v>0</v>
      </c>
      <c r="I198" s="3">
        <f>_xlfn.IFNA(VLOOKUP($A198,[3]stockregister!$A$2:$L$2000,12,0),0)</f>
        <v>1200</v>
      </c>
      <c r="J198" s="3">
        <f>_xlfn.IFNA(VLOOKUP($A198,[3]stockregister!$A$1:$M$2000,12,0),0)-$I198</f>
        <v>0</v>
      </c>
      <c r="K198" s="3" t="s">
        <v>22</v>
      </c>
      <c r="L198" s="3" t="s">
        <v>23</v>
      </c>
      <c r="M198" s="3">
        <f>_xlfn.IFNA(VLOOKUP($A198,[2]stockregister!$A$2:$H$2000,8,0),0)</f>
        <v>1500</v>
      </c>
      <c r="N198" s="3">
        <f>_xlfn.IFNA(VLOOKUP($A198,[2]stockregister!$A$2:$H$2000,8,0),0)-$M198</f>
        <v>0</v>
      </c>
      <c r="O198" s="3" t="s">
        <v>611</v>
      </c>
      <c r="P198" s="3" t="s">
        <v>611</v>
      </c>
      <c r="Q198" s="3" t="s">
        <v>612</v>
      </c>
      <c r="R198" s="3" t="s">
        <v>39</v>
      </c>
      <c r="S198" s="3" t="s">
        <v>613</v>
      </c>
    </row>
    <row r="199" spans="1:19">
      <c r="A199" s="3">
        <v>2851</v>
      </c>
      <c r="B199" s="3" t="b">
        <f>ISNUMBER(MATCH(A199,[1]stockregister!$A$2:$A$2000,0))</f>
        <v>1</v>
      </c>
      <c r="C199" s="3" t="s">
        <v>614</v>
      </c>
      <c r="D199" s="3" t="str">
        <f>VLOOKUP($C199,[1]stockregister!$B$2:$B$2000,1,0)</f>
        <v> EXPRESSION MOJITO 750ML</v>
      </c>
      <c r="E199" s="3" t="str">
        <f>IF(ISNA($D199),VLOOKUP($A199,[2]stockregister!$A$2:$B$2000,2,FALSE),"")</f>
        <v/>
      </c>
      <c r="F199" s="3" t="s">
        <v>21</v>
      </c>
      <c r="G199" s="3">
        <f>_xlfn.IFNA(VLOOKUP($A199,[3]stockregister!$A$2:$L$2000,11,0),0)</f>
        <v>219</v>
      </c>
      <c r="H199" s="3">
        <f>_xlfn.IFNA(VLOOKUP($A199,[3]stockregister!$A$2:$L$2000,11,0),0)-$G199</f>
        <v>0</v>
      </c>
      <c r="I199" s="3">
        <f>_xlfn.IFNA(VLOOKUP($A199,[3]stockregister!$A$2:$L$2000,12,0),0)</f>
        <v>10000</v>
      </c>
      <c r="J199" s="3">
        <f>_xlfn.IFNA(VLOOKUP($A199,[3]stockregister!$A$1:$M$2000,12,0),0)-$I199</f>
        <v>0</v>
      </c>
      <c r="K199" s="3" t="s">
        <v>22</v>
      </c>
      <c r="L199" s="3" t="s">
        <v>23</v>
      </c>
      <c r="M199" s="3">
        <f>_xlfn.IFNA(VLOOKUP($A199,[2]stockregister!$A$2:$H$2000,8,0),0)</f>
        <v>14500</v>
      </c>
      <c r="N199" s="3">
        <f>_xlfn.IFNA(VLOOKUP($A199,[2]stockregister!$A$2:$H$2000,8,0),0)-$M199</f>
        <v>0</v>
      </c>
      <c r="O199" s="3" t="s">
        <v>615</v>
      </c>
      <c r="P199" s="3" t="s">
        <v>615</v>
      </c>
      <c r="Q199" s="3" t="s">
        <v>616</v>
      </c>
      <c r="R199" s="3" t="s">
        <v>102</v>
      </c>
      <c r="S199" s="3" t="s">
        <v>617</v>
      </c>
    </row>
    <row r="200" spans="1:19">
      <c r="A200" s="3">
        <v>266</v>
      </c>
      <c r="B200" s="3" t="b">
        <f>ISNUMBER(MATCH(A200,[1]stockregister!$A$2:$A$2000,0))</f>
        <v>1</v>
      </c>
      <c r="C200" s="3" t="s">
        <v>618</v>
      </c>
      <c r="D200" s="3" t="str">
        <f>VLOOKUP($C200,[1]stockregister!$B$2:$B$2000,1,0)</f>
        <v>BIG OAK  RED 750ML</v>
      </c>
      <c r="E200" s="3" t="str">
        <f>IF(ISNA($D200),VLOOKUP($A200,[2]stockregister!$A$2:$B$2000,2,FALSE),"")</f>
        <v/>
      </c>
      <c r="F200" s="3" t="s">
        <v>21</v>
      </c>
      <c r="G200" s="3">
        <f>_xlfn.IFNA(VLOOKUP($A200,[3]stockregister!$A$2:$L$2000,11,0),0)</f>
        <v>217</v>
      </c>
      <c r="H200" s="3">
        <f>_xlfn.IFNA(VLOOKUP($A200,[3]stockregister!$A$2:$L$2000,11,0),0)-$G200</f>
        <v>0</v>
      </c>
      <c r="I200" s="3">
        <f>_xlfn.IFNA(VLOOKUP($A200,[3]stockregister!$A$2:$L$2000,12,0),0)</f>
        <v>2200</v>
      </c>
      <c r="J200" s="3">
        <f>_xlfn.IFNA(VLOOKUP($A200,[3]stockregister!$A$1:$M$2000,12,0),0)-$I200</f>
        <v>0</v>
      </c>
      <c r="K200" s="3" t="s">
        <v>22</v>
      </c>
      <c r="L200" s="3" t="s">
        <v>23</v>
      </c>
      <c r="M200" s="3">
        <f>_xlfn.IFNA(VLOOKUP($A200,[2]stockregister!$A$2:$H$2000,8,0),0)</f>
        <v>2300</v>
      </c>
      <c r="N200" s="3">
        <f>_xlfn.IFNA(VLOOKUP($A200,[2]stockregister!$A$2:$H$2000,8,0),0)-$M200</f>
        <v>0</v>
      </c>
      <c r="O200" s="3" t="s">
        <v>254</v>
      </c>
      <c r="P200" s="3" t="s">
        <v>254</v>
      </c>
      <c r="Q200" s="3" t="s">
        <v>255</v>
      </c>
      <c r="R200" s="3" t="s">
        <v>78</v>
      </c>
      <c r="S200" s="3" t="s">
        <v>256</v>
      </c>
    </row>
    <row r="201" spans="1:19">
      <c r="A201" s="3">
        <v>2424</v>
      </c>
      <c r="B201" s="3" t="b">
        <f>ISNUMBER(MATCH(A201,[1]stockregister!$A$2:$A$2000,0))</f>
        <v>1</v>
      </c>
      <c r="C201" s="3" t="s">
        <v>619</v>
      </c>
      <c r="D201" s="3" t="str">
        <f>VLOOKUP($C201,[1]stockregister!$B$2:$B$2000,1,0)</f>
        <v>TOMMASI AMARONE DELLA VALPOLICELLA CLASSICO  750ML</v>
      </c>
      <c r="E201" s="3" t="str">
        <f>IF(ISNA($D201),VLOOKUP($A201,[2]stockregister!$A$2:$B$2000,2,FALSE),"")</f>
        <v/>
      </c>
      <c r="F201" s="3" t="s">
        <v>21</v>
      </c>
      <c r="G201" s="3">
        <f>_xlfn.IFNA(VLOOKUP($A201,[3]stockregister!$A$2:$L$2000,11,0),0)</f>
        <v>1512</v>
      </c>
      <c r="H201" s="3">
        <f>_xlfn.IFNA(VLOOKUP($A201,[3]stockregister!$A$2:$L$2000,11,0),0)-$G201</f>
        <v>0</v>
      </c>
      <c r="I201" s="3">
        <f>_xlfn.IFNA(VLOOKUP($A201,[3]stockregister!$A$2:$L$2000,12,0),0)</f>
        <v>212.19</v>
      </c>
      <c r="J201" s="3">
        <f>_xlfn.IFNA(VLOOKUP($A201,[3]stockregister!$A$1:$M$2000,12,0),0)-$I201</f>
        <v>0</v>
      </c>
      <c r="K201" s="3" t="s">
        <v>22</v>
      </c>
      <c r="L201" s="3" t="s">
        <v>23</v>
      </c>
      <c r="M201" s="3">
        <f>_xlfn.IFNA(VLOOKUP($A201,[2]stockregister!$A$2:$H$2000,8,0),0)</f>
        <v>220</v>
      </c>
      <c r="N201" s="3">
        <f>_xlfn.IFNA(VLOOKUP($A201,[2]stockregister!$A$2:$H$2000,8,0),0)-$M201</f>
        <v>0</v>
      </c>
      <c r="O201" s="3" t="s">
        <v>620</v>
      </c>
      <c r="P201" s="3" t="s">
        <v>620</v>
      </c>
      <c r="Q201" s="3" t="s">
        <v>621</v>
      </c>
      <c r="R201" s="3" t="s">
        <v>97</v>
      </c>
      <c r="S201" s="3" t="s">
        <v>98</v>
      </c>
    </row>
    <row r="202" spans="1:19">
      <c r="A202" s="3">
        <v>1720</v>
      </c>
      <c r="B202" s="3" t="b">
        <f>ISNUMBER(MATCH(A202,[1]stockregister!$A$2:$A$2000,0))</f>
        <v>1</v>
      </c>
      <c r="C202" s="3" t="s">
        <v>622</v>
      </c>
      <c r="D202" s="3" t="str">
        <f>VLOOKUP($C202,[1]stockregister!$B$2:$B$2000,1,0)</f>
        <v> BITOLA RED 750ML</v>
      </c>
      <c r="E202" s="3" t="str">
        <f>IF(ISNA($D202),VLOOKUP($A202,[2]stockregister!$A$2:$B$2000,2,FALSE),"")</f>
        <v/>
      </c>
      <c r="F202" s="3" t="s">
        <v>21</v>
      </c>
      <c r="G202" s="3">
        <f>_xlfn.IFNA(VLOOKUP($A202,[3]stockregister!$A$2:$L$2000,11,0),0)</f>
        <v>216</v>
      </c>
      <c r="H202" s="3">
        <f>_xlfn.IFNA(VLOOKUP($A202,[3]stockregister!$A$2:$L$2000,11,0),0)-$G202</f>
        <v>0</v>
      </c>
      <c r="I202" s="3">
        <f>_xlfn.IFNA(VLOOKUP($A202,[3]stockregister!$A$2:$L$2000,12,0),0)</f>
        <v>3680</v>
      </c>
      <c r="J202" s="3">
        <f>_xlfn.IFNA(VLOOKUP($A202,[3]stockregister!$A$1:$M$2000,12,0),0)-$I202</f>
        <v>0</v>
      </c>
      <c r="K202" s="3" t="s">
        <v>22</v>
      </c>
      <c r="L202" s="3" t="s">
        <v>23</v>
      </c>
      <c r="M202" s="3">
        <f>_xlfn.IFNA(VLOOKUP($A202,[2]stockregister!$A$2:$H$2000,8,0),0)</f>
        <v>4000</v>
      </c>
      <c r="N202" s="3">
        <f>_xlfn.IFNA(VLOOKUP($A202,[2]stockregister!$A$2:$H$2000,8,0),0)-$M202</f>
        <v>0</v>
      </c>
      <c r="O202" s="3" t="s">
        <v>623</v>
      </c>
      <c r="P202" s="3" t="s">
        <v>623</v>
      </c>
      <c r="Q202" s="3" t="s">
        <v>624</v>
      </c>
      <c r="R202" s="3" t="s">
        <v>68</v>
      </c>
      <c r="S202" s="3" t="s">
        <v>625</v>
      </c>
    </row>
    <row r="203" spans="1:20">
      <c r="A203" s="3">
        <v>1972</v>
      </c>
      <c r="B203" s="3" t="b">
        <f>ISNUMBER(MATCH(A203,[1]stockregister!$A$2:$A$2000,0))</f>
        <v>1</v>
      </c>
      <c r="C203" s="3" t="s">
        <v>626</v>
      </c>
      <c r="D203" s="3" t="str">
        <f>VLOOKUP($C203,[1]stockregister!$B$2:$B$2000,1,0)</f>
        <v>FRONTERA SAUV BLANC  750ML</v>
      </c>
      <c r="E203" s="3" t="str">
        <f>IF(ISNA($D203),VLOOKUP($A203,[2]stockregister!$A$2:$B$2000,2,FALSE),"")</f>
        <v/>
      </c>
      <c r="F203" s="3" t="s">
        <v>21</v>
      </c>
      <c r="G203" s="3">
        <f>_xlfn.IFNA(VLOOKUP($A203,[3]stockregister!$A$2:$L$2000,11,0),0)</f>
        <v>210</v>
      </c>
      <c r="H203" s="3">
        <f>_xlfn.IFNA(VLOOKUP($A203,[3]stockregister!$A$2:$L$2000,11,0),0)-$G203</f>
        <v>0</v>
      </c>
      <c r="I203" s="3">
        <f>_xlfn.IFNA(VLOOKUP($A203,[3]stockregister!$A$2:$L$2000,12,0),0)</f>
        <v>13800</v>
      </c>
      <c r="J203" s="3">
        <f>_xlfn.IFNA(VLOOKUP($A203,[3]stockregister!$A$1:$M$2000,12,0),0)-$I203</f>
        <v>0</v>
      </c>
      <c r="K203" s="3" t="s">
        <v>22</v>
      </c>
      <c r="L203" s="3" t="s">
        <v>23</v>
      </c>
      <c r="M203" s="3">
        <f>_xlfn.IFNA(VLOOKUP($A203,[2]stockregister!$A$2:$H$2000,8,0),0)</f>
        <v>15000</v>
      </c>
      <c r="N203" s="3">
        <f>_xlfn.IFNA(VLOOKUP($A203,[2]stockregister!$A$2:$H$2000,8,0),0)-$M203</f>
        <v>0</v>
      </c>
      <c r="O203" s="3" t="s">
        <v>627</v>
      </c>
      <c r="P203" s="3" t="s">
        <v>627</v>
      </c>
      <c r="Q203" s="3" t="s">
        <v>628</v>
      </c>
      <c r="R203" s="3" t="s">
        <v>92</v>
      </c>
      <c r="S203" s="3" t="s">
        <v>134</v>
      </c>
      <c r="T203" s="3">
        <v>18</v>
      </c>
    </row>
    <row r="204" spans="1:19">
      <c r="A204" s="3">
        <v>2940</v>
      </c>
      <c r="B204" s="3" t="b">
        <f>ISNUMBER(MATCH(A204,[1]stockregister!$A$2:$A$2000,0))</f>
        <v>1</v>
      </c>
      <c r="C204" s="3" t="s">
        <v>629</v>
      </c>
      <c r="D204" s="3" t="str">
        <f>VLOOKUP($C204,[1]stockregister!$B$2:$B$2000,1,0)</f>
        <v>BRUCE JACK  SAUV BLANC 2021 750ML</v>
      </c>
      <c r="E204" s="3" t="str">
        <f>IF(ISNA($D204),VLOOKUP($A204,[2]stockregister!$A$2:$B$2000,2,FALSE),"")</f>
        <v/>
      </c>
      <c r="F204" s="3" t="s">
        <v>21</v>
      </c>
      <c r="G204" s="3">
        <f>_xlfn.IFNA(VLOOKUP($A204,[3]stockregister!$A$2:$L$2000,11,0),0)</f>
        <v>208</v>
      </c>
      <c r="H204" s="3">
        <f>_xlfn.IFNA(VLOOKUP($A204,[3]stockregister!$A$2:$L$2000,11,0),0)-$G204</f>
        <v>0</v>
      </c>
      <c r="I204" s="3">
        <f>_xlfn.IFNA(VLOOKUP($A204,[3]stockregister!$A$2:$L$2000,12,0),0)</f>
        <v>2700</v>
      </c>
      <c r="J204" s="3">
        <f>_xlfn.IFNA(VLOOKUP($A204,[3]stockregister!$A$1:$M$2000,12,0),0)-$I204</f>
        <v>0</v>
      </c>
      <c r="K204" s="3" t="s">
        <v>22</v>
      </c>
      <c r="L204" s="3" t="s">
        <v>23</v>
      </c>
      <c r="M204" s="3">
        <f>_xlfn.IFNA(VLOOKUP($A204,[2]stockregister!$A$2:$H$2000,8,0),0)</f>
        <v>3000</v>
      </c>
      <c r="N204" s="3">
        <f>_xlfn.IFNA(VLOOKUP($A204,[2]stockregister!$A$2:$H$2000,8,0),0)-$M204</f>
        <v>0</v>
      </c>
      <c r="O204" s="3" t="s">
        <v>630</v>
      </c>
      <c r="P204" s="3" t="s">
        <v>630</v>
      </c>
      <c r="Q204" s="3" t="s">
        <v>631</v>
      </c>
      <c r="R204" s="3" t="s">
        <v>92</v>
      </c>
      <c r="S204" s="3" t="s">
        <v>632</v>
      </c>
    </row>
    <row r="205" spans="1:20">
      <c r="A205" s="3">
        <v>1799</v>
      </c>
      <c r="B205" s="3" t="b">
        <f>ISNUMBER(MATCH(A205,[1]stockregister!$A$2:$A$2000,0))</f>
        <v>1</v>
      </c>
      <c r="C205" s="3" t="s">
        <v>633</v>
      </c>
      <c r="D205" s="3" t="str">
        <f>VLOOKUP($C205,[1]stockregister!$B$2:$B$2000,1,0)</f>
        <v>KLEINE RUST  SAVIGNON BLANC 1.5LTR</v>
      </c>
      <c r="E205" s="3" t="str">
        <f>IF(ISNA($D205),VLOOKUP($A205,[2]stockregister!$A$2:$B$2000,2,FALSE),"")</f>
        <v/>
      </c>
      <c r="F205" s="3" t="s">
        <v>21</v>
      </c>
      <c r="G205" s="3">
        <f>_xlfn.IFNA(VLOOKUP($A205,[3]stockregister!$A$2:$L$2000,11,0),0)</f>
        <v>201</v>
      </c>
      <c r="H205" s="3">
        <f>_xlfn.IFNA(VLOOKUP($A205,[3]stockregister!$A$2:$L$2000,11,0),0)-$G205</f>
        <v>0</v>
      </c>
      <c r="I205" s="3">
        <f>_xlfn.IFNA(VLOOKUP($A205,[3]stockregister!$A$2:$L$2000,12,0),0)</f>
        <v>3250</v>
      </c>
      <c r="J205" s="3">
        <f>_xlfn.IFNA(VLOOKUP($A205,[3]stockregister!$A$1:$M$2000,12,0),0)-$I205</f>
        <v>0</v>
      </c>
      <c r="K205" s="3" t="s">
        <v>22</v>
      </c>
      <c r="L205" s="3" t="s">
        <v>23</v>
      </c>
      <c r="M205" s="3">
        <f>_xlfn.IFNA(VLOOKUP($A205,[2]stockregister!$A$2:$H$2000,8,0),0)</f>
        <v>4500</v>
      </c>
      <c r="N205" s="3">
        <f>_xlfn.IFNA(VLOOKUP($A205,[2]stockregister!$A$2:$H$2000,8,0),0)-$M205</f>
        <v>0</v>
      </c>
      <c r="O205" s="3" t="s">
        <v>634</v>
      </c>
      <c r="P205" s="3" t="s">
        <v>634</v>
      </c>
      <c r="Q205" s="3" t="s">
        <v>635</v>
      </c>
      <c r="R205" s="3" t="s">
        <v>92</v>
      </c>
      <c r="S205" s="3" t="s">
        <v>134</v>
      </c>
      <c r="T205" s="3">
        <v>12</v>
      </c>
    </row>
    <row r="206" spans="1:19">
      <c r="A206" s="3">
        <v>260</v>
      </c>
      <c r="B206" s="3" t="b">
        <f>ISNUMBER(MATCH(A206,[1]stockregister!$A$2:$A$2000,0))</f>
        <v>1</v>
      </c>
      <c r="C206" s="3" t="s">
        <v>636</v>
      </c>
      <c r="D206" s="3" t="str">
        <f>VLOOKUP($C206,[1]stockregister!$B$2:$B$2000,1,0)</f>
        <v>MAISON CASTEL ICE  750ML</v>
      </c>
      <c r="E206" s="3" t="str">
        <f>IF(ISNA($D206),VLOOKUP($A206,[2]stockregister!$A$2:$B$2000,2,FALSE),"")</f>
        <v/>
      </c>
      <c r="F206" s="3" t="s">
        <v>21</v>
      </c>
      <c r="G206" s="3">
        <f>_xlfn.IFNA(VLOOKUP($A206,[3]stockregister!$A$2:$L$2000,11,0),0)</f>
        <v>204</v>
      </c>
      <c r="H206" s="3">
        <f>_xlfn.IFNA(VLOOKUP($A206,[3]stockregister!$A$2:$L$2000,11,0),0)-$G206</f>
        <v>0</v>
      </c>
      <c r="I206" s="3">
        <f>_xlfn.IFNA(VLOOKUP($A206,[3]stockregister!$A$2:$L$2000,12,0),0)</f>
        <v>2760</v>
      </c>
      <c r="J206" s="3">
        <f>_xlfn.IFNA(VLOOKUP($A206,[3]stockregister!$A$1:$M$2000,12,0),0)-$I206</f>
        <v>0</v>
      </c>
      <c r="K206" s="3" t="s">
        <v>22</v>
      </c>
      <c r="L206" s="3" t="s">
        <v>23</v>
      </c>
      <c r="M206" s="3">
        <f>_xlfn.IFNA(VLOOKUP($A206,[2]stockregister!$A$2:$H$2000,8,0),0)</f>
        <v>3000</v>
      </c>
      <c r="N206" s="3">
        <f>_xlfn.IFNA(VLOOKUP($A206,[2]stockregister!$A$2:$H$2000,8,0),0)-$M206</f>
        <v>0</v>
      </c>
      <c r="O206" s="3" t="s">
        <v>637</v>
      </c>
      <c r="P206" s="3" t="s">
        <v>637</v>
      </c>
      <c r="Q206" s="3" t="s">
        <v>255</v>
      </c>
      <c r="R206" s="3" t="s">
        <v>78</v>
      </c>
      <c r="S206" s="3" t="s">
        <v>638</v>
      </c>
    </row>
    <row r="207" spans="1:19">
      <c r="A207" s="3">
        <v>319</v>
      </c>
      <c r="B207" s="3" t="b">
        <f>ISNUMBER(MATCH(A207,[1]stockregister!$A$2:$A$2000,0))</f>
        <v>1</v>
      </c>
      <c r="C207" s="3" t="s">
        <v>639</v>
      </c>
      <c r="D207" s="3" t="str">
        <f>VLOOKUP($C207,[1]stockregister!$B$2:$B$2000,1,0)</f>
        <v>MAISON CASTEL ICE ROSE  750ML</v>
      </c>
      <c r="E207" s="3" t="str">
        <f>IF(ISNA($D207),VLOOKUP($A207,[2]stockregister!$A$2:$B$2000,2,FALSE),"")</f>
        <v/>
      </c>
      <c r="F207" s="3" t="s">
        <v>21</v>
      </c>
      <c r="G207" s="3">
        <f>_xlfn.IFNA(VLOOKUP($A207,[3]stockregister!$A$2:$L$2000,11,0),0)</f>
        <v>204</v>
      </c>
      <c r="H207" s="3">
        <f>_xlfn.IFNA(VLOOKUP($A207,[3]stockregister!$A$2:$L$2000,11,0),0)-$G207</f>
        <v>0</v>
      </c>
      <c r="I207" s="3">
        <f>_xlfn.IFNA(VLOOKUP($A207,[3]stockregister!$A$2:$L$2000,12,0),0)</f>
        <v>1472</v>
      </c>
      <c r="J207" s="3">
        <f>_xlfn.IFNA(VLOOKUP($A207,[3]stockregister!$A$1:$M$2000,12,0),0)-$I207</f>
        <v>0</v>
      </c>
      <c r="K207" s="3" t="s">
        <v>22</v>
      </c>
      <c r="L207" s="3" t="s">
        <v>23</v>
      </c>
      <c r="M207" s="3">
        <f>_xlfn.IFNA(VLOOKUP($A207,[2]stockregister!$A$2:$H$2000,8,0),0)</f>
        <v>1600</v>
      </c>
      <c r="N207" s="3">
        <f>_xlfn.IFNA(VLOOKUP($A207,[2]stockregister!$A$2:$H$2000,8,0),0)-$M207</f>
        <v>0</v>
      </c>
      <c r="O207" s="3" t="s">
        <v>640</v>
      </c>
      <c r="P207" s="3" t="s">
        <v>640</v>
      </c>
      <c r="Q207" s="3" t="s">
        <v>641</v>
      </c>
      <c r="R207" s="3" t="s">
        <v>126</v>
      </c>
      <c r="S207" s="3" t="s">
        <v>642</v>
      </c>
    </row>
    <row r="208" spans="1:20">
      <c r="A208" s="3">
        <v>861</v>
      </c>
      <c r="B208" s="3" t="b">
        <f>ISNUMBER(MATCH(A208,[1]stockregister!$A$2:$A$2000,0))</f>
        <v>1</v>
      </c>
      <c r="C208" s="3" t="s">
        <v>643</v>
      </c>
      <c r="D208" s="3" t="str">
        <f>VLOOKUP($C208,[1]stockregister!$B$2:$B$2000,1,0)</f>
        <v>CASALDOMO CUVEE BRUT 750ML </v>
      </c>
      <c r="E208" s="3" t="str">
        <f>IF(ISNA($D208),VLOOKUP($A208,[2]stockregister!$A$2:$B$2000,2,FALSE),"")</f>
        <v/>
      </c>
      <c r="F208" s="3" t="s">
        <v>21</v>
      </c>
      <c r="G208" s="3">
        <f>_xlfn.IFNA(VLOOKUP($A208,[3]stockregister!$A$2:$L$2000,11,0),0)</f>
        <v>204</v>
      </c>
      <c r="H208" s="3">
        <f>_xlfn.IFNA(VLOOKUP($A208,[3]stockregister!$A$2:$L$2000,11,0),0)-$G208</f>
        <v>0</v>
      </c>
      <c r="I208" s="3">
        <f>_xlfn.IFNA(VLOOKUP($A208,[3]stockregister!$A$2:$L$2000,12,0),0)</f>
        <v>9800</v>
      </c>
      <c r="J208" s="3">
        <f>_xlfn.IFNA(VLOOKUP($A208,[3]stockregister!$A$1:$M$2000,12,0),0)-$I208</f>
        <v>0</v>
      </c>
      <c r="K208" s="3" t="s">
        <v>22</v>
      </c>
      <c r="L208" s="3" t="s">
        <v>23</v>
      </c>
      <c r="M208" s="3">
        <f>_xlfn.IFNA(VLOOKUP($A208,[2]stockregister!$A$2:$H$2000,8,0),0)</f>
        <v>10000</v>
      </c>
      <c r="N208" s="3">
        <f>_xlfn.IFNA(VLOOKUP($A208,[2]stockregister!$A$2:$H$2000,8,0),0)-$M208</f>
        <v>0</v>
      </c>
      <c r="O208" s="3" t="s">
        <v>644</v>
      </c>
      <c r="P208" s="3" t="s">
        <v>644</v>
      </c>
      <c r="Q208" s="3" t="s">
        <v>365</v>
      </c>
      <c r="R208" s="3" t="s">
        <v>92</v>
      </c>
      <c r="S208" s="3" t="s">
        <v>134</v>
      </c>
      <c r="T208" s="3">
        <v>15</v>
      </c>
    </row>
    <row r="209" spans="1:19">
      <c r="A209" s="3">
        <v>36</v>
      </c>
      <c r="B209" s="3" t="b">
        <f>ISNUMBER(MATCH(A209,[1]stockregister!$A$2:$A$2000,0))</f>
        <v>1</v>
      </c>
      <c r="C209" s="3" t="s">
        <v>645</v>
      </c>
      <c r="D209" s="3" t="str">
        <f>VLOOKUP($C209,[1]stockregister!$B$2:$B$2000,1,0)</f>
        <v>CHAMDOR RED  750ML</v>
      </c>
      <c r="E209" s="3" t="str">
        <f>IF(ISNA($D209),VLOOKUP($A209,[2]stockregister!$A$2:$B$2000,2,FALSE),"")</f>
        <v/>
      </c>
      <c r="F209" s="3" t="s">
        <v>21</v>
      </c>
      <c r="G209" s="3">
        <f>_xlfn.IFNA(VLOOKUP($A209,[3]stockregister!$A$2:$L$2000,11,0),0)</f>
        <v>203</v>
      </c>
      <c r="H209" s="3">
        <f>_xlfn.IFNA(VLOOKUP($A209,[3]stockregister!$A$2:$L$2000,11,0),0)-$G209</f>
        <v>0</v>
      </c>
      <c r="I209" s="3">
        <f>_xlfn.IFNA(VLOOKUP($A209,[3]stockregister!$A$2:$L$2000,12,0),0)</f>
        <v>1725</v>
      </c>
      <c r="J209" s="3">
        <f>_xlfn.IFNA(VLOOKUP($A209,[3]stockregister!$A$1:$M$2000,12,0),0)-$I209</f>
        <v>0</v>
      </c>
      <c r="K209" s="3" t="s">
        <v>22</v>
      </c>
      <c r="L209" s="3" t="s">
        <v>23</v>
      </c>
      <c r="M209" s="3">
        <f>_xlfn.IFNA(VLOOKUP($A209,[2]stockregister!$A$2:$H$2000,8,0),0)</f>
        <v>2200</v>
      </c>
      <c r="N209" s="3">
        <f>_xlfn.IFNA(VLOOKUP($A209,[2]stockregister!$A$2:$H$2000,8,0),0)-$M209</f>
        <v>0</v>
      </c>
      <c r="O209" s="3" t="s">
        <v>646</v>
      </c>
      <c r="P209" s="3" t="s">
        <v>646</v>
      </c>
      <c r="Q209" s="3" t="s">
        <v>358</v>
      </c>
      <c r="R209" s="3" t="s">
        <v>318</v>
      </c>
      <c r="S209" s="3" t="s">
        <v>647</v>
      </c>
    </row>
    <row r="210" spans="1:18">
      <c r="A210" s="3">
        <v>2951</v>
      </c>
      <c r="B210" s="3" t="b">
        <f>ISNUMBER(MATCH(A210,[1]stockregister!$A$2:$A$2000,0))</f>
        <v>1</v>
      </c>
      <c r="C210" s="3" t="s">
        <v>648</v>
      </c>
      <c r="D210" s="3" t="str">
        <f>VLOOKUP($C210,[1]stockregister!$B$2:$B$2000,1,0)</f>
        <v>SILK &amp;SPICE  750ML</v>
      </c>
      <c r="E210" s="3" t="str">
        <f>IF(ISNA($D210),VLOOKUP($A210,[2]stockregister!$A$2:$B$2000,2,FALSE),"")</f>
        <v/>
      </c>
      <c r="F210" s="3" t="s">
        <v>21</v>
      </c>
      <c r="G210" s="3">
        <f>_xlfn.IFNA(VLOOKUP($A210,[3]stockregister!$A$2:$L$2000,11,0),0)</f>
        <v>184</v>
      </c>
      <c r="H210" s="3">
        <f>_xlfn.IFNA(VLOOKUP($A210,[3]stockregister!$A$2:$L$2000,11,0),0)-$G210</f>
        <v>0</v>
      </c>
      <c r="I210" s="3">
        <f>_xlfn.IFNA(VLOOKUP($A210,[3]stockregister!$A$2:$L$2000,12,0),0)</f>
        <v>4000</v>
      </c>
      <c r="J210" s="3">
        <f>_xlfn.IFNA(VLOOKUP($A210,[3]stockregister!$A$1:$M$2000,12,0),0)-$I210</f>
        <v>0</v>
      </c>
      <c r="K210" s="3" t="s">
        <v>22</v>
      </c>
      <c r="L210" s="3" t="s">
        <v>23</v>
      </c>
      <c r="M210" s="3">
        <f>_xlfn.IFNA(VLOOKUP($A210,[2]stockregister!$A$2:$H$2000,8,0),0)</f>
        <v>5000</v>
      </c>
      <c r="N210" s="3">
        <f>_xlfn.IFNA(VLOOKUP($A210,[2]stockregister!$A$2:$H$2000,8,0),0)-$M210</f>
        <v>0</v>
      </c>
      <c r="O210" s="3" t="s">
        <v>649</v>
      </c>
      <c r="P210" s="3" t="s">
        <v>649</v>
      </c>
      <c r="Q210" s="3" t="s">
        <v>631</v>
      </c>
      <c r="R210" s="3" t="s">
        <v>92</v>
      </c>
    </row>
    <row r="211" spans="1:18">
      <c r="A211" s="3">
        <v>2576</v>
      </c>
      <c r="B211" s="3" t="b">
        <f>ISNUMBER(MATCH(A211,[1]stockregister!$A$2:$A$2000,0))</f>
        <v>1</v>
      </c>
      <c r="C211" s="3" t="s">
        <v>650</v>
      </c>
      <c r="D211" s="3" t="str">
        <f>VLOOKUP($C211,[1]stockregister!$B$2:$B$2000,1,0)</f>
        <v>VINUM IL ROSSO DABRUZZO ORGANIC 750ML</v>
      </c>
      <c r="E211" s="3" t="str">
        <f>IF(ISNA($D211),VLOOKUP($A211,[2]stockregister!$A$2:$B$2000,2,FALSE),"")</f>
        <v/>
      </c>
      <c r="F211" s="3" t="s">
        <v>21</v>
      </c>
      <c r="G211" s="3">
        <f>_xlfn.IFNA(VLOOKUP($A211,[3]stockregister!$A$2:$L$2000,11,0),0)</f>
        <v>132</v>
      </c>
      <c r="H211" s="3">
        <f>_xlfn.IFNA(VLOOKUP($A211,[3]stockregister!$A$2:$L$2000,11,0),0)-$G211</f>
        <v>0</v>
      </c>
      <c r="I211" s="3">
        <f>_xlfn.IFNA(VLOOKUP($A211,[3]stockregister!$A$2:$L$2000,12,0),0)</f>
        <v>900</v>
      </c>
      <c r="J211" s="3">
        <f>_xlfn.IFNA(VLOOKUP($A211,[3]stockregister!$A$1:$M$2000,12,0),0)-$I211</f>
        <v>0</v>
      </c>
      <c r="K211" s="3" t="s">
        <v>22</v>
      </c>
      <c r="L211" s="3" t="s">
        <v>23</v>
      </c>
      <c r="M211" s="3">
        <f>_xlfn.IFNA(VLOOKUP($A211,[2]stockregister!$A$2:$H$2000,8,0),0)</f>
        <v>1150</v>
      </c>
      <c r="N211" s="3">
        <f>_xlfn.IFNA(VLOOKUP($A211,[2]stockregister!$A$2:$H$2000,8,0),0)-$M211</f>
        <v>0</v>
      </c>
      <c r="O211" s="3" t="s">
        <v>651</v>
      </c>
      <c r="P211" s="3" t="s">
        <v>651</v>
      </c>
      <c r="Q211" s="3" t="s">
        <v>652</v>
      </c>
      <c r="R211" s="3" t="s">
        <v>78</v>
      </c>
    </row>
    <row r="212" spans="1:18">
      <c r="A212" s="3">
        <v>2458</v>
      </c>
      <c r="B212" s="3" t="b">
        <f>ISNUMBER(MATCH(A212,[1]stockregister!$A$2:$A$2000,0))</f>
        <v>1</v>
      </c>
      <c r="C212" s="3" t="s">
        <v>653</v>
      </c>
      <c r="D212" s="3" t="str">
        <f>VLOOKUP($C212,[1]stockregister!$B$2:$B$2000,1,0)</f>
        <v>CIROC RED BERRY LITRE</v>
      </c>
      <c r="E212" s="3" t="str">
        <f>IF(ISNA($D212),VLOOKUP($A212,[2]stockregister!$A$2:$B$2000,2,FALSE),"")</f>
        <v/>
      </c>
      <c r="F212" s="3" t="s">
        <v>21</v>
      </c>
      <c r="G212" s="3">
        <f>_xlfn.IFNA(VLOOKUP($A212,[3]stockregister!$A$2:$L$2000,11,0),0)</f>
        <v>196</v>
      </c>
      <c r="H212" s="3">
        <f>_xlfn.IFNA(VLOOKUP($A212,[3]stockregister!$A$2:$L$2000,11,0),0)-$G212</f>
        <v>0</v>
      </c>
      <c r="I212" s="3">
        <f>_xlfn.IFNA(VLOOKUP($A212,[3]stockregister!$A$2:$L$2000,12,0),0)</f>
        <v>3791</v>
      </c>
      <c r="J212" s="3">
        <f>_xlfn.IFNA(VLOOKUP($A212,[3]stockregister!$A$1:$M$2000,12,0),0)-$I212</f>
        <v>0</v>
      </c>
      <c r="K212" s="3" t="s">
        <v>22</v>
      </c>
      <c r="L212" s="3" t="s">
        <v>23</v>
      </c>
      <c r="M212" s="3">
        <f>_xlfn.IFNA(VLOOKUP($A212,[2]stockregister!$A$2:$H$2000,8,0),0)</f>
        <v>4800</v>
      </c>
      <c r="N212" s="3">
        <f>_xlfn.IFNA(VLOOKUP($A212,[2]stockregister!$A$2:$H$2000,8,0),0)-$M212</f>
        <v>0</v>
      </c>
      <c r="O212" s="3" t="s">
        <v>654</v>
      </c>
      <c r="P212" s="3" t="s">
        <v>654</v>
      </c>
      <c r="Q212" s="3" t="s">
        <v>655</v>
      </c>
      <c r="R212" s="3" t="s">
        <v>318</v>
      </c>
    </row>
    <row r="213" spans="1:19">
      <c r="A213" s="3">
        <v>1719</v>
      </c>
      <c r="B213" s="3" t="b">
        <f>ISNUMBER(MATCH(A213,[1]stockregister!$A$2:$A$2000,0))</f>
        <v>1</v>
      </c>
      <c r="C213" s="3" t="s">
        <v>656</v>
      </c>
      <c r="D213" s="3" t="str">
        <f>VLOOKUP($C213,[1]stockregister!$B$2:$B$2000,1,0)</f>
        <v>RUPERT &amp; ROTHS RED 750ML</v>
      </c>
      <c r="E213" s="3" t="str">
        <f>IF(ISNA($D213),VLOOKUP($A213,[2]stockregister!$A$2:$B$2000,2,FALSE),"")</f>
        <v/>
      </c>
      <c r="F213" s="3" t="s">
        <v>21</v>
      </c>
      <c r="G213" s="3">
        <f>_xlfn.IFNA(VLOOKUP($A213,[3]stockregister!$A$2:$L$2000,11,0),0)</f>
        <v>195</v>
      </c>
      <c r="H213" s="3">
        <f>_xlfn.IFNA(VLOOKUP($A213,[3]stockregister!$A$2:$L$2000,11,0),0)-$G213</f>
        <v>0</v>
      </c>
      <c r="I213" s="3">
        <f>_xlfn.IFNA(VLOOKUP($A213,[3]stockregister!$A$2:$L$2000,12,0),0)</f>
        <v>7820</v>
      </c>
      <c r="J213" s="3">
        <f>_xlfn.IFNA(VLOOKUP($A213,[3]stockregister!$A$1:$M$2000,12,0),0)-$I213</f>
        <v>0</v>
      </c>
      <c r="K213" s="3" t="s">
        <v>22</v>
      </c>
      <c r="L213" s="3" t="s">
        <v>23</v>
      </c>
      <c r="M213" s="3">
        <f>_xlfn.IFNA(VLOOKUP($A213,[2]stockregister!$A$2:$H$2000,8,0),0)</f>
        <v>8500</v>
      </c>
      <c r="N213" s="3">
        <f>_xlfn.IFNA(VLOOKUP($A213,[2]stockregister!$A$2:$H$2000,8,0),0)-$M213</f>
        <v>0</v>
      </c>
      <c r="O213" s="3" t="s">
        <v>657</v>
      </c>
      <c r="P213" s="3" t="s">
        <v>657</v>
      </c>
      <c r="Q213" s="3" t="s">
        <v>624</v>
      </c>
      <c r="R213" s="3" t="s">
        <v>68</v>
      </c>
      <c r="S213" s="3" t="s">
        <v>82</v>
      </c>
    </row>
    <row r="214" spans="1:19">
      <c r="A214" s="3">
        <v>998</v>
      </c>
      <c r="B214" s="3" t="b">
        <f>ISNUMBER(MATCH(A214,[1]stockregister!$A$2:$A$2000,0))</f>
        <v>1</v>
      </c>
      <c r="C214" s="3" t="s">
        <v>658</v>
      </c>
      <c r="D214" s="3" t="str">
        <f>VLOOKUP($C214,[1]stockregister!$B$2:$B$2000,1,0)</f>
        <v>HUNTERS GOLD 330ML</v>
      </c>
      <c r="E214" s="3" t="str">
        <f>IF(ISNA($D214),VLOOKUP($A214,[2]stockregister!$A$2:$B$2000,2,FALSE),"")</f>
        <v/>
      </c>
      <c r="F214" s="3" t="s">
        <v>21</v>
      </c>
      <c r="G214" s="3">
        <f>_xlfn.IFNA(VLOOKUP($A214,[3]stockregister!$A$2:$L$2000,11,0),0)</f>
        <v>1058</v>
      </c>
      <c r="H214" s="3">
        <f>_xlfn.IFNA(VLOOKUP($A214,[3]stockregister!$A$2:$L$2000,11,0),0)-$G214</f>
        <v>0</v>
      </c>
      <c r="I214" s="3">
        <f>_xlfn.IFNA(VLOOKUP($A214,[3]stockregister!$A$2:$L$2000,12,0),0)</f>
        <v>191.81</v>
      </c>
      <c r="J214" s="3">
        <f>_xlfn.IFNA(VLOOKUP($A214,[3]stockregister!$A$1:$M$2000,12,0),0)-$I214</f>
        <v>0</v>
      </c>
      <c r="K214" s="3" t="s">
        <v>22</v>
      </c>
      <c r="L214" s="3" t="s">
        <v>23</v>
      </c>
      <c r="M214" s="3">
        <f>_xlfn.IFNA(VLOOKUP($A214,[2]stockregister!$A$2:$H$2000,8,0),0)</f>
        <v>195</v>
      </c>
      <c r="N214" s="3">
        <f>_xlfn.IFNA(VLOOKUP($A214,[2]stockregister!$A$2:$H$2000,8,0),0)-$M214</f>
        <v>0</v>
      </c>
      <c r="O214" s="3" t="s">
        <v>659</v>
      </c>
      <c r="P214" s="3" t="s">
        <v>659</v>
      </c>
      <c r="Q214" s="3" t="s">
        <v>660</v>
      </c>
      <c r="R214" s="3" t="s">
        <v>97</v>
      </c>
      <c r="S214" s="3" t="s">
        <v>74</v>
      </c>
    </row>
    <row r="215" spans="1:19">
      <c r="A215" s="3">
        <v>889</v>
      </c>
      <c r="B215" s="3" t="b">
        <f>ISNUMBER(MATCH(A215,[1]stockregister!$A$2:$A$2000,0))</f>
        <v>1</v>
      </c>
      <c r="C215" s="3" t="s">
        <v>661</v>
      </c>
      <c r="D215" s="3" t="str">
        <f>VLOOKUP($C215,[1]stockregister!$B$2:$B$2000,1,0)</f>
        <v>GORDON'S PINK&amp;TONIC 330ml</v>
      </c>
      <c r="E215" s="3" t="str">
        <f>IF(ISNA($D215),VLOOKUP($A215,[2]stockregister!$A$2:$B$2000,2,FALSE),"")</f>
        <v/>
      </c>
      <c r="F215" s="3" t="s">
        <v>21</v>
      </c>
      <c r="G215" s="3">
        <f>_xlfn.IFNA(VLOOKUP($A215,[3]stockregister!$A$2:$L$2000,11,0),0)</f>
        <v>264</v>
      </c>
      <c r="H215" s="3">
        <f>_xlfn.IFNA(VLOOKUP($A215,[3]stockregister!$A$2:$L$2000,11,0),0)-$G215</f>
        <v>0</v>
      </c>
      <c r="I215" s="3">
        <f>_xlfn.IFNA(VLOOKUP($A215,[3]stockregister!$A$2:$L$2000,12,0),0)</f>
        <v>189.13</v>
      </c>
      <c r="J215" s="3">
        <f>_xlfn.IFNA(VLOOKUP($A215,[3]stockregister!$A$1:$M$2000,12,0),0)-$I215</f>
        <v>0</v>
      </c>
      <c r="K215" s="3" t="s">
        <v>22</v>
      </c>
      <c r="L215" s="3" t="s">
        <v>23</v>
      </c>
      <c r="M215" s="3">
        <f>_xlfn.IFNA(VLOOKUP($A215,[2]stockregister!$A$2:$H$2000,8,0),0)</f>
        <v>200</v>
      </c>
      <c r="N215" s="3">
        <f>_xlfn.IFNA(VLOOKUP($A215,[2]stockregister!$A$2:$H$2000,8,0),0)-$M215</f>
        <v>0</v>
      </c>
      <c r="O215" s="3" t="s">
        <v>662</v>
      </c>
      <c r="P215" s="3" t="s">
        <v>662</v>
      </c>
      <c r="Q215" s="3" t="s">
        <v>348</v>
      </c>
      <c r="R215" s="3" t="s">
        <v>26</v>
      </c>
      <c r="S215" s="3" t="s">
        <v>130</v>
      </c>
    </row>
    <row r="216" spans="1:19">
      <c r="A216" s="3">
        <v>579</v>
      </c>
      <c r="B216" s="3" t="b">
        <f>ISNUMBER(MATCH(A216,[1]stockregister!$A$2:$A$2000,0))</f>
        <v>1</v>
      </c>
      <c r="C216" s="3" t="s">
        <v>663</v>
      </c>
      <c r="D216" s="3" t="str">
        <f>VLOOKUP($C216,[1]stockregister!$B$2:$B$2000,1,0)</f>
        <v>DASANI DRINKING WATER 1LTR</v>
      </c>
      <c r="E216" s="3" t="str">
        <f>IF(ISNA($D216),VLOOKUP($A216,[2]stockregister!$A$2:$B$2000,2,FALSE),"")</f>
        <v/>
      </c>
      <c r="F216" s="3" t="s">
        <v>21</v>
      </c>
      <c r="G216" s="3">
        <f>_xlfn.IFNA(VLOOKUP($A216,[3]stockregister!$A$2:$L$2000,11,0),0)</f>
        <v>144</v>
      </c>
      <c r="H216" s="3">
        <f>_xlfn.IFNA(VLOOKUP($A216,[3]stockregister!$A$2:$L$2000,11,0),0)-$G216</f>
        <v>0</v>
      </c>
      <c r="I216" s="3">
        <f>_xlfn.IFNA(VLOOKUP($A216,[3]stockregister!$A$2:$L$2000,12,0),0)</f>
        <v>48.33</v>
      </c>
      <c r="J216" s="3">
        <f>_xlfn.IFNA(VLOOKUP($A216,[3]stockregister!$A$1:$M$2000,12,0),0)-$I216</f>
        <v>0</v>
      </c>
      <c r="K216" s="3" t="s">
        <v>22</v>
      </c>
      <c r="L216" s="3" t="s">
        <v>23</v>
      </c>
      <c r="M216" s="3">
        <f>_xlfn.IFNA(VLOOKUP($A216,[2]stockregister!$A$2:$H$2000,8,0),0)</f>
        <v>100</v>
      </c>
      <c r="N216" s="3">
        <f>_xlfn.IFNA(VLOOKUP($A216,[2]stockregister!$A$2:$H$2000,8,0),0)-$M216</f>
        <v>0</v>
      </c>
      <c r="O216" s="3" t="s">
        <v>664</v>
      </c>
      <c r="P216" s="3" t="s">
        <v>664</v>
      </c>
      <c r="Q216" s="3" t="s">
        <v>665</v>
      </c>
      <c r="R216" s="3" t="s">
        <v>26</v>
      </c>
      <c r="S216" s="3" t="s">
        <v>240</v>
      </c>
    </row>
    <row r="217" spans="1:19">
      <c r="A217" s="3">
        <v>623</v>
      </c>
      <c r="B217" s="3" t="b">
        <f>ISNUMBER(MATCH(A217,[1]stockregister!$A$2:$A$2000,0))</f>
        <v>1</v>
      </c>
      <c r="C217" s="3" t="s">
        <v>666</v>
      </c>
      <c r="D217" s="3" t="str">
        <f>VLOOKUP($C217,[1]stockregister!$B$2:$B$2000,1,0)</f>
        <v>DON JULIO BLANCO 750ML</v>
      </c>
      <c r="E217" s="3" t="str">
        <f>IF(ISNA($D217),VLOOKUP($A217,[2]stockregister!$A$2:$B$2000,2,FALSE),"")</f>
        <v/>
      </c>
      <c r="F217" s="3" t="s">
        <v>21</v>
      </c>
      <c r="G217" s="3">
        <f>_xlfn.IFNA(VLOOKUP($A217,[3]stockregister!$A$2:$L$2000,11,0),0)</f>
        <v>182</v>
      </c>
      <c r="H217" s="3">
        <f>_xlfn.IFNA(VLOOKUP($A217,[3]stockregister!$A$2:$L$2000,11,0),0)-$G217</f>
        <v>0</v>
      </c>
      <c r="I217" s="3">
        <f>_xlfn.IFNA(VLOOKUP($A217,[3]stockregister!$A$2:$L$2000,12,0),0)</f>
        <v>4450</v>
      </c>
      <c r="J217" s="3">
        <f>_xlfn.IFNA(VLOOKUP($A217,[3]stockregister!$A$1:$M$2000,12,0),0)-$I217</f>
        <v>0</v>
      </c>
      <c r="K217" s="3" t="s">
        <v>22</v>
      </c>
      <c r="L217" s="3" t="s">
        <v>23</v>
      </c>
      <c r="M217" s="3">
        <f>_xlfn.IFNA(VLOOKUP($A217,[2]stockregister!$A$2:$H$2000,8,0),0)</f>
        <v>6850</v>
      </c>
      <c r="N217" s="3">
        <f>_xlfn.IFNA(VLOOKUP($A217,[2]stockregister!$A$2:$H$2000,8,0),0)-$M217</f>
        <v>0</v>
      </c>
      <c r="O217" s="3" t="s">
        <v>667</v>
      </c>
      <c r="P217" s="3" t="s">
        <v>667</v>
      </c>
      <c r="Q217" s="3" t="s">
        <v>668</v>
      </c>
      <c r="R217" s="3" t="s">
        <v>73</v>
      </c>
      <c r="S217" s="3" t="s">
        <v>294</v>
      </c>
    </row>
    <row r="218" spans="1:19">
      <c r="A218" s="3">
        <v>1673</v>
      </c>
      <c r="B218" s="3" t="b">
        <f>ISNUMBER(MATCH(A218,[1]stockregister!$A$2:$A$2000,0))</f>
        <v>1</v>
      </c>
      <c r="C218" s="3" t="s">
        <v>669</v>
      </c>
      <c r="D218" s="3" t="str">
        <f>VLOOKUP($C218,[1]stockregister!$B$2:$B$2000,1,0)</f>
        <v>ROBERTSON - WHITE SWEET 750ML</v>
      </c>
      <c r="E218" s="3" t="str">
        <f>IF(ISNA($D218),VLOOKUP($A218,[2]stockregister!$A$2:$B$2000,2,FALSE),"")</f>
        <v/>
      </c>
      <c r="F218" s="3" t="s">
        <v>21</v>
      </c>
      <c r="G218" s="3">
        <f>_xlfn.IFNA(VLOOKUP($A218,[3]stockregister!$A$2:$L$2000,11,0),0)</f>
        <v>152</v>
      </c>
      <c r="H218" s="3">
        <f>_xlfn.IFNA(VLOOKUP($A218,[3]stockregister!$A$2:$L$2000,11,0),0)-$G218</f>
        <v>0</v>
      </c>
      <c r="I218" s="3">
        <f>_xlfn.IFNA(VLOOKUP($A218,[3]stockregister!$A$2:$L$2000,12,0),0)</f>
        <v>950</v>
      </c>
      <c r="J218" s="3">
        <f>_xlfn.IFNA(VLOOKUP($A218,[3]stockregister!$A$1:$M$2000,12,0),0)-$I218</f>
        <v>0</v>
      </c>
      <c r="K218" s="3" t="s">
        <v>22</v>
      </c>
      <c r="L218" s="3" t="s">
        <v>23</v>
      </c>
      <c r="M218" s="3">
        <f>_xlfn.IFNA(VLOOKUP($A218,[2]stockregister!$A$2:$H$2000,8,0),0)</f>
        <v>1000</v>
      </c>
      <c r="N218" s="3">
        <f>_xlfn.IFNA(VLOOKUP($A218,[2]stockregister!$A$2:$H$2000,8,0),0)-$M218</f>
        <v>0</v>
      </c>
      <c r="O218" s="3" t="s">
        <v>670</v>
      </c>
      <c r="P218" s="3" t="s">
        <v>670</v>
      </c>
      <c r="Q218" s="3" t="s">
        <v>522</v>
      </c>
      <c r="R218" s="3" t="s">
        <v>68</v>
      </c>
      <c r="S218" s="3" t="s">
        <v>69</v>
      </c>
    </row>
    <row r="219" spans="1:19">
      <c r="A219" s="3">
        <v>1758</v>
      </c>
      <c r="B219" s="3" t="b">
        <f>ISNUMBER(MATCH(A219,[1]stockregister!$A$2:$A$2000,0))</f>
        <v>1</v>
      </c>
      <c r="C219" s="3" t="s">
        <v>671</v>
      </c>
      <c r="D219" s="3" t="str">
        <f>VLOOKUP($C219,[1]stockregister!$B$2:$B$2000,1,0)</f>
        <v>SANTA HELENA TINTO 750ML</v>
      </c>
      <c r="E219" s="3" t="str">
        <f>IF(ISNA($D219),VLOOKUP($A219,[2]stockregister!$A$2:$B$2000,2,FALSE),"")</f>
        <v/>
      </c>
      <c r="F219" s="3" t="s">
        <v>21</v>
      </c>
      <c r="G219" s="3">
        <f>_xlfn.IFNA(VLOOKUP($A219,[3]stockregister!$A$2:$L$2000,11,0),0)</f>
        <v>186</v>
      </c>
      <c r="H219" s="3">
        <f>_xlfn.IFNA(VLOOKUP($A219,[3]stockregister!$A$2:$L$2000,11,0),0)-$G219</f>
        <v>0</v>
      </c>
      <c r="I219" s="3">
        <f>_xlfn.IFNA(VLOOKUP($A219,[3]stockregister!$A$2:$L$2000,12,0),0)</f>
        <v>782</v>
      </c>
      <c r="J219" s="3">
        <f>_xlfn.IFNA(VLOOKUP($A219,[3]stockregister!$A$1:$M$2000,12,0),0)-$I219</f>
        <v>0</v>
      </c>
      <c r="K219" s="3" t="s">
        <v>22</v>
      </c>
      <c r="L219" s="3" t="s">
        <v>23</v>
      </c>
      <c r="M219" s="3">
        <f>_xlfn.IFNA(VLOOKUP($A219,[2]stockregister!$A$2:$H$2000,8,0),0)</f>
        <v>850</v>
      </c>
      <c r="N219" s="3">
        <f>_xlfn.IFNA(VLOOKUP($A219,[2]stockregister!$A$2:$H$2000,8,0),0)-$M219</f>
        <v>0</v>
      </c>
      <c r="O219" s="3" t="s">
        <v>672</v>
      </c>
      <c r="P219" s="3" t="s">
        <v>672</v>
      </c>
      <c r="Q219" s="3" t="s">
        <v>673</v>
      </c>
      <c r="R219" s="3" t="s">
        <v>68</v>
      </c>
      <c r="S219" s="3" t="s">
        <v>169</v>
      </c>
    </row>
    <row r="220" spans="1:19">
      <c r="A220" s="3">
        <v>643</v>
      </c>
      <c r="B220" s="3" t="b">
        <f>ISNUMBER(MATCH(A220,[1]stockregister!$A$2:$A$2000,0))</f>
        <v>1</v>
      </c>
      <c r="C220" s="3" t="s">
        <v>674</v>
      </c>
      <c r="D220" s="3" t="str">
        <f>VLOOKUP($C220,[1]stockregister!$B$2:$B$2000,1,0)</f>
        <v>DROSTDY-HOF CLARET 750ML</v>
      </c>
      <c r="E220" s="3" t="str">
        <f>IF(ISNA($D220),VLOOKUP($A220,[2]stockregister!$A$2:$B$2000,2,FALSE),"")</f>
        <v/>
      </c>
      <c r="F220" s="3" t="s">
        <v>21</v>
      </c>
      <c r="G220" s="3">
        <f>_xlfn.IFNA(VLOOKUP($A220,[3]stockregister!$A$2:$L$2000,11,0),0)</f>
        <v>59</v>
      </c>
      <c r="H220" s="3">
        <f>_xlfn.IFNA(VLOOKUP($A220,[3]stockregister!$A$2:$L$2000,11,0),0)-$G220</f>
        <v>0</v>
      </c>
      <c r="I220" s="3">
        <f>_xlfn.IFNA(VLOOKUP($A220,[3]stockregister!$A$2:$L$2000,12,0),0)</f>
        <v>780</v>
      </c>
      <c r="J220" s="3">
        <f>_xlfn.IFNA(VLOOKUP($A220,[3]stockregister!$A$1:$M$2000,12,0),0)-$I220</f>
        <v>0</v>
      </c>
      <c r="K220" s="3" t="s">
        <v>22</v>
      </c>
      <c r="L220" s="3" t="s">
        <v>23</v>
      </c>
      <c r="M220" s="3">
        <f>_xlfn.IFNA(VLOOKUP($A220,[2]stockregister!$A$2:$H$2000,8,0),0)</f>
        <v>850</v>
      </c>
      <c r="N220" s="3">
        <f>_xlfn.IFNA(VLOOKUP($A220,[2]stockregister!$A$2:$H$2000,8,0),0)-$M220</f>
        <v>0</v>
      </c>
      <c r="O220" s="3" t="s">
        <v>675</v>
      </c>
      <c r="P220" s="3" t="s">
        <v>675</v>
      </c>
      <c r="Q220" s="3" t="s">
        <v>676</v>
      </c>
      <c r="R220" s="3" t="s">
        <v>68</v>
      </c>
      <c r="S220" s="3" t="s">
        <v>82</v>
      </c>
    </row>
    <row r="221" spans="1:19">
      <c r="A221" s="3">
        <v>2616</v>
      </c>
      <c r="B221" s="3" t="b">
        <f>ISNUMBER(MATCH(A221,[1]stockregister!$A$2:$A$2000,0))</f>
        <v>1</v>
      </c>
      <c r="C221" s="3" t="s">
        <v>677</v>
      </c>
      <c r="D221" s="3" t="str">
        <f>VLOOKUP($C221,[1]stockregister!$B$2:$B$2000,1,0)</f>
        <v>PREDATOR ENERGY</v>
      </c>
      <c r="E221" s="3" t="str">
        <f>IF(ISNA($D221),VLOOKUP($A221,[2]stockregister!$A$2:$B$2000,2,FALSE),"")</f>
        <v/>
      </c>
      <c r="F221" s="3" t="s">
        <v>21</v>
      </c>
      <c r="G221" s="3">
        <f>_xlfn.IFNA(VLOOKUP($A221,[3]stockregister!$A$2:$L$2000,11,0),0)</f>
        <v>180</v>
      </c>
      <c r="H221" s="3">
        <f>_xlfn.IFNA(VLOOKUP($A221,[3]stockregister!$A$2:$L$2000,11,0),0)-$G221</f>
        <v>0</v>
      </c>
      <c r="I221" s="3">
        <f>_xlfn.IFNA(VLOOKUP($A221,[3]stockregister!$A$2:$L$2000,12,0),0)</f>
        <v>54.17</v>
      </c>
      <c r="J221" s="3">
        <f>_xlfn.IFNA(VLOOKUP($A221,[3]stockregister!$A$1:$M$2000,12,0),0)-$I221</f>
        <v>0</v>
      </c>
      <c r="K221" s="3" t="s">
        <v>22</v>
      </c>
      <c r="L221" s="3" t="s">
        <v>23</v>
      </c>
      <c r="M221" s="3">
        <f>_xlfn.IFNA(VLOOKUP($A221,[2]stockregister!$A$2:$H$2000,8,0),0)</f>
        <v>70</v>
      </c>
      <c r="N221" s="3">
        <f>_xlfn.IFNA(VLOOKUP($A221,[2]stockregister!$A$2:$H$2000,8,0),0)-$M221</f>
        <v>0</v>
      </c>
      <c r="O221" s="3" t="s">
        <v>678</v>
      </c>
      <c r="P221" s="3" t="s">
        <v>678</v>
      </c>
      <c r="Q221" s="3" t="s">
        <v>679</v>
      </c>
      <c r="R221" s="3" t="s">
        <v>26</v>
      </c>
      <c r="S221" s="3" t="s">
        <v>680</v>
      </c>
    </row>
    <row r="222" spans="1:19">
      <c r="A222" s="3">
        <v>2307</v>
      </c>
      <c r="B222" s="3" t="b">
        <f>ISNUMBER(MATCH(A222,[1]stockregister!$A$2:$A$2000,0))</f>
        <v>1</v>
      </c>
      <c r="C222" s="3" t="s">
        <v>681</v>
      </c>
      <c r="D222" s="3" t="str">
        <f>VLOOKUP($C222,[1]stockregister!$B$2:$B$2000,1,0)</f>
        <v>NEON PINEAPPLE VODKA 750ML</v>
      </c>
      <c r="E222" s="3" t="str">
        <f>IF(ISNA($D222),VLOOKUP($A222,[2]stockregister!$A$2:$B$2000,2,FALSE),"")</f>
        <v/>
      </c>
      <c r="F222" s="3" t="s">
        <v>21</v>
      </c>
      <c r="G222" s="3">
        <f>_xlfn.IFNA(VLOOKUP($A222,[3]stockregister!$A$2:$L$2000,11,0),0)</f>
        <v>180</v>
      </c>
      <c r="H222" s="3">
        <f>_xlfn.IFNA(VLOOKUP($A222,[3]stockregister!$A$2:$L$2000,11,0),0)-$G222</f>
        <v>0</v>
      </c>
      <c r="I222" s="3">
        <f>_xlfn.IFNA(VLOOKUP($A222,[3]stockregister!$A$2:$L$2000,12,0),0)</f>
        <v>550</v>
      </c>
      <c r="J222" s="3">
        <f>_xlfn.IFNA(VLOOKUP($A222,[3]stockregister!$A$1:$M$2000,12,0),0)-$I222</f>
        <v>0</v>
      </c>
      <c r="K222" s="3" t="s">
        <v>22</v>
      </c>
      <c r="L222" s="3" t="s">
        <v>23</v>
      </c>
      <c r="M222" s="3">
        <f>_xlfn.IFNA(VLOOKUP($A222,[2]stockregister!$A$2:$H$2000,8,0),0)</f>
        <v>600</v>
      </c>
      <c r="N222" s="3">
        <f>_xlfn.IFNA(VLOOKUP($A222,[2]stockregister!$A$2:$H$2000,8,0),0)-$M222</f>
        <v>0</v>
      </c>
      <c r="O222" s="3" t="s">
        <v>682</v>
      </c>
      <c r="P222" s="3" t="s">
        <v>682</v>
      </c>
      <c r="Q222" s="3" t="s">
        <v>683</v>
      </c>
      <c r="R222" s="3" t="s">
        <v>318</v>
      </c>
      <c r="S222" s="3" t="s">
        <v>684</v>
      </c>
    </row>
    <row r="223" spans="1:19">
      <c r="A223" s="3">
        <v>1107</v>
      </c>
      <c r="B223" s="3" t="b">
        <f>ISNUMBER(MATCH(A223,[1]stockregister!$A$2:$A$2000,0))</f>
        <v>1</v>
      </c>
      <c r="C223" s="3" t="s">
        <v>685</v>
      </c>
      <c r="D223" s="3" t="str">
        <f>VLOOKUP($C223,[1]stockregister!$B$2:$B$2000,1,0)</f>
        <v>JOHNNIE WALKER BLACK LABEL WHISKY 750ML</v>
      </c>
      <c r="E223" s="3" t="str">
        <f>IF(ISNA($D223),VLOOKUP($A223,[2]stockregister!$A$2:$B$2000,2,FALSE),"")</f>
        <v/>
      </c>
      <c r="F223" s="3" t="s">
        <v>21</v>
      </c>
      <c r="G223" s="3">
        <f>_xlfn.IFNA(VLOOKUP($A223,[3]stockregister!$A$2:$L$2000,11,0),0)</f>
        <v>36</v>
      </c>
      <c r="H223" s="3">
        <f>_xlfn.IFNA(VLOOKUP($A223,[3]stockregister!$A$2:$L$2000,11,0),0)-$G223</f>
        <v>0</v>
      </c>
      <c r="I223" s="3">
        <f>_xlfn.IFNA(VLOOKUP($A223,[3]stockregister!$A$2:$L$2000,12,0),0)</f>
        <v>2902.7</v>
      </c>
      <c r="J223" s="3">
        <f>_xlfn.IFNA(VLOOKUP($A223,[3]stockregister!$A$1:$M$2000,12,0),0)-$I223</f>
        <v>0</v>
      </c>
      <c r="K223" s="3" t="s">
        <v>22</v>
      </c>
      <c r="L223" s="3" t="s">
        <v>23</v>
      </c>
      <c r="M223" s="3">
        <f>_xlfn.IFNA(VLOOKUP($A223,[2]stockregister!$A$2:$H$2000,8,0),0)</f>
        <v>3300</v>
      </c>
      <c r="N223" s="3">
        <f>_xlfn.IFNA(VLOOKUP($A223,[2]stockregister!$A$2:$H$2000,8,0),0)-$M223</f>
        <v>0</v>
      </c>
      <c r="O223" s="3" t="s">
        <v>686</v>
      </c>
      <c r="P223" s="3" t="s">
        <v>686</v>
      </c>
      <c r="Q223" s="3" t="s">
        <v>687</v>
      </c>
      <c r="R223" s="3" t="s">
        <v>113</v>
      </c>
      <c r="S223" s="3" t="s">
        <v>114</v>
      </c>
    </row>
    <row r="224" spans="1:19">
      <c r="A224" s="3">
        <v>2803</v>
      </c>
      <c r="B224" s="3" t="b">
        <f>ISNUMBER(MATCH(A224,[1]stockregister!$A$2:$A$2000,0))</f>
        <v>1</v>
      </c>
      <c r="C224" s="3" t="s">
        <v>688</v>
      </c>
      <c r="D224" s="3" t="str">
        <f>VLOOKUP($C224,[1]stockregister!$B$2:$B$2000,1,0)</f>
        <v>GLEN SCANLAN LITRE</v>
      </c>
      <c r="E224" s="3" t="str">
        <f>IF(ISNA($D224),VLOOKUP($A224,[2]stockregister!$A$2:$B$2000,2,FALSE),"")</f>
        <v/>
      </c>
      <c r="F224" s="3" t="s">
        <v>21</v>
      </c>
      <c r="G224" s="3">
        <f>_xlfn.IFNA(VLOOKUP($A224,[3]stockregister!$A$2:$L$2000,11,0),0)</f>
        <v>180</v>
      </c>
      <c r="H224" s="3">
        <f>_xlfn.IFNA(VLOOKUP($A224,[3]stockregister!$A$2:$L$2000,11,0),0)-$G224</f>
        <v>0</v>
      </c>
      <c r="I224" s="3">
        <f>_xlfn.IFNA(VLOOKUP($A224,[3]stockregister!$A$2:$L$2000,12,0),0)</f>
        <v>1345</v>
      </c>
      <c r="J224" s="3">
        <f>_xlfn.IFNA(VLOOKUP($A224,[3]stockregister!$A$1:$M$2000,12,0),0)-$I224</f>
        <v>0</v>
      </c>
      <c r="K224" s="3" t="s">
        <v>22</v>
      </c>
      <c r="L224" s="3" t="s">
        <v>23</v>
      </c>
      <c r="M224" s="3">
        <f>_xlfn.IFNA(VLOOKUP($A224,[2]stockregister!$A$2:$H$2000,8,0),0)</f>
        <v>1750</v>
      </c>
      <c r="N224" s="3">
        <f>_xlfn.IFNA(VLOOKUP($A224,[2]stockregister!$A$2:$H$2000,8,0),0)-$M224</f>
        <v>0</v>
      </c>
      <c r="O224" s="3" t="s">
        <v>689</v>
      </c>
      <c r="P224" s="3" t="s">
        <v>689</v>
      </c>
      <c r="Q224" s="3" t="s">
        <v>690</v>
      </c>
      <c r="R224" s="3" t="s">
        <v>113</v>
      </c>
      <c r="S224" s="3" t="s">
        <v>114</v>
      </c>
    </row>
    <row r="225" spans="1:19">
      <c r="A225" s="3">
        <v>755</v>
      </c>
      <c r="B225" s="3" t="b">
        <f>ISNUMBER(MATCH(A225,[1]stockregister!$A$2:$A$2000,0))</f>
        <v>1</v>
      </c>
      <c r="C225" s="3" t="s">
        <v>691</v>
      </c>
      <c r="D225" s="3" t="str">
        <f>VLOOKUP($C225,[1]stockregister!$B$2:$B$2000,1,0)</f>
        <v>FOUR COUSINS SWEET WHITE 1.5LTR</v>
      </c>
      <c r="E225" s="3" t="str">
        <f>IF(ISNA($D225),VLOOKUP($A225,[2]stockregister!$A$2:$B$2000,2,FALSE),"")</f>
        <v/>
      </c>
      <c r="F225" s="3" t="s">
        <v>21</v>
      </c>
      <c r="G225" s="3">
        <f>_xlfn.IFNA(VLOOKUP($A225,[3]stockregister!$A$2:$L$2000,11,0),0)</f>
        <v>180</v>
      </c>
      <c r="H225" s="3">
        <f>_xlfn.IFNA(VLOOKUP($A225,[3]stockregister!$A$2:$L$2000,11,0),0)-$G225</f>
        <v>0</v>
      </c>
      <c r="I225" s="3">
        <f>_xlfn.IFNA(VLOOKUP($A225,[3]stockregister!$A$2:$L$2000,12,0),0)</f>
        <v>1426</v>
      </c>
      <c r="J225" s="3">
        <f>_xlfn.IFNA(VLOOKUP($A225,[3]stockregister!$A$1:$M$2000,12,0),0)-$I225</f>
        <v>0</v>
      </c>
      <c r="K225" s="3" t="s">
        <v>22</v>
      </c>
      <c r="L225" s="3" t="s">
        <v>23</v>
      </c>
      <c r="M225" s="3">
        <f>_xlfn.IFNA(VLOOKUP($A225,[2]stockregister!$A$2:$H$2000,8,0),0)</f>
        <v>1550</v>
      </c>
      <c r="N225" s="3">
        <f>_xlfn.IFNA(VLOOKUP($A225,[2]stockregister!$A$2:$H$2000,8,0),0)-$M225</f>
        <v>0</v>
      </c>
      <c r="O225" s="3" t="s">
        <v>692</v>
      </c>
      <c r="P225" s="3" t="s">
        <v>692</v>
      </c>
      <c r="Q225" s="3" t="s">
        <v>137</v>
      </c>
      <c r="R225" s="3" t="s">
        <v>68</v>
      </c>
      <c r="S225" s="3" t="s">
        <v>69</v>
      </c>
    </row>
    <row r="226" spans="1:19">
      <c r="A226" s="3">
        <v>276</v>
      </c>
      <c r="B226" s="3" t="b">
        <f>ISNUMBER(MATCH(A226,[1]stockregister!$A$2:$A$2000,0))</f>
        <v>1</v>
      </c>
      <c r="C226" s="3" t="s">
        <v>693</v>
      </c>
      <c r="D226" s="3" t="str">
        <f>VLOOKUP($C226,[1]stockregister!$B$2:$B$2000,1,0)</f>
        <v>BRANDY MARNAT XO 750ML</v>
      </c>
      <c r="E226" s="3" t="str">
        <f>IF(ISNA($D226),VLOOKUP($A226,[2]stockregister!$A$2:$B$2000,2,FALSE),"")</f>
        <v/>
      </c>
      <c r="F226" s="3" t="s">
        <v>21</v>
      </c>
      <c r="G226" s="3">
        <f>_xlfn.IFNA(VLOOKUP($A226,[3]stockregister!$A$2:$L$2000,11,0),0)</f>
        <v>178</v>
      </c>
      <c r="H226" s="3">
        <f>_xlfn.IFNA(VLOOKUP($A226,[3]stockregister!$A$2:$L$2000,11,0),0)-$G226</f>
        <v>0</v>
      </c>
      <c r="I226" s="3">
        <f>_xlfn.IFNA(VLOOKUP($A226,[3]stockregister!$A$2:$L$2000,12,0),0)</f>
        <v>1800</v>
      </c>
      <c r="J226" s="3">
        <f>_xlfn.IFNA(VLOOKUP($A226,[3]stockregister!$A$1:$M$2000,12,0),0)-$I226</f>
        <v>0</v>
      </c>
      <c r="K226" s="3" t="s">
        <v>22</v>
      </c>
      <c r="L226" s="3" t="s">
        <v>23</v>
      </c>
      <c r="M226" s="3">
        <f>_xlfn.IFNA(VLOOKUP($A226,[2]stockregister!$A$2:$H$2000,8,0),0)</f>
        <v>2000</v>
      </c>
      <c r="N226" s="3">
        <f>_xlfn.IFNA(VLOOKUP($A226,[2]stockregister!$A$2:$H$2000,8,0),0)-$M226</f>
        <v>0</v>
      </c>
      <c r="O226" s="3" t="s">
        <v>694</v>
      </c>
      <c r="P226" s="3" t="s">
        <v>694</v>
      </c>
      <c r="Q226" s="3" t="s">
        <v>695</v>
      </c>
      <c r="R226" s="3" t="s">
        <v>109</v>
      </c>
      <c r="S226" s="3" t="s">
        <v>401</v>
      </c>
    </row>
    <row r="227" spans="1:19">
      <c r="A227" s="3">
        <v>2804</v>
      </c>
      <c r="B227" s="3" t="b">
        <f>ISNUMBER(MATCH(A227,[1]stockregister!$A$2:$A$2000,0))</f>
        <v>1</v>
      </c>
      <c r="C227" s="3" t="s">
        <v>696</v>
      </c>
      <c r="D227" s="3" t="str">
        <f>VLOOKUP($C227,[1]stockregister!$B$2:$B$2000,1,0)</f>
        <v>HENNESSY PURE WHITE 700ML</v>
      </c>
      <c r="E227" s="3" t="str">
        <f>IF(ISNA($D227),VLOOKUP($A227,[2]stockregister!$A$2:$B$2000,2,FALSE),"")</f>
        <v/>
      </c>
      <c r="F227" s="3" t="s">
        <v>21</v>
      </c>
      <c r="G227" s="3">
        <f>_xlfn.IFNA(VLOOKUP($A227,[3]stockregister!$A$2:$L$2000,11,0),0)</f>
        <v>177</v>
      </c>
      <c r="H227" s="3">
        <f>_xlfn.IFNA(VLOOKUP($A227,[3]stockregister!$A$2:$L$2000,11,0),0)-$G227</f>
        <v>0</v>
      </c>
      <c r="I227" s="3">
        <f>_xlfn.IFNA(VLOOKUP($A227,[3]stockregister!$A$2:$L$2000,12,0),0)</f>
        <v>5200</v>
      </c>
      <c r="J227" s="3">
        <f>_xlfn.IFNA(VLOOKUP($A227,[3]stockregister!$A$1:$M$2000,12,0),0)-$I227</f>
        <v>0</v>
      </c>
      <c r="K227" s="3" t="s">
        <v>22</v>
      </c>
      <c r="L227" s="3" t="s">
        <v>23</v>
      </c>
      <c r="M227" s="3">
        <f>_xlfn.IFNA(VLOOKUP($A227,[2]stockregister!$A$2:$H$2000,8,0),0)</f>
        <v>12000</v>
      </c>
      <c r="N227" s="3">
        <f>_xlfn.IFNA(VLOOKUP($A227,[2]stockregister!$A$2:$H$2000,8,0),0)-$M227</f>
        <v>0</v>
      </c>
      <c r="O227" s="3" t="s">
        <v>697</v>
      </c>
      <c r="P227" s="3" t="s">
        <v>697</v>
      </c>
      <c r="Q227" s="3" t="s">
        <v>227</v>
      </c>
      <c r="R227" s="3" t="s">
        <v>102</v>
      </c>
      <c r="S227" s="3" t="s">
        <v>698</v>
      </c>
    </row>
    <row r="228" spans="1:19">
      <c r="A228" s="3">
        <v>166</v>
      </c>
      <c r="B228" s="3" t="b">
        <f>ISNUMBER(MATCH(A228,[1]stockregister!$A$2:$A$2000,0))</f>
        <v>1</v>
      </c>
      <c r="C228" s="3" t="s">
        <v>699</v>
      </c>
      <c r="D228" s="3" t="str">
        <f>VLOOKUP($C228,[1]stockregister!$B$2:$B$2000,1,0)</f>
        <v>BALLANTINES FINEST WHISKY 12YRS 750ml</v>
      </c>
      <c r="E228" s="3" t="str">
        <f>IF(ISNA($D228),VLOOKUP($A228,[2]stockregister!$A$2:$B$2000,2,FALSE),"")</f>
        <v/>
      </c>
      <c r="F228" s="3" t="s">
        <v>21</v>
      </c>
      <c r="G228" s="3">
        <f>_xlfn.IFNA(VLOOKUP($A228,[3]stockregister!$A$2:$L$2000,11,0),0)</f>
        <v>175</v>
      </c>
      <c r="H228" s="3">
        <f>_xlfn.IFNA(VLOOKUP($A228,[3]stockregister!$A$2:$L$2000,11,0),0)-$G228</f>
        <v>0</v>
      </c>
      <c r="I228" s="3">
        <f>_xlfn.IFNA(VLOOKUP($A228,[3]stockregister!$A$2:$L$2000,12,0),0)</f>
        <v>1850</v>
      </c>
      <c r="J228" s="3">
        <f>_xlfn.IFNA(VLOOKUP($A228,[3]stockregister!$A$1:$M$2000,12,0),0)-$I228</f>
        <v>0</v>
      </c>
      <c r="K228" s="3" t="s">
        <v>22</v>
      </c>
      <c r="L228" s="3" t="s">
        <v>23</v>
      </c>
      <c r="M228" s="3">
        <f>_xlfn.IFNA(VLOOKUP($A228,[2]stockregister!$A$2:$H$2000,8,0),0)</f>
        <v>4000</v>
      </c>
      <c r="N228" s="3">
        <f>_xlfn.IFNA(VLOOKUP($A228,[2]stockregister!$A$2:$H$2000,8,0),0)-$M228</f>
        <v>0</v>
      </c>
      <c r="O228" s="3" t="s">
        <v>700</v>
      </c>
      <c r="P228" s="3" t="s">
        <v>700</v>
      </c>
      <c r="Q228" s="3" t="s">
        <v>701</v>
      </c>
      <c r="R228" s="3" t="s">
        <v>92</v>
      </c>
      <c r="S228" s="3" t="s">
        <v>134</v>
      </c>
    </row>
    <row r="229" spans="1:19">
      <c r="A229" s="3">
        <v>377</v>
      </c>
      <c r="B229" s="3" t="b">
        <f>ISNUMBER(MATCH(A229,[1]stockregister!$A$2:$A$2000,0))</f>
        <v>1</v>
      </c>
      <c r="C229" s="3" t="s">
        <v>702</v>
      </c>
      <c r="D229" s="3" t="str">
        <f>VLOOKUP($C229,[1]stockregister!$B$2:$B$2000,1,0)</f>
        <v>CAPTAIN MORGAN BLACK SPICED 1LTR</v>
      </c>
      <c r="E229" s="3" t="str">
        <f>IF(ISNA($D229),VLOOKUP($A229,[2]stockregister!$A$2:$B$2000,2,FALSE),"")</f>
        <v/>
      </c>
      <c r="F229" s="3" t="s">
        <v>21</v>
      </c>
      <c r="G229" s="3">
        <f>_xlfn.IFNA(VLOOKUP($A229,[3]stockregister!$A$2:$L$2000,11,0),0)</f>
        <v>174</v>
      </c>
      <c r="H229" s="3">
        <f>_xlfn.IFNA(VLOOKUP($A229,[3]stockregister!$A$2:$L$2000,11,0),0)-$G229</f>
        <v>0</v>
      </c>
      <c r="I229" s="3">
        <f>_xlfn.IFNA(VLOOKUP($A229,[3]stockregister!$A$2:$L$2000,12,0),0)</f>
        <v>1350</v>
      </c>
      <c r="J229" s="3">
        <f>_xlfn.IFNA(VLOOKUP($A229,[3]stockregister!$A$1:$M$2000,12,0),0)-$I229</f>
        <v>0</v>
      </c>
      <c r="K229" s="3" t="s">
        <v>22</v>
      </c>
      <c r="L229" s="3" t="s">
        <v>23</v>
      </c>
      <c r="M229" s="3">
        <f>_xlfn.IFNA(VLOOKUP($A229,[2]stockregister!$A$2:$H$2000,8,0),0)</f>
        <v>1900</v>
      </c>
      <c r="N229" s="3">
        <f>_xlfn.IFNA(VLOOKUP($A229,[2]stockregister!$A$2:$H$2000,8,0),0)-$M229</f>
        <v>0</v>
      </c>
      <c r="O229" s="3" t="s">
        <v>703</v>
      </c>
      <c r="P229" s="3" t="s">
        <v>703</v>
      </c>
      <c r="Q229" s="3" t="s">
        <v>704</v>
      </c>
      <c r="R229" s="3" t="s">
        <v>156</v>
      </c>
      <c r="S229" s="3" t="s">
        <v>202</v>
      </c>
    </row>
    <row r="230" spans="1:19">
      <c r="A230" s="3">
        <v>256</v>
      </c>
      <c r="B230" s="3" t="b">
        <f>ISNUMBER(MATCH(A230,[1]stockregister!$A$2:$A$2000,0))</f>
        <v>1</v>
      </c>
      <c r="C230" s="3" t="s">
        <v>705</v>
      </c>
      <c r="D230" s="3" t="str">
        <f>VLOOKUP($C230,[1]stockregister!$B$2:$B$2000,1,0)</f>
        <v>BOLS BLUE CURACAO 750ML</v>
      </c>
      <c r="E230" s="3" t="str">
        <f>IF(ISNA($D230),VLOOKUP($A230,[2]stockregister!$A$2:$B$2000,2,FALSE),"")</f>
        <v/>
      </c>
      <c r="F230" s="3" t="s">
        <v>21</v>
      </c>
      <c r="G230" s="3">
        <f>_xlfn.IFNA(VLOOKUP($A230,[3]stockregister!$A$2:$L$2000,11,0),0)</f>
        <v>172</v>
      </c>
      <c r="H230" s="3">
        <f>_xlfn.IFNA(VLOOKUP($A230,[3]stockregister!$A$2:$L$2000,11,0),0)-$G230</f>
        <v>0</v>
      </c>
      <c r="I230" s="3">
        <f>_xlfn.IFNA(VLOOKUP($A230,[3]stockregister!$A$2:$L$2000,12,0),0)</f>
        <v>1564</v>
      </c>
      <c r="J230" s="3">
        <f>_xlfn.IFNA(VLOOKUP($A230,[3]stockregister!$A$1:$M$2000,12,0),0)-$I230</f>
        <v>0</v>
      </c>
      <c r="K230" s="3" t="s">
        <v>22</v>
      </c>
      <c r="L230" s="3" t="s">
        <v>23</v>
      </c>
      <c r="M230" s="3">
        <f>_xlfn.IFNA(VLOOKUP($A230,[2]stockregister!$A$2:$H$2000,8,0),0)</f>
        <v>1700</v>
      </c>
      <c r="N230" s="3">
        <f>_xlfn.IFNA(VLOOKUP($A230,[2]stockregister!$A$2:$H$2000,8,0),0)-$M230</f>
        <v>0</v>
      </c>
      <c r="O230" s="3" t="s">
        <v>706</v>
      </c>
      <c r="P230" s="3" t="s">
        <v>706</v>
      </c>
      <c r="Q230" s="3" t="s">
        <v>707</v>
      </c>
      <c r="R230" s="3" t="s">
        <v>126</v>
      </c>
      <c r="S230" s="3" t="s">
        <v>708</v>
      </c>
    </row>
    <row r="231" spans="1:19">
      <c r="A231" s="3">
        <v>396</v>
      </c>
      <c r="B231" s="3" t="b">
        <f>ISNUMBER(MATCH(A231,[1]stockregister!$A$2:$A$2000,0))</f>
        <v>1</v>
      </c>
      <c r="C231" s="3" t="s">
        <v>709</v>
      </c>
      <c r="D231" s="3" t="str">
        <f>VLOOKUP($C231,[1]stockregister!$B$2:$B$2000,1,0)</f>
        <v>CARLO ROSSI WHITE 750ML</v>
      </c>
      <c r="E231" s="3" t="str">
        <f>IF(ISNA($D231),VLOOKUP($A231,[2]stockregister!$A$2:$B$2000,2,FALSE),"")</f>
        <v/>
      </c>
      <c r="F231" s="3" t="s">
        <v>21</v>
      </c>
      <c r="G231" s="3">
        <f>_xlfn.IFNA(VLOOKUP($A231,[3]stockregister!$A$2:$L$2000,11,0),0)</f>
        <v>170</v>
      </c>
      <c r="H231" s="3">
        <f>_xlfn.IFNA(VLOOKUP($A231,[3]stockregister!$A$2:$L$2000,11,0),0)-$G231</f>
        <v>0</v>
      </c>
      <c r="I231" s="3">
        <f>_xlfn.IFNA(VLOOKUP($A231,[3]stockregister!$A$2:$L$2000,12,0),0)</f>
        <v>1012</v>
      </c>
      <c r="J231" s="3">
        <f>_xlfn.IFNA(VLOOKUP($A231,[3]stockregister!$A$1:$M$2000,12,0),0)-$I231</f>
        <v>0</v>
      </c>
      <c r="K231" s="3" t="s">
        <v>22</v>
      </c>
      <c r="L231" s="3" t="s">
        <v>23</v>
      </c>
      <c r="M231" s="3">
        <f>_xlfn.IFNA(VLOOKUP($A231,[2]stockregister!$A$2:$H$2000,8,0),0)</f>
        <v>1100</v>
      </c>
      <c r="N231" s="3">
        <f>_xlfn.IFNA(VLOOKUP($A231,[2]stockregister!$A$2:$H$2000,8,0),0)-$M231</f>
        <v>0</v>
      </c>
      <c r="O231" s="3" t="s">
        <v>710</v>
      </c>
      <c r="P231" s="3" t="s">
        <v>710</v>
      </c>
      <c r="Q231" s="3" t="s">
        <v>711</v>
      </c>
      <c r="R231" s="3" t="s">
        <v>68</v>
      </c>
      <c r="S231" s="3" t="s">
        <v>157</v>
      </c>
    </row>
    <row r="232" spans="1:19">
      <c r="A232" s="3">
        <v>1232</v>
      </c>
      <c r="B232" s="3" t="b">
        <f>ISNUMBER(MATCH(A232,[1]stockregister!$A$2:$A$2000,0))</f>
        <v>1</v>
      </c>
      <c r="C232" s="3" t="s">
        <v>712</v>
      </c>
      <c r="D232" s="3" t="str">
        <f>VLOOKUP($C232,[1]stockregister!$B$2:$B$2000,1,0)</f>
        <v>KREST 500ML</v>
      </c>
      <c r="E232" s="3" t="str">
        <f>IF(ISNA($D232),VLOOKUP($A232,[2]stockregister!$A$2:$B$2000,2,FALSE),"")</f>
        <v/>
      </c>
      <c r="F232" s="3" t="s">
        <v>21</v>
      </c>
      <c r="G232" s="3">
        <f>_xlfn.IFNA(VLOOKUP($A232,[3]stockregister!$A$2:$L$2000,11,0),0)</f>
        <v>168</v>
      </c>
      <c r="H232" s="3">
        <f>_xlfn.IFNA(VLOOKUP($A232,[3]stockregister!$A$2:$L$2000,11,0),0)-$G232</f>
        <v>0</v>
      </c>
      <c r="I232" s="3">
        <f>_xlfn.IFNA(VLOOKUP($A232,[3]stockregister!$A$2:$L$2000,12,0),0)</f>
        <v>65.83</v>
      </c>
      <c r="J232" s="3">
        <f>_xlfn.IFNA(VLOOKUP($A232,[3]stockregister!$A$1:$M$2000,12,0),0)-$I232</f>
        <v>0</v>
      </c>
      <c r="K232" s="3" t="s">
        <v>22</v>
      </c>
      <c r="L232" s="3" t="s">
        <v>23</v>
      </c>
      <c r="M232" s="3">
        <f>_xlfn.IFNA(VLOOKUP($A232,[2]stockregister!$A$2:$H$2000,8,0),0)</f>
        <v>80</v>
      </c>
      <c r="N232" s="3">
        <f>_xlfn.IFNA(VLOOKUP($A232,[2]stockregister!$A$2:$H$2000,8,0),0)-$M232</f>
        <v>0</v>
      </c>
      <c r="O232" s="3" t="s">
        <v>713</v>
      </c>
      <c r="P232" s="3" t="s">
        <v>713</v>
      </c>
      <c r="Q232" s="3" t="s">
        <v>714</v>
      </c>
      <c r="R232" s="3" t="s">
        <v>26</v>
      </c>
      <c r="S232" s="3" t="s">
        <v>27</v>
      </c>
    </row>
    <row r="233" spans="1:19">
      <c r="A233" s="3">
        <v>1866</v>
      </c>
      <c r="B233" s="3" t="b">
        <f>ISNUMBER(MATCH(A233,[1]stockregister!$A$2:$A$2000,0))</f>
        <v>1</v>
      </c>
      <c r="C233" s="3" t="s">
        <v>715</v>
      </c>
      <c r="D233" s="3" t="str">
        <f>VLOOKUP($C233,[1]stockregister!$B$2:$B$2000,1,0)</f>
        <v>SPRITE 500ML</v>
      </c>
      <c r="E233" s="3" t="str">
        <f>IF(ISNA($D233),VLOOKUP($A233,[2]stockregister!$A$2:$B$2000,2,FALSE),"")</f>
        <v/>
      </c>
      <c r="F233" s="3" t="s">
        <v>21</v>
      </c>
      <c r="G233" s="3">
        <f>_xlfn.IFNA(VLOOKUP($A233,[3]stockregister!$A$2:$L$2000,11,0),0)</f>
        <v>24</v>
      </c>
      <c r="H233" s="3">
        <f>_xlfn.IFNA(VLOOKUP($A233,[3]stockregister!$A$2:$L$2000,11,0),0)-$G233</f>
        <v>0</v>
      </c>
      <c r="I233" s="3">
        <f>_xlfn.IFNA(VLOOKUP($A233,[3]stockregister!$A$2:$L$2000,12,0),0)</f>
        <v>65.83</v>
      </c>
      <c r="J233" s="3">
        <f>_xlfn.IFNA(VLOOKUP($A233,[3]stockregister!$A$1:$M$2000,12,0),0)-$I233</f>
        <v>0</v>
      </c>
      <c r="K233" s="3" t="s">
        <v>22</v>
      </c>
      <c r="L233" s="3" t="s">
        <v>23</v>
      </c>
      <c r="M233" s="3">
        <f>_xlfn.IFNA(VLOOKUP($A233,[2]stockregister!$A$2:$H$2000,8,0),0)</f>
        <v>80</v>
      </c>
      <c r="N233" s="3">
        <f>_xlfn.IFNA(VLOOKUP($A233,[2]stockregister!$A$2:$H$2000,8,0),0)-$M233</f>
        <v>0</v>
      </c>
      <c r="O233" s="3" t="s">
        <v>716</v>
      </c>
      <c r="P233" s="3" t="s">
        <v>716</v>
      </c>
      <c r="Q233" s="3" t="s">
        <v>717</v>
      </c>
      <c r="R233" s="3" t="s">
        <v>26</v>
      </c>
      <c r="S233" s="3" t="s">
        <v>27</v>
      </c>
    </row>
    <row r="234" spans="1:19">
      <c r="A234" s="3">
        <v>1898</v>
      </c>
      <c r="B234" s="3" t="b">
        <f>ISNUMBER(MATCH(A234,[1]stockregister!$A$2:$A$2000,0))</f>
        <v>1</v>
      </c>
      <c r="C234" s="3" t="s">
        <v>718</v>
      </c>
      <c r="D234" s="3" t="str">
        <f>VLOOKUP($C234,[1]stockregister!$B$2:$B$2000,1,0)</f>
        <v>STRETTON RUBY ORANGE 750ML</v>
      </c>
      <c r="E234" s="3" t="str">
        <f>IF(ISNA($D234),VLOOKUP($A234,[2]stockregister!$A$2:$B$2000,2,FALSE),"")</f>
        <v/>
      </c>
      <c r="F234" s="3" t="s">
        <v>21</v>
      </c>
      <c r="G234" s="3">
        <f>_xlfn.IFNA(VLOOKUP($A234,[3]stockregister!$A$2:$L$2000,11,0),0)</f>
        <v>168</v>
      </c>
      <c r="H234" s="3">
        <f>_xlfn.IFNA(VLOOKUP($A234,[3]stockregister!$A$2:$L$2000,11,0),0)-$G234</f>
        <v>0</v>
      </c>
      <c r="I234" s="3">
        <f>_xlfn.IFNA(VLOOKUP($A234,[3]stockregister!$A$2:$L$2000,12,0),0)</f>
        <v>1472</v>
      </c>
      <c r="J234" s="3">
        <f>_xlfn.IFNA(VLOOKUP($A234,[3]stockregister!$A$1:$M$2000,12,0),0)-$I234</f>
        <v>0</v>
      </c>
      <c r="K234" s="3" t="s">
        <v>22</v>
      </c>
      <c r="L234" s="3" t="s">
        <v>23</v>
      </c>
      <c r="M234" s="3">
        <f>_xlfn.IFNA(VLOOKUP($A234,[2]stockregister!$A$2:$H$2000,8,0),0)</f>
        <v>1600</v>
      </c>
      <c r="N234" s="3">
        <f>_xlfn.IFNA(VLOOKUP($A234,[2]stockregister!$A$2:$H$2000,8,0),0)-$M234</f>
        <v>0</v>
      </c>
      <c r="O234" s="3" t="s">
        <v>719</v>
      </c>
      <c r="P234" s="3" t="s">
        <v>719</v>
      </c>
      <c r="Q234" s="3" t="s">
        <v>541</v>
      </c>
      <c r="R234" s="3" t="s">
        <v>78</v>
      </c>
      <c r="S234" s="3" t="s">
        <v>720</v>
      </c>
    </row>
    <row r="235" spans="1:18">
      <c r="A235" s="3">
        <v>471</v>
      </c>
      <c r="B235" s="3" t="b">
        <f>ISNUMBER(MATCH(A235,[1]stockregister!$A$2:$A$2000,0))</f>
        <v>1</v>
      </c>
      <c r="C235" s="3" t="s">
        <v>721</v>
      </c>
      <c r="D235" s="3" t="str">
        <f>VLOOKUP($C235,[1]stockregister!$B$2:$B$2000,1,0)</f>
        <v>CHROME GIN 750ML</v>
      </c>
      <c r="E235" s="3" t="str">
        <f>IF(ISNA($D235),VLOOKUP($A235,[2]stockregister!$A$2:$B$2000,2,FALSE),"")</f>
        <v/>
      </c>
      <c r="F235" s="3" t="s">
        <v>21</v>
      </c>
      <c r="G235" s="3">
        <f>_xlfn.IFNA(VLOOKUP($A235,[3]stockregister!$A$2:$L$2000,11,0),0)</f>
        <v>144</v>
      </c>
      <c r="H235" s="3">
        <f>_xlfn.IFNA(VLOOKUP($A235,[3]stockregister!$A$2:$L$2000,11,0),0)-$G235</f>
        <v>0</v>
      </c>
      <c r="I235" s="3">
        <f>_xlfn.IFNA(VLOOKUP($A235,[3]stockregister!$A$2:$L$2000,12,0),0)</f>
        <v>558.1</v>
      </c>
      <c r="J235" s="3">
        <f>_xlfn.IFNA(VLOOKUP($A235,[3]stockregister!$A$1:$M$2000,12,0),0)-$I235</f>
        <v>0</v>
      </c>
      <c r="K235" s="3" t="s">
        <v>22</v>
      </c>
      <c r="L235" s="3" t="s">
        <v>23</v>
      </c>
      <c r="M235" s="3">
        <f>_xlfn.IFNA(VLOOKUP($A235,[2]stockregister!$A$2:$H$2000,8,0),0)</f>
        <v>565</v>
      </c>
      <c r="N235" s="3">
        <f>_xlfn.IFNA(VLOOKUP($A235,[2]stockregister!$A$2:$H$2000,8,0),0)-$M235</f>
        <v>0</v>
      </c>
      <c r="O235" s="3" t="s">
        <v>722</v>
      </c>
      <c r="P235" s="3" t="s">
        <v>722</v>
      </c>
      <c r="Q235" s="3" t="s">
        <v>392</v>
      </c>
      <c r="R235" s="3" t="s">
        <v>78</v>
      </c>
    </row>
    <row r="236" spans="1:18">
      <c r="A236" s="3">
        <v>2902</v>
      </c>
      <c r="B236" s="3" t="b">
        <f>ISNUMBER(MATCH(A236,[1]stockregister!$A$2:$A$2000,0))</f>
        <v>1</v>
      </c>
      <c r="C236" s="3" t="s">
        <v>723</v>
      </c>
      <c r="D236" s="3" t="str">
        <f>VLOOKUP($C236,[1]stockregister!$B$2:$B$2000,1,0)</f>
        <v>EMBER PINE POA 250 ML</v>
      </c>
      <c r="E236" s="3" t="str">
        <f>IF(ISNA($D236),VLOOKUP($A236,[2]stockregister!$A$2:$B$2000,2,FALSE),"")</f>
        <v/>
      </c>
      <c r="F236" s="3" t="s">
        <v>21</v>
      </c>
      <c r="G236" s="3">
        <f>_xlfn.IFNA(VLOOKUP($A236,[3]stockregister!$A$2:$L$2000,11,0),0)</f>
        <v>168</v>
      </c>
      <c r="H236" s="3">
        <f>_xlfn.IFNA(VLOOKUP($A236,[3]stockregister!$A$2:$L$2000,11,0),0)-$G236</f>
        <v>0</v>
      </c>
      <c r="I236" s="3">
        <f>_xlfn.IFNA(VLOOKUP($A236,[3]stockregister!$A$2:$L$2000,12,0),0)</f>
        <v>208.45</v>
      </c>
      <c r="J236" s="3">
        <f>_xlfn.IFNA(VLOOKUP($A236,[3]stockregister!$A$1:$M$2000,12,0),0)-$I236</f>
        <v>0</v>
      </c>
      <c r="K236" s="3" t="s">
        <v>22</v>
      </c>
      <c r="L236" s="3" t="s">
        <v>23</v>
      </c>
      <c r="M236" s="3">
        <f>_xlfn.IFNA(VLOOKUP($A236,[2]stockregister!$A$2:$H$2000,8,0),0)</f>
        <v>230</v>
      </c>
      <c r="N236" s="3">
        <f>_xlfn.IFNA(VLOOKUP($A236,[2]stockregister!$A$2:$H$2000,8,0),0)-$M236</f>
        <v>0</v>
      </c>
      <c r="O236" s="3" t="s">
        <v>724</v>
      </c>
      <c r="P236" s="3" t="s">
        <v>724</v>
      </c>
      <c r="Q236" s="3" t="s">
        <v>725</v>
      </c>
      <c r="R236" s="3" t="s">
        <v>78</v>
      </c>
    </row>
    <row r="237" spans="1:18">
      <c r="A237" s="3">
        <v>2042</v>
      </c>
      <c r="B237" s="3" t="b">
        <f>ISNUMBER(MATCH(A237,[1]stockregister!$A$2:$A$2000,0))</f>
        <v>1</v>
      </c>
      <c r="C237" s="3" t="s">
        <v>726</v>
      </c>
      <c r="D237" s="3" t="str">
        <f>VLOOKUP($C237,[1]stockregister!$B$2:$B$2000,1,0)</f>
        <v>V &amp; A 750ML</v>
      </c>
      <c r="E237" s="3" t="str">
        <f>IF(ISNA($D237),VLOOKUP($A237,[2]stockregister!$A$2:$B$2000,2,FALSE),"")</f>
        <v/>
      </c>
      <c r="F237" s="3" t="s">
        <v>21</v>
      </c>
      <c r="G237" s="3">
        <f>_xlfn.IFNA(VLOOKUP($A237,[3]stockregister!$A$2:$L$2000,11,0),0)</f>
        <v>132</v>
      </c>
      <c r="H237" s="3">
        <f>_xlfn.IFNA(VLOOKUP($A237,[3]stockregister!$A$2:$L$2000,11,0),0)-$G237</f>
        <v>0</v>
      </c>
      <c r="I237" s="3">
        <f>_xlfn.IFNA(VLOOKUP($A237,[3]stockregister!$A$2:$L$2000,12,0),0)</f>
        <v>760.07</v>
      </c>
      <c r="J237" s="3">
        <f>_xlfn.IFNA(VLOOKUP($A237,[3]stockregister!$A$1:$M$2000,12,0),0)-$I237</f>
        <v>0</v>
      </c>
      <c r="K237" s="3" t="s">
        <v>22</v>
      </c>
      <c r="L237" s="3" t="s">
        <v>23</v>
      </c>
      <c r="M237" s="3">
        <f>_xlfn.IFNA(VLOOKUP($A237,[2]stockregister!$A$2:$H$2000,8,0),0)</f>
        <v>800</v>
      </c>
      <c r="N237" s="3">
        <f>_xlfn.IFNA(VLOOKUP($A237,[2]stockregister!$A$2:$H$2000,8,0),0)-$M237</f>
        <v>0</v>
      </c>
      <c r="O237" s="3" t="s">
        <v>727</v>
      </c>
      <c r="P237" s="3" t="s">
        <v>727</v>
      </c>
      <c r="Q237" s="3" t="s">
        <v>571</v>
      </c>
      <c r="R237" s="3" t="s">
        <v>126</v>
      </c>
    </row>
    <row r="238" spans="1:19">
      <c r="A238" s="3">
        <v>992</v>
      </c>
      <c r="B238" s="3" t="b">
        <f>ISNUMBER(MATCH(A238,[1]stockregister!$A$2:$A$2000,0))</f>
        <v>1</v>
      </c>
      <c r="C238" s="3" t="s">
        <v>728</v>
      </c>
      <c r="D238" s="3" t="str">
        <f>VLOOKUP($C238,[1]stockregister!$B$2:$B$2000,1,0)</f>
        <v>HUNTERS 250 ML</v>
      </c>
      <c r="E238" s="3" t="str">
        <f>IF(ISNA($D238),VLOOKUP($A238,[2]stockregister!$A$2:$B$2000,2,FALSE),"")</f>
        <v/>
      </c>
      <c r="F238" s="3" t="s">
        <v>21</v>
      </c>
      <c r="G238" s="3">
        <f>_xlfn.IFNA(VLOOKUP($A238,[3]stockregister!$A$2:$L$2000,11,0),0)</f>
        <v>432</v>
      </c>
      <c r="H238" s="3">
        <f>_xlfn.IFNA(VLOOKUP($A238,[3]stockregister!$A$2:$L$2000,11,0),0)-$G238</f>
        <v>0</v>
      </c>
      <c r="I238" s="3">
        <f>_xlfn.IFNA(VLOOKUP($A238,[3]stockregister!$A$2:$L$2000,12,0),0)</f>
        <v>290.97</v>
      </c>
      <c r="J238" s="3">
        <f>_xlfn.IFNA(VLOOKUP($A238,[3]stockregister!$A$1:$M$2000,12,0),0)-$I238</f>
        <v>0</v>
      </c>
      <c r="K238" s="3" t="s">
        <v>22</v>
      </c>
      <c r="L238" s="3" t="s">
        <v>23</v>
      </c>
      <c r="M238" s="3">
        <f>_xlfn.IFNA(VLOOKUP($A238,[2]stockregister!$A$2:$H$2000,8,0),0)</f>
        <v>296</v>
      </c>
      <c r="N238" s="3">
        <f>_xlfn.IFNA(VLOOKUP($A238,[2]stockregister!$A$2:$H$2000,8,0),0)-$M238</f>
        <v>0</v>
      </c>
      <c r="O238" s="3" t="s">
        <v>729</v>
      </c>
      <c r="P238" s="3" t="s">
        <v>729</v>
      </c>
      <c r="Q238" s="3" t="s">
        <v>660</v>
      </c>
      <c r="R238" s="3" t="s">
        <v>92</v>
      </c>
      <c r="S238" s="3" t="s">
        <v>252</v>
      </c>
    </row>
    <row r="239" spans="1:19">
      <c r="A239" s="3">
        <v>1068</v>
      </c>
      <c r="B239" s="3" t="b">
        <f>ISNUMBER(MATCH(A239,[1]stockregister!$A$2:$A$2000,0))</f>
        <v>1</v>
      </c>
      <c r="C239" s="3" t="s">
        <v>730</v>
      </c>
      <c r="D239" s="3" t="str">
        <f>VLOOKUP($C239,[1]stockregister!$B$2:$B$2000,1,0)</f>
        <v>JAMESON STOUT 750ML</v>
      </c>
      <c r="E239" s="3" t="str">
        <f>IF(ISNA($D239),VLOOKUP($A239,[2]stockregister!$A$2:$B$2000,2,FALSE),"")</f>
        <v/>
      </c>
      <c r="F239" s="3" t="s">
        <v>21</v>
      </c>
      <c r="G239" s="3">
        <f>_xlfn.IFNA(VLOOKUP($A239,[3]stockregister!$A$2:$L$2000,11,0),0)</f>
        <v>168</v>
      </c>
      <c r="H239" s="3">
        <f>_xlfn.IFNA(VLOOKUP($A239,[3]stockregister!$A$2:$L$2000,11,0),0)-$G239</f>
        <v>0</v>
      </c>
      <c r="I239" s="3">
        <f>_xlfn.IFNA(VLOOKUP($A239,[3]stockregister!$A$2:$L$2000,12,0),0)</f>
        <v>3000</v>
      </c>
      <c r="J239" s="3">
        <f>_xlfn.IFNA(VLOOKUP($A239,[3]stockregister!$A$1:$M$2000,12,0),0)-$I239</f>
        <v>0</v>
      </c>
      <c r="K239" s="3" t="s">
        <v>22</v>
      </c>
      <c r="L239" s="3" t="s">
        <v>23</v>
      </c>
      <c r="M239" s="3">
        <f>_xlfn.IFNA(VLOOKUP($A239,[2]stockregister!$A$2:$H$2000,8,0),0)</f>
        <v>3500</v>
      </c>
      <c r="N239" s="3">
        <f>_xlfn.IFNA(VLOOKUP($A239,[2]stockregister!$A$2:$H$2000,8,0),0)-$M239</f>
        <v>0</v>
      </c>
      <c r="O239" s="3" t="s">
        <v>731</v>
      </c>
      <c r="P239" s="3" t="s">
        <v>731</v>
      </c>
      <c r="Q239" s="3" t="s">
        <v>732</v>
      </c>
      <c r="R239" s="3" t="s">
        <v>92</v>
      </c>
      <c r="S239" s="3" t="s">
        <v>134</v>
      </c>
    </row>
    <row r="240" spans="1:19">
      <c r="A240" s="3">
        <v>1471</v>
      </c>
      <c r="B240" s="3" t="b">
        <f>ISNUMBER(MATCH(A240,[1]stockregister!$A$2:$A$2000,0))</f>
        <v>1</v>
      </c>
      <c r="C240" s="3" t="s">
        <v>733</v>
      </c>
      <c r="D240" s="3" t="str">
        <f>VLOOKUP($C240,[1]stockregister!$B$2:$B$2000,1,0)</f>
        <v>MONKEY SHOULDER 750ML</v>
      </c>
      <c r="E240" s="3" t="str">
        <f>IF(ISNA($D240),VLOOKUP($A240,[2]stockregister!$A$2:$B$2000,2,FALSE),"")</f>
        <v/>
      </c>
      <c r="F240" s="3" t="s">
        <v>21</v>
      </c>
      <c r="G240" s="3">
        <f>_xlfn.IFNA(VLOOKUP($A240,[3]stockregister!$A$2:$L$2000,11,0),0)</f>
        <v>156</v>
      </c>
      <c r="H240" s="3">
        <f>_xlfn.IFNA(VLOOKUP($A240,[3]stockregister!$A$2:$L$2000,11,0),0)-$G240</f>
        <v>0</v>
      </c>
      <c r="I240" s="3">
        <f>_xlfn.IFNA(VLOOKUP($A240,[3]stockregister!$A$2:$L$2000,12,0),0)</f>
        <v>2730</v>
      </c>
      <c r="J240" s="3">
        <f>_xlfn.IFNA(VLOOKUP($A240,[3]stockregister!$A$1:$M$2000,12,0),0)-$I240</f>
        <v>0</v>
      </c>
      <c r="K240" s="3" t="s">
        <v>22</v>
      </c>
      <c r="L240" s="3" t="s">
        <v>23</v>
      </c>
      <c r="M240" s="3">
        <f>_xlfn.IFNA(VLOOKUP($A240,[2]stockregister!$A$2:$H$2000,8,0),0)</f>
        <v>3700</v>
      </c>
      <c r="N240" s="3">
        <f>_xlfn.IFNA(VLOOKUP($A240,[2]stockregister!$A$2:$H$2000,8,0),0)-$M240</f>
        <v>0</v>
      </c>
      <c r="O240" s="3" t="s">
        <v>734</v>
      </c>
      <c r="P240" s="3" t="s">
        <v>734</v>
      </c>
      <c r="Q240" s="3" t="s">
        <v>735</v>
      </c>
      <c r="R240" s="3" t="s">
        <v>92</v>
      </c>
      <c r="S240" s="3" t="s">
        <v>134</v>
      </c>
    </row>
    <row r="241" spans="1:19">
      <c r="A241" s="3">
        <v>1622</v>
      </c>
      <c r="B241" s="3" t="b">
        <f>ISNUMBER(MATCH(A241,[1]stockregister!$A$2:$A$2000,0))</f>
        <v>1</v>
      </c>
      <c r="C241" s="3" t="s">
        <v>261</v>
      </c>
      <c r="D241" s="3" t="str">
        <f>VLOOKUP($C241,[1]stockregister!$B$2:$B$2000,1,0)</f>
        <v>PIERRE MARCEL SWEET RED  1.5LTR</v>
      </c>
      <c r="E241" s="3" t="str">
        <f>IF(ISNA($D241),VLOOKUP($A241,[2]stockregister!$A$2:$B$2000,2,FALSE),"")</f>
        <v/>
      </c>
      <c r="F241" s="3" t="s">
        <v>21</v>
      </c>
      <c r="G241" s="3">
        <f>_xlfn.IFNA(VLOOKUP($A241,[3]stockregister!$A$2:$L$2000,11,0),0)</f>
        <v>149</v>
      </c>
      <c r="H241" s="3">
        <f>_xlfn.IFNA(VLOOKUP($A241,[3]stockregister!$A$2:$L$2000,11,0),0)-$G241</f>
        <v>0</v>
      </c>
      <c r="I241" s="3">
        <f>_xlfn.IFNA(VLOOKUP($A241,[3]stockregister!$A$2:$L$2000,12,0),0)</f>
        <v>2050</v>
      </c>
      <c r="J241" s="3">
        <f>_xlfn.IFNA(VLOOKUP($A241,[3]stockregister!$A$1:$M$2000,12,0),0)-$I241</f>
        <v>0</v>
      </c>
      <c r="K241" s="3" t="s">
        <v>22</v>
      </c>
      <c r="L241" s="3" t="s">
        <v>23</v>
      </c>
      <c r="M241" s="3">
        <f>_xlfn.IFNA(VLOOKUP($A241,[2]stockregister!$A$2:$H$2000,8,0),0)</f>
        <v>2300</v>
      </c>
      <c r="N241" s="3">
        <f>_xlfn.IFNA(VLOOKUP($A241,[2]stockregister!$A$2:$H$2000,8,0),0)-$M241</f>
        <v>0</v>
      </c>
      <c r="O241" s="3" t="s">
        <v>736</v>
      </c>
      <c r="P241" s="3" t="s">
        <v>736</v>
      </c>
      <c r="Q241" s="3" t="s">
        <v>737</v>
      </c>
      <c r="R241" s="3" t="s">
        <v>68</v>
      </c>
      <c r="S241" s="3" t="s">
        <v>88</v>
      </c>
    </row>
    <row r="242" spans="1:20">
      <c r="A242" s="3">
        <v>2187</v>
      </c>
      <c r="B242" s="3" t="b">
        <f>ISNUMBER(MATCH(A242,[1]stockregister!$A$2:$A$2000,0))</f>
        <v>1</v>
      </c>
      <c r="C242" s="3" t="s">
        <v>264</v>
      </c>
      <c r="D242" s="3" t="str">
        <f>VLOOKUP($C242,[1]stockregister!$B$2:$B$2000,1,0)</f>
        <v>CAPTAIN MORGAN MUCK PIT 250ML</v>
      </c>
      <c r="E242" s="3" t="str">
        <f>IF(ISNA($D242),VLOOKUP($A242,[2]stockregister!$A$2:$B$2000,2,FALSE),"")</f>
        <v/>
      </c>
      <c r="F242" s="3" t="s">
        <v>21</v>
      </c>
      <c r="G242" s="3">
        <f>_xlfn.IFNA(VLOOKUP($A242,[3]stockregister!$A$2:$L$2000,11,0),0)</f>
        <v>163</v>
      </c>
      <c r="H242" s="3">
        <f>_xlfn.IFNA(VLOOKUP($A242,[3]stockregister!$A$2:$L$2000,11,0),0)-$G242</f>
        <v>0</v>
      </c>
      <c r="I242" s="3">
        <f>_xlfn.IFNA(VLOOKUP($A242,[3]stockregister!$A$2:$L$2000,12,0),0)</f>
        <v>8300</v>
      </c>
      <c r="J242" s="3">
        <f>_xlfn.IFNA(VLOOKUP($A242,[3]stockregister!$A$1:$M$2000,12,0),0)-$I242</f>
        <v>0</v>
      </c>
      <c r="K242" s="3" t="s">
        <v>22</v>
      </c>
      <c r="L242" s="3" t="s">
        <v>23</v>
      </c>
      <c r="M242" s="3">
        <f>_xlfn.IFNA(VLOOKUP($A242,[2]stockregister!$A$2:$H$2000,8,0),0)</f>
        <v>8500</v>
      </c>
      <c r="N242" s="3">
        <f>_xlfn.IFNA(VLOOKUP($A242,[2]stockregister!$A$2:$H$2000,8,0),0)-$M242</f>
        <v>0</v>
      </c>
      <c r="O242" s="3" t="s">
        <v>738</v>
      </c>
      <c r="P242" s="3" t="s">
        <v>738</v>
      </c>
      <c r="Q242" s="3" t="s">
        <v>433</v>
      </c>
      <c r="R242" s="3" t="s">
        <v>92</v>
      </c>
      <c r="S242" s="3" t="s">
        <v>252</v>
      </c>
      <c r="T242" s="3">
        <v>15</v>
      </c>
    </row>
    <row r="243" spans="1:19">
      <c r="A243" s="3">
        <v>894</v>
      </c>
      <c r="B243" s="3" t="b">
        <f>ISNUMBER(MATCH(A243,[1]stockregister!$A$2:$A$2000,0))</f>
        <v>1</v>
      </c>
      <c r="C243" s="3" t="s">
        <v>267</v>
      </c>
      <c r="D243" s="3" t="str">
        <f>VLOOKUP($C243,[1]stockregister!$B$2:$B$2000,1,0)</f>
        <v>SPRITE 1.25L</v>
      </c>
      <c r="E243" s="3" t="str">
        <f>IF(ISNA($D243),VLOOKUP($A243,[2]stockregister!$A$2:$B$2000,2,FALSE),"")</f>
        <v/>
      </c>
      <c r="F243" s="3" t="s">
        <v>21</v>
      </c>
      <c r="G243" s="3">
        <f>_xlfn.IFNA(VLOOKUP($A243,[3]stockregister!$A$2:$L$2000,11,0),0)</f>
        <v>162</v>
      </c>
      <c r="H243" s="3">
        <f>_xlfn.IFNA(VLOOKUP($A243,[3]stockregister!$A$2:$L$2000,11,0),0)-$G243</f>
        <v>0</v>
      </c>
      <c r="I243" s="3">
        <f>_xlfn.IFNA(VLOOKUP($A243,[3]stockregister!$A$2:$L$2000,12,0),0)</f>
        <v>800</v>
      </c>
      <c r="J243" s="3">
        <f>_xlfn.IFNA(VLOOKUP($A243,[3]stockregister!$A$1:$M$2000,12,0),0)-$I243</f>
        <v>0</v>
      </c>
      <c r="K243" s="3" t="s">
        <v>22</v>
      </c>
      <c r="L243" s="3" t="s">
        <v>23</v>
      </c>
      <c r="M243" s="3">
        <f>_xlfn.IFNA(VLOOKUP($A243,[2]stockregister!$A$2:$H$2000,8,0),0)</f>
        <v>1000</v>
      </c>
      <c r="N243" s="3">
        <f>_xlfn.IFNA(VLOOKUP($A243,[2]stockregister!$A$2:$H$2000,8,0),0)-$M243</f>
        <v>0</v>
      </c>
      <c r="O243" s="3" t="s">
        <v>739</v>
      </c>
      <c r="P243" s="3" t="s">
        <v>739</v>
      </c>
      <c r="Q243" s="3" t="s">
        <v>740</v>
      </c>
      <c r="R243" s="3" t="s">
        <v>68</v>
      </c>
      <c r="S243" s="3" t="s">
        <v>157</v>
      </c>
    </row>
    <row r="244" spans="1:19">
      <c r="A244" s="3">
        <v>2652</v>
      </c>
      <c r="B244" s="3" t="b">
        <f>ISNUMBER(MATCH(A244,[1]stockregister!$A$2:$A$2000,0))</f>
        <v>1</v>
      </c>
      <c r="C244" s="3" t="s">
        <v>270</v>
      </c>
      <c r="D244" s="3" t="str">
        <f>VLOOKUP($C244,[1]stockregister!$B$2:$B$2000,1,0)</f>
        <v>CAPTAIN MORGAN MUCK PIT 750ML</v>
      </c>
      <c r="E244" s="3" t="str">
        <f>IF(ISNA($D244),VLOOKUP($A244,[2]stockregister!$A$2:$B$2000,2,FALSE),"")</f>
        <v/>
      </c>
      <c r="F244" s="3" t="s">
        <v>21</v>
      </c>
      <c r="G244" s="3">
        <f>_xlfn.IFNA(VLOOKUP($A244,[3]stockregister!$A$2:$L$2000,11,0),0)</f>
        <v>120</v>
      </c>
      <c r="H244" s="3">
        <f>_xlfn.IFNA(VLOOKUP($A244,[3]stockregister!$A$2:$L$2000,11,0),0)-$G244</f>
        <v>0</v>
      </c>
      <c r="I244" s="3">
        <f>_xlfn.IFNA(VLOOKUP($A244,[3]stockregister!$A$2:$L$2000,12,0),0)</f>
        <v>370</v>
      </c>
      <c r="J244" s="3">
        <f>_xlfn.IFNA(VLOOKUP($A244,[3]stockregister!$A$1:$M$2000,12,0),0)-$I244</f>
        <v>0</v>
      </c>
      <c r="K244" s="3" t="s">
        <v>22</v>
      </c>
      <c r="L244" s="3" t="s">
        <v>23</v>
      </c>
      <c r="M244" s="3">
        <f>_xlfn.IFNA(VLOOKUP($A244,[2]stockregister!$A$2:$H$2000,8,0),0)</f>
        <v>400</v>
      </c>
      <c r="N244" s="3">
        <f>_xlfn.IFNA(VLOOKUP($A244,[2]stockregister!$A$2:$H$2000,8,0),0)-$M244</f>
        <v>0</v>
      </c>
      <c r="O244" s="3" t="s">
        <v>741</v>
      </c>
      <c r="P244" s="3" t="s">
        <v>741</v>
      </c>
      <c r="Q244" s="3" t="s">
        <v>201</v>
      </c>
      <c r="R244" s="3" t="s">
        <v>126</v>
      </c>
      <c r="S244" s="3" t="s">
        <v>742</v>
      </c>
    </row>
    <row r="245" spans="1:19">
      <c r="A245" s="3">
        <v>2832</v>
      </c>
      <c r="B245" s="3" t="b">
        <f>ISNUMBER(MATCH(A245,[1]stockregister!$A$2:$A$2000,0))</f>
        <v>1</v>
      </c>
      <c r="C245" s="3" t="s">
        <v>271</v>
      </c>
      <c r="D245" s="3" t="str">
        <f>VLOOKUP($C245,[1]stockregister!$B$2:$B$2000,1,0)</f>
        <v>SMIRNOFF RED VODKA 750ML</v>
      </c>
      <c r="E245" s="3" t="str">
        <f>IF(ISNA($D245),VLOOKUP($A245,[2]stockregister!$A$2:$B$2000,2,FALSE),"")</f>
        <v/>
      </c>
      <c r="F245" s="3" t="s">
        <v>21</v>
      </c>
      <c r="G245" s="3">
        <f>_xlfn.IFNA(VLOOKUP($A245,[3]stockregister!$A$2:$L$2000,11,0),0)</f>
        <v>100</v>
      </c>
      <c r="H245" s="3">
        <f>_xlfn.IFNA(VLOOKUP($A245,[3]stockregister!$A$2:$L$2000,11,0),0)-$G245</f>
        <v>0</v>
      </c>
      <c r="I245" s="3">
        <f>_xlfn.IFNA(VLOOKUP($A245,[3]stockregister!$A$2:$L$2000,12,0),0)</f>
        <v>350</v>
      </c>
      <c r="J245" s="3">
        <f>_xlfn.IFNA(VLOOKUP($A245,[3]stockregister!$A$1:$M$2000,12,0),0)-$I245</f>
        <v>0</v>
      </c>
      <c r="K245" s="3" t="s">
        <v>22</v>
      </c>
      <c r="L245" s="3" t="s">
        <v>23</v>
      </c>
      <c r="M245" s="3">
        <f>_xlfn.IFNA(VLOOKUP($A245,[2]stockregister!$A$2:$H$2000,8,0),0)</f>
        <v>380</v>
      </c>
      <c r="N245" s="3">
        <f>_xlfn.IFNA(VLOOKUP($A245,[2]stockregister!$A$2:$H$2000,8,0),0)-$M245</f>
        <v>0</v>
      </c>
      <c r="O245" s="3" t="s">
        <v>743</v>
      </c>
      <c r="P245" s="3" t="s">
        <v>743</v>
      </c>
      <c r="Q245" s="3" t="s">
        <v>505</v>
      </c>
      <c r="R245" s="3" t="s">
        <v>506</v>
      </c>
      <c r="S245" s="3" t="s">
        <v>744</v>
      </c>
    </row>
    <row r="246" spans="1:20">
      <c r="A246" s="3">
        <v>626</v>
      </c>
      <c r="B246" s="3" t="b">
        <f>ISNUMBER(MATCH(A246,[1]stockregister!$A$2:$A$2000,0))</f>
        <v>1</v>
      </c>
      <c r="C246" s="3" t="s">
        <v>273</v>
      </c>
      <c r="D246" s="3" t="str">
        <f>VLOOKUP($C246,[1]stockregister!$B$2:$B$2000,1,0)</f>
        <v>JOHNNIE WALKER GOLD RESERVE  1LTR</v>
      </c>
      <c r="E246" s="3" t="str">
        <f>IF(ISNA($D246),VLOOKUP($A246,[2]stockregister!$A$2:$B$2000,2,FALSE),"")</f>
        <v/>
      </c>
      <c r="F246" s="3" t="s">
        <v>21</v>
      </c>
      <c r="G246" s="3">
        <f>_xlfn.IFNA(VLOOKUP($A246,[3]stockregister!$A$2:$L$2000,11,0),0)</f>
        <v>158</v>
      </c>
      <c r="H246" s="3">
        <f>_xlfn.IFNA(VLOOKUP($A246,[3]stockregister!$A$2:$L$2000,11,0),0)-$G246</f>
        <v>0</v>
      </c>
      <c r="I246" s="3">
        <f>_xlfn.IFNA(VLOOKUP($A246,[3]stockregister!$A$2:$L$2000,12,0),0)</f>
        <v>414</v>
      </c>
      <c r="J246" s="3">
        <f>_xlfn.IFNA(VLOOKUP($A246,[3]stockregister!$A$1:$M$2000,12,0),0)-$I246</f>
        <v>0</v>
      </c>
      <c r="K246" s="3" t="s">
        <v>22</v>
      </c>
      <c r="L246" s="3" t="s">
        <v>23</v>
      </c>
      <c r="M246" s="3">
        <f>_xlfn.IFNA(VLOOKUP($A246,[2]stockregister!$A$2:$H$2000,8,0),0)</f>
        <v>450</v>
      </c>
      <c r="N246" s="3">
        <f>_xlfn.IFNA(VLOOKUP($A246,[2]stockregister!$A$2:$H$2000,8,0),0)-$M246</f>
        <v>0</v>
      </c>
      <c r="O246" s="3" t="s">
        <v>745</v>
      </c>
      <c r="P246" s="3" t="s">
        <v>745</v>
      </c>
      <c r="Q246" s="3" t="s">
        <v>746</v>
      </c>
      <c r="R246" s="3" t="s">
        <v>109</v>
      </c>
      <c r="T246" s="3">
        <v>5</v>
      </c>
    </row>
    <row r="247" spans="1:19">
      <c r="A247" s="3">
        <v>2200</v>
      </c>
      <c r="B247" s="3" t="b">
        <f>ISNUMBER(MATCH(A247,[1]stockregister!$A$2:$A$2000,0))</f>
        <v>1</v>
      </c>
      <c r="C247" s="3" t="s">
        <v>276</v>
      </c>
      <c r="D247" s="3" t="str">
        <f>VLOOKUP($C247,[1]stockregister!$B$2:$B$2000,1,0)</f>
        <v>MINUTE MAID MANGO 400ML</v>
      </c>
      <c r="E247" s="3" t="str">
        <f>IF(ISNA($D247),VLOOKUP($A247,[2]stockregister!$A$2:$B$2000,2,FALSE),"")</f>
        <v/>
      </c>
      <c r="F247" s="3" t="s">
        <v>21</v>
      </c>
      <c r="G247" s="3">
        <f>_xlfn.IFNA(VLOOKUP($A247,[3]stockregister!$A$2:$L$2000,11,0),0)</f>
        <v>158</v>
      </c>
      <c r="H247" s="3">
        <f>_xlfn.IFNA(VLOOKUP($A247,[3]stockregister!$A$2:$L$2000,11,0),0)-$G247</f>
        <v>0</v>
      </c>
      <c r="I247" s="3">
        <f>_xlfn.IFNA(VLOOKUP($A247,[3]stockregister!$A$2:$L$2000,12,0),0)</f>
        <v>3270</v>
      </c>
      <c r="J247" s="3">
        <f>_xlfn.IFNA(VLOOKUP($A247,[3]stockregister!$A$1:$M$2000,12,0),0)-$I247</f>
        <v>0</v>
      </c>
      <c r="K247" s="3" t="s">
        <v>22</v>
      </c>
      <c r="L247" s="3" t="s">
        <v>23</v>
      </c>
      <c r="M247" s="3">
        <f>_xlfn.IFNA(VLOOKUP($A247,[2]stockregister!$A$2:$H$2000,8,0),0)</f>
        <v>6500</v>
      </c>
      <c r="N247" s="3">
        <f>_xlfn.IFNA(VLOOKUP($A247,[2]stockregister!$A$2:$H$2000,8,0),0)-$M247</f>
        <v>0</v>
      </c>
      <c r="O247" s="3" t="s">
        <v>747</v>
      </c>
      <c r="P247" s="3" t="s">
        <v>747</v>
      </c>
      <c r="Q247" s="3" t="s">
        <v>236</v>
      </c>
      <c r="R247" s="3" t="s">
        <v>113</v>
      </c>
      <c r="S247" s="3" t="s">
        <v>114</v>
      </c>
    </row>
    <row r="248" spans="1:19">
      <c r="A248" s="3">
        <v>2179</v>
      </c>
      <c r="B248" s="3" t="b">
        <f>ISNUMBER(MATCH(A248,[1]stockregister!$A$2:$A$2000,0))</f>
        <v>1</v>
      </c>
      <c r="C248" s="3" t="s">
        <v>279</v>
      </c>
      <c r="D248" s="3" t="str">
        <f>VLOOKUP($C248,[1]stockregister!$B$2:$B$2000,1,0)</f>
        <v>KO LIME &amp; GINGER 330ML</v>
      </c>
      <c r="E248" s="3" t="str">
        <f>IF(ISNA($D248),VLOOKUP($A248,[2]stockregister!$A$2:$B$2000,2,FALSE),"")</f>
        <v/>
      </c>
      <c r="F248" s="3" t="s">
        <v>21</v>
      </c>
      <c r="G248" s="3">
        <f>_xlfn.IFNA(VLOOKUP($A248,[3]stockregister!$A$2:$L$2000,11,0),0)</f>
        <v>158</v>
      </c>
      <c r="H248" s="3">
        <f>_xlfn.IFNA(VLOOKUP($A248,[3]stockregister!$A$2:$L$2000,11,0),0)-$G248</f>
        <v>0</v>
      </c>
      <c r="I248" s="3">
        <f>_xlfn.IFNA(VLOOKUP($A248,[3]stockregister!$A$2:$L$2000,12,0),0)</f>
        <v>4200</v>
      </c>
      <c r="J248" s="3">
        <f>_xlfn.IFNA(VLOOKUP($A248,[3]stockregister!$A$1:$M$2000,12,0),0)-$I248</f>
        <v>0</v>
      </c>
      <c r="K248" s="3" t="s">
        <v>22</v>
      </c>
      <c r="L248" s="3" t="s">
        <v>23</v>
      </c>
      <c r="M248" s="3">
        <f>_xlfn.IFNA(VLOOKUP($A248,[2]stockregister!$A$2:$H$2000,8,0),0)</f>
        <v>4500</v>
      </c>
      <c r="N248" s="3">
        <f>_xlfn.IFNA(VLOOKUP($A248,[2]stockregister!$A$2:$H$2000,8,0),0)-$M248</f>
        <v>0</v>
      </c>
      <c r="O248" s="3" t="s">
        <v>748</v>
      </c>
      <c r="P248" s="3" t="s">
        <v>748</v>
      </c>
      <c r="Q248" s="3" t="s">
        <v>749</v>
      </c>
      <c r="R248" s="3" t="s">
        <v>68</v>
      </c>
      <c r="S248" s="3" t="s">
        <v>750</v>
      </c>
    </row>
    <row r="249" spans="1:19">
      <c r="A249" s="3">
        <v>1865</v>
      </c>
      <c r="B249" s="3" t="b">
        <f>ISNUMBER(MATCH(A249,[1]stockregister!$A$2:$A$2000,0))</f>
        <v>1</v>
      </c>
      <c r="C249" s="3" t="s">
        <v>281</v>
      </c>
      <c r="D249" s="3" t="str">
        <f>VLOOKUP($C249,[1]stockregister!$B$2:$B$2000,1,0)</f>
        <v> CRATES DEPOSIT</v>
      </c>
      <c r="E249" s="3" t="str">
        <f>IF(ISNA($D249),VLOOKUP($A249,[2]stockregister!$A$2:$B$2000,2,FALSE),"")</f>
        <v/>
      </c>
      <c r="F249" s="3" t="s">
        <v>21</v>
      </c>
      <c r="G249" s="3">
        <f>_xlfn.IFNA(VLOOKUP($A249,[3]stockregister!$A$2:$L$2000,11,0),0)</f>
        <v>48</v>
      </c>
      <c r="H249" s="3">
        <f>_xlfn.IFNA(VLOOKUP($A249,[3]stockregister!$A$2:$L$2000,11,0),0)-$G249</f>
        <v>0</v>
      </c>
      <c r="I249" s="3">
        <f>_xlfn.IFNA(VLOOKUP($A249,[3]stockregister!$A$2:$L$2000,12,0),0)</f>
        <v>125</v>
      </c>
      <c r="J249" s="3">
        <f>_xlfn.IFNA(VLOOKUP($A249,[3]stockregister!$A$1:$M$2000,12,0),0)-$I249</f>
        <v>0</v>
      </c>
      <c r="K249" s="3" t="s">
        <v>22</v>
      </c>
      <c r="L249" s="3" t="s">
        <v>23</v>
      </c>
      <c r="M249" s="3">
        <f>_xlfn.IFNA(VLOOKUP($A249,[2]stockregister!$A$2:$H$2000,8,0),0)</f>
        <v>130</v>
      </c>
      <c r="N249" s="3">
        <f>_xlfn.IFNA(VLOOKUP($A249,[2]stockregister!$A$2:$H$2000,8,0),0)-$M249</f>
        <v>0</v>
      </c>
      <c r="O249" s="3" t="s">
        <v>751</v>
      </c>
      <c r="P249" s="3" t="s">
        <v>751</v>
      </c>
      <c r="Q249" s="3" t="s">
        <v>717</v>
      </c>
      <c r="R249" s="3" t="s">
        <v>26</v>
      </c>
      <c r="S249" s="3" t="s">
        <v>27</v>
      </c>
    </row>
    <row r="250" spans="1:19">
      <c r="A250" s="3">
        <v>2836</v>
      </c>
      <c r="B250" s="3" t="b">
        <f>ISNUMBER(MATCH(A250,[1]stockregister!$A$2:$A$2000,0))</f>
        <v>1</v>
      </c>
      <c r="C250" s="3" t="s">
        <v>285</v>
      </c>
      <c r="D250" s="3" t="str">
        <f>VLOOKUP($C250,[1]stockregister!$B$2:$B$2000,1,0)</f>
        <v>AMARULA RASPBERRY CHOCOLATE 750ML  </v>
      </c>
      <c r="E250" s="3" t="str">
        <f>IF(ISNA($D250),VLOOKUP($A250,[2]stockregister!$A$2:$B$2000,2,FALSE),"")</f>
        <v/>
      </c>
      <c r="F250" s="3" t="s">
        <v>21</v>
      </c>
      <c r="G250" s="3">
        <f>_xlfn.IFNA(VLOOKUP($A250,[3]stockregister!$A$2:$L$2000,11,0),0)</f>
        <v>84</v>
      </c>
      <c r="H250" s="3">
        <f>_xlfn.IFNA(VLOOKUP($A250,[3]stockregister!$A$2:$L$2000,11,0),0)-$G250</f>
        <v>0</v>
      </c>
      <c r="I250" s="3">
        <f>_xlfn.IFNA(VLOOKUP($A250,[3]stockregister!$A$2:$L$2000,12,0),0)</f>
        <v>87.08</v>
      </c>
      <c r="J250" s="3">
        <f>_xlfn.IFNA(VLOOKUP($A250,[3]stockregister!$A$1:$M$2000,12,0),0)-$I250</f>
        <v>0</v>
      </c>
      <c r="K250" s="3" t="s">
        <v>22</v>
      </c>
      <c r="L250" s="3" t="s">
        <v>23</v>
      </c>
      <c r="M250" s="3">
        <f>_xlfn.IFNA(VLOOKUP($A250,[2]stockregister!$A$2:$H$2000,8,0),0)</f>
        <v>100</v>
      </c>
      <c r="N250" s="3">
        <f>_xlfn.IFNA(VLOOKUP($A250,[2]stockregister!$A$2:$H$2000,8,0),0)-$M250</f>
        <v>0</v>
      </c>
      <c r="O250" s="3" t="s">
        <v>752</v>
      </c>
      <c r="P250" s="3" t="s">
        <v>752</v>
      </c>
      <c r="Q250" s="3" t="s">
        <v>753</v>
      </c>
      <c r="R250" s="3" t="s">
        <v>26</v>
      </c>
      <c r="S250" s="3" t="s">
        <v>27</v>
      </c>
    </row>
    <row r="251" spans="1:18">
      <c r="A251" s="3">
        <v>2061</v>
      </c>
      <c r="B251" s="3" t="b">
        <f>ISNUMBER(MATCH(A251,[1]stockregister!$A$2:$A$2000,0))</f>
        <v>1</v>
      </c>
      <c r="C251" s="3" t="s">
        <v>287</v>
      </c>
      <c r="D251" s="3" t="str">
        <f>VLOOKUP($C251,[1]stockregister!$B$2:$B$2000,1,0)</f>
        <v>TALL HORSE -  PINOTAGE 750ML</v>
      </c>
      <c r="E251" s="3" t="str">
        <f>IF(ISNA($D251),VLOOKUP($A251,[2]stockregister!$A$2:$B$2000,2,FALSE),"")</f>
        <v/>
      </c>
      <c r="F251" s="3" t="s">
        <v>21</v>
      </c>
      <c r="G251" s="3">
        <f>_xlfn.IFNA(VLOOKUP($A251,[3]stockregister!$A$2:$L$2000,11,0),0)</f>
        <v>48</v>
      </c>
      <c r="H251" s="3">
        <f>_xlfn.IFNA(VLOOKUP($A251,[3]stockregister!$A$2:$L$2000,11,0),0)-$G251</f>
        <v>0</v>
      </c>
      <c r="I251" s="3">
        <f>_xlfn.IFNA(VLOOKUP($A251,[3]stockregister!$A$2:$L$2000,12,0),0)</f>
        <v>616</v>
      </c>
      <c r="J251" s="3">
        <f>_xlfn.IFNA(VLOOKUP($A251,[3]stockregister!$A$1:$M$2000,12,0),0)-$I251</f>
        <v>0</v>
      </c>
      <c r="K251" s="3" t="s">
        <v>22</v>
      </c>
      <c r="L251" s="3" t="s">
        <v>23</v>
      </c>
      <c r="M251" s="3">
        <f>_xlfn.IFNA(VLOOKUP($A251,[2]stockregister!$A$2:$H$2000,8,0),0)</f>
        <v>625</v>
      </c>
      <c r="N251" s="3">
        <f>_xlfn.IFNA(VLOOKUP($A251,[2]stockregister!$A$2:$H$2000,8,0),0)-$M251</f>
        <v>0</v>
      </c>
      <c r="O251" s="3" t="s">
        <v>754</v>
      </c>
      <c r="P251" s="3" t="s">
        <v>754</v>
      </c>
      <c r="Q251" s="3" t="s">
        <v>755</v>
      </c>
      <c r="R251" s="3" t="s">
        <v>109</v>
      </c>
    </row>
    <row r="252" spans="1:18">
      <c r="A252" s="3">
        <v>2713</v>
      </c>
      <c r="B252" s="3" t="b">
        <f>ISNUMBER(MATCH(A252,[1]stockregister!$A$2:$A$2000,0))</f>
        <v>1</v>
      </c>
      <c r="C252" s="3" t="s">
        <v>289</v>
      </c>
      <c r="D252" s="3" t="str">
        <f>VLOOKUP($C252,[1]stockregister!$B$2:$B$2000,1,0)</f>
        <v>BACARDI CARTA ORO GOLD 1LTR</v>
      </c>
      <c r="E252" s="3" t="str">
        <f>IF(ISNA($D252),VLOOKUP($A252,[2]stockregister!$A$2:$B$2000,2,FALSE),"")</f>
        <v/>
      </c>
      <c r="F252" s="3" t="s">
        <v>21</v>
      </c>
      <c r="G252" s="3">
        <f>_xlfn.IFNA(VLOOKUP($A252,[3]stockregister!$A$2:$L$2000,11,0),0)</f>
        <v>120</v>
      </c>
      <c r="H252" s="3">
        <f>_xlfn.IFNA(VLOOKUP($A252,[3]stockregister!$A$2:$L$2000,11,0),0)-$G252</f>
        <v>0</v>
      </c>
      <c r="I252" s="3">
        <f>_xlfn.IFNA(VLOOKUP($A252,[3]stockregister!$A$2:$L$2000,12,0),0)</f>
        <v>236.64</v>
      </c>
      <c r="J252" s="3">
        <f>_xlfn.IFNA(VLOOKUP($A252,[3]stockregister!$A$1:$M$2000,12,0),0)-$I252</f>
        <v>0</v>
      </c>
      <c r="K252" s="3" t="s">
        <v>22</v>
      </c>
      <c r="L252" s="3" t="s">
        <v>23</v>
      </c>
      <c r="M252" s="3">
        <f>_xlfn.IFNA(VLOOKUP($A252,[2]stockregister!$A$2:$H$2000,8,0),0)</f>
        <v>240</v>
      </c>
      <c r="N252" s="3">
        <f>_xlfn.IFNA(VLOOKUP($A252,[2]stockregister!$A$2:$H$2000,8,0),0)-$M252</f>
        <v>0</v>
      </c>
      <c r="O252" s="3" t="s">
        <v>756</v>
      </c>
      <c r="P252" s="3" t="s">
        <v>756</v>
      </c>
      <c r="Q252" s="3" t="s">
        <v>583</v>
      </c>
      <c r="R252" s="3" t="s">
        <v>78</v>
      </c>
    </row>
    <row r="253" spans="1:19">
      <c r="A253" s="3">
        <v>1047</v>
      </c>
      <c r="B253" s="3" t="b">
        <f>ISNUMBER(MATCH(A253,[1]stockregister!$A$2:$A$2000,0))</f>
        <v>1</v>
      </c>
      <c r="C253" s="3" t="s">
        <v>291</v>
      </c>
      <c r="D253" s="3" t="str">
        <f>VLOOKUP($C253,[1]stockregister!$B$2:$B$2000,1,0)</f>
        <v>BUTLERS ESPRESSO LIQUEUR  750ML</v>
      </c>
      <c r="E253" s="3" t="str">
        <f>IF(ISNA($D253),VLOOKUP($A253,[2]stockregister!$A$2:$B$2000,2,FALSE),"")</f>
        <v/>
      </c>
      <c r="F253" s="3" t="s">
        <v>21</v>
      </c>
      <c r="G253" s="3">
        <f>_xlfn.IFNA(VLOOKUP($A253,[3]stockregister!$A$2:$L$2000,11,0),0)</f>
        <v>108</v>
      </c>
      <c r="H253" s="3">
        <f>_xlfn.IFNA(VLOOKUP($A253,[3]stockregister!$A$2:$L$2000,11,0),0)-$G253</f>
        <v>0</v>
      </c>
      <c r="I253" s="3">
        <f>_xlfn.IFNA(VLOOKUP($A253,[3]stockregister!$A$2:$L$2000,12,0),0)</f>
        <v>1288</v>
      </c>
      <c r="J253" s="3">
        <f>_xlfn.IFNA(VLOOKUP($A253,[3]stockregister!$A$1:$M$2000,12,0),0)-$I253</f>
        <v>0</v>
      </c>
      <c r="K253" s="3" t="s">
        <v>22</v>
      </c>
      <c r="L253" s="3" t="s">
        <v>23</v>
      </c>
      <c r="M253" s="3">
        <f>_xlfn.IFNA(VLOOKUP($A253,[2]stockregister!$A$2:$H$2000,8,0),0)</f>
        <v>1400</v>
      </c>
      <c r="N253" s="3">
        <f>_xlfn.IFNA(VLOOKUP($A253,[2]stockregister!$A$2:$H$2000,8,0),0)-$M253</f>
        <v>0</v>
      </c>
      <c r="O253" s="3" t="s">
        <v>757</v>
      </c>
      <c r="P253" s="3" t="s">
        <v>757</v>
      </c>
      <c r="Q253" s="3" t="s">
        <v>151</v>
      </c>
      <c r="R253" s="3" t="s">
        <v>126</v>
      </c>
      <c r="S253" s="3" t="s">
        <v>152</v>
      </c>
    </row>
    <row r="254" spans="1:19">
      <c r="A254" s="3">
        <v>2651</v>
      </c>
      <c r="B254" s="3" t="b">
        <f>ISNUMBER(MATCH(A254,[1]stockregister!$A$2:$A$2000,0))</f>
        <v>1</v>
      </c>
      <c r="C254" s="3" t="s">
        <v>295</v>
      </c>
      <c r="D254" s="3" t="str">
        <f>VLOOKUP($C254,[1]stockregister!$B$2:$B$2000,1,0)</f>
        <v>SPRITE 2L</v>
      </c>
      <c r="E254" s="3" t="str">
        <f>IF(ISNA($D254),VLOOKUP($A254,[2]stockregister!$A$2:$B$2000,2,FALSE),"")</f>
        <v/>
      </c>
      <c r="F254" s="3" t="s">
        <v>21</v>
      </c>
      <c r="G254" s="3">
        <f>_xlfn.IFNA(VLOOKUP($A254,[3]stockregister!$A$2:$L$2000,11,0),0)</f>
        <v>144</v>
      </c>
      <c r="H254" s="3">
        <f>_xlfn.IFNA(VLOOKUP($A254,[3]stockregister!$A$2:$L$2000,11,0),0)-$G254</f>
        <v>0</v>
      </c>
      <c r="I254" s="3">
        <f>_xlfn.IFNA(VLOOKUP($A254,[3]stockregister!$A$2:$L$2000,12,0),0)</f>
        <v>960</v>
      </c>
      <c r="J254" s="3">
        <f>_xlfn.IFNA(VLOOKUP($A254,[3]stockregister!$A$1:$M$2000,12,0),0)-$I254</f>
        <v>0</v>
      </c>
      <c r="K254" s="3" t="s">
        <v>22</v>
      </c>
      <c r="L254" s="3" t="s">
        <v>23</v>
      </c>
      <c r="M254" s="3">
        <f>_xlfn.IFNA(VLOOKUP($A254,[2]stockregister!$A$2:$H$2000,8,0),0)</f>
        <v>1100</v>
      </c>
      <c r="N254" s="3">
        <f>_xlfn.IFNA(VLOOKUP($A254,[2]stockregister!$A$2:$H$2000,8,0),0)-$M254</f>
        <v>0</v>
      </c>
      <c r="O254" s="3" t="s">
        <v>758</v>
      </c>
      <c r="P254" s="3" t="s">
        <v>758</v>
      </c>
      <c r="Q254" s="3" t="s">
        <v>201</v>
      </c>
      <c r="R254" s="3" t="s">
        <v>126</v>
      </c>
      <c r="S254" s="3" t="s">
        <v>742</v>
      </c>
    </row>
    <row r="255" spans="1:18">
      <c r="A255" s="3">
        <v>2011</v>
      </c>
      <c r="B255" s="3" t="b">
        <f>ISNUMBER(MATCH(A255,[1]stockregister!$A$2:$A$2000,0))</f>
        <v>1</v>
      </c>
      <c r="C255" s="3" t="s">
        <v>298</v>
      </c>
      <c r="D255" s="3" t="str">
        <f>VLOOKUP($C255,[1]stockregister!$B$2:$B$2000,1,0)</f>
        <v>HENDRICKS LUNAR GIN 750ML</v>
      </c>
      <c r="E255" s="3" t="str">
        <f>IF(ISNA($D255),VLOOKUP($A255,[2]stockregister!$A$2:$B$2000,2,FALSE),"")</f>
        <v/>
      </c>
      <c r="F255" s="3" t="s">
        <v>21</v>
      </c>
      <c r="G255" s="3">
        <f>_xlfn.IFNA(VLOOKUP($A255,[3]stockregister!$A$2:$L$2000,11,0),0)</f>
        <v>156</v>
      </c>
      <c r="H255" s="3">
        <f>_xlfn.IFNA(VLOOKUP($A255,[3]stockregister!$A$2:$L$2000,11,0),0)-$G255</f>
        <v>0</v>
      </c>
      <c r="I255" s="3">
        <f>_xlfn.IFNA(VLOOKUP($A255,[3]stockregister!$A$2:$L$2000,12,0),0)</f>
        <v>535</v>
      </c>
      <c r="J255" s="3">
        <f>_xlfn.IFNA(VLOOKUP($A255,[3]stockregister!$A$1:$M$2000,12,0),0)-$I255</f>
        <v>0</v>
      </c>
      <c r="K255" s="3" t="s">
        <v>22</v>
      </c>
      <c r="L255" s="3" t="s">
        <v>23</v>
      </c>
      <c r="M255" s="3">
        <f>_xlfn.IFNA(VLOOKUP($A255,[2]stockregister!$A$2:$H$2000,8,0),0)</f>
        <v>545</v>
      </c>
      <c r="N255" s="3">
        <f>_xlfn.IFNA(VLOOKUP($A255,[2]stockregister!$A$2:$H$2000,8,0),0)-$M255</f>
        <v>0</v>
      </c>
      <c r="O255" s="3" t="s">
        <v>759</v>
      </c>
      <c r="P255" s="3" t="s">
        <v>759</v>
      </c>
      <c r="Q255" s="3" t="s">
        <v>760</v>
      </c>
      <c r="R255" s="3" t="s">
        <v>318</v>
      </c>
    </row>
    <row r="256" spans="1:18">
      <c r="A256" s="3">
        <v>1834</v>
      </c>
      <c r="B256" s="3" t="b">
        <f>ISNUMBER(MATCH(A256,[1]stockregister!$A$2:$A$2000,0))</f>
        <v>1</v>
      </c>
      <c r="C256" s="3" t="s">
        <v>302</v>
      </c>
      <c r="D256" s="3" t="str">
        <f>VLOOKUP($C256,[1]stockregister!$B$2:$B$2000,1,0)</f>
        <v>BACARDI CARTA ORO GOLD 750ML</v>
      </c>
      <c r="E256" s="3" t="str">
        <f>IF(ISNA($D256),VLOOKUP($A256,[2]stockregister!$A$2:$B$2000,2,FALSE),"")</f>
        <v/>
      </c>
      <c r="F256" s="3" t="s">
        <v>21</v>
      </c>
      <c r="G256" s="3">
        <f>_xlfn.IFNA(VLOOKUP($A256,[3]stockregister!$A$2:$L$2000,11,0),0)</f>
        <v>96</v>
      </c>
      <c r="H256" s="3">
        <f>_xlfn.IFNA(VLOOKUP($A256,[3]stockregister!$A$2:$L$2000,11,0),0)-$G256</f>
        <v>0</v>
      </c>
      <c r="I256" s="3">
        <f>_xlfn.IFNA(VLOOKUP($A256,[3]stockregister!$A$2:$L$2000,12,0),0)</f>
        <v>1223.98</v>
      </c>
      <c r="J256" s="3">
        <f>_xlfn.IFNA(VLOOKUP($A256,[3]stockregister!$A$1:$M$2000,12,0),0)-$I256</f>
        <v>0</v>
      </c>
      <c r="K256" s="3" t="s">
        <v>22</v>
      </c>
      <c r="L256" s="3" t="s">
        <v>23</v>
      </c>
      <c r="M256" s="3">
        <f>_xlfn.IFNA(VLOOKUP($A256,[2]stockregister!$A$2:$H$2000,8,0),0)</f>
        <v>1240</v>
      </c>
      <c r="N256" s="3">
        <f>_xlfn.IFNA(VLOOKUP($A256,[2]stockregister!$A$2:$H$2000,8,0),0)-$M256</f>
        <v>0</v>
      </c>
      <c r="O256" s="3" t="s">
        <v>761</v>
      </c>
      <c r="P256" s="3" t="s">
        <v>761</v>
      </c>
      <c r="Q256" s="3" t="s">
        <v>189</v>
      </c>
      <c r="R256" s="3" t="s">
        <v>318</v>
      </c>
    </row>
    <row r="257" spans="1:18">
      <c r="A257" s="3">
        <v>1198</v>
      </c>
      <c r="B257" s="3" t="b">
        <f>ISNUMBER(MATCH(A257,[1]stockregister!$A$2:$A$2000,0))</f>
        <v>1</v>
      </c>
      <c r="C257" s="3" t="s">
        <v>305</v>
      </c>
      <c r="D257" s="3" t="str">
        <f>VLOOKUP($C257,[1]stockregister!$B$2:$B$2000,1,0)</f>
        <v>CONSIGNIA  MERLOT 750ML</v>
      </c>
      <c r="E257" s="3" t="str">
        <f>IF(ISNA($D257),VLOOKUP($A257,[2]stockregister!$A$2:$B$2000,2,FALSE),"")</f>
        <v/>
      </c>
      <c r="F257" s="3" t="s">
        <v>21</v>
      </c>
      <c r="G257" s="3">
        <f>_xlfn.IFNA(VLOOKUP($A257,[3]stockregister!$A$2:$L$2000,11,0),0)</f>
        <v>324</v>
      </c>
      <c r="H257" s="3">
        <f>_xlfn.IFNA(VLOOKUP($A257,[3]stockregister!$A$2:$L$2000,11,0),0)-$G257</f>
        <v>0</v>
      </c>
      <c r="I257" s="3">
        <f>_xlfn.IFNA(VLOOKUP($A257,[3]stockregister!$A$2:$L$2000,12,0),0)</f>
        <v>332.31</v>
      </c>
      <c r="J257" s="3">
        <f>_xlfn.IFNA(VLOOKUP($A257,[3]stockregister!$A$1:$M$2000,12,0),0)-$I257</f>
        <v>0</v>
      </c>
      <c r="K257" s="3" t="s">
        <v>22</v>
      </c>
      <c r="L257" s="3" t="s">
        <v>23</v>
      </c>
      <c r="M257" s="3">
        <f>_xlfn.IFNA(VLOOKUP($A257,[2]stockregister!$A$2:$H$2000,8,0),0)</f>
        <v>337</v>
      </c>
      <c r="N257" s="3">
        <f>_xlfn.IFNA(VLOOKUP($A257,[2]stockregister!$A$2:$H$2000,8,0),0)-$M257</f>
        <v>0</v>
      </c>
      <c r="O257" s="3" t="s">
        <v>762</v>
      </c>
      <c r="P257" s="3" t="s">
        <v>762</v>
      </c>
      <c r="Q257" s="3" t="s">
        <v>317</v>
      </c>
      <c r="R257" s="3" t="s">
        <v>318</v>
      </c>
    </row>
    <row r="258" spans="1:19">
      <c r="A258" s="3">
        <v>1728</v>
      </c>
      <c r="B258" s="3" t="b">
        <f>ISNUMBER(MATCH(A258,[1]stockregister!$A$2:$A$2000,0))</f>
        <v>1</v>
      </c>
      <c r="C258" s="3" t="s">
        <v>308</v>
      </c>
      <c r="D258" s="3" t="str">
        <f>VLOOKUP($C258,[1]stockregister!$B$2:$B$2000,1,0)</f>
        <v>ROSSO NOBILE CHERRY  750ML</v>
      </c>
      <c r="E258" s="3" t="str">
        <f>IF(ISNA($D258),VLOOKUP($A258,[2]stockregister!$A$2:$B$2000,2,FALSE),"")</f>
        <v/>
      </c>
      <c r="F258" s="3" t="s">
        <v>21</v>
      </c>
      <c r="G258" s="3">
        <f>_xlfn.IFNA(VLOOKUP($A258,[3]stockregister!$A$2:$L$2000,11,0),0)</f>
        <v>156</v>
      </c>
      <c r="H258" s="3">
        <f>_xlfn.IFNA(VLOOKUP($A258,[3]stockregister!$A$2:$L$2000,11,0),0)-$G258</f>
        <v>0</v>
      </c>
      <c r="I258" s="3">
        <f>_xlfn.IFNA(VLOOKUP($A258,[3]stockregister!$A$2:$L$2000,12,0),0)</f>
        <v>644</v>
      </c>
      <c r="J258" s="3">
        <f>_xlfn.IFNA(VLOOKUP($A258,[3]stockregister!$A$1:$M$2000,12,0),0)-$I258</f>
        <v>0</v>
      </c>
      <c r="K258" s="3" t="s">
        <v>22</v>
      </c>
      <c r="L258" s="3" t="s">
        <v>23</v>
      </c>
      <c r="M258" s="3">
        <f>_xlfn.IFNA(VLOOKUP($A258,[2]stockregister!$A$2:$H$2000,8,0),0)</f>
        <v>700</v>
      </c>
      <c r="N258" s="3">
        <f>_xlfn.IFNA(VLOOKUP($A258,[2]stockregister!$A$2:$H$2000,8,0),0)-$M258</f>
        <v>0</v>
      </c>
      <c r="O258" s="3" t="s">
        <v>763</v>
      </c>
      <c r="P258" s="3" t="s">
        <v>763</v>
      </c>
      <c r="Q258" s="3" t="s">
        <v>764</v>
      </c>
      <c r="R258" s="3" t="s">
        <v>68</v>
      </c>
      <c r="S258" s="3" t="s">
        <v>69</v>
      </c>
    </row>
    <row r="259" spans="1:19">
      <c r="A259" s="3">
        <v>235</v>
      </c>
      <c r="B259" s="3" t="b">
        <f>ISNUMBER(MATCH(A259,[1]stockregister!$A$2:$A$2000,0))</f>
        <v>1</v>
      </c>
      <c r="C259" s="3" t="s">
        <v>310</v>
      </c>
      <c r="D259" s="3" t="str">
        <f>VLOOKUP($C259,[1]stockregister!$B$2:$B$2000,1,0)</f>
        <v>WHITLEY NEILL BLACK BERRY GIN 750ML </v>
      </c>
      <c r="E259" s="3" t="str">
        <f>IF(ISNA($D259),VLOOKUP($A259,[2]stockregister!$A$2:$B$2000,2,FALSE),"")</f>
        <v/>
      </c>
      <c r="F259" s="3" t="s">
        <v>21</v>
      </c>
      <c r="G259" s="3">
        <f>_xlfn.IFNA(VLOOKUP($A259,[3]stockregister!$A$2:$L$2000,11,0),0)</f>
        <v>114</v>
      </c>
      <c r="H259" s="3">
        <f>_xlfn.IFNA(VLOOKUP($A259,[3]stockregister!$A$2:$L$2000,11,0),0)-$G259</f>
        <v>0</v>
      </c>
      <c r="I259" s="3">
        <f>_xlfn.IFNA(VLOOKUP($A259,[3]stockregister!$A$2:$L$2000,12,0),0)</f>
        <v>828</v>
      </c>
      <c r="J259" s="3">
        <f>_xlfn.IFNA(VLOOKUP($A259,[3]stockregister!$A$1:$M$2000,12,0),0)-$I259</f>
        <v>0</v>
      </c>
      <c r="K259" s="3" t="s">
        <v>22</v>
      </c>
      <c r="L259" s="3" t="s">
        <v>23</v>
      </c>
      <c r="M259" s="3">
        <f>_xlfn.IFNA(VLOOKUP($A259,[2]stockregister!$A$2:$H$2000,8,0),0)</f>
        <v>950</v>
      </c>
      <c r="N259" s="3">
        <f>_xlfn.IFNA(VLOOKUP($A259,[2]stockregister!$A$2:$H$2000,8,0),0)-$M259</f>
        <v>0</v>
      </c>
      <c r="O259" s="3" t="s">
        <v>765</v>
      </c>
      <c r="P259" s="3" t="s">
        <v>765</v>
      </c>
      <c r="Q259" s="3" t="s">
        <v>594</v>
      </c>
      <c r="R259" s="3" t="s">
        <v>68</v>
      </c>
      <c r="S259" s="3" t="s">
        <v>69</v>
      </c>
    </row>
    <row r="260" spans="1:19">
      <c r="A260" s="3">
        <v>559</v>
      </c>
      <c r="B260" s="3" t="b">
        <f>ISNUMBER(MATCH(A260,[1]stockregister!$A$2:$A$2000,0))</f>
        <v>1</v>
      </c>
      <c r="C260" s="3" t="s">
        <v>312</v>
      </c>
      <c r="D260" s="3" t="str">
        <f>VLOOKUP($C260,[1]stockregister!$B$2:$B$2000,1,0)</f>
        <v>ERISTOFF 750ML </v>
      </c>
      <c r="E260" s="3" t="str">
        <f>IF(ISNA($D260),VLOOKUP($A260,[2]stockregister!$A$2:$B$2000,2,FALSE),"")</f>
        <v/>
      </c>
      <c r="F260" s="3" t="s">
        <v>21</v>
      </c>
      <c r="G260" s="3">
        <f>_xlfn.IFNA(VLOOKUP($A260,[3]stockregister!$A$2:$L$2000,11,0),0)</f>
        <v>149</v>
      </c>
      <c r="H260" s="3">
        <f>_xlfn.IFNA(VLOOKUP($A260,[3]stockregister!$A$2:$L$2000,11,0),0)-$G260</f>
        <v>0</v>
      </c>
      <c r="I260" s="3">
        <f>_xlfn.IFNA(VLOOKUP($A260,[3]stockregister!$A$2:$L$2000,12,0),0)</f>
        <v>930</v>
      </c>
      <c r="J260" s="3">
        <f>_xlfn.IFNA(VLOOKUP($A260,[3]stockregister!$A$1:$M$2000,12,0),0)-$I260</f>
        <v>0</v>
      </c>
      <c r="K260" s="3" t="s">
        <v>22</v>
      </c>
      <c r="L260" s="3" t="s">
        <v>23</v>
      </c>
      <c r="M260" s="3">
        <f>_xlfn.IFNA(VLOOKUP($A260,[2]stockregister!$A$2:$H$2000,8,0),0)</f>
        <v>1500</v>
      </c>
      <c r="N260" s="3">
        <f>_xlfn.IFNA(VLOOKUP($A260,[2]stockregister!$A$2:$H$2000,8,0),0)-$M260</f>
        <v>0</v>
      </c>
      <c r="O260" s="3" t="s">
        <v>766</v>
      </c>
      <c r="P260" s="3" t="s">
        <v>766</v>
      </c>
      <c r="Q260" s="3" t="s">
        <v>767</v>
      </c>
      <c r="R260" s="3" t="s">
        <v>92</v>
      </c>
      <c r="S260" s="3" t="s">
        <v>134</v>
      </c>
    </row>
    <row r="261" spans="1:19">
      <c r="A261" s="3">
        <v>1101</v>
      </c>
      <c r="B261" s="3" t="b">
        <f>ISNUMBER(MATCH(A261,[1]stockregister!$A$2:$A$2000,0))</f>
        <v>1</v>
      </c>
      <c r="C261" s="3" t="s">
        <v>314</v>
      </c>
      <c r="D261" s="3" t="str">
        <f>VLOOKUP($C261,[1]stockregister!$B$2:$B$2000,1,0)</f>
        <v>CARLO ROSSI DRY WHITE 3LTR </v>
      </c>
      <c r="E261" s="3" t="str">
        <f>IF(ISNA($D261),VLOOKUP($A261,[2]stockregister!$A$2:$B$2000,2,FALSE),"")</f>
        <v/>
      </c>
      <c r="F261" s="3" t="s">
        <v>21</v>
      </c>
      <c r="G261" s="3">
        <f>_xlfn.IFNA(VLOOKUP($A261,[3]stockregister!$A$2:$L$2000,11,0),0)</f>
        <v>13</v>
      </c>
      <c r="H261" s="3">
        <f>_xlfn.IFNA(VLOOKUP($A261,[3]stockregister!$A$2:$L$2000,11,0),0)-$G261</f>
        <v>0</v>
      </c>
      <c r="I261" s="3">
        <f>_xlfn.IFNA(VLOOKUP($A261,[3]stockregister!$A$2:$L$2000,12,0),0)</f>
        <v>3600</v>
      </c>
      <c r="J261" s="3">
        <f>_xlfn.IFNA(VLOOKUP($A261,[3]stockregister!$A$1:$M$2000,12,0),0)-$I261</f>
        <v>0</v>
      </c>
      <c r="K261" s="3" t="s">
        <v>22</v>
      </c>
      <c r="L261" s="3" t="s">
        <v>23</v>
      </c>
      <c r="M261" s="3">
        <f>_xlfn.IFNA(VLOOKUP($A261,[2]stockregister!$A$2:$H$2000,8,0),0)</f>
        <v>3700</v>
      </c>
      <c r="N261" s="3">
        <f>_xlfn.IFNA(VLOOKUP($A261,[2]stockregister!$A$2:$H$2000,8,0),0)-$M261</f>
        <v>0</v>
      </c>
      <c r="O261" s="3" t="s">
        <v>768</v>
      </c>
      <c r="P261" s="3" t="s">
        <v>768</v>
      </c>
      <c r="Q261" s="3" t="s">
        <v>133</v>
      </c>
      <c r="R261" s="3" t="s">
        <v>92</v>
      </c>
      <c r="S261" s="3" t="s">
        <v>134</v>
      </c>
    </row>
    <row r="262" spans="1:19">
      <c r="A262" s="3">
        <v>600</v>
      </c>
      <c r="B262" s="3" t="b">
        <f>ISNUMBER(MATCH(A262,[1]stockregister!$A$2:$A$2000,0))</f>
        <v>1</v>
      </c>
      <c r="C262" s="3" t="s">
        <v>315</v>
      </c>
      <c r="D262" s="3" t="str">
        <f>VLOOKUP($C262,[1]stockregister!$B$2:$B$2000,1,0)</f>
        <v>BUTLERS  CRÈME DE BANANA 750ML</v>
      </c>
      <c r="E262" s="3" t="str">
        <f>IF(ISNA($D262),VLOOKUP($A262,[2]stockregister!$A$2:$B$2000,2,FALSE),"")</f>
        <v/>
      </c>
      <c r="F262" s="3" t="s">
        <v>21</v>
      </c>
      <c r="G262" s="3">
        <f>_xlfn.IFNA(VLOOKUP($A262,[3]stockregister!$A$2:$L$2000,11,0),0)</f>
        <v>936</v>
      </c>
      <c r="H262" s="3">
        <f>_xlfn.IFNA(VLOOKUP($A262,[3]stockregister!$A$2:$L$2000,11,0),0)-$G262</f>
        <v>0</v>
      </c>
      <c r="I262" s="3">
        <f>_xlfn.IFNA(VLOOKUP($A262,[3]stockregister!$A$2:$L$2000,12,0),0)</f>
        <v>276.61</v>
      </c>
      <c r="J262" s="3">
        <f>_xlfn.IFNA(VLOOKUP($A262,[3]stockregister!$A$1:$M$2000,12,0),0)-$I262</f>
        <v>0</v>
      </c>
      <c r="K262" s="3" t="s">
        <v>22</v>
      </c>
      <c r="L262" s="3" t="s">
        <v>23</v>
      </c>
      <c r="M262" s="3">
        <f>_xlfn.IFNA(VLOOKUP($A262,[2]stockregister!$A$2:$H$2000,8,0),0)</f>
        <v>285</v>
      </c>
      <c r="N262" s="3">
        <f>_xlfn.IFNA(VLOOKUP($A262,[2]stockregister!$A$2:$H$2000,8,0),0)-$M262</f>
        <v>0</v>
      </c>
      <c r="O262" s="3" t="s">
        <v>769</v>
      </c>
      <c r="P262" s="3" t="s">
        <v>769</v>
      </c>
      <c r="Q262" s="3" t="s">
        <v>770</v>
      </c>
      <c r="R262" s="3" t="s">
        <v>97</v>
      </c>
      <c r="S262" s="3" t="s">
        <v>771</v>
      </c>
    </row>
    <row r="263" spans="1:18">
      <c r="A263" s="3">
        <v>1185</v>
      </c>
      <c r="B263" s="3" t="b">
        <f>ISNUMBER(MATCH(A263,[1]stockregister!$A$2:$A$2000,0))</f>
        <v>1</v>
      </c>
      <c r="C263" s="3" t="s">
        <v>319</v>
      </c>
      <c r="D263" s="3" t="str">
        <f>VLOOKUP($C263,[1]stockregister!$B$2:$B$2000,1,0)</f>
        <v>EMBER PINE POA 750  ML</v>
      </c>
      <c r="E263" s="3" t="str">
        <f>IF(ISNA($D263),VLOOKUP($A263,[2]stockregister!$A$2:$B$2000,2,FALSE),"")</f>
        <v/>
      </c>
      <c r="F263" s="3" t="s">
        <v>21</v>
      </c>
      <c r="G263" s="3">
        <f>_xlfn.IFNA(VLOOKUP($A263,[3]stockregister!$A$2:$L$2000,11,0),0)</f>
        <v>264</v>
      </c>
      <c r="H263" s="3">
        <f>_xlfn.IFNA(VLOOKUP($A263,[3]stockregister!$A$2:$L$2000,11,0),0)-$G263</f>
        <v>0</v>
      </c>
      <c r="I263" s="3">
        <f>_xlfn.IFNA(VLOOKUP($A263,[3]stockregister!$A$2:$L$2000,12,0),0)</f>
        <v>644</v>
      </c>
      <c r="J263" s="3">
        <f>_xlfn.IFNA(VLOOKUP($A263,[3]stockregister!$A$1:$M$2000,12,0),0)-$I263</f>
        <v>0</v>
      </c>
      <c r="K263" s="3" t="s">
        <v>22</v>
      </c>
      <c r="L263" s="3" t="s">
        <v>23</v>
      </c>
      <c r="M263" s="3">
        <f>_xlfn.IFNA(VLOOKUP($A263,[2]stockregister!$A$2:$H$2000,8,0),0)</f>
        <v>674</v>
      </c>
      <c r="N263" s="3">
        <f>_xlfn.IFNA(VLOOKUP($A263,[2]stockregister!$A$2:$H$2000,8,0),0)-$M263</f>
        <v>0</v>
      </c>
      <c r="O263" s="3" t="s">
        <v>772</v>
      </c>
      <c r="P263" s="3" t="s">
        <v>772</v>
      </c>
      <c r="Q263" s="3" t="s">
        <v>497</v>
      </c>
      <c r="R263" s="3" t="s">
        <v>318</v>
      </c>
    </row>
    <row r="264" spans="1:19">
      <c r="A264" s="3">
        <v>2853</v>
      </c>
      <c r="B264" s="3" t="b">
        <f>ISNUMBER(MATCH(A264,[1]stockregister!$A$2:$A$2000,0))</f>
        <v>1</v>
      </c>
      <c r="C264" s="3" t="s">
        <v>323</v>
      </c>
      <c r="D264" s="3" t="str">
        <f>VLOOKUP($C264,[1]stockregister!$B$2:$B$2000,1,0)</f>
        <v>JAMESON SINGLE  POT STILL 750ML</v>
      </c>
      <c r="E264" s="3" t="str">
        <f>IF(ISNA($D264),VLOOKUP($A264,[2]stockregister!$A$2:$B$2000,2,FALSE),"")</f>
        <v/>
      </c>
      <c r="F264" s="3" t="s">
        <v>21</v>
      </c>
      <c r="G264" s="3">
        <f>_xlfn.IFNA(VLOOKUP($A264,[3]stockregister!$A$2:$L$2000,11,0),0)</f>
        <v>144</v>
      </c>
      <c r="H264" s="3">
        <f>_xlfn.IFNA(VLOOKUP($A264,[3]stockregister!$A$2:$L$2000,11,0),0)-$G264</f>
        <v>0</v>
      </c>
      <c r="I264" s="3">
        <f>_xlfn.IFNA(VLOOKUP($A264,[3]stockregister!$A$2:$L$2000,12,0),0)</f>
        <v>2420</v>
      </c>
      <c r="J264" s="3">
        <f>_xlfn.IFNA(VLOOKUP($A264,[3]stockregister!$A$1:$M$2000,12,0),0)-$I264</f>
        <v>0</v>
      </c>
      <c r="K264" s="3" t="s">
        <v>22</v>
      </c>
      <c r="L264" s="3" t="s">
        <v>23</v>
      </c>
      <c r="M264" s="3">
        <f>_xlfn.IFNA(VLOOKUP($A264,[2]stockregister!$A$2:$H$2000,8,0),0)</f>
        <v>3500</v>
      </c>
      <c r="N264" s="3">
        <f>_xlfn.IFNA(VLOOKUP($A264,[2]stockregister!$A$2:$H$2000,8,0),0)-$M264</f>
        <v>0</v>
      </c>
      <c r="O264" s="3" t="s">
        <v>773</v>
      </c>
      <c r="P264" s="3" t="s">
        <v>773</v>
      </c>
      <c r="Q264" s="3" t="s">
        <v>774</v>
      </c>
      <c r="R264" s="3" t="s">
        <v>113</v>
      </c>
      <c r="S264" s="3" t="s">
        <v>114</v>
      </c>
    </row>
    <row r="265" spans="1:18">
      <c r="A265" s="3">
        <v>209</v>
      </c>
      <c r="B265" s="3" t="b">
        <f>ISNUMBER(MATCH(A265,[1]stockregister!$A$2:$A$2000,0))</f>
        <v>1</v>
      </c>
      <c r="C265" s="3" t="s">
        <v>326</v>
      </c>
      <c r="D265" s="3" t="str">
        <f>VLOOKUP($C265,[1]stockregister!$B$2:$B$2000,1,0)</f>
        <v>PENASOL TEMPRANILLO GARNACHA 750ML</v>
      </c>
      <c r="E265" s="3" t="str">
        <f>IF(ISNA($D265),VLOOKUP($A265,[2]stockregister!$A$2:$B$2000,2,FALSE),"")</f>
        <v/>
      </c>
      <c r="F265" s="3" t="s">
        <v>21</v>
      </c>
      <c r="G265" s="3">
        <f>_xlfn.IFNA(VLOOKUP($A265,[3]stockregister!$A$2:$L$2000,11,0),0)</f>
        <v>141</v>
      </c>
      <c r="H265" s="3">
        <f>_xlfn.IFNA(VLOOKUP($A265,[3]stockregister!$A$2:$L$2000,11,0),0)-$G265</f>
        <v>0</v>
      </c>
      <c r="I265" s="3">
        <f>_xlfn.IFNA(VLOOKUP($A265,[3]stockregister!$A$2:$L$2000,12,0),0)</f>
        <v>4416</v>
      </c>
      <c r="J265" s="3">
        <f>_xlfn.IFNA(VLOOKUP($A265,[3]stockregister!$A$1:$M$2000,12,0),0)-$I265</f>
        <v>0</v>
      </c>
      <c r="K265" s="3" t="s">
        <v>22</v>
      </c>
      <c r="L265" s="3" t="s">
        <v>23</v>
      </c>
      <c r="M265" s="3">
        <f>_xlfn.IFNA(VLOOKUP($A265,[2]stockregister!$A$2:$H$2000,8,0),0)</f>
        <v>4800</v>
      </c>
      <c r="N265" s="3">
        <f>_xlfn.IFNA(VLOOKUP($A265,[2]stockregister!$A$2:$H$2000,8,0),0)-$M265</f>
        <v>0</v>
      </c>
      <c r="O265" s="3" t="s">
        <v>775</v>
      </c>
      <c r="P265" s="3" t="s">
        <v>775</v>
      </c>
      <c r="Q265" s="3" t="s">
        <v>776</v>
      </c>
      <c r="R265" s="3" t="s">
        <v>318</v>
      </c>
    </row>
    <row r="266" spans="1:19">
      <c r="A266" s="3">
        <v>1025</v>
      </c>
      <c r="B266" s="3" t="b">
        <f>ISNUMBER(MATCH(A266,[1]stockregister!$A$2:$A$2000,0))</f>
        <v>1</v>
      </c>
      <c r="C266" s="3" t="s">
        <v>328</v>
      </c>
      <c r="D266" s="3" t="str">
        <f>VLOOKUP($C266,[1]stockregister!$B$2:$B$2000,1,0)</f>
        <v>TASSENBERG  750ML</v>
      </c>
      <c r="E266" s="3" t="str">
        <f>IF(ISNA($D266),VLOOKUP($A266,[2]stockregister!$A$2:$B$2000,2,FALSE),"")</f>
        <v/>
      </c>
      <c r="F266" s="3" t="s">
        <v>21</v>
      </c>
      <c r="G266" s="3">
        <f>_xlfn.IFNA(VLOOKUP($A266,[3]stockregister!$A$2:$L$2000,11,0),0)</f>
        <v>129</v>
      </c>
      <c r="H266" s="3">
        <f>_xlfn.IFNA(VLOOKUP($A266,[3]stockregister!$A$2:$L$2000,11,0),0)-$G266</f>
        <v>0</v>
      </c>
      <c r="I266" s="3">
        <f>_xlfn.IFNA(VLOOKUP($A266,[3]stockregister!$A$2:$L$2000,12,0),0)</f>
        <v>2620</v>
      </c>
      <c r="J266" s="3">
        <f>_xlfn.IFNA(VLOOKUP($A266,[3]stockregister!$A$1:$M$2000,12,0),0)-$I266</f>
        <v>0</v>
      </c>
      <c r="K266" s="3" t="s">
        <v>22</v>
      </c>
      <c r="L266" s="3" t="s">
        <v>23</v>
      </c>
      <c r="M266" s="3">
        <f>_xlfn.IFNA(VLOOKUP($A266,[2]stockregister!$A$2:$H$2000,8,0),0)</f>
        <v>3400</v>
      </c>
      <c r="N266" s="3">
        <f>_xlfn.IFNA(VLOOKUP($A266,[2]stockregister!$A$2:$H$2000,8,0),0)-$M266</f>
        <v>0</v>
      </c>
      <c r="O266" s="3" t="s">
        <v>777</v>
      </c>
      <c r="P266" s="3" t="s">
        <v>777</v>
      </c>
      <c r="Q266" s="3" t="s">
        <v>236</v>
      </c>
      <c r="R266" s="3" t="s">
        <v>92</v>
      </c>
      <c r="S266" s="3" t="s">
        <v>237</v>
      </c>
    </row>
    <row r="267" spans="1:19">
      <c r="A267" s="3">
        <v>1113</v>
      </c>
      <c r="B267" s="3" t="b">
        <f>ISNUMBER(MATCH(A267,[1]stockregister!$A$2:$A$2000,0))</f>
        <v>1</v>
      </c>
      <c r="C267" s="3" t="s">
        <v>331</v>
      </c>
      <c r="D267" s="3" t="str">
        <f>VLOOKUP($C267,[1]stockregister!$B$2:$B$2000,1,0)</f>
        <v>MAISON CASTEL  SAUV BLANC 750ML</v>
      </c>
      <c r="E267" s="3" t="str">
        <f>IF(ISNA($D267),VLOOKUP($A267,[2]stockregister!$A$2:$B$2000,2,FALSE),"")</f>
        <v/>
      </c>
      <c r="F267" s="3" t="s">
        <v>21</v>
      </c>
      <c r="G267" s="3">
        <f>_xlfn.IFNA(VLOOKUP($A267,[3]stockregister!$A$2:$L$2000,11,0),0)</f>
        <v>140</v>
      </c>
      <c r="H267" s="3">
        <f>_xlfn.IFNA(VLOOKUP($A267,[3]stockregister!$A$2:$L$2000,11,0),0)-$G267</f>
        <v>0</v>
      </c>
      <c r="I267" s="3">
        <f>_xlfn.IFNA(VLOOKUP($A267,[3]stockregister!$A$2:$L$2000,12,0),0)</f>
        <v>6400</v>
      </c>
      <c r="J267" s="3">
        <f>_xlfn.IFNA(VLOOKUP($A267,[3]stockregister!$A$1:$M$2000,12,0),0)-$I267</f>
        <v>0</v>
      </c>
      <c r="K267" s="3" t="s">
        <v>22</v>
      </c>
      <c r="L267" s="3" t="s">
        <v>23</v>
      </c>
      <c r="M267" s="3">
        <f>_xlfn.IFNA(VLOOKUP($A267,[2]stockregister!$A$2:$H$2000,8,0),0)</f>
        <v>7000</v>
      </c>
      <c r="N267" s="3">
        <f>_xlfn.IFNA(VLOOKUP($A267,[2]stockregister!$A$2:$H$2000,8,0),0)-$M267</f>
        <v>0</v>
      </c>
      <c r="O267" s="3" t="s">
        <v>778</v>
      </c>
      <c r="P267" s="3" t="s">
        <v>778</v>
      </c>
      <c r="Q267" s="3" t="s">
        <v>133</v>
      </c>
      <c r="R267" s="3" t="s">
        <v>92</v>
      </c>
      <c r="S267" s="3" t="s">
        <v>134</v>
      </c>
    </row>
    <row r="268" spans="1:19">
      <c r="A268" s="3">
        <v>876</v>
      </c>
      <c r="B268" s="3" t="b">
        <f>ISNUMBER(MATCH(A268,[1]stockregister!$A$2:$A$2000,0))</f>
        <v>1</v>
      </c>
      <c r="C268" s="3" t="s">
        <v>335</v>
      </c>
      <c r="D268" s="3" t="str">
        <f>VLOOKUP($C268,[1]stockregister!$B$2:$B$2000,1,0)</f>
        <v>GREY GOOSE VODKA  750ML</v>
      </c>
      <c r="E268" s="3" t="str">
        <f>IF(ISNA($D268),VLOOKUP($A268,[2]stockregister!$A$2:$B$2000,2,FALSE),"")</f>
        <v/>
      </c>
      <c r="F268" s="3" t="s">
        <v>21</v>
      </c>
      <c r="G268" s="3">
        <f>_xlfn.IFNA(VLOOKUP($A268,[3]stockregister!$A$2:$L$2000,11,0),0)</f>
        <v>138</v>
      </c>
      <c r="H268" s="3">
        <f>_xlfn.IFNA(VLOOKUP($A268,[3]stockregister!$A$2:$L$2000,11,0),0)-$G268</f>
        <v>0</v>
      </c>
      <c r="I268" s="3">
        <f>_xlfn.IFNA(VLOOKUP($A268,[3]stockregister!$A$2:$L$2000,12,0),0)</f>
        <v>5300</v>
      </c>
      <c r="J268" s="3">
        <f>_xlfn.IFNA(VLOOKUP($A268,[3]stockregister!$A$1:$M$2000,12,0),0)-$I268</f>
        <v>0</v>
      </c>
      <c r="K268" s="3" t="s">
        <v>22</v>
      </c>
      <c r="L268" s="3" t="s">
        <v>23</v>
      </c>
      <c r="M268" s="3">
        <f>_xlfn.IFNA(VLOOKUP($A268,[2]stockregister!$A$2:$H$2000,8,0),0)</f>
        <v>5500</v>
      </c>
      <c r="N268" s="3">
        <f>_xlfn.IFNA(VLOOKUP($A268,[2]stockregister!$A$2:$H$2000,8,0),0)-$M268</f>
        <v>0</v>
      </c>
      <c r="O268" s="3" t="s">
        <v>779</v>
      </c>
      <c r="P268" s="3" t="s">
        <v>779</v>
      </c>
      <c r="Q268" s="3" t="s">
        <v>780</v>
      </c>
      <c r="R268" s="3" t="s">
        <v>92</v>
      </c>
      <c r="S268" s="3" t="s">
        <v>134</v>
      </c>
    </row>
    <row r="269" spans="1:18">
      <c r="A269" s="3">
        <v>12</v>
      </c>
      <c r="B269" s="3" t="b">
        <f>ISNUMBER(MATCH(A269,[1]stockregister!$A$2:$A$2000,0))</f>
        <v>1</v>
      </c>
      <c r="C269" s="3" t="s">
        <v>337</v>
      </c>
      <c r="D269" s="3" t="str">
        <f>VLOOKUP($C269,[1]stockregister!$B$2:$B$2000,1,0)</f>
        <v>EXPRESSION SWEET WHITE  750ml</v>
      </c>
      <c r="E269" s="3" t="str">
        <f>IF(ISNA($D269),VLOOKUP($A269,[2]stockregister!$A$2:$B$2000,2,FALSE),"")</f>
        <v/>
      </c>
      <c r="F269" s="3" t="s">
        <v>21</v>
      </c>
      <c r="G269" s="3">
        <f>_xlfn.IFNA(VLOOKUP($A269,[3]stockregister!$A$2:$L$2000,11,0),0)</f>
        <v>138</v>
      </c>
      <c r="H269" s="3">
        <f>_xlfn.IFNA(VLOOKUP($A269,[3]stockregister!$A$2:$L$2000,11,0),0)-$G269</f>
        <v>0</v>
      </c>
      <c r="I269" s="3">
        <f>_xlfn.IFNA(VLOOKUP($A269,[3]stockregister!$A$2:$L$2000,12,0),0)</f>
        <v>1702</v>
      </c>
      <c r="J269" s="3">
        <f>_xlfn.IFNA(VLOOKUP($A269,[3]stockregister!$A$1:$M$2000,12,0),0)-$I269</f>
        <v>0</v>
      </c>
      <c r="K269" s="3" t="s">
        <v>22</v>
      </c>
      <c r="L269" s="3" t="s">
        <v>23</v>
      </c>
      <c r="M269" s="3">
        <f>_xlfn.IFNA(VLOOKUP($A269,[2]stockregister!$A$2:$H$2000,8,0),0)</f>
        <v>1850</v>
      </c>
      <c r="N269" s="3">
        <f>_xlfn.IFNA(VLOOKUP($A269,[2]stockregister!$A$2:$H$2000,8,0),0)-$M269</f>
        <v>0</v>
      </c>
      <c r="O269" s="3" t="s">
        <v>781</v>
      </c>
      <c r="P269" s="3" t="s">
        <v>781</v>
      </c>
      <c r="Q269" s="3" t="s">
        <v>782</v>
      </c>
      <c r="R269" s="3" t="s">
        <v>68</v>
      </c>
    </row>
    <row r="270" spans="1:19">
      <c r="A270" s="3">
        <v>1636</v>
      </c>
      <c r="B270" s="3" t="b">
        <f>ISNUMBER(MATCH(A270,[1]stockregister!$A$2:$A$2000,0))</f>
        <v>1</v>
      </c>
      <c r="C270" s="3" t="s">
        <v>339</v>
      </c>
      <c r="D270" s="3" t="str">
        <f>VLOOKUP($C270,[1]stockregister!$B$2:$B$2000,1,0)</f>
        <v>WHITLEY NEILL BLOOD ORANGE  GIN 750ML </v>
      </c>
      <c r="E270" s="3" t="str">
        <f>IF(ISNA($D270),VLOOKUP($A270,[2]stockregister!$A$2:$B$2000,2,FALSE),"")</f>
        <v/>
      </c>
      <c r="F270" s="3" t="s">
        <v>21</v>
      </c>
      <c r="G270" s="3">
        <f>_xlfn.IFNA(VLOOKUP($A270,[3]stockregister!$A$2:$L$2000,11,0),0)</f>
        <v>138</v>
      </c>
      <c r="H270" s="3">
        <f>_xlfn.IFNA(VLOOKUP($A270,[3]stockregister!$A$2:$L$2000,11,0),0)-$G270</f>
        <v>0</v>
      </c>
      <c r="I270" s="3">
        <f>_xlfn.IFNA(VLOOKUP($A270,[3]stockregister!$A$2:$L$2000,12,0),0)</f>
        <v>4300</v>
      </c>
      <c r="J270" s="3">
        <f>_xlfn.IFNA(VLOOKUP($A270,[3]stockregister!$A$1:$M$2000,12,0),0)-$I270</f>
        <v>0</v>
      </c>
      <c r="K270" s="3" t="s">
        <v>22</v>
      </c>
      <c r="L270" s="3" t="s">
        <v>23</v>
      </c>
      <c r="M270" s="3">
        <f>_xlfn.IFNA(VLOOKUP($A270,[2]stockregister!$A$2:$H$2000,8,0),0)</f>
        <v>6500</v>
      </c>
      <c r="N270" s="3">
        <f>_xlfn.IFNA(VLOOKUP($A270,[2]stockregister!$A$2:$H$2000,8,0),0)-$M270</f>
        <v>0</v>
      </c>
      <c r="O270" s="3" t="s">
        <v>783</v>
      </c>
      <c r="P270" s="3" t="s">
        <v>783</v>
      </c>
      <c r="Q270" s="3" t="s">
        <v>784</v>
      </c>
      <c r="R270" s="3" t="s">
        <v>92</v>
      </c>
      <c r="S270" s="3" t="s">
        <v>519</v>
      </c>
    </row>
    <row r="271" spans="1:19">
      <c r="A271" s="3">
        <v>1759</v>
      </c>
      <c r="B271" s="3" t="b">
        <f>ISNUMBER(MATCH(A271,[1]stockregister!$A$2:$A$2000,0))</f>
        <v>1</v>
      </c>
      <c r="C271" s="3" t="s">
        <v>343</v>
      </c>
      <c r="D271" s="3" t="str">
        <f>VLOOKUP($C271,[1]stockregister!$B$2:$B$2000,1,0)</f>
        <v>LIONS DRY WHITE  750ML</v>
      </c>
      <c r="E271" s="3" t="str">
        <f>IF(ISNA($D271),VLOOKUP($A271,[2]stockregister!$A$2:$B$2000,2,FALSE),"")</f>
        <v/>
      </c>
      <c r="F271" s="3" t="s">
        <v>21</v>
      </c>
      <c r="G271" s="3">
        <f>_xlfn.IFNA(VLOOKUP($A271,[3]stockregister!$A$2:$L$2000,11,0),0)</f>
        <v>137</v>
      </c>
      <c r="H271" s="3">
        <f>_xlfn.IFNA(VLOOKUP($A271,[3]stockregister!$A$2:$L$2000,11,0),0)-$G271</f>
        <v>0</v>
      </c>
      <c r="I271" s="3">
        <f>_xlfn.IFNA(VLOOKUP($A271,[3]stockregister!$A$2:$L$2000,12,0),0)</f>
        <v>782</v>
      </c>
      <c r="J271" s="3">
        <f>_xlfn.IFNA(VLOOKUP($A271,[3]stockregister!$A$1:$M$2000,12,0),0)-$I271</f>
        <v>0</v>
      </c>
      <c r="K271" s="3" t="s">
        <v>22</v>
      </c>
      <c r="L271" s="3" t="s">
        <v>23</v>
      </c>
      <c r="M271" s="3">
        <f>_xlfn.IFNA(VLOOKUP($A271,[2]stockregister!$A$2:$H$2000,8,0),0)</f>
        <v>850</v>
      </c>
      <c r="N271" s="3">
        <f>_xlfn.IFNA(VLOOKUP($A271,[2]stockregister!$A$2:$H$2000,8,0),0)-$M271</f>
        <v>0</v>
      </c>
      <c r="O271" s="3" t="s">
        <v>785</v>
      </c>
      <c r="P271" s="3" t="s">
        <v>785</v>
      </c>
      <c r="Q271" s="3" t="s">
        <v>673</v>
      </c>
      <c r="R271" s="3" t="s">
        <v>68</v>
      </c>
      <c r="S271" s="3" t="s">
        <v>786</v>
      </c>
    </row>
    <row r="272" spans="1:19">
      <c r="A272" s="3">
        <v>190</v>
      </c>
      <c r="B272" s="3" t="b">
        <f>ISNUMBER(MATCH(A272,[1]stockregister!$A$2:$A$2000,0))</f>
        <v>1</v>
      </c>
      <c r="C272" s="3" t="s">
        <v>346</v>
      </c>
      <c r="D272" s="3" t="str">
        <f>VLOOKUP($C272,[1]stockregister!$B$2:$B$2000,1,0)</f>
        <v>SWARTLAND  SYRAH 750ML</v>
      </c>
      <c r="E272" s="3" t="str">
        <f>IF(ISNA($D272),VLOOKUP($A272,[2]stockregister!$A$2:$B$2000,2,FALSE),"")</f>
        <v/>
      </c>
      <c r="F272" s="3" t="s">
        <v>21</v>
      </c>
      <c r="G272" s="3">
        <f>_xlfn.IFNA(VLOOKUP($A272,[3]stockregister!$A$2:$L$2000,11,0),0)</f>
        <v>136</v>
      </c>
      <c r="H272" s="3">
        <f>_xlfn.IFNA(VLOOKUP($A272,[3]stockregister!$A$2:$L$2000,11,0),0)-$G272</f>
        <v>0</v>
      </c>
      <c r="I272" s="3">
        <f>_xlfn.IFNA(VLOOKUP($A272,[3]stockregister!$A$2:$L$2000,12,0),0)</f>
        <v>1932</v>
      </c>
      <c r="J272" s="3">
        <f>_xlfn.IFNA(VLOOKUP($A272,[3]stockregister!$A$1:$M$2000,12,0),0)-$I272</f>
        <v>0</v>
      </c>
      <c r="K272" s="3" t="s">
        <v>22</v>
      </c>
      <c r="L272" s="3" t="s">
        <v>23</v>
      </c>
      <c r="M272" s="3">
        <f>_xlfn.IFNA(VLOOKUP($A272,[2]stockregister!$A$2:$H$2000,8,0),0)</f>
        <v>2500</v>
      </c>
      <c r="N272" s="3">
        <f>_xlfn.IFNA(VLOOKUP($A272,[2]stockregister!$A$2:$H$2000,8,0),0)-$M272</f>
        <v>0</v>
      </c>
      <c r="O272" s="3" t="s">
        <v>787</v>
      </c>
      <c r="P272" s="3" t="s">
        <v>787</v>
      </c>
      <c r="Q272" s="3" t="s">
        <v>278</v>
      </c>
      <c r="R272" s="3" t="s">
        <v>78</v>
      </c>
      <c r="S272" s="3" t="s">
        <v>788</v>
      </c>
    </row>
    <row r="273" spans="1:19">
      <c r="A273" s="3">
        <v>2639</v>
      </c>
      <c r="B273" s="3" t="b">
        <f>ISNUMBER(MATCH(A273,[1]stockregister!$A$2:$A$2000,0))</f>
        <v>1</v>
      </c>
      <c r="C273" s="3" t="s">
        <v>349</v>
      </c>
      <c r="D273" s="3" t="str">
        <f>VLOOKUP($C273,[1]stockregister!$B$2:$B$2000,1,0)</f>
        <v>HENDRICKS ORBIUM GIN 700ML</v>
      </c>
      <c r="E273" s="3" t="str">
        <f>IF(ISNA($D273),VLOOKUP($A273,[2]stockregister!$A$2:$B$2000,2,FALSE),"")</f>
        <v/>
      </c>
      <c r="F273" s="3" t="s">
        <v>21</v>
      </c>
      <c r="G273" s="3">
        <f>_xlfn.IFNA(VLOOKUP($A273,[3]stockregister!$A$2:$L$2000,11,0),0)</f>
        <v>24</v>
      </c>
      <c r="H273" s="3">
        <f>_xlfn.IFNA(VLOOKUP($A273,[3]stockregister!$A$2:$L$2000,11,0),0)-$G273</f>
        <v>0</v>
      </c>
      <c r="I273" s="3">
        <f>_xlfn.IFNA(VLOOKUP($A273,[3]stockregister!$A$2:$L$2000,12,0),0)</f>
        <v>66.67</v>
      </c>
      <c r="J273" s="3">
        <f>_xlfn.IFNA(VLOOKUP($A273,[3]stockregister!$A$1:$M$2000,12,0),0)-$I273</f>
        <v>0</v>
      </c>
      <c r="K273" s="3" t="s">
        <v>22</v>
      </c>
      <c r="L273" s="3" t="s">
        <v>23</v>
      </c>
      <c r="M273" s="3">
        <f>_xlfn.IFNA(VLOOKUP($A273,[2]stockregister!$A$2:$H$2000,8,0),0)</f>
        <v>80</v>
      </c>
      <c r="N273" s="3">
        <f>_xlfn.IFNA(VLOOKUP($A273,[2]stockregister!$A$2:$H$2000,8,0),0)-$M273</f>
        <v>0</v>
      </c>
      <c r="O273" s="3" t="s">
        <v>789</v>
      </c>
      <c r="P273" s="3" t="s">
        <v>789</v>
      </c>
      <c r="Q273" s="3" t="s">
        <v>790</v>
      </c>
      <c r="R273" s="3" t="s">
        <v>216</v>
      </c>
      <c r="S273" s="3" t="s">
        <v>791</v>
      </c>
    </row>
    <row r="274" spans="1:19">
      <c r="A274" s="3">
        <v>1690</v>
      </c>
      <c r="B274" s="3" t="b">
        <f>ISNUMBER(MATCH(A274,[1]stockregister!$A$2:$A$2000,0))</f>
        <v>1</v>
      </c>
      <c r="C274" s="3" t="s">
        <v>353</v>
      </c>
      <c r="D274" s="3" t="str">
        <f>VLOOKUP($C274,[1]stockregister!$B$2:$B$2000,1,0)</f>
        <v>BUSHMILL BLACK BUSH 750ML</v>
      </c>
      <c r="E274" s="3" t="str">
        <f>IF(ISNA($D274),VLOOKUP($A274,[2]stockregister!$A$2:$B$2000,2,FALSE),"")</f>
        <v/>
      </c>
      <c r="F274" s="3" t="s">
        <v>21</v>
      </c>
      <c r="G274" s="3">
        <f>_xlfn.IFNA(VLOOKUP($A274,[3]stockregister!$A$2:$L$2000,11,0),0)</f>
        <v>132</v>
      </c>
      <c r="H274" s="3">
        <f>_xlfn.IFNA(VLOOKUP($A274,[3]stockregister!$A$2:$L$2000,11,0),0)-$G274</f>
        <v>0</v>
      </c>
      <c r="I274" s="3">
        <f>_xlfn.IFNA(VLOOKUP($A274,[3]stockregister!$A$2:$L$2000,12,0),0)</f>
        <v>920</v>
      </c>
      <c r="J274" s="3">
        <f>_xlfn.IFNA(VLOOKUP($A274,[3]stockregister!$A$1:$M$2000,12,0),0)-$I274</f>
        <v>0</v>
      </c>
      <c r="K274" s="3" t="s">
        <v>22</v>
      </c>
      <c r="L274" s="3" t="s">
        <v>23</v>
      </c>
      <c r="M274" s="3">
        <f>_xlfn.IFNA(VLOOKUP($A274,[2]stockregister!$A$2:$H$2000,8,0),0)</f>
        <v>1500</v>
      </c>
      <c r="N274" s="3">
        <f>_xlfn.IFNA(VLOOKUP($A274,[2]stockregister!$A$2:$H$2000,8,0),0)-$M274</f>
        <v>0</v>
      </c>
      <c r="O274" s="3" t="s">
        <v>792</v>
      </c>
      <c r="P274" s="3" t="s">
        <v>792</v>
      </c>
      <c r="Q274" s="3" t="s">
        <v>793</v>
      </c>
      <c r="R274" s="3" t="s">
        <v>78</v>
      </c>
      <c r="S274" s="3" t="s">
        <v>161</v>
      </c>
    </row>
    <row r="275" spans="1:18">
      <c r="A275" s="3">
        <v>768</v>
      </c>
      <c r="B275" s="3" t="b">
        <f>ISNUMBER(MATCH(A275,[1]stockregister!$A$2:$A$2000,0))</f>
        <v>1</v>
      </c>
      <c r="C275" s="3" t="s">
        <v>356</v>
      </c>
      <c r="D275" s="3" t="str">
        <f>VLOOKUP($C275,[1]stockregister!$B$2:$B$2000,1,0)</f>
        <v>LEOPARDS LEAP CAB SAUV  MERLOT 750ML</v>
      </c>
      <c r="E275" s="3" t="str">
        <f>IF(ISNA($D275),VLOOKUP($A275,[2]stockregister!$A$2:$B$2000,2,FALSE),"")</f>
        <v/>
      </c>
      <c r="F275" s="3" t="s">
        <v>21</v>
      </c>
      <c r="G275" s="3">
        <f>_xlfn.IFNA(VLOOKUP($A275,[3]stockregister!$A$2:$L$2000,11,0),0)</f>
        <v>132</v>
      </c>
      <c r="H275" s="3">
        <f>_xlfn.IFNA(VLOOKUP($A275,[3]stockregister!$A$2:$L$2000,11,0),0)-$G275</f>
        <v>0</v>
      </c>
      <c r="I275" s="3">
        <f>_xlfn.IFNA(VLOOKUP($A275,[3]stockregister!$A$2:$L$2000,12,0),0)</f>
        <v>2300</v>
      </c>
      <c r="J275" s="3">
        <f>_xlfn.IFNA(VLOOKUP($A275,[3]stockregister!$A$1:$M$2000,12,0),0)-$I275</f>
        <v>0</v>
      </c>
      <c r="K275" s="3" t="s">
        <v>22</v>
      </c>
      <c r="L275" s="3" t="s">
        <v>23</v>
      </c>
      <c r="M275" s="3">
        <f>_xlfn.IFNA(VLOOKUP($A275,[2]stockregister!$A$2:$H$2000,8,0),0)</f>
        <v>2500</v>
      </c>
      <c r="N275" s="3">
        <f>_xlfn.IFNA(VLOOKUP($A275,[2]stockregister!$A$2:$H$2000,8,0),0)-$M275</f>
        <v>0</v>
      </c>
      <c r="O275" s="3" t="s">
        <v>794</v>
      </c>
      <c r="P275" s="3" t="s">
        <v>794</v>
      </c>
      <c r="Q275" s="3" t="s">
        <v>795</v>
      </c>
      <c r="R275" s="3" t="s">
        <v>126</v>
      </c>
    </row>
    <row r="276" spans="1:19">
      <c r="A276" s="3">
        <v>994</v>
      </c>
      <c r="B276" s="3" t="b">
        <f>ISNUMBER(MATCH(A276,[1]stockregister!$A$2:$A$2000,0))</f>
        <v>1</v>
      </c>
      <c r="C276" s="3" t="s">
        <v>360</v>
      </c>
      <c r="D276" s="3" t="str">
        <f>VLOOKUP($C276,[1]stockregister!$B$2:$B$2000,1,0)</f>
        <v>WOOSH 9000 PUFFS BLUE RAZZ </v>
      </c>
      <c r="E276" s="3" t="str">
        <f>IF(ISNA($D276),VLOOKUP($A276,[2]stockregister!$A$2:$B$2000,2,FALSE),"")</f>
        <v/>
      </c>
      <c r="F276" s="3" t="s">
        <v>21</v>
      </c>
      <c r="G276" s="3">
        <f>_xlfn.IFNA(VLOOKUP($A276,[3]stockregister!$A$2:$L$2000,11,0),0)</f>
        <v>180</v>
      </c>
      <c r="H276" s="3">
        <f>_xlfn.IFNA(VLOOKUP($A276,[3]stockregister!$A$2:$L$2000,11,0),0)-$G276</f>
        <v>0</v>
      </c>
      <c r="I276" s="3">
        <f>_xlfn.IFNA(VLOOKUP($A276,[3]stockregister!$A$2:$L$2000,12,0),0)</f>
        <v>884.96</v>
      </c>
      <c r="J276" s="3">
        <f>_xlfn.IFNA(VLOOKUP($A276,[3]stockregister!$A$1:$M$2000,12,0),0)-$I276</f>
        <v>0</v>
      </c>
      <c r="K276" s="3" t="s">
        <v>22</v>
      </c>
      <c r="L276" s="3" t="s">
        <v>23</v>
      </c>
      <c r="M276" s="3">
        <f>_xlfn.IFNA(VLOOKUP($A276,[2]stockregister!$A$2:$H$2000,8,0),0)</f>
        <v>900</v>
      </c>
      <c r="N276" s="3">
        <f>_xlfn.IFNA(VLOOKUP($A276,[2]stockregister!$A$2:$H$2000,8,0),0)-$M276</f>
        <v>0</v>
      </c>
      <c r="O276" s="3" t="s">
        <v>796</v>
      </c>
      <c r="P276" s="3" t="s">
        <v>796</v>
      </c>
      <c r="Q276" s="3" t="s">
        <v>660</v>
      </c>
      <c r="R276" s="3" t="s">
        <v>92</v>
      </c>
      <c r="S276" s="3" t="s">
        <v>252</v>
      </c>
    </row>
    <row r="277" spans="1:19">
      <c r="A277" s="3">
        <v>269</v>
      </c>
      <c r="B277" s="3" t="b">
        <f>ISNUMBER(MATCH(A277,[1]stockregister!$A$2:$A$2000,0))</f>
        <v>1</v>
      </c>
      <c r="C277" s="3" t="s">
        <v>363</v>
      </c>
      <c r="D277" s="3" t="str">
        <f>VLOOKUP($C277,[1]stockregister!$B$2:$B$2000,1,0)</f>
        <v>INVERROCHE CLASSIC 750ML </v>
      </c>
      <c r="E277" s="3" t="str">
        <f>IF(ISNA($D277),VLOOKUP($A277,[2]stockregister!$A$2:$B$2000,2,FALSE),"")</f>
        <v/>
      </c>
      <c r="F277" s="3" t="s">
        <v>21</v>
      </c>
      <c r="G277" s="3">
        <f>_xlfn.IFNA(VLOOKUP($A277,[3]stockregister!$A$2:$L$2000,11,0),0)</f>
        <v>288</v>
      </c>
      <c r="H277" s="3">
        <f>_xlfn.IFNA(VLOOKUP($A277,[3]stockregister!$A$2:$L$2000,11,0),0)-$G277</f>
        <v>0</v>
      </c>
      <c r="I277" s="3">
        <f>_xlfn.IFNA(VLOOKUP($A277,[3]stockregister!$A$2:$L$2000,12,0),0)</f>
        <v>1223.98</v>
      </c>
      <c r="J277" s="3">
        <f>_xlfn.IFNA(VLOOKUP($A277,[3]stockregister!$A$1:$M$2000,12,0),0)-$I277</f>
        <v>0</v>
      </c>
      <c r="K277" s="3" t="s">
        <v>22</v>
      </c>
      <c r="L277" s="3" t="s">
        <v>23</v>
      </c>
      <c r="M277" s="3">
        <f>_xlfn.IFNA(VLOOKUP($A277,[2]stockregister!$A$2:$H$2000,8,0),0)</f>
        <v>1240</v>
      </c>
      <c r="N277" s="3">
        <f>_xlfn.IFNA(VLOOKUP($A277,[2]stockregister!$A$2:$H$2000,8,0),0)-$M277</f>
        <v>0</v>
      </c>
      <c r="O277" s="3" t="s">
        <v>797</v>
      </c>
      <c r="P277" s="3" t="s">
        <v>797</v>
      </c>
      <c r="Q277" s="3" t="s">
        <v>500</v>
      </c>
      <c r="R277" s="3" t="s">
        <v>92</v>
      </c>
      <c r="S277" s="3" t="s">
        <v>134</v>
      </c>
    </row>
    <row r="278" spans="1:18">
      <c r="A278" s="3">
        <v>2820</v>
      </c>
      <c r="B278" s="3" t="b">
        <f>ISNUMBER(MATCH(A278,[1]stockregister!$A$2:$A$2000,0))</f>
        <v>1</v>
      </c>
      <c r="C278" s="3" t="s">
        <v>366</v>
      </c>
      <c r="D278" s="3" t="str">
        <f>VLOOKUP($C278,[1]stockregister!$B$2:$B$2000,1,0)</f>
        <v>WHITLEY NEILL PROTEA &amp; HIBISCUS GIN 750ML </v>
      </c>
      <c r="E278" s="3" t="str">
        <f>IF(ISNA($D278),VLOOKUP($A278,[2]stockregister!$A$2:$B$2000,2,FALSE),"")</f>
        <v/>
      </c>
      <c r="F278" s="3" t="s">
        <v>21</v>
      </c>
      <c r="G278" s="3">
        <f>_xlfn.IFNA(VLOOKUP($A278,[3]stockregister!$A$2:$L$2000,11,0),0)</f>
        <v>126</v>
      </c>
      <c r="H278" s="3">
        <f>_xlfn.IFNA(VLOOKUP($A278,[3]stockregister!$A$2:$L$2000,11,0),0)-$G278</f>
        <v>0</v>
      </c>
      <c r="I278" s="3">
        <f>_xlfn.IFNA(VLOOKUP($A278,[3]stockregister!$A$2:$L$2000,12,0),0)</f>
        <v>3233</v>
      </c>
      <c r="J278" s="3">
        <f>_xlfn.IFNA(VLOOKUP($A278,[3]stockregister!$A$1:$M$2000,12,0),0)-$I278</f>
        <v>0</v>
      </c>
      <c r="K278" s="3" t="s">
        <v>22</v>
      </c>
      <c r="L278" s="3" t="s">
        <v>23</v>
      </c>
      <c r="M278" s="3">
        <f>_xlfn.IFNA(VLOOKUP($A278,[2]stockregister!$A$2:$H$2000,8,0),0)</f>
        <v>4500</v>
      </c>
      <c r="N278" s="3">
        <f>_xlfn.IFNA(VLOOKUP($A278,[2]stockregister!$A$2:$H$2000,8,0),0)-$M278</f>
        <v>0</v>
      </c>
      <c r="O278" s="3" t="s">
        <v>798</v>
      </c>
      <c r="P278" s="3" t="s">
        <v>798</v>
      </c>
      <c r="Q278" s="3" t="s">
        <v>799</v>
      </c>
      <c r="R278" s="3" t="s">
        <v>156</v>
      </c>
    </row>
    <row r="279" spans="1:19">
      <c r="A279" s="3">
        <v>1401</v>
      </c>
      <c r="B279" s="3" t="b">
        <f>ISNUMBER(MATCH(A279,[1]stockregister!$A$2:$A$2000,0))</f>
        <v>1</v>
      </c>
      <c r="C279" s="3" t="s">
        <v>370</v>
      </c>
      <c r="D279" s="3" t="str">
        <f>VLOOKUP($C279,[1]stockregister!$B$2:$B$2000,1,0)</f>
        <v>GLENMORANGIE 18YRS WHISKY EXTREME  700ML</v>
      </c>
      <c r="E279" s="3" t="str">
        <f>IF(ISNA($D279),VLOOKUP($A279,[2]stockregister!$A$2:$B$2000,2,FALSE),"")</f>
        <v/>
      </c>
      <c r="F279" s="3" t="s">
        <v>21</v>
      </c>
      <c r="G279" s="3">
        <f>_xlfn.IFNA(VLOOKUP($A279,[3]stockregister!$A$2:$L$2000,11,0),0)</f>
        <v>116</v>
      </c>
      <c r="H279" s="3">
        <f>_xlfn.IFNA(VLOOKUP($A279,[3]stockregister!$A$2:$L$2000,11,0),0)-$G279</f>
        <v>0</v>
      </c>
      <c r="I279" s="3">
        <f>_xlfn.IFNA(VLOOKUP($A279,[3]stockregister!$A$2:$L$2000,12,0),0)</f>
        <v>1500</v>
      </c>
      <c r="J279" s="3">
        <f>_xlfn.IFNA(VLOOKUP($A279,[3]stockregister!$A$1:$M$2000,12,0),0)-$I279</f>
        <v>0</v>
      </c>
      <c r="K279" s="3" t="s">
        <v>22</v>
      </c>
      <c r="L279" s="3" t="s">
        <v>23</v>
      </c>
      <c r="M279" s="3">
        <f>_xlfn.IFNA(VLOOKUP($A279,[2]stockregister!$A$2:$H$2000,8,0),0)</f>
        <v>1700</v>
      </c>
      <c r="N279" s="3">
        <f>_xlfn.IFNA(VLOOKUP($A279,[2]stockregister!$A$2:$H$2000,8,0),0)-$M279</f>
        <v>0</v>
      </c>
      <c r="O279" s="3" t="s">
        <v>800</v>
      </c>
      <c r="P279" s="3" t="s">
        <v>800</v>
      </c>
      <c r="Q279" s="3" t="s">
        <v>801</v>
      </c>
      <c r="R279" s="3" t="s">
        <v>802</v>
      </c>
      <c r="S279" s="3" t="s">
        <v>803</v>
      </c>
    </row>
    <row r="280" spans="1:19">
      <c r="A280" s="3">
        <v>424</v>
      </c>
      <c r="B280" s="3" t="b">
        <f>ISNUMBER(MATCH(A280,[1]stockregister!$A$2:$A$2000,0))</f>
        <v>1</v>
      </c>
      <c r="C280" s="3" t="s">
        <v>374</v>
      </c>
      <c r="D280" s="3" t="str">
        <f>VLOOKUP($C280,[1]stockregister!$B$2:$B$2000,1,0)</f>
        <v>JOHNNIE WALKER BLUE LABEL GHOST &amp; RARE 750ML</v>
      </c>
      <c r="E280" s="3" t="str">
        <f>IF(ISNA($D280),VLOOKUP($A280,[2]stockregister!$A$2:$B$2000,2,FALSE),"")</f>
        <v/>
      </c>
      <c r="F280" s="3" t="s">
        <v>21</v>
      </c>
      <c r="G280" s="3">
        <f>_xlfn.IFNA(VLOOKUP($A280,[3]stockregister!$A$2:$L$2000,11,0),0)</f>
        <v>0</v>
      </c>
      <c r="H280" s="3">
        <f>_xlfn.IFNA(VLOOKUP($A280,[3]stockregister!$A$2:$L$2000,11,0),0)-$G280</f>
        <v>0</v>
      </c>
      <c r="I280" s="3">
        <f>_xlfn.IFNA(VLOOKUP($A280,[3]stockregister!$A$2:$L$2000,12,0),0)</f>
        <v>795</v>
      </c>
      <c r="J280" s="3">
        <f>_xlfn.IFNA(VLOOKUP($A280,[3]stockregister!$A$1:$M$2000,12,0),0)-$I280</f>
        <v>0</v>
      </c>
      <c r="K280" s="3" t="s">
        <v>22</v>
      </c>
      <c r="L280" s="3" t="s">
        <v>23</v>
      </c>
      <c r="M280" s="3">
        <f>_xlfn.IFNA(VLOOKUP($A280,[2]stockregister!$A$2:$H$2000,8,0),0)</f>
        <v>850</v>
      </c>
      <c r="N280" s="3">
        <f>_xlfn.IFNA(VLOOKUP($A280,[2]stockregister!$A$2:$H$2000,8,0),0)-$M280</f>
        <v>0</v>
      </c>
      <c r="O280" s="3" t="s">
        <v>804</v>
      </c>
      <c r="P280" s="3" t="s">
        <v>804</v>
      </c>
      <c r="Q280" s="3" t="s">
        <v>117</v>
      </c>
      <c r="R280" s="3" t="s">
        <v>68</v>
      </c>
      <c r="S280" s="3" t="s">
        <v>88</v>
      </c>
    </row>
    <row r="281" spans="1:19">
      <c r="A281" s="3">
        <v>1560</v>
      </c>
      <c r="B281" s="3" t="b">
        <f>ISNUMBER(MATCH(A281,[1]stockregister!$A$2:$A$2000,0))</f>
        <v>1</v>
      </c>
      <c r="C281" s="3" t="s">
        <v>376</v>
      </c>
      <c r="D281" s="3" t="str">
        <f>VLOOKUP($C281,[1]stockregister!$B$2:$B$2000,1,0)</f>
        <v>LEOPARDS LEAP  CAB SAuv 750ML</v>
      </c>
      <c r="E281" s="3" t="str">
        <f>IF(ISNA($D281),VLOOKUP($A281,[2]stockregister!$A$2:$B$2000,2,FALSE),"")</f>
        <v/>
      </c>
      <c r="F281" s="3" t="s">
        <v>21</v>
      </c>
      <c r="G281" s="3">
        <f>_xlfn.IFNA(VLOOKUP($A281,[3]stockregister!$A$2:$L$2000,11,0),0)</f>
        <v>102</v>
      </c>
      <c r="H281" s="3">
        <f>_xlfn.IFNA(VLOOKUP($A281,[3]stockregister!$A$2:$L$2000,11,0),0)-$G281</f>
        <v>0</v>
      </c>
      <c r="I281" s="3">
        <f>_xlfn.IFNA(VLOOKUP($A281,[3]stockregister!$A$2:$L$2000,12,0),0)</f>
        <v>2400</v>
      </c>
      <c r="J281" s="3">
        <f>_xlfn.IFNA(VLOOKUP($A281,[3]stockregister!$A$1:$M$2000,12,0),0)-$I281</f>
        <v>0</v>
      </c>
      <c r="K281" s="3" t="s">
        <v>22</v>
      </c>
      <c r="L281" s="3" t="s">
        <v>23</v>
      </c>
      <c r="M281" s="3">
        <f>_xlfn.IFNA(VLOOKUP($A281,[2]stockregister!$A$2:$H$2000,8,0),0)</f>
        <v>2480</v>
      </c>
      <c r="N281" s="3">
        <f>_xlfn.IFNA(VLOOKUP($A281,[2]stockregister!$A$2:$H$2000,8,0),0)-$M281</f>
        <v>0</v>
      </c>
      <c r="O281" s="3" t="s">
        <v>805</v>
      </c>
      <c r="P281" s="3" t="s">
        <v>805</v>
      </c>
      <c r="Q281" s="3" t="s">
        <v>462</v>
      </c>
      <c r="R281" s="3" t="s">
        <v>73</v>
      </c>
      <c r="S281" s="3" t="s">
        <v>806</v>
      </c>
    </row>
    <row r="282" spans="1:19">
      <c r="A282" s="3">
        <v>1654</v>
      </c>
      <c r="B282" s="3" t="b">
        <f>ISNUMBER(MATCH(A282,[1]stockregister!$A$2:$A$2000,0))</f>
        <v>1</v>
      </c>
      <c r="C282" s="3" t="s">
        <v>377</v>
      </c>
      <c r="D282" s="3" t="str">
        <f>VLOOKUP($C282,[1]stockregister!$B$2:$B$2000,1,0)</f>
        <v>LAURENT- PERRIER ROSE CHAMPAGNE  750ML</v>
      </c>
      <c r="E282" s="3" t="str">
        <f>IF(ISNA($D282),VLOOKUP($A282,[2]stockregister!$A$2:$B$2000,2,FALSE),"")</f>
        <v/>
      </c>
      <c r="F282" s="3" t="s">
        <v>21</v>
      </c>
      <c r="G282" s="3">
        <f>_xlfn.IFNA(VLOOKUP($A282,[3]stockregister!$A$2:$L$2000,11,0),0)</f>
        <v>125</v>
      </c>
      <c r="H282" s="3">
        <f>_xlfn.IFNA(VLOOKUP($A282,[3]stockregister!$A$2:$L$2000,11,0),0)-$G282</f>
        <v>0</v>
      </c>
      <c r="I282" s="3">
        <f>_xlfn.IFNA(VLOOKUP($A282,[3]stockregister!$A$2:$L$2000,12,0),0)</f>
        <v>25000</v>
      </c>
      <c r="J282" s="3">
        <f>_xlfn.IFNA(VLOOKUP($A282,[3]stockregister!$A$1:$M$2000,12,0),0)-$I282</f>
        <v>0</v>
      </c>
      <c r="K282" s="3" t="s">
        <v>22</v>
      </c>
      <c r="L282" s="3" t="s">
        <v>23</v>
      </c>
      <c r="M282" s="3">
        <f>_xlfn.IFNA(VLOOKUP($A282,[2]stockregister!$A$2:$H$2000,8,0),0)</f>
        <v>27000</v>
      </c>
      <c r="N282" s="3">
        <f>_xlfn.IFNA(VLOOKUP($A282,[2]stockregister!$A$2:$H$2000,8,0),0)-$M282</f>
        <v>0</v>
      </c>
      <c r="O282" s="3" t="s">
        <v>807</v>
      </c>
      <c r="P282" s="3" t="s">
        <v>807</v>
      </c>
      <c r="Q282" s="3" t="s">
        <v>426</v>
      </c>
      <c r="R282" s="3" t="s">
        <v>102</v>
      </c>
      <c r="S282" s="3" t="s">
        <v>401</v>
      </c>
    </row>
    <row r="283" spans="1:18">
      <c r="A283" s="3">
        <v>95</v>
      </c>
      <c r="B283" s="3" t="b">
        <f>ISNUMBER(MATCH(A283,[1]stockregister!$A$2:$A$2000,0))</f>
        <v>1</v>
      </c>
      <c r="C283" s="3" t="s">
        <v>380</v>
      </c>
      <c r="D283" s="3" t="str">
        <f>VLOOKUP($C283,[1]stockregister!$B$2:$B$2000,1,0)</f>
        <v>PENASOL MEDIUM SWEET WHITE 1L</v>
      </c>
      <c r="E283" s="3" t="str">
        <f>IF(ISNA($D283),VLOOKUP($A283,[2]stockregister!$A$2:$B$2000,2,FALSE),"")</f>
        <v/>
      </c>
      <c r="F283" s="3" t="s">
        <v>21</v>
      </c>
      <c r="G283" s="3">
        <f>_xlfn.IFNA(VLOOKUP($A283,[3]stockregister!$A$2:$L$2000,11,0),0)</f>
        <v>73</v>
      </c>
      <c r="H283" s="3">
        <f>_xlfn.IFNA(VLOOKUP($A283,[3]stockregister!$A$2:$L$2000,11,0),0)-$G283</f>
        <v>0</v>
      </c>
      <c r="I283" s="3">
        <f>_xlfn.IFNA(VLOOKUP($A283,[3]stockregister!$A$2:$L$2000,12,0),0)</f>
        <v>2024</v>
      </c>
      <c r="J283" s="3">
        <f>_xlfn.IFNA(VLOOKUP($A283,[3]stockregister!$A$1:$M$2000,12,0),0)-$I283</f>
        <v>0</v>
      </c>
      <c r="K283" s="3" t="s">
        <v>22</v>
      </c>
      <c r="L283" s="3" t="s">
        <v>23</v>
      </c>
      <c r="M283" s="3">
        <f>_xlfn.IFNA(VLOOKUP($A283,[2]stockregister!$A$2:$H$2000,8,0),0)</f>
        <v>2200</v>
      </c>
      <c r="N283" s="3">
        <f>_xlfn.IFNA(VLOOKUP($A283,[2]stockregister!$A$2:$H$2000,8,0),0)-$M283</f>
        <v>0</v>
      </c>
      <c r="O283" s="3" t="s">
        <v>808</v>
      </c>
      <c r="P283" s="3" t="s">
        <v>808</v>
      </c>
      <c r="Q283" s="3" t="s">
        <v>140</v>
      </c>
      <c r="R283" s="3" t="s">
        <v>126</v>
      </c>
    </row>
    <row r="284" spans="1:19">
      <c r="A284" s="3">
        <v>2831</v>
      </c>
      <c r="B284" s="3" t="b">
        <f>ISNUMBER(MATCH(A284,[1]stockregister!$A$2:$A$2000,0))</f>
        <v>1</v>
      </c>
      <c r="C284" s="3" t="s">
        <v>383</v>
      </c>
      <c r="D284" s="3" t="str">
        <f>VLOOKUP($C284,[1]stockregister!$B$2:$B$2000,1,0)</f>
        <v>JP AZEITAO RED 750ML </v>
      </c>
      <c r="E284" s="3" t="str">
        <f>IF(ISNA($D284),VLOOKUP($A284,[2]stockregister!$A$2:$B$2000,2,FALSE),"")</f>
        <v/>
      </c>
      <c r="F284" s="3" t="s">
        <v>21</v>
      </c>
      <c r="G284" s="3">
        <f>_xlfn.IFNA(VLOOKUP($A284,[3]stockregister!$A$2:$L$2000,11,0),0)</f>
        <v>120</v>
      </c>
      <c r="H284" s="3">
        <f>_xlfn.IFNA(VLOOKUP($A284,[3]stockregister!$A$2:$L$2000,11,0),0)-$G284</f>
        <v>0</v>
      </c>
      <c r="I284" s="3">
        <f>_xlfn.IFNA(VLOOKUP($A284,[3]stockregister!$A$2:$L$2000,12,0),0)</f>
        <v>263.32</v>
      </c>
      <c r="J284" s="3">
        <f>_xlfn.IFNA(VLOOKUP($A284,[3]stockregister!$A$1:$M$2000,12,0),0)-$I284</f>
        <v>0</v>
      </c>
      <c r="K284" s="3" t="s">
        <v>22</v>
      </c>
      <c r="L284" s="3" t="s">
        <v>23</v>
      </c>
      <c r="M284" s="3">
        <f>_xlfn.IFNA(VLOOKUP($A284,[2]stockregister!$A$2:$H$2000,8,0),0)</f>
        <v>275</v>
      </c>
      <c r="N284" s="3">
        <f>_xlfn.IFNA(VLOOKUP($A284,[2]stockregister!$A$2:$H$2000,8,0),0)-$M284</f>
        <v>0</v>
      </c>
      <c r="O284" s="3" t="s">
        <v>809</v>
      </c>
      <c r="P284" s="3" t="s">
        <v>809</v>
      </c>
      <c r="Q284" s="3" t="s">
        <v>129</v>
      </c>
      <c r="R284" s="3" t="s">
        <v>216</v>
      </c>
      <c r="S284" s="3" t="s">
        <v>130</v>
      </c>
    </row>
    <row r="285" spans="1:19">
      <c r="A285" s="3">
        <v>2168</v>
      </c>
      <c r="B285" s="3" t="b">
        <f>ISNUMBER(MATCH(A285,[1]stockregister!$A$2:$A$2000,0))</f>
        <v>1</v>
      </c>
      <c r="C285" s="3" t="s">
        <v>386</v>
      </c>
      <c r="D285" s="3" t="str">
        <f>VLOOKUP($C285,[1]stockregister!$B$2:$B$2000,1,0)</f>
        <v>JP AZEITAO WHITE 750ML </v>
      </c>
      <c r="E285" s="3" t="str">
        <f>IF(ISNA($D285),VLOOKUP($A285,[2]stockregister!$A$2:$B$2000,2,FALSE),"")</f>
        <v/>
      </c>
      <c r="F285" s="3" t="s">
        <v>21</v>
      </c>
      <c r="G285" s="3">
        <f>_xlfn.IFNA(VLOOKUP($A285,[3]stockregister!$A$2:$L$2000,11,0),0)</f>
        <v>96</v>
      </c>
      <c r="H285" s="3">
        <f>_xlfn.IFNA(VLOOKUP($A285,[3]stockregister!$A$2:$L$2000,11,0),0)-$G285</f>
        <v>0</v>
      </c>
      <c r="I285" s="3">
        <f>_xlfn.IFNA(VLOOKUP($A285,[3]stockregister!$A$2:$L$2000,12,0),0)</f>
        <v>203</v>
      </c>
      <c r="J285" s="3">
        <f>_xlfn.IFNA(VLOOKUP($A285,[3]stockregister!$A$1:$M$2000,12,0),0)-$I285</f>
        <v>0</v>
      </c>
      <c r="K285" s="3" t="s">
        <v>22</v>
      </c>
      <c r="L285" s="3" t="s">
        <v>23</v>
      </c>
      <c r="M285" s="3">
        <f>_xlfn.IFNA(VLOOKUP($A285,[2]stockregister!$A$2:$H$2000,8,0),0)</f>
        <v>220</v>
      </c>
      <c r="N285" s="3">
        <f>_xlfn.IFNA(VLOOKUP($A285,[2]stockregister!$A$2:$H$2000,8,0),0)-$M285</f>
        <v>0</v>
      </c>
      <c r="O285" s="3" t="s">
        <v>810</v>
      </c>
      <c r="P285" s="3" t="s">
        <v>810</v>
      </c>
      <c r="Q285" s="3" t="s">
        <v>811</v>
      </c>
      <c r="R285" s="3" t="s">
        <v>26</v>
      </c>
      <c r="S285" s="3" t="s">
        <v>130</v>
      </c>
    </row>
    <row r="286" spans="1:19">
      <c r="A286" s="3">
        <v>538</v>
      </c>
      <c r="B286" s="3" t="b">
        <f>ISNUMBER(MATCH(A286,[1]stockregister!$A$2:$A$2000,0))</f>
        <v>1</v>
      </c>
      <c r="C286" s="3" t="s">
        <v>387</v>
      </c>
      <c r="D286" s="3" t="str">
        <f>VLOOKUP($C286,[1]stockregister!$B$2:$B$2000,1,0)</f>
        <v>BOWMORE 12YRS WHISKY 700ML </v>
      </c>
      <c r="E286" s="3" t="str">
        <f>IF(ISNA($D286),VLOOKUP($A286,[2]stockregister!$A$2:$B$2000,2,FALSE),"")</f>
        <v/>
      </c>
      <c r="F286" s="3" t="s">
        <v>21</v>
      </c>
      <c r="G286" s="3">
        <f>_xlfn.IFNA(VLOOKUP($A286,[3]stockregister!$A$2:$L$2000,11,0),0)</f>
        <v>120</v>
      </c>
      <c r="H286" s="3">
        <f>_xlfn.IFNA(VLOOKUP($A286,[3]stockregister!$A$2:$L$2000,11,0),0)-$G286</f>
        <v>0</v>
      </c>
      <c r="I286" s="3">
        <f>_xlfn.IFNA(VLOOKUP($A286,[3]stockregister!$A$2:$L$2000,12,0),0)</f>
        <v>6900</v>
      </c>
      <c r="J286" s="3">
        <f>_xlfn.IFNA(VLOOKUP($A286,[3]stockregister!$A$1:$M$2000,12,0),0)-$I286</f>
        <v>0</v>
      </c>
      <c r="K286" s="3" t="s">
        <v>22</v>
      </c>
      <c r="L286" s="3" t="s">
        <v>23</v>
      </c>
      <c r="M286" s="3">
        <f>_xlfn.IFNA(VLOOKUP($A286,[2]stockregister!$A$2:$H$2000,8,0),0)</f>
        <v>7500</v>
      </c>
      <c r="N286" s="3">
        <f>_xlfn.IFNA(VLOOKUP($A286,[2]stockregister!$A$2:$H$2000,8,0),0)-$M286</f>
        <v>0</v>
      </c>
      <c r="O286" s="3" t="s">
        <v>812</v>
      </c>
      <c r="P286" s="3" t="s">
        <v>812</v>
      </c>
      <c r="Q286" s="3" t="s">
        <v>813</v>
      </c>
      <c r="R286" s="3" t="s">
        <v>102</v>
      </c>
      <c r="S286" s="3" t="s">
        <v>36</v>
      </c>
    </row>
    <row r="287" spans="1:19">
      <c r="A287" s="3">
        <v>539</v>
      </c>
      <c r="B287" s="3" t="b">
        <f>ISNUMBER(MATCH(A287,[1]stockregister!$A$2:$A$2000,0))</f>
        <v>1</v>
      </c>
      <c r="C287" s="3" t="s">
        <v>390</v>
      </c>
      <c r="D287" s="3" t="str">
        <f>VLOOKUP($C287,[1]stockregister!$B$2:$B$2000,1,0)</f>
        <v>BACARDI SUPERIOR  350ML</v>
      </c>
      <c r="E287" s="3" t="str">
        <f>IF(ISNA($D287),VLOOKUP($A287,[2]stockregister!$A$2:$B$2000,2,FALSE),"")</f>
        <v/>
      </c>
      <c r="F287" s="3" t="s">
        <v>21</v>
      </c>
      <c r="G287" s="3">
        <f>_xlfn.IFNA(VLOOKUP($A287,[3]stockregister!$A$2:$L$2000,11,0),0)</f>
        <v>120</v>
      </c>
      <c r="H287" s="3">
        <f>_xlfn.IFNA(VLOOKUP($A287,[3]stockregister!$A$2:$L$2000,11,0),0)-$G287</f>
        <v>0</v>
      </c>
      <c r="I287" s="3">
        <f>_xlfn.IFNA(VLOOKUP($A287,[3]stockregister!$A$2:$L$2000,12,0),0)</f>
        <v>5060</v>
      </c>
      <c r="J287" s="3">
        <f>_xlfn.IFNA(VLOOKUP($A287,[3]stockregister!$A$1:$M$2000,12,0),0)-$I287</f>
        <v>0</v>
      </c>
      <c r="K287" s="3" t="s">
        <v>22</v>
      </c>
      <c r="L287" s="3" t="s">
        <v>23</v>
      </c>
      <c r="M287" s="3">
        <f>_xlfn.IFNA(VLOOKUP($A287,[2]stockregister!$A$2:$H$2000,8,0),0)</f>
        <v>5500</v>
      </c>
      <c r="N287" s="3">
        <f>_xlfn.IFNA(VLOOKUP($A287,[2]stockregister!$A$2:$H$2000,8,0),0)-$M287</f>
        <v>0</v>
      </c>
      <c r="O287" s="3" t="s">
        <v>814</v>
      </c>
      <c r="P287" s="3" t="s">
        <v>814</v>
      </c>
      <c r="Q287" s="3" t="s">
        <v>813</v>
      </c>
      <c r="R287" s="3" t="s">
        <v>102</v>
      </c>
      <c r="S287" s="3" t="s">
        <v>36</v>
      </c>
    </row>
    <row r="288" spans="1:19">
      <c r="A288" s="3">
        <v>2847</v>
      </c>
      <c r="B288" s="3" t="b">
        <f>ISNUMBER(MATCH(A288,[1]stockregister!$A$2:$A$2000,0))</f>
        <v>1</v>
      </c>
      <c r="C288" s="3" t="s">
        <v>394</v>
      </c>
      <c r="D288" s="3" t="str">
        <f>VLOOKUP($C288,[1]stockregister!$B$2:$B$2000,1,0)</f>
        <v>WOOSH 9000 PUFFS COLA LIME</v>
      </c>
      <c r="E288" s="3" t="str">
        <f>IF(ISNA($D288),VLOOKUP($A288,[2]stockregister!$A$2:$B$2000,2,FALSE),"")</f>
        <v/>
      </c>
      <c r="F288" s="3" t="s">
        <v>21</v>
      </c>
      <c r="G288" s="3">
        <f>_xlfn.IFNA(VLOOKUP($A288,[3]stockregister!$A$2:$L$2000,11,0),0)</f>
        <v>119</v>
      </c>
      <c r="H288" s="3">
        <f>_xlfn.IFNA(VLOOKUP($A288,[3]stockregister!$A$2:$L$2000,11,0),0)-$G288</f>
        <v>0</v>
      </c>
      <c r="I288" s="3">
        <f>_xlfn.IFNA(VLOOKUP($A288,[3]stockregister!$A$2:$L$2000,12,0),0)</f>
        <v>1000</v>
      </c>
      <c r="J288" s="3">
        <f>_xlfn.IFNA(VLOOKUP($A288,[3]stockregister!$A$1:$M$2000,12,0),0)-$I288</f>
        <v>0</v>
      </c>
      <c r="K288" s="3" t="s">
        <v>22</v>
      </c>
      <c r="L288" s="3" t="s">
        <v>23</v>
      </c>
      <c r="M288" s="3">
        <f>_xlfn.IFNA(VLOOKUP($A288,[2]stockregister!$A$2:$H$2000,8,0),0)</f>
        <v>1500</v>
      </c>
      <c r="N288" s="3">
        <f>_xlfn.IFNA(VLOOKUP($A288,[2]stockregister!$A$2:$H$2000,8,0),0)-$M288</f>
        <v>0</v>
      </c>
      <c r="O288" s="3" t="s">
        <v>815</v>
      </c>
      <c r="P288" s="3" t="s">
        <v>815</v>
      </c>
      <c r="Q288" s="3" t="s">
        <v>236</v>
      </c>
      <c r="R288" s="3" t="s">
        <v>113</v>
      </c>
      <c r="S288" s="3" t="s">
        <v>816</v>
      </c>
    </row>
    <row r="289" spans="1:19">
      <c r="A289" s="3">
        <v>622</v>
      </c>
      <c r="B289" s="3" t="b">
        <f>ISNUMBER(MATCH(A289,[1]stockregister!$A$2:$A$2000,0))</f>
        <v>1</v>
      </c>
      <c r="C289" s="3" t="s">
        <v>396</v>
      </c>
      <c r="D289" s="3" t="str">
        <f>VLOOKUP($C289,[1]stockregister!$B$2:$B$2000,1,0)</f>
        <v>MARTINI  BIANCO 1LTR</v>
      </c>
      <c r="E289" s="3" t="str">
        <f>IF(ISNA($D289),VLOOKUP($A289,[2]stockregister!$A$2:$B$2000,2,FALSE),"")</f>
        <v/>
      </c>
      <c r="F289" s="3" t="s">
        <v>21</v>
      </c>
      <c r="G289" s="3">
        <f>_xlfn.IFNA(VLOOKUP($A289,[3]stockregister!$A$2:$L$2000,11,0),0)</f>
        <v>111</v>
      </c>
      <c r="H289" s="3">
        <f>_xlfn.IFNA(VLOOKUP($A289,[3]stockregister!$A$2:$L$2000,11,0),0)-$G289</f>
        <v>0</v>
      </c>
      <c r="I289" s="3">
        <f>_xlfn.IFNA(VLOOKUP($A289,[3]stockregister!$A$2:$L$2000,12,0),0)</f>
        <v>8103.97</v>
      </c>
      <c r="J289" s="3">
        <f>_xlfn.IFNA(VLOOKUP($A289,[3]stockregister!$A$1:$M$2000,12,0),0)-$I289</f>
        <v>0</v>
      </c>
      <c r="K289" s="3" t="s">
        <v>22</v>
      </c>
      <c r="L289" s="3" t="s">
        <v>23</v>
      </c>
      <c r="M289" s="3">
        <f>_xlfn.IFNA(VLOOKUP($A289,[2]stockregister!$A$2:$H$2000,8,0),0)</f>
        <v>8400</v>
      </c>
      <c r="N289" s="3">
        <f>_xlfn.IFNA(VLOOKUP($A289,[2]stockregister!$A$2:$H$2000,8,0),0)-$M289</f>
        <v>0</v>
      </c>
      <c r="O289" s="3" t="s">
        <v>817</v>
      </c>
      <c r="P289" s="3" t="s">
        <v>817</v>
      </c>
      <c r="Q289" s="3" t="s">
        <v>474</v>
      </c>
      <c r="R289" s="3" t="s">
        <v>73</v>
      </c>
      <c r="S289" s="3" t="s">
        <v>818</v>
      </c>
    </row>
    <row r="290" spans="1:19">
      <c r="A290" s="3">
        <v>1678</v>
      </c>
      <c r="B290" s="3" t="b">
        <f>ISNUMBER(MATCH(A290,[1]stockregister!$A$2:$A$2000,0))</f>
        <v>1</v>
      </c>
      <c r="C290" s="3" t="s">
        <v>399</v>
      </c>
      <c r="D290" s="3" t="str">
        <f>VLOOKUP($C290,[1]stockregister!$B$2:$B$2000,1,0)</f>
        <v>JACK DANIELS SINATRA  1LTR</v>
      </c>
      <c r="E290" s="3" t="str">
        <f>IF(ISNA($D290),VLOOKUP($A290,[2]stockregister!$A$2:$B$2000,2,FALSE),"")</f>
        <v/>
      </c>
      <c r="F290" s="3" t="s">
        <v>21</v>
      </c>
      <c r="G290" s="3">
        <f>_xlfn.IFNA(VLOOKUP($A290,[3]stockregister!$A$2:$L$2000,11,0),0)</f>
        <v>115</v>
      </c>
      <c r="H290" s="3">
        <f>_xlfn.IFNA(VLOOKUP($A290,[3]stockregister!$A$2:$L$2000,11,0),0)-$G290</f>
        <v>0</v>
      </c>
      <c r="I290" s="3">
        <f>_xlfn.IFNA(VLOOKUP($A290,[3]stockregister!$A$2:$L$2000,12,0),0)</f>
        <v>1380</v>
      </c>
      <c r="J290" s="3">
        <f>_xlfn.IFNA(VLOOKUP($A290,[3]stockregister!$A$1:$M$2000,12,0),0)-$I290</f>
        <v>0</v>
      </c>
      <c r="K290" s="3" t="s">
        <v>22</v>
      </c>
      <c r="L290" s="3" t="s">
        <v>23</v>
      </c>
      <c r="M290" s="3">
        <f>_xlfn.IFNA(VLOOKUP($A290,[2]stockregister!$A$2:$H$2000,8,0),0)</f>
        <v>1500</v>
      </c>
      <c r="N290" s="3">
        <f>_xlfn.IFNA(VLOOKUP($A290,[2]stockregister!$A$2:$H$2000,8,0),0)-$M290</f>
        <v>0</v>
      </c>
      <c r="O290" s="3" t="s">
        <v>819</v>
      </c>
      <c r="P290" s="3" t="s">
        <v>819</v>
      </c>
      <c r="Q290" s="3" t="s">
        <v>820</v>
      </c>
      <c r="R290" s="3" t="s">
        <v>68</v>
      </c>
      <c r="S290" s="3" t="s">
        <v>169</v>
      </c>
    </row>
    <row r="291" spans="1:19">
      <c r="A291" s="3">
        <v>1860</v>
      </c>
      <c r="B291" s="3" t="b">
        <f>ISNUMBER(MATCH(A291,[1]stockregister!$A$2:$A$2000,0))</f>
        <v>1</v>
      </c>
      <c r="C291" s="3" t="s">
        <v>402</v>
      </c>
      <c r="D291" s="3" t="str">
        <f>VLOOKUP($C291,[1]stockregister!$B$2:$B$2000,1,0)</f>
        <v>SIX  DOGS KAROO 750ML</v>
      </c>
      <c r="E291" s="3" t="str">
        <f>IF(ISNA($D291),VLOOKUP($A291,[2]stockregister!$A$2:$B$2000,2,FALSE),"")</f>
        <v/>
      </c>
      <c r="F291" s="3" t="s">
        <v>21</v>
      </c>
      <c r="G291" s="3">
        <f>_xlfn.IFNA(VLOOKUP($A291,[3]stockregister!$A$2:$L$2000,11,0),0)</f>
        <v>114</v>
      </c>
      <c r="H291" s="3">
        <f>_xlfn.IFNA(VLOOKUP($A291,[3]stockregister!$A$2:$L$2000,11,0),0)-$G291</f>
        <v>0</v>
      </c>
      <c r="I291" s="3">
        <f>_xlfn.IFNA(VLOOKUP($A291,[3]stockregister!$A$2:$L$2000,12,0),0)</f>
        <v>1656</v>
      </c>
      <c r="J291" s="3">
        <f>_xlfn.IFNA(VLOOKUP($A291,[3]stockregister!$A$1:$M$2000,12,0),0)-$I291</f>
        <v>0</v>
      </c>
      <c r="K291" s="3" t="s">
        <v>22</v>
      </c>
      <c r="L291" s="3" t="s">
        <v>23</v>
      </c>
      <c r="M291" s="3">
        <f>_xlfn.IFNA(VLOOKUP($A291,[2]stockregister!$A$2:$H$2000,8,0),0)</f>
        <v>1800</v>
      </c>
      <c r="N291" s="3">
        <f>_xlfn.IFNA(VLOOKUP($A291,[2]stockregister!$A$2:$H$2000,8,0),0)-$M291</f>
        <v>0</v>
      </c>
      <c r="O291" s="3" t="s">
        <v>821</v>
      </c>
      <c r="P291" s="3" t="s">
        <v>821</v>
      </c>
      <c r="Q291" s="3" t="s">
        <v>822</v>
      </c>
      <c r="R291" s="3" t="s">
        <v>113</v>
      </c>
      <c r="S291" s="3" t="s">
        <v>114</v>
      </c>
    </row>
    <row r="292" spans="1:19">
      <c r="A292" s="3">
        <v>1109</v>
      </c>
      <c r="B292" s="3" t="b">
        <f>ISNUMBER(MATCH(A292,[1]stockregister!$A$2:$A$2000,0))</f>
        <v>1</v>
      </c>
      <c r="C292" s="3" t="s">
        <v>404</v>
      </c>
      <c r="D292" s="3" t="str">
        <f>VLOOKUP($C292,[1]stockregister!$B$2:$B$2000,1,0)</f>
        <v>AUCHENTOSHAN AMERICAN  OAK 700ML</v>
      </c>
      <c r="E292" s="3" t="str">
        <f>IF(ISNA($D292),VLOOKUP($A292,[2]stockregister!$A$2:$B$2000,2,FALSE),"")</f>
        <v/>
      </c>
      <c r="F292" s="3" t="s">
        <v>21</v>
      </c>
      <c r="G292" s="3">
        <f>_xlfn.IFNA(VLOOKUP($A292,[3]stockregister!$A$2:$L$2000,11,0),0)</f>
        <v>114</v>
      </c>
      <c r="H292" s="3">
        <f>_xlfn.IFNA(VLOOKUP($A292,[3]stockregister!$A$2:$L$2000,11,0),0)-$G292</f>
        <v>0</v>
      </c>
      <c r="I292" s="3">
        <f>_xlfn.IFNA(VLOOKUP($A292,[3]stockregister!$A$2:$L$2000,12,0),0)</f>
        <v>17554</v>
      </c>
      <c r="J292" s="3">
        <f>_xlfn.IFNA(VLOOKUP($A292,[3]stockregister!$A$1:$M$2000,12,0),0)-$I292</f>
        <v>0</v>
      </c>
      <c r="K292" s="3" t="s">
        <v>22</v>
      </c>
      <c r="L292" s="3" t="s">
        <v>23</v>
      </c>
      <c r="M292" s="3">
        <f>_xlfn.IFNA(VLOOKUP($A292,[2]stockregister!$A$2:$H$2000,8,0),0)</f>
        <v>26000</v>
      </c>
      <c r="N292" s="3">
        <f>_xlfn.IFNA(VLOOKUP($A292,[2]stockregister!$A$2:$H$2000,8,0),0)-$M292</f>
        <v>0</v>
      </c>
      <c r="O292" s="3" t="s">
        <v>823</v>
      </c>
      <c r="P292" s="3" t="s">
        <v>823</v>
      </c>
      <c r="Q292" s="3" t="s">
        <v>824</v>
      </c>
      <c r="R292" s="3" t="s">
        <v>92</v>
      </c>
      <c r="S292" s="3" t="s">
        <v>134</v>
      </c>
    </row>
    <row r="293" spans="1:19">
      <c r="A293" s="3">
        <v>1515</v>
      </c>
      <c r="B293" s="3" t="b">
        <f>ISNUMBER(MATCH(A293,[1]stockregister!$A$2:$A$2000,0))</f>
        <v>1</v>
      </c>
      <c r="C293" s="3" t="s">
        <v>407</v>
      </c>
      <c r="D293" s="3" t="str">
        <f>VLOOKUP($C293,[1]stockregister!$B$2:$B$2000,1,0)</f>
        <v>TALISKER  PORT RUIGHE WHISKY 700ML</v>
      </c>
      <c r="E293" s="3" t="str">
        <f>IF(ISNA($D293),VLOOKUP($A293,[2]stockregister!$A$2:$B$2000,2,FALSE),"")</f>
        <v/>
      </c>
      <c r="F293" s="3" t="s">
        <v>21</v>
      </c>
      <c r="G293" s="3">
        <f>_xlfn.IFNA(VLOOKUP($A293,[3]stockregister!$A$2:$L$2000,11,0),0)</f>
        <v>108</v>
      </c>
      <c r="H293" s="3">
        <f>_xlfn.IFNA(VLOOKUP($A293,[3]stockregister!$A$2:$L$2000,11,0),0)-$G293</f>
        <v>0</v>
      </c>
      <c r="I293" s="3">
        <f>_xlfn.IFNA(VLOOKUP($A293,[3]stockregister!$A$2:$L$2000,12,0),0)</f>
        <v>1334</v>
      </c>
      <c r="J293" s="3">
        <f>_xlfn.IFNA(VLOOKUP($A293,[3]stockregister!$A$1:$M$2000,12,0),0)-$I293</f>
        <v>0</v>
      </c>
      <c r="K293" s="3" t="s">
        <v>22</v>
      </c>
      <c r="L293" s="3" t="s">
        <v>23</v>
      </c>
      <c r="M293" s="3">
        <f>_xlfn.IFNA(VLOOKUP($A293,[2]stockregister!$A$2:$H$2000,8,0),0)</f>
        <v>1450</v>
      </c>
      <c r="N293" s="3">
        <f>_xlfn.IFNA(VLOOKUP($A293,[2]stockregister!$A$2:$H$2000,8,0),0)-$M293</f>
        <v>0</v>
      </c>
      <c r="O293" s="3" t="s">
        <v>825</v>
      </c>
      <c r="P293" s="3" t="s">
        <v>825</v>
      </c>
      <c r="Q293" s="3" t="s">
        <v>368</v>
      </c>
      <c r="R293" s="3" t="s">
        <v>68</v>
      </c>
      <c r="S293" s="3" t="s">
        <v>826</v>
      </c>
    </row>
    <row r="294" spans="1:19">
      <c r="A294" s="3">
        <v>1313</v>
      </c>
      <c r="B294" s="3" t="b">
        <f>ISNUMBER(MATCH(A294,[1]stockregister!$A$2:$A$2000,0))</f>
        <v>1</v>
      </c>
      <c r="C294" s="3" t="s">
        <v>409</v>
      </c>
      <c r="D294" s="3" t="str">
        <f>VLOOKUP($C294,[1]stockregister!$B$2:$B$2000,1,0)</f>
        <v>HAUTE CABRIERE CHARDONNAY  PINOT 750ML750ML</v>
      </c>
      <c r="E294" s="3" t="str">
        <f>IF(ISNA($D294),VLOOKUP($A294,[2]stockregister!$A$2:$B$2000,2,FALSE),"")</f>
        <v/>
      </c>
      <c r="F294" s="3" t="s">
        <v>21</v>
      </c>
      <c r="G294" s="3">
        <f>_xlfn.IFNA(VLOOKUP($A294,[3]stockregister!$A$2:$L$2000,11,0),0)</f>
        <v>113</v>
      </c>
      <c r="H294" s="3">
        <f>_xlfn.IFNA(VLOOKUP($A294,[3]stockregister!$A$2:$L$2000,11,0),0)-$G294</f>
        <v>0</v>
      </c>
      <c r="I294" s="3">
        <f>_xlfn.IFNA(VLOOKUP($A294,[3]stockregister!$A$2:$L$2000,12,0),0)</f>
        <v>4140</v>
      </c>
      <c r="J294" s="3">
        <f>_xlfn.IFNA(VLOOKUP($A294,[3]stockregister!$A$1:$M$2000,12,0),0)-$I294</f>
        <v>0</v>
      </c>
      <c r="K294" s="3" t="s">
        <v>22</v>
      </c>
      <c r="L294" s="3" t="s">
        <v>23</v>
      </c>
      <c r="M294" s="3">
        <f>_xlfn.IFNA(VLOOKUP($A294,[2]stockregister!$A$2:$H$2000,8,0),0)</f>
        <v>4500</v>
      </c>
      <c r="N294" s="3">
        <f>_xlfn.IFNA(VLOOKUP($A294,[2]stockregister!$A$2:$H$2000,8,0),0)-$M294</f>
        <v>0</v>
      </c>
      <c r="O294" s="3" t="s">
        <v>827</v>
      </c>
      <c r="P294" s="3" t="s">
        <v>827</v>
      </c>
      <c r="Q294" s="3" t="s">
        <v>749</v>
      </c>
      <c r="R294" s="3" t="s">
        <v>68</v>
      </c>
      <c r="S294" s="3" t="s">
        <v>828</v>
      </c>
    </row>
    <row r="295" spans="1:19">
      <c r="A295" s="3">
        <v>423</v>
      </c>
      <c r="B295" s="3" t="b">
        <f>ISNUMBER(MATCH(A295,[1]stockregister!$A$2:$A$2000,0))</f>
        <v>1</v>
      </c>
      <c r="C295" s="3" t="s">
        <v>411</v>
      </c>
      <c r="D295" s="3" t="str">
        <f>VLOOKUP($C295,[1]stockregister!$B$2:$B$2000,1,0)</f>
        <v>WAVE DANCER SWT WHITE  700ML</v>
      </c>
      <c r="E295" s="3" t="str">
        <f>IF(ISNA($D295),VLOOKUP($A295,[2]stockregister!$A$2:$B$2000,2,FALSE),"")</f>
        <v/>
      </c>
      <c r="F295" s="3" t="s">
        <v>21</v>
      </c>
      <c r="G295" s="3">
        <f>_xlfn.IFNA(VLOOKUP($A295,[3]stockregister!$A$2:$L$2000,11,0),0)</f>
        <v>63</v>
      </c>
      <c r="H295" s="3">
        <f>_xlfn.IFNA(VLOOKUP($A295,[3]stockregister!$A$2:$L$2000,11,0),0)-$G295</f>
        <v>0</v>
      </c>
      <c r="I295" s="3">
        <f>_xlfn.IFNA(VLOOKUP($A295,[3]stockregister!$A$2:$L$2000,12,0),0)</f>
        <v>3300</v>
      </c>
      <c r="J295" s="3">
        <f>_xlfn.IFNA(VLOOKUP($A295,[3]stockregister!$A$1:$M$2000,12,0),0)-$I295</f>
        <v>0</v>
      </c>
      <c r="K295" s="3" t="s">
        <v>22</v>
      </c>
      <c r="L295" s="3" t="s">
        <v>23</v>
      </c>
      <c r="M295" s="3">
        <f>_xlfn.IFNA(VLOOKUP($A295,[2]stockregister!$A$2:$H$2000,8,0),0)</f>
        <v>3800</v>
      </c>
      <c r="N295" s="3">
        <f>_xlfn.IFNA(VLOOKUP($A295,[2]stockregister!$A$2:$H$2000,8,0),0)-$M295</f>
        <v>0</v>
      </c>
      <c r="O295" s="3" t="s">
        <v>829</v>
      </c>
      <c r="P295" s="3" t="s">
        <v>829</v>
      </c>
      <c r="Q295" s="3" t="s">
        <v>117</v>
      </c>
      <c r="R295" s="3" t="s">
        <v>68</v>
      </c>
      <c r="S295" s="3" t="s">
        <v>88</v>
      </c>
    </row>
    <row r="296" spans="1:19">
      <c r="A296" s="3">
        <v>1992</v>
      </c>
      <c r="B296" s="3" t="b">
        <f>ISNUMBER(MATCH(A296,[1]stockregister!$A$2:$A$2000,0))</f>
        <v>1</v>
      </c>
      <c r="C296" s="3" t="s">
        <v>413</v>
      </c>
      <c r="D296" s="3" t="str">
        <f>VLOOKUP($C296,[1]stockregister!$B$2:$B$2000,1,0)</f>
        <v>WHITLEY NEILL LEMON GRASS  GIN 1LTR</v>
      </c>
      <c r="E296" s="3" t="str">
        <f>IF(ISNA($D296),VLOOKUP($A296,[2]stockregister!$A$2:$B$2000,2,FALSE),"")</f>
        <v/>
      </c>
      <c r="F296" s="3" t="s">
        <v>21</v>
      </c>
      <c r="G296" s="3">
        <f>_xlfn.IFNA(VLOOKUP($A296,[3]stockregister!$A$2:$L$2000,11,0),0)</f>
        <v>110</v>
      </c>
      <c r="H296" s="3">
        <f>_xlfn.IFNA(VLOOKUP($A296,[3]stockregister!$A$2:$L$2000,11,0),0)-$G296</f>
        <v>0</v>
      </c>
      <c r="I296" s="3">
        <f>_xlfn.IFNA(VLOOKUP($A296,[3]stockregister!$A$2:$L$2000,12,0),0)</f>
        <v>1288</v>
      </c>
      <c r="J296" s="3">
        <f>_xlfn.IFNA(VLOOKUP($A296,[3]stockregister!$A$1:$M$2000,12,0),0)-$I296</f>
        <v>0</v>
      </c>
      <c r="K296" s="3" t="s">
        <v>22</v>
      </c>
      <c r="L296" s="3" t="s">
        <v>23</v>
      </c>
      <c r="M296" s="3">
        <f>_xlfn.IFNA(VLOOKUP($A296,[2]stockregister!$A$2:$H$2000,8,0),0)</f>
        <v>1400</v>
      </c>
      <c r="N296" s="3">
        <f>_xlfn.IFNA(VLOOKUP($A296,[2]stockregister!$A$2:$H$2000,8,0),0)-$M296</f>
        <v>0</v>
      </c>
      <c r="O296" s="3" t="s">
        <v>830</v>
      </c>
      <c r="P296" s="3" t="s">
        <v>830</v>
      </c>
      <c r="Q296" s="3" t="s">
        <v>831</v>
      </c>
      <c r="R296" s="3" t="s">
        <v>68</v>
      </c>
      <c r="S296" s="3" t="s">
        <v>206</v>
      </c>
    </row>
    <row r="297" spans="1:19">
      <c r="A297" s="3">
        <v>2827</v>
      </c>
      <c r="B297" s="3" t="b">
        <f>ISNUMBER(MATCH(A297,[1]stockregister!$A$2:$A$2000,0))</f>
        <v>1</v>
      </c>
      <c r="C297" s="3" t="s">
        <v>416</v>
      </c>
      <c r="D297" s="3" t="str">
        <f>VLOOKUP($C297,[1]stockregister!$B$2:$B$2000,1,0)</f>
        <v>MAISON CASTEL CUVEE ROSEE  750ML</v>
      </c>
      <c r="E297" s="3" t="str">
        <f>IF(ISNA($D297),VLOOKUP($A297,[2]stockregister!$A$2:$B$2000,2,FALSE),"")</f>
        <v/>
      </c>
      <c r="F297" s="3" t="s">
        <v>21</v>
      </c>
      <c r="G297" s="3">
        <f>_xlfn.IFNA(VLOOKUP($A297,[3]stockregister!$A$2:$L$2000,11,0),0)</f>
        <v>48</v>
      </c>
      <c r="H297" s="3">
        <f>_xlfn.IFNA(VLOOKUP($A297,[3]stockregister!$A$2:$L$2000,11,0),0)-$G297</f>
        <v>0</v>
      </c>
      <c r="I297" s="3">
        <f>_xlfn.IFNA(VLOOKUP($A297,[3]stockregister!$A$2:$L$2000,12,0),0)</f>
        <v>133.33</v>
      </c>
      <c r="J297" s="3">
        <f>_xlfn.IFNA(VLOOKUP($A297,[3]stockregister!$A$1:$M$2000,12,0),0)-$I297</f>
        <v>0</v>
      </c>
      <c r="K297" s="3" t="s">
        <v>22</v>
      </c>
      <c r="L297" s="3" t="s">
        <v>23</v>
      </c>
      <c r="M297" s="3">
        <f>_xlfn.IFNA(VLOOKUP($A297,[2]stockregister!$A$2:$H$2000,8,0),0)</f>
        <v>139.99</v>
      </c>
      <c r="N297" s="3">
        <f>_xlfn.IFNA(VLOOKUP($A297,[2]stockregister!$A$2:$H$2000,8,0),0)-$M297</f>
        <v>0</v>
      </c>
      <c r="O297" s="3" t="s">
        <v>832</v>
      </c>
      <c r="P297" s="3" t="s">
        <v>832</v>
      </c>
      <c r="Q297" s="3" t="s">
        <v>790</v>
      </c>
      <c r="R297" s="3" t="s">
        <v>216</v>
      </c>
      <c r="S297" s="3" t="s">
        <v>791</v>
      </c>
    </row>
    <row r="298" spans="1:19">
      <c r="A298" s="3">
        <v>2829</v>
      </c>
      <c r="B298" s="3" t="b">
        <f>ISNUMBER(MATCH(A298,[1]stockregister!$A$2:$A$2000,0))</f>
        <v>1</v>
      </c>
      <c r="C298" s="3" t="s">
        <v>418</v>
      </c>
      <c r="D298" s="3" t="str">
        <f>VLOOKUP($C298,[1]stockregister!$B$2:$B$2000,1,0)</f>
        <v>ANGOVE  MCLAREN VALE SHIRAZ 2016 750ML</v>
      </c>
      <c r="E298" s="3" t="str">
        <f>IF(ISNA($D298),VLOOKUP($A298,[2]stockregister!$A$2:$B$2000,2,FALSE),"")</f>
        <v/>
      </c>
      <c r="F298" s="3" t="s">
        <v>21</v>
      </c>
      <c r="G298" s="3">
        <f>_xlfn.IFNA(VLOOKUP($A298,[3]stockregister!$A$2:$L$2000,11,0),0)</f>
        <v>72</v>
      </c>
      <c r="H298" s="3">
        <f>_xlfn.IFNA(VLOOKUP($A298,[3]stockregister!$A$2:$L$2000,11,0),0)-$G298</f>
        <v>0</v>
      </c>
      <c r="I298" s="3">
        <f>_xlfn.IFNA(VLOOKUP($A298,[3]stockregister!$A$2:$L$2000,12,0),0)</f>
        <v>66.67</v>
      </c>
      <c r="J298" s="3">
        <f>_xlfn.IFNA(VLOOKUP($A298,[3]stockregister!$A$1:$M$2000,12,0),0)-$I298</f>
        <v>0</v>
      </c>
      <c r="K298" s="3" t="s">
        <v>22</v>
      </c>
      <c r="L298" s="3" t="s">
        <v>23</v>
      </c>
      <c r="M298" s="3">
        <f>_xlfn.IFNA(VLOOKUP($A298,[2]stockregister!$A$2:$H$2000,8,0),0)</f>
        <v>80</v>
      </c>
      <c r="N298" s="3">
        <f>_xlfn.IFNA(VLOOKUP($A298,[2]stockregister!$A$2:$H$2000,8,0),0)-$M298</f>
        <v>0</v>
      </c>
      <c r="O298" s="3" t="s">
        <v>833</v>
      </c>
      <c r="P298" s="3" t="s">
        <v>833</v>
      </c>
      <c r="Q298" s="3" t="s">
        <v>790</v>
      </c>
      <c r="R298" s="3" t="s">
        <v>216</v>
      </c>
      <c r="S298" s="3" t="s">
        <v>791</v>
      </c>
    </row>
    <row r="299" spans="1:19">
      <c r="A299" s="3">
        <v>507</v>
      </c>
      <c r="B299" s="3" t="b">
        <f>ISNUMBER(MATCH(A299,[1]stockregister!$A$2:$A$2000,0))</f>
        <v>1</v>
      </c>
      <c r="C299" s="3" t="s">
        <v>422</v>
      </c>
      <c r="D299" s="3" t="str">
        <f>VLOOKUP($C299,[1]stockregister!$B$2:$B$2000,1,0)</f>
        <v>WOOSH PEN 1800 PUFFS COLA LIME </v>
      </c>
      <c r="E299" s="3" t="str">
        <f>IF(ISNA($D299),VLOOKUP($A299,[2]stockregister!$A$2:$B$2000,2,FALSE),"")</f>
        <v/>
      </c>
      <c r="F299" s="3" t="s">
        <v>21</v>
      </c>
      <c r="G299" s="3">
        <f>_xlfn.IFNA(VLOOKUP($A299,[3]stockregister!$A$2:$L$2000,11,0),0)</f>
        <v>42</v>
      </c>
      <c r="H299" s="3">
        <f>_xlfn.IFNA(VLOOKUP($A299,[3]stockregister!$A$2:$L$2000,11,0),0)-$G299</f>
        <v>0</v>
      </c>
      <c r="I299" s="3">
        <f>_xlfn.IFNA(VLOOKUP($A299,[3]stockregister!$A$2:$L$2000,12,0),0)</f>
        <v>175</v>
      </c>
      <c r="J299" s="3">
        <f>_xlfn.IFNA(VLOOKUP($A299,[3]stockregister!$A$1:$M$2000,12,0),0)-$I299</f>
        <v>0</v>
      </c>
      <c r="K299" s="3" t="s">
        <v>22</v>
      </c>
      <c r="L299" s="3" t="s">
        <v>23</v>
      </c>
      <c r="M299" s="3">
        <f>_xlfn.IFNA(VLOOKUP($A299,[2]stockregister!$A$2:$H$2000,8,0),0)</f>
        <v>180</v>
      </c>
      <c r="N299" s="3">
        <f>_xlfn.IFNA(VLOOKUP($A299,[2]stockregister!$A$2:$H$2000,8,0),0)-$M299</f>
        <v>0</v>
      </c>
      <c r="O299" s="3" t="s">
        <v>834</v>
      </c>
      <c r="P299" s="3" t="s">
        <v>834</v>
      </c>
      <c r="Q299" s="3" t="s">
        <v>25</v>
      </c>
      <c r="R299" s="3" t="s">
        <v>26</v>
      </c>
      <c r="S299" s="3" t="s">
        <v>27</v>
      </c>
    </row>
    <row r="300" spans="1:18">
      <c r="A300" s="3">
        <v>1628</v>
      </c>
      <c r="B300" s="3" t="b">
        <f>ISNUMBER(MATCH(A300,[1]stockregister!$A$2:$A$2000,0))</f>
        <v>1</v>
      </c>
      <c r="C300" s="3" t="s">
        <v>424</v>
      </c>
      <c r="D300" s="3" t="str">
        <f>VLOOKUP($C300,[1]stockregister!$B$2:$B$2000,1,0)</f>
        <v>WOOSH 9000 PUFFS WATERMELON ICE </v>
      </c>
      <c r="E300" s="3" t="str">
        <f>IF(ISNA($D300),VLOOKUP($A300,[2]stockregister!$A$2:$B$2000,2,FALSE),"")</f>
        <v/>
      </c>
      <c r="F300" s="3" t="s">
        <v>21</v>
      </c>
      <c r="G300" s="3">
        <f>_xlfn.IFNA(VLOOKUP($A300,[3]stockregister!$A$2:$L$2000,11,0),0)</f>
        <v>108</v>
      </c>
      <c r="H300" s="3">
        <f>_xlfn.IFNA(VLOOKUP($A300,[3]stockregister!$A$2:$L$2000,11,0),0)-$G300</f>
        <v>0</v>
      </c>
      <c r="I300" s="3">
        <f>_xlfn.IFNA(VLOOKUP($A300,[3]stockregister!$A$2:$L$2000,12,0),0)</f>
        <v>1472</v>
      </c>
      <c r="J300" s="3">
        <f>_xlfn.IFNA(VLOOKUP($A300,[3]stockregister!$A$1:$M$2000,12,0),0)-$I300</f>
        <v>0</v>
      </c>
      <c r="K300" s="3" t="s">
        <v>22</v>
      </c>
      <c r="L300" s="3" t="s">
        <v>23</v>
      </c>
      <c r="M300" s="3">
        <f>_xlfn.IFNA(VLOOKUP($A300,[2]stockregister!$A$2:$H$2000,8,0),0)</f>
        <v>1600</v>
      </c>
      <c r="N300" s="3">
        <f>_xlfn.IFNA(VLOOKUP($A300,[2]stockregister!$A$2:$H$2000,8,0),0)-$M300</f>
        <v>0</v>
      </c>
      <c r="O300" s="3" t="s">
        <v>835</v>
      </c>
      <c r="P300" s="3" t="s">
        <v>835</v>
      </c>
      <c r="Q300" s="3" t="s">
        <v>836</v>
      </c>
      <c r="R300" s="3" t="s">
        <v>126</v>
      </c>
    </row>
    <row r="301" spans="1:19">
      <c r="A301" s="3">
        <v>140</v>
      </c>
      <c r="B301" s="3" t="b">
        <f>ISNUMBER(MATCH(A301,[1]stockregister!$A$2:$A$2000,0))</f>
        <v>1</v>
      </c>
      <c r="C301" s="3" t="s">
        <v>427</v>
      </c>
      <c r="D301" s="3" t="str">
        <f>VLOOKUP($C301,[1]stockregister!$B$2:$B$2000,1,0)</f>
        <v>FRONTERA CAB SAUV  750ML</v>
      </c>
      <c r="E301" s="3" t="str">
        <f>IF(ISNA($D301),VLOOKUP($A301,[2]stockregister!$A$2:$B$2000,2,FALSE),"")</f>
        <v/>
      </c>
      <c r="F301" s="3" t="s">
        <v>21</v>
      </c>
      <c r="G301" s="3">
        <f>_xlfn.IFNA(VLOOKUP($A301,[3]stockregister!$A$2:$L$2000,11,0),0)</f>
        <v>108</v>
      </c>
      <c r="H301" s="3">
        <f>_xlfn.IFNA(VLOOKUP($A301,[3]stockregister!$A$2:$L$2000,11,0),0)-$G301</f>
        <v>0</v>
      </c>
      <c r="I301" s="3">
        <f>_xlfn.IFNA(VLOOKUP($A301,[3]stockregister!$A$2:$L$2000,12,0),0)</f>
        <v>2300</v>
      </c>
      <c r="J301" s="3">
        <f>_xlfn.IFNA(VLOOKUP($A301,[3]stockregister!$A$1:$M$2000,12,0),0)-$I301</f>
        <v>0</v>
      </c>
      <c r="K301" s="3" t="s">
        <v>22</v>
      </c>
      <c r="L301" s="3" t="s">
        <v>23</v>
      </c>
      <c r="M301" s="3">
        <f>_xlfn.IFNA(VLOOKUP($A301,[2]stockregister!$A$2:$H$2000,8,0),0)</f>
        <v>2500</v>
      </c>
      <c r="N301" s="3">
        <f>_xlfn.IFNA(VLOOKUP($A301,[2]stockregister!$A$2:$H$2000,8,0),0)-$M301</f>
        <v>0</v>
      </c>
      <c r="O301" s="3" t="s">
        <v>837</v>
      </c>
      <c r="P301" s="3" t="s">
        <v>837</v>
      </c>
      <c r="Q301" s="3" t="s">
        <v>155</v>
      </c>
      <c r="R301" s="3" t="s">
        <v>156</v>
      </c>
      <c r="S301" s="3" t="s">
        <v>838</v>
      </c>
    </row>
    <row r="302" spans="1:19">
      <c r="A302" s="3">
        <v>1035</v>
      </c>
      <c r="B302" s="3" t="b">
        <f>ISNUMBER(MATCH(A302,[1]stockregister!$A$2:$A$2000,0))</f>
        <v>1</v>
      </c>
      <c r="C302" s="3" t="s">
        <v>429</v>
      </c>
      <c r="D302" s="3" t="str">
        <f>VLOOKUP($C302,[1]stockregister!$B$2:$B$2000,1,0)</f>
        <v>WOOSH 9000 PUFFS SUN KISSED GRAPE</v>
      </c>
      <c r="E302" s="3" t="str">
        <f>IF(ISNA($D302),VLOOKUP($A302,[2]stockregister!$A$2:$B$2000,2,FALSE),"")</f>
        <v/>
      </c>
      <c r="F302" s="3" t="s">
        <v>21</v>
      </c>
      <c r="G302" s="3">
        <f>_xlfn.IFNA(VLOOKUP($A302,[3]stockregister!$A$2:$L$2000,11,0),0)</f>
        <v>108</v>
      </c>
      <c r="H302" s="3">
        <f>_xlfn.IFNA(VLOOKUP($A302,[3]stockregister!$A$2:$L$2000,11,0),0)-$G302</f>
        <v>0</v>
      </c>
      <c r="I302" s="3">
        <f>_xlfn.IFNA(VLOOKUP($A302,[3]stockregister!$A$2:$L$2000,12,0),0)</f>
        <v>4800</v>
      </c>
      <c r="J302" s="3">
        <f>_xlfn.IFNA(VLOOKUP($A302,[3]stockregister!$A$1:$M$2000,12,0),0)-$I302</f>
        <v>0</v>
      </c>
      <c r="K302" s="3" t="s">
        <v>22</v>
      </c>
      <c r="L302" s="3" t="s">
        <v>23</v>
      </c>
      <c r="M302" s="3">
        <f>_xlfn.IFNA(VLOOKUP($A302,[2]stockregister!$A$2:$H$2000,8,0),0)</f>
        <v>5500</v>
      </c>
      <c r="N302" s="3">
        <f>_xlfn.IFNA(VLOOKUP($A302,[2]stockregister!$A$2:$H$2000,8,0),0)-$M302</f>
        <v>0</v>
      </c>
      <c r="O302" s="3" t="s">
        <v>839</v>
      </c>
      <c r="P302" s="3" t="s">
        <v>839</v>
      </c>
      <c r="Q302" s="3" t="s">
        <v>236</v>
      </c>
      <c r="R302" s="3" t="s">
        <v>92</v>
      </c>
      <c r="S302" s="3" t="s">
        <v>840</v>
      </c>
    </row>
    <row r="303" spans="1:19">
      <c r="A303" s="3">
        <v>2626</v>
      </c>
      <c r="B303" s="3" t="b">
        <f>ISNUMBER(MATCH(A303,[1]stockregister!$A$2:$A$2000,0))</f>
        <v>1</v>
      </c>
      <c r="C303" s="3" t="s">
        <v>431</v>
      </c>
      <c r="D303" s="3" t="str">
        <f>VLOOKUP($C303,[1]stockregister!$B$2:$B$2000,1,0)</f>
        <v>JOHNNIE WALKER RED LABEL  1LTR</v>
      </c>
      <c r="E303" s="3" t="str">
        <f>IF(ISNA($D303),VLOOKUP($A303,[2]stockregister!$A$2:$B$2000,2,FALSE),"")</f>
        <v/>
      </c>
      <c r="F303" s="3" t="s">
        <v>21</v>
      </c>
      <c r="G303" s="3">
        <f>_xlfn.IFNA(VLOOKUP($A303,[3]stockregister!$A$2:$L$2000,11,0),0)</f>
        <v>108</v>
      </c>
      <c r="H303" s="3">
        <f>_xlfn.IFNA(VLOOKUP($A303,[3]stockregister!$A$2:$L$2000,11,0),0)-$G303</f>
        <v>0</v>
      </c>
      <c r="I303" s="3">
        <f>_xlfn.IFNA(VLOOKUP($A303,[3]stockregister!$A$2:$L$2000,12,0),0)</f>
        <v>850</v>
      </c>
      <c r="J303" s="3">
        <f>_xlfn.IFNA(VLOOKUP($A303,[3]stockregister!$A$1:$M$2000,12,0),0)-$I303</f>
        <v>0</v>
      </c>
      <c r="K303" s="3" t="s">
        <v>22</v>
      </c>
      <c r="L303" s="3" t="s">
        <v>23</v>
      </c>
      <c r="M303" s="3">
        <f>_xlfn.IFNA(VLOOKUP($A303,[2]stockregister!$A$2:$H$2000,8,0),0)</f>
        <v>950</v>
      </c>
      <c r="N303" s="3">
        <f>_xlfn.IFNA(VLOOKUP($A303,[2]stockregister!$A$2:$H$2000,8,0),0)-$M303</f>
        <v>0</v>
      </c>
      <c r="O303" s="3" t="s">
        <v>841</v>
      </c>
      <c r="P303" s="3" t="s">
        <v>841</v>
      </c>
      <c r="Q303" s="3" t="s">
        <v>842</v>
      </c>
      <c r="R303" s="3" t="s">
        <v>537</v>
      </c>
      <c r="S303" s="3" t="s">
        <v>69</v>
      </c>
    </row>
    <row r="304" spans="1:19">
      <c r="A304" s="3">
        <v>2308</v>
      </c>
      <c r="B304" s="3" t="b">
        <f>ISNUMBER(MATCH(A304,[1]stockregister!$A$2:$A$2000,0))</f>
        <v>1</v>
      </c>
      <c r="C304" s="3" t="s">
        <v>434</v>
      </c>
      <c r="D304" s="3" t="str">
        <f>VLOOKUP($C304,[1]stockregister!$B$2:$B$2000,1,0)</f>
        <v>STARCHASER  750ML</v>
      </c>
      <c r="E304" s="3" t="str">
        <f>IF(ISNA($D304),VLOOKUP($A304,[2]stockregister!$A$2:$B$2000,2,FALSE),"")</f>
        <v/>
      </c>
      <c r="F304" s="3" t="s">
        <v>21</v>
      </c>
      <c r="G304" s="3">
        <f>_xlfn.IFNA(VLOOKUP($A304,[3]stockregister!$A$2:$L$2000,11,0),0)</f>
        <v>105</v>
      </c>
      <c r="H304" s="3">
        <f>_xlfn.IFNA(VLOOKUP($A304,[3]stockregister!$A$2:$L$2000,11,0),0)-$G304</f>
        <v>0</v>
      </c>
      <c r="I304" s="3">
        <f>_xlfn.IFNA(VLOOKUP($A304,[3]stockregister!$A$2:$L$2000,12,0),0)</f>
        <v>550</v>
      </c>
      <c r="J304" s="3">
        <f>_xlfn.IFNA(VLOOKUP($A304,[3]stockregister!$A$1:$M$2000,12,0),0)-$I304</f>
        <v>0</v>
      </c>
      <c r="K304" s="3" t="s">
        <v>22</v>
      </c>
      <c r="L304" s="3" t="s">
        <v>23</v>
      </c>
      <c r="M304" s="3">
        <f>_xlfn.IFNA(VLOOKUP($A304,[2]stockregister!$A$2:$H$2000,8,0),0)</f>
        <v>600</v>
      </c>
      <c r="N304" s="3">
        <f>_xlfn.IFNA(VLOOKUP($A304,[2]stockregister!$A$2:$H$2000,8,0),0)-$M304</f>
        <v>0</v>
      </c>
      <c r="O304" s="3" t="s">
        <v>843</v>
      </c>
      <c r="P304" s="3" t="s">
        <v>843</v>
      </c>
      <c r="Q304" s="3" t="s">
        <v>683</v>
      </c>
      <c r="R304" s="3" t="s">
        <v>318</v>
      </c>
      <c r="S304" s="3" t="s">
        <v>844</v>
      </c>
    </row>
    <row r="305" spans="1:19">
      <c r="A305" s="3">
        <v>921</v>
      </c>
      <c r="B305" s="3" t="b">
        <f>ISNUMBER(MATCH(A305,[1]stockregister!$A$2:$A$2000,0))</f>
        <v>1</v>
      </c>
      <c r="C305" s="3" t="s">
        <v>436</v>
      </c>
      <c r="D305" s="3" t="str">
        <f>VLOOKUP($C305,[1]stockregister!$B$2:$B$2000,1,0)</f>
        <v>ROOIBERG WINERY RED MUSCADEL  750ML</v>
      </c>
      <c r="E305" s="3" t="str">
        <f>IF(ISNA($D305),VLOOKUP($A305,[2]stockregister!$A$2:$B$2000,2,FALSE),"")</f>
        <v/>
      </c>
      <c r="F305" s="3" t="s">
        <v>21</v>
      </c>
      <c r="G305" s="3">
        <f>_xlfn.IFNA(VLOOKUP($A305,[3]stockregister!$A$2:$L$2000,11,0),0)</f>
        <v>103</v>
      </c>
      <c r="H305" s="3">
        <f>_xlfn.IFNA(VLOOKUP($A305,[3]stockregister!$A$2:$L$2000,11,0),0)-$G305</f>
        <v>0</v>
      </c>
      <c r="I305" s="3">
        <f>_xlfn.IFNA(VLOOKUP($A305,[3]stockregister!$A$2:$L$2000,12,0),0)</f>
        <v>1380</v>
      </c>
      <c r="J305" s="3">
        <f>_xlfn.IFNA(VLOOKUP($A305,[3]stockregister!$A$1:$M$2000,12,0),0)-$I305</f>
        <v>0</v>
      </c>
      <c r="K305" s="3" t="s">
        <v>22</v>
      </c>
      <c r="L305" s="3" t="s">
        <v>23</v>
      </c>
      <c r="M305" s="3">
        <f>_xlfn.IFNA(VLOOKUP($A305,[2]stockregister!$A$2:$H$2000,8,0),0)</f>
        <v>1500</v>
      </c>
      <c r="N305" s="3">
        <f>_xlfn.IFNA(VLOOKUP($A305,[2]stockregister!$A$2:$H$2000,8,0),0)-$M305</f>
        <v>0</v>
      </c>
      <c r="O305" s="3" t="s">
        <v>845</v>
      </c>
      <c r="P305" s="3" t="s">
        <v>845</v>
      </c>
      <c r="Q305" s="3" t="s">
        <v>846</v>
      </c>
      <c r="R305" s="3" t="s">
        <v>78</v>
      </c>
      <c r="S305" s="3" t="s">
        <v>847</v>
      </c>
    </row>
    <row r="306" spans="1:19">
      <c r="A306" s="3">
        <v>1592</v>
      </c>
      <c r="B306" s="3" t="b">
        <f>ISNUMBER(MATCH(A306,[1]stockregister!$A$2:$A$2000,0))</f>
        <v>1</v>
      </c>
      <c r="C306" s="3" t="s">
        <v>439</v>
      </c>
      <c r="D306" s="3" t="str">
        <f>VLOOKUP($C306,[1]stockregister!$B$2:$B$2000,1,0)</f>
        <v>ROSSO BIANCO NOBILE ALLA VANIGLIA 750ML</v>
      </c>
      <c r="E306" s="3" t="str">
        <f>IF(ISNA($D306),VLOOKUP($A306,[2]stockregister!$A$2:$B$2000,2,FALSE),"")</f>
        <v/>
      </c>
      <c r="F306" s="3" t="s">
        <v>21</v>
      </c>
      <c r="G306" s="3">
        <f>_xlfn.IFNA(VLOOKUP($A306,[3]stockregister!$A$2:$L$2000,11,0),0)</f>
        <v>90</v>
      </c>
      <c r="H306" s="3">
        <f>_xlfn.IFNA(VLOOKUP($A306,[3]stockregister!$A$2:$L$2000,11,0),0)-$G306</f>
        <v>0</v>
      </c>
      <c r="I306" s="3">
        <f>_xlfn.IFNA(VLOOKUP($A306,[3]stockregister!$A$2:$L$2000,12,0),0)</f>
        <v>6900</v>
      </c>
      <c r="J306" s="3">
        <f>_xlfn.IFNA(VLOOKUP($A306,[3]stockregister!$A$1:$M$2000,12,0),0)-$I306</f>
        <v>0</v>
      </c>
      <c r="K306" s="3" t="s">
        <v>22</v>
      </c>
      <c r="L306" s="3" t="s">
        <v>23</v>
      </c>
      <c r="M306" s="3">
        <f>_xlfn.IFNA(VLOOKUP($A306,[2]stockregister!$A$2:$H$2000,8,0),0)</f>
        <v>7500</v>
      </c>
      <c r="N306" s="3">
        <f>_xlfn.IFNA(VLOOKUP($A306,[2]stockregister!$A$2:$H$2000,8,0),0)-$M306</f>
        <v>0</v>
      </c>
      <c r="O306" s="3" t="s">
        <v>848</v>
      </c>
      <c r="P306" s="3" t="s">
        <v>848</v>
      </c>
      <c r="Q306" s="3" t="s">
        <v>849</v>
      </c>
      <c r="R306" s="3" t="s">
        <v>73</v>
      </c>
      <c r="S306" s="3" t="s">
        <v>85</v>
      </c>
    </row>
    <row r="307" spans="1:18">
      <c r="A307" s="3">
        <v>485</v>
      </c>
      <c r="B307" s="3" t="b">
        <f>ISNUMBER(MATCH(A307,[1]stockregister!$A$2:$A$2000,0))</f>
        <v>1</v>
      </c>
      <c r="C307" s="3" t="s">
        <v>442</v>
      </c>
      <c r="D307" s="3" t="str">
        <f>VLOOKUP($C307,[1]stockregister!$B$2:$B$2000,1,0)</f>
        <v>MANYATTA  MANGO &amp; GINGER 330ML</v>
      </c>
      <c r="E307" s="3" t="str">
        <f>IF(ISNA($D307),VLOOKUP($A307,[2]stockregister!$A$2:$B$2000,2,FALSE),"")</f>
        <v/>
      </c>
      <c r="F307" s="3" t="s">
        <v>21</v>
      </c>
      <c r="G307" s="3">
        <f>_xlfn.IFNA(VLOOKUP($A307,[3]stockregister!$A$2:$L$2000,11,0),0)</f>
        <v>102</v>
      </c>
      <c r="H307" s="3">
        <f>_xlfn.IFNA(VLOOKUP($A307,[3]stockregister!$A$2:$L$2000,11,0),0)-$G307</f>
        <v>0</v>
      </c>
      <c r="I307" s="3">
        <f>_xlfn.IFNA(VLOOKUP($A307,[3]stockregister!$A$2:$L$2000,12,0),0)</f>
        <v>2990</v>
      </c>
      <c r="J307" s="3">
        <f>_xlfn.IFNA(VLOOKUP($A307,[3]stockregister!$A$1:$M$2000,12,0),0)-$I307</f>
        <v>0</v>
      </c>
      <c r="K307" s="3" t="s">
        <v>22</v>
      </c>
      <c r="L307" s="3" t="s">
        <v>23</v>
      </c>
      <c r="M307" s="3">
        <f>_xlfn.IFNA(VLOOKUP($A307,[2]stockregister!$A$2:$H$2000,8,0),0)</f>
        <v>4800</v>
      </c>
      <c r="N307" s="3">
        <f>_xlfn.IFNA(VLOOKUP($A307,[2]stockregister!$A$2:$H$2000,8,0),0)-$M307</f>
        <v>0</v>
      </c>
      <c r="O307" s="3" t="s">
        <v>850</v>
      </c>
      <c r="P307" s="3" t="s">
        <v>850</v>
      </c>
      <c r="Q307" s="3" t="s">
        <v>655</v>
      </c>
      <c r="R307" s="3" t="s">
        <v>318</v>
      </c>
    </row>
    <row r="308" spans="1:20">
      <c r="A308" s="3">
        <v>1970</v>
      </c>
      <c r="B308" s="3" t="b">
        <f>ISNUMBER(MATCH(A308,[1]stockregister!$A$2:$A$2000,0))</f>
        <v>1</v>
      </c>
      <c r="C308" s="3" t="s">
        <v>445</v>
      </c>
      <c r="D308" s="3" t="str">
        <f>VLOOKUP($C308,[1]stockregister!$B$2:$B$2000,1,0)</f>
        <v>KO LIME AND GINGER 330 ML CAN </v>
      </c>
      <c r="E308" s="3" t="str">
        <f>IF(ISNA($D308),VLOOKUP($A308,[2]stockregister!$A$2:$B$2000,2,FALSE),"")</f>
        <v/>
      </c>
      <c r="F308" s="3" t="s">
        <v>21</v>
      </c>
      <c r="G308" s="3">
        <f>_xlfn.IFNA(VLOOKUP($A308,[3]stockregister!$A$2:$L$2000,11,0),0)</f>
        <v>90</v>
      </c>
      <c r="H308" s="3">
        <f>_xlfn.IFNA(VLOOKUP($A308,[3]stockregister!$A$2:$L$2000,11,0),0)-$G308</f>
        <v>0</v>
      </c>
      <c r="I308" s="3">
        <f>_xlfn.IFNA(VLOOKUP($A308,[3]stockregister!$A$2:$L$2000,12,0),0)</f>
        <v>8000</v>
      </c>
      <c r="J308" s="3">
        <f>_xlfn.IFNA(VLOOKUP($A308,[3]stockregister!$A$1:$M$2000,12,0),0)-$I308</f>
        <v>0</v>
      </c>
      <c r="K308" s="3" t="s">
        <v>22</v>
      </c>
      <c r="L308" s="3" t="s">
        <v>23</v>
      </c>
      <c r="M308" s="3">
        <f>_xlfn.IFNA(VLOOKUP($A308,[2]stockregister!$A$2:$H$2000,8,0),0)</f>
        <v>9000</v>
      </c>
      <c r="N308" s="3">
        <f>_xlfn.IFNA(VLOOKUP($A308,[2]stockregister!$A$2:$H$2000,8,0),0)-$M308</f>
        <v>0</v>
      </c>
      <c r="O308" s="3" t="s">
        <v>851</v>
      </c>
      <c r="P308" s="3" t="s">
        <v>851</v>
      </c>
      <c r="Q308" s="3" t="s">
        <v>628</v>
      </c>
      <c r="R308" s="3" t="s">
        <v>92</v>
      </c>
      <c r="S308" s="3" t="s">
        <v>134</v>
      </c>
      <c r="T308" s="3">
        <v>15</v>
      </c>
    </row>
    <row r="309" spans="1:19">
      <c r="A309" s="3">
        <v>413</v>
      </c>
      <c r="B309" s="3" t="b">
        <f>ISNUMBER(MATCH(A309,[1]stockregister!$A$2:$A$2000,0))</f>
        <v>1</v>
      </c>
      <c r="C309" s="3" t="s">
        <v>449</v>
      </c>
      <c r="D309" s="3" t="str">
        <f>VLOOKUP($C309,[1]stockregister!$B$2:$B$2000,1,0)</f>
        <v>KO  DRY CIDER 500ML</v>
      </c>
      <c r="E309" s="3" t="str">
        <f>IF(ISNA($D309),VLOOKUP($A309,[2]stockregister!$A$2:$B$2000,2,FALSE),"")</f>
        <v/>
      </c>
      <c r="F309" s="3" t="s">
        <v>21</v>
      </c>
      <c r="G309" s="3">
        <f>_xlfn.IFNA(VLOOKUP($A309,[3]stockregister!$A$2:$L$2000,11,0),0)</f>
        <v>102</v>
      </c>
      <c r="H309" s="3">
        <f>_xlfn.IFNA(VLOOKUP($A309,[3]stockregister!$A$2:$L$2000,11,0),0)-$G309</f>
        <v>0</v>
      </c>
      <c r="I309" s="3">
        <f>_xlfn.IFNA(VLOOKUP($A309,[3]stockregister!$A$2:$L$2000,12,0),0)</f>
        <v>2392</v>
      </c>
      <c r="J309" s="3">
        <f>_xlfn.IFNA(VLOOKUP($A309,[3]stockregister!$A$1:$M$2000,12,0),0)-$I309</f>
        <v>0</v>
      </c>
      <c r="K309" s="3" t="s">
        <v>22</v>
      </c>
      <c r="L309" s="3" t="s">
        <v>23</v>
      </c>
      <c r="M309" s="3">
        <f>_xlfn.IFNA(VLOOKUP($A309,[2]stockregister!$A$2:$H$2000,8,0),0)</f>
        <v>2600</v>
      </c>
      <c r="N309" s="3">
        <f>_xlfn.IFNA(VLOOKUP($A309,[2]stockregister!$A$2:$H$2000,8,0),0)-$M309</f>
        <v>0</v>
      </c>
      <c r="O309" s="3" t="s">
        <v>852</v>
      </c>
      <c r="P309" s="3" t="s">
        <v>852</v>
      </c>
      <c r="Q309" s="3" t="s">
        <v>853</v>
      </c>
      <c r="R309" s="3" t="s">
        <v>68</v>
      </c>
      <c r="S309" s="3" t="s">
        <v>206</v>
      </c>
    </row>
    <row r="310" spans="1:18">
      <c r="A310" s="3">
        <v>621</v>
      </c>
      <c r="B310" s="3" t="b">
        <f>ISNUMBER(MATCH(A310,[1]stockregister!$A$2:$A$2000,0))</f>
        <v>1</v>
      </c>
      <c r="C310" s="3" t="s">
        <v>452</v>
      </c>
      <c r="D310" s="3" t="str">
        <f>VLOOKUP($C310,[1]stockregister!$B$2:$B$2000,1,0)</f>
        <v>RED BULL ENERGY DRINK 250ML</v>
      </c>
      <c r="E310" s="3" t="str">
        <f>IF(ISNA($D310),VLOOKUP($A310,[2]stockregister!$A$2:$B$2000,2,FALSE),"")</f>
        <v/>
      </c>
      <c r="F310" s="3" t="s">
        <v>21</v>
      </c>
      <c r="G310" s="3">
        <f>_xlfn.IFNA(VLOOKUP($A310,[3]stockregister!$A$2:$L$2000,11,0),0)</f>
        <v>98</v>
      </c>
      <c r="H310" s="3">
        <f>_xlfn.IFNA(VLOOKUP($A310,[3]stockregister!$A$2:$L$2000,11,0),0)-$G310</f>
        <v>0</v>
      </c>
      <c r="I310" s="3">
        <f>_xlfn.IFNA(VLOOKUP($A310,[3]stockregister!$A$2:$L$2000,12,0),0)</f>
        <v>27000</v>
      </c>
      <c r="J310" s="3">
        <f>_xlfn.IFNA(VLOOKUP($A310,[3]stockregister!$A$1:$M$2000,12,0),0)-$I310</f>
        <v>0</v>
      </c>
      <c r="K310" s="3" t="s">
        <v>22</v>
      </c>
      <c r="L310" s="3" t="s">
        <v>23</v>
      </c>
      <c r="M310" s="3">
        <f>_xlfn.IFNA(VLOOKUP($A310,[2]stockregister!$A$2:$H$2000,8,0),0)</f>
        <v>27500</v>
      </c>
      <c r="N310" s="3">
        <f>_xlfn.IFNA(VLOOKUP($A310,[2]stockregister!$A$2:$H$2000,8,0),0)-$M310</f>
        <v>0</v>
      </c>
      <c r="O310" s="3" t="s">
        <v>854</v>
      </c>
      <c r="P310" s="3" t="s">
        <v>854</v>
      </c>
      <c r="Q310" s="3" t="s">
        <v>668</v>
      </c>
      <c r="R310" s="3" t="s">
        <v>73</v>
      </c>
    </row>
    <row r="311" spans="1:19">
      <c r="A311" s="3">
        <v>2316</v>
      </c>
      <c r="B311" s="3" t="b">
        <f>ISNUMBER(MATCH(A311,[1]stockregister!$A$2:$A$2000,0))</f>
        <v>1</v>
      </c>
      <c r="C311" s="3" t="s">
        <v>454</v>
      </c>
      <c r="D311" s="3" t="str">
        <f>VLOOKUP($C311,[1]stockregister!$B$2:$B$2000,1,0)</f>
        <v>FANTA  BLACKCURRANT 1.25L</v>
      </c>
      <c r="E311" s="3" t="str">
        <f>IF(ISNA($D311),VLOOKUP($A311,[2]stockregister!$A$2:$B$2000,2,FALSE),"")</f>
        <v/>
      </c>
      <c r="F311" s="3" t="s">
        <v>21</v>
      </c>
      <c r="G311" s="3">
        <f>_xlfn.IFNA(VLOOKUP($A311,[3]stockregister!$A$2:$L$2000,11,0),0)</f>
        <v>97</v>
      </c>
      <c r="H311" s="3">
        <f>_xlfn.IFNA(VLOOKUP($A311,[3]stockregister!$A$2:$L$2000,11,0),0)-$G311</f>
        <v>0</v>
      </c>
      <c r="I311" s="3">
        <f>_xlfn.IFNA(VLOOKUP($A311,[3]stockregister!$A$2:$L$2000,12,0),0)</f>
        <v>800</v>
      </c>
      <c r="J311" s="3">
        <f>_xlfn.IFNA(VLOOKUP($A311,[3]stockregister!$A$1:$M$2000,12,0),0)-$I311</f>
        <v>0</v>
      </c>
      <c r="K311" s="3" t="s">
        <v>22</v>
      </c>
      <c r="L311" s="3" t="s">
        <v>23</v>
      </c>
      <c r="M311" s="3">
        <f>_xlfn.IFNA(VLOOKUP($A311,[2]stockregister!$A$2:$H$2000,8,0),0)</f>
        <v>850</v>
      </c>
      <c r="N311" s="3">
        <f>_xlfn.IFNA(VLOOKUP($A311,[2]stockregister!$A$2:$H$2000,8,0),0)-$M311</f>
        <v>0</v>
      </c>
      <c r="O311" s="3" t="s">
        <v>855</v>
      </c>
      <c r="P311" s="3" t="s">
        <v>855</v>
      </c>
      <c r="Q311" s="3" t="s">
        <v>856</v>
      </c>
      <c r="R311" s="3" t="s">
        <v>68</v>
      </c>
      <c r="S311" s="3" t="s">
        <v>806</v>
      </c>
    </row>
    <row r="312" spans="1:19">
      <c r="A312" s="3">
        <v>1411</v>
      </c>
      <c r="B312" s="3" t="b">
        <f>ISNUMBER(MATCH(A312,[1]stockregister!$A$2:$A$2000,0))</f>
        <v>1</v>
      </c>
      <c r="C312" s="3" t="s">
        <v>458</v>
      </c>
      <c r="D312" s="3" t="str">
        <f>VLOOKUP($C312,[1]stockregister!$B$2:$B$2000,1,0)</f>
        <v>FANTA BLACKCURRANT 2L</v>
      </c>
      <c r="E312" s="3" t="str">
        <f>IF(ISNA($D312),VLOOKUP($A312,[2]stockregister!$A$2:$B$2000,2,FALSE),"")</f>
        <v/>
      </c>
      <c r="F312" s="3" t="s">
        <v>21</v>
      </c>
      <c r="G312" s="3">
        <f>_xlfn.IFNA(VLOOKUP($A312,[3]stockregister!$A$2:$L$2000,11,0),0)</f>
        <v>97</v>
      </c>
      <c r="H312" s="3">
        <f>_xlfn.IFNA(VLOOKUP($A312,[3]stockregister!$A$2:$L$2000,11,0),0)-$G312</f>
        <v>0</v>
      </c>
      <c r="I312" s="3">
        <f>_xlfn.IFNA(VLOOKUP($A312,[3]stockregister!$A$2:$L$2000,12,0),0)</f>
        <v>1100</v>
      </c>
      <c r="J312" s="3">
        <f>_xlfn.IFNA(VLOOKUP($A312,[3]stockregister!$A$1:$M$2000,12,0),0)-$I312</f>
        <v>0</v>
      </c>
      <c r="K312" s="3" t="s">
        <v>22</v>
      </c>
      <c r="L312" s="3" t="s">
        <v>23</v>
      </c>
      <c r="M312" s="3">
        <f>_xlfn.IFNA(VLOOKUP($A312,[2]stockregister!$A$2:$H$2000,8,0),0)</f>
        <v>1300</v>
      </c>
      <c r="N312" s="3">
        <f>_xlfn.IFNA(VLOOKUP($A312,[2]stockregister!$A$2:$H$2000,8,0),0)-$M312</f>
        <v>0</v>
      </c>
      <c r="O312" s="3" t="s">
        <v>857</v>
      </c>
      <c r="P312" s="3" t="s">
        <v>857</v>
      </c>
      <c r="Q312" s="3" t="s">
        <v>858</v>
      </c>
      <c r="R312" s="3" t="s">
        <v>68</v>
      </c>
      <c r="S312" s="3" t="s">
        <v>169</v>
      </c>
    </row>
    <row r="313" spans="1:19">
      <c r="A313" s="3">
        <v>2835</v>
      </c>
      <c r="B313" s="3" t="b">
        <f>ISNUMBER(MATCH(A313,[1]stockregister!$A$2:$A$2000,0))</f>
        <v>1</v>
      </c>
      <c r="C313" s="3" t="s">
        <v>460</v>
      </c>
      <c r="D313" s="3" t="str">
        <f>VLOOKUP($C313,[1]stockregister!$B$2:$B$2000,1,0)</f>
        <v>FANTA BLACKCURRANT 500ML</v>
      </c>
      <c r="E313" s="3" t="str">
        <f>IF(ISNA($D313),VLOOKUP($A313,[2]stockregister!$A$2:$B$2000,2,FALSE),"")</f>
        <v/>
      </c>
      <c r="F313" s="3" t="s">
        <v>21</v>
      </c>
      <c r="G313" s="3">
        <f>_xlfn.IFNA(VLOOKUP($A313,[3]stockregister!$A$2:$L$2000,11,0),0)</f>
        <v>96</v>
      </c>
      <c r="H313" s="3">
        <f>_xlfn.IFNA(VLOOKUP($A313,[3]stockregister!$A$2:$L$2000,11,0),0)-$G313</f>
        <v>0</v>
      </c>
      <c r="I313" s="3">
        <f>_xlfn.IFNA(VLOOKUP($A313,[3]stockregister!$A$2:$L$2000,12,0),0)</f>
        <v>263.32</v>
      </c>
      <c r="J313" s="3">
        <f>_xlfn.IFNA(VLOOKUP($A313,[3]stockregister!$A$1:$M$2000,12,0),0)-$I313</f>
        <v>0</v>
      </c>
      <c r="K313" s="3" t="s">
        <v>22</v>
      </c>
      <c r="L313" s="3" t="s">
        <v>23</v>
      </c>
      <c r="M313" s="3">
        <f>_xlfn.IFNA(VLOOKUP($A313,[2]stockregister!$A$2:$H$2000,8,0),0)</f>
        <v>275</v>
      </c>
      <c r="N313" s="3">
        <f>_xlfn.IFNA(VLOOKUP($A313,[2]stockregister!$A$2:$H$2000,8,0),0)-$M313</f>
        <v>0</v>
      </c>
      <c r="O313" s="3" t="s">
        <v>859</v>
      </c>
      <c r="P313" s="3" t="s">
        <v>859</v>
      </c>
      <c r="Q313" s="3" t="s">
        <v>129</v>
      </c>
      <c r="R313" s="3" t="s">
        <v>216</v>
      </c>
      <c r="S313" s="3" t="s">
        <v>130</v>
      </c>
    </row>
    <row r="314" spans="1:19">
      <c r="A314" s="3">
        <v>2166</v>
      </c>
      <c r="B314" s="3" t="b">
        <f>ISNUMBER(MATCH(A314,[1]stockregister!$A$2:$A$2000,0))</f>
        <v>1</v>
      </c>
      <c r="C314" s="3" t="s">
        <v>463</v>
      </c>
      <c r="D314" s="3" t="str">
        <f>VLOOKUP($C314,[1]stockregister!$B$2:$B$2000,1,0)</f>
        <v>FANTA BLACKCURRANT 350ML</v>
      </c>
      <c r="E314" s="3" t="str">
        <f>IF(ISNA($D314),VLOOKUP($A314,[2]stockregister!$A$2:$B$2000,2,FALSE),"")</f>
        <v/>
      </c>
      <c r="F314" s="3" t="s">
        <v>21</v>
      </c>
      <c r="G314" s="3">
        <f>_xlfn.IFNA(VLOOKUP($A314,[3]stockregister!$A$2:$L$2000,11,0),0)</f>
        <v>72</v>
      </c>
      <c r="H314" s="3">
        <f>_xlfn.IFNA(VLOOKUP($A314,[3]stockregister!$A$2:$L$2000,11,0),0)-$G314</f>
        <v>0</v>
      </c>
      <c r="I314" s="3">
        <f>_xlfn.IFNA(VLOOKUP($A314,[3]stockregister!$A$2:$L$2000,12,0),0)</f>
        <v>203</v>
      </c>
      <c r="J314" s="3">
        <f>_xlfn.IFNA(VLOOKUP($A314,[3]stockregister!$A$1:$M$2000,12,0),0)-$I314</f>
        <v>0</v>
      </c>
      <c r="K314" s="3" t="s">
        <v>22</v>
      </c>
      <c r="L314" s="3" t="s">
        <v>23</v>
      </c>
      <c r="M314" s="3">
        <f>_xlfn.IFNA(VLOOKUP($A314,[2]stockregister!$A$2:$H$2000,8,0),0)</f>
        <v>220</v>
      </c>
      <c r="N314" s="3">
        <f>_xlfn.IFNA(VLOOKUP($A314,[2]stockregister!$A$2:$H$2000,8,0),0)-$M314</f>
        <v>0</v>
      </c>
      <c r="O314" s="3" t="s">
        <v>860</v>
      </c>
      <c r="P314" s="3" t="s">
        <v>860</v>
      </c>
      <c r="Q314" s="3" t="s">
        <v>811</v>
      </c>
      <c r="R314" s="3" t="s">
        <v>26</v>
      </c>
      <c r="S314" s="3" t="s">
        <v>130</v>
      </c>
    </row>
    <row r="315" spans="1:19">
      <c r="A315" s="3">
        <v>1220</v>
      </c>
      <c r="B315" s="3" t="b">
        <f>ISNUMBER(MATCH(A315,[1]stockregister!$A$2:$A$2000,0))</f>
        <v>1</v>
      </c>
      <c r="C315" s="3" t="s">
        <v>467</v>
      </c>
      <c r="D315" s="3" t="str">
        <f>VLOOKUP($C315,[1]stockregister!$B$2:$B$2000,1,0)</f>
        <v>HENNESSY MASTER BLENDER'S  500ml</v>
      </c>
      <c r="E315" s="3" t="str">
        <f>IF(ISNA($D315),VLOOKUP($A315,[2]stockregister!$A$2:$B$2000,2,FALSE),"")</f>
        <v/>
      </c>
      <c r="F315" s="3" t="s">
        <v>21</v>
      </c>
      <c r="G315" s="3">
        <f>_xlfn.IFNA(VLOOKUP($A315,[3]stockregister!$A$2:$L$2000,11,0),0)</f>
        <v>0</v>
      </c>
      <c r="H315" s="3">
        <f>_xlfn.IFNA(VLOOKUP($A315,[3]stockregister!$A$2:$L$2000,11,0),0)-$G315</f>
        <v>0</v>
      </c>
      <c r="I315" s="3">
        <f>_xlfn.IFNA(VLOOKUP($A315,[3]stockregister!$A$2:$L$2000,12,0),0)</f>
        <v>225.04</v>
      </c>
      <c r="J315" s="3">
        <f>_xlfn.IFNA(VLOOKUP($A315,[3]stockregister!$A$1:$M$2000,12,0),0)-$I315</f>
        <v>0</v>
      </c>
      <c r="K315" s="3" t="s">
        <v>22</v>
      </c>
      <c r="L315" s="3" t="s">
        <v>23</v>
      </c>
      <c r="M315" s="3">
        <f>_xlfn.IFNA(VLOOKUP($A315,[2]stockregister!$A$2:$H$2000,8,0),0)</f>
        <v>230</v>
      </c>
      <c r="N315" s="3">
        <f>_xlfn.IFNA(VLOOKUP($A315,[2]stockregister!$A$2:$H$2000,8,0),0)-$M315</f>
        <v>0</v>
      </c>
      <c r="O315" s="3" t="s">
        <v>861</v>
      </c>
      <c r="P315" s="3" t="s">
        <v>861</v>
      </c>
      <c r="Q315" s="3" t="s">
        <v>129</v>
      </c>
      <c r="R315" s="3" t="s">
        <v>26</v>
      </c>
      <c r="S315" s="3" t="s">
        <v>130</v>
      </c>
    </row>
    <row r="316" spans="1:18">
      <c r="A316" s="3">
        <v>996</v>
      </c>
      <c r="B316" s="3" t="b">
        <f>ISNUMBER(MATCH(A316,[1]stockregister!$A$2:$A$2000,0))</f>
        <v>1</v>
      </c>
      <c r="C316" s="3" t="s">
        <v>469</v>
      </c>
      <c r="D316" s="3" t="str">
        <f>VLOOKUP($C316,[1]stockregister!$B$2:$B$2000,1,0)</f>
        <v>MARTEL V.S  COGNAC 1LTR</v>
      </c>
      <c r="E316" s="3" t="str">
        <f>IF(ISNA($D316),VLOOKUP($A316,[2]stockregister!$A$2:$B$2000,2,FALSE),"")</f>
        <v/>
      </c>
      <c r="F316" s="3" t="s">
        <v>21</v>
      </c>
      <c r="G316" s="3">
        <f>_xlfn.IFNA(VLOOKUP($A316,[3]stockregister!$A$2:$L$2000,11,0),0)</f>
        <v>96</v>
      </c>
      <c r="H316" s="3">
        <f>_xlfn.IFNA(VLOOKUP($A316,[3]stockregister!$A$2:$L$2000,11,0),0)-$G316</f>
        <v>0</v>
      </c>
      <c r="I316" s="3">
        <f>_xlfn.IFNA(VLOOKUP($A316,[3]stockregister!$A$2:$L$2000,12,0),0)</f>
        <v>143</v>
      </c>
      <c r="J316" s="3">
        <f>_xlfn.IFNA(VLOOKUP($A316,[3]stockregister!$A$1:$M$2000,12,0),0)-$I316</f>
        <v>0</v>
      </c>
      <c r="K316" s="3" t="s">
        <v>22</v>
      </c>
      <c r="L316" s="3" t="s">
        <v>23</v>
      </c>
      <c r="M316" s="3">
        <f>_xlfn.IFNA(VLOOKUP($A316,[2]stockregister!$A$2:$H$2000,8,0),0)</f>
        <v>150</v>
      </c>
      <c r="N316" s="3">
        <f>_xlfn.IFNA(VLOOKUP($A316,[2]stockregister!$A$2:$H$2000,8,0),0)-$M316</f>
        <v>0</v>
      </c>
      <c r="O316" s="3" t="s">
        <v>862</v>
      </c>
      <c r="P316" s="3" t="s">
        <v>862</v>
      </c>
      <c r="Q316" s="3">
        <v>0</v>
      </c>
      <c r="R316" s="3" t="s">
        <v>146</v>
      </c>
    </row>
    <row r="317" spans="1:18">
      <c r="A317" s="3">
        <v>2327</v>
      </c>
      <c r="B317" s="3" t="b">
        <f>ISNUMBER(MATCH(A317,[1]stockregister!$A$2:$A$2000,0))</f>
        <v>1</v>
      </c>
      <c r="C317" s="3" t="s">
        <v>472</v>
      </c>
      <c r="D317" s="3" t="str">
        <f>VLOOKUP($C317,[1]stockregister!$B$2:$B$2000,1,0)</f>
        <v>FOUR COUSINS MARULA CREAM 500ML </v>
      </c>
      <c r="E317" s="3" t="str">
        <f>IF(ISNA($D317),VLOOKUP($A317,[2]stockregister!$A$2:$B$2000,2,FALSE),"")</f>
        <v/>
      </c>
      <c r="F317" s="3" t="s">
        <v>21</v>
      </c>
      <c r="G317" s="3">
        <f>_xlfn.IFNA(VLOOKUP($A317,[3]stockregister!$A$2:$L$2000,11,0),0)</f>
        <v>96</v>
      </c>
      <c r="H317" s="3">
        <f>_xlfn.IFNA(VLOOKUP($A317,[3]stockregister!$A$2:$L$2000,11,0),0)-$G317</f>
        <v>0</v>
      </c>
      <c r="I317" s="3">
        <f>_xlfn.IFNA(VLOOKUP($A317,[3]stockregister!$A$2:$L$2000,12,0),0)</f>
        <v>1200</v>
      </c>
      <c r="J317" s="3">
        <f>_xlfn.IFNA(VLOOKUP($A317,[3]stockregister!$A$1:$M$2000,12,0),0)-$I317</f>
        <v>0</v>
      </c>
      <c r="K317" s="3" t="s">
        <v>22</v>
      </c>
      <c r="L317" s="3" t="s">
        <v>23</v>
      </c>
      <c r="M317" s="3">
        <f>_xlfn.IFNA(VLOOKUP($A317,[2]stockregister!$A$2:$H$2000,8,0),0)</f>
        <v>1300</v>
      </c>
      <c r="N317" s="3">
        <f>_xlfn.IFNA(VLOOKUP($A317,[2]stockregister!$A$2:$H$2000,8,0),0)-$M317</f>
        <v>0</v>
      </c>
      <c r="O317" s="3" t="s">
        <v>863</v>
      </c>
      <c r="P317" s="3" t="s">
        <v>863</v>
      </c>
      <c r="Q317" s="3" t="s">
        <v>864</v>
      </c>
      <c r="R317" s="3" t="s">
        <v>318</v>
      </c>
    </row>
    <row r="318" spans="1:19">
      <c r="A318" s="3">
        <v>1716</v>
      </c>
      <c r="B318" s="3" t="b">
        <f>ISNUMBER(MATCH(A318,[1]stockregister!$A$2:$A$2000,0))</f>
        <v>1</v>
      </c>
      <c r="C318" s="3" t="s">
        <v>475</v>
      </c>
      <c r="D318" s="3" t="str">
        <f>VLOOKUP($C318,[1]stockregister!$B$2:$B$2000,1,0)</f>
        <v>WHITLEY NEILL LEMON GRASS  GIN 750ML </v>
      </c>
      <c r="E318" s="3" t="str">
        <f>IF(ISNA($D318),VLOOKUP($A318,[2]stockregister!$A$2:$B$2000,2,FALSE),"")</f>
        <v/>
      </c>
      <c r="F318" s="3" t="s">
        <v>21</v>
      </c>
      <c r="G318" s="3">
        <f>_xlfn.IFNA(VLOOKUP($A318,[3]stockregister!$A$2:$L$2000,11,0),0)</f>
        <v>58</v>
      </c>
      <c r="H318" s="3">
        <f>_xlfn.IFNA(VLOOKUP($A318,[3]stockregister!$A$2:$L$2000,11,0),0)-$G318</f>
        <v>0</v>
      </c>
      <c r="I318" s="3">
        <f>_xlfn.IFNA(VLOOKUP($A318,[3]stockregister!$A$2:$L$2000,12,0),0)</f>
        <v>1350</v>
      </c>
      <c r="J318" s="3">
        <f>_xlfn.IFNA(VLOOKUP($A318,[3]stockregister!$A$1:$M$2000,12,0),0)-$I318</f>
        <v>0</v>
      </c>
      <c r="K318" s="3" t="s">
        <v>22</v>
      </c>
      <c r="L318" s="3" t="s">
        <v>23</v>
      </c>
      <c r="M318" s="3">
        <f>_xlfn.IFNA(VLOOKUP($A318,[2]stockregister!$A$2:$H$2000,8,0),0)</f>
        <v>1500</v>
      </c>
      <c r="N318" s="3">
        <f>_xlfn.IFNA(VLOOKUP($A318,[2]stockregister!$A$2:$H$2000,8,0),0)-$M318</f>
        <v>0</v>
      </c>
      <c r="O318" s="3" t="s">
        <v>865</v>
      </c>
      <c r="P318" s="3" t="s">
        <v>865</v>
      </c>
      <c r="Q318" s="3" t="s">
        <v>866</v>
      </c>
      <c r="R318" s="3" t="s">
        <v>92</v>
      </c>
      <c r="S318" s="3" t="s">
        <v>867</v>
      </c>
    </row>
    <row r="319" spans="1:19">
      <c r="A319" s="3">
        <v>1603</v>
      </c>
      <c r="B319" s="3" t="b">
        <f>ISNUMBER(MATCH(A319,[1]stockregister!$A$2:$A$2000,0))</f>
        <v>1</v>
      </c>
      <c r="C319" s="3" t="s">
        <v>477</v>
      </c>
      <c r="D319" s="3" t="str">
        <f>VLOOKUP($C319,[1]stockregister!$B$2:$B$2000,1,0)</f>
        <v>GILBEYS BERRY BRAMBLE COCKTAIL 750ML</v>
      </c>
      <c r="E319" s="3" t="str">
        <f>IF(ISNA($D319),VLOOKUP($A319,[2]stockregister!$A$2:$B$2000,2,FALSE),"")</f>
        <v/>
      </c>
      <c r="F319" s="3" t="s">
        <v>21</v>
      </c>
      <c r="G319" s="3">
        <f>_xlfn.IFNA(VLOOKUP($A319,[3]stockregister!$A$2:$L$2000,11,0),0)</f>
        <v>96</v>
      </c>
      <c r="H319" s="3">
        <f>_xlfn.IFNA(VLOOKUP($A319,[3]stockregister!$A$2:$L$2000,11,0),0)-$G319</f>
        <v>0</v>
      </c>
      <c r="I319" s="3">
        <f>_xlfn.IFNA(VLOOKUP($A319,[3]stockregister!$A$2:$L$2000,12,0),0)</f>
        <v>736</v>
      </c>
      <c r="J319" s="3">
        <f>_xlfn.IFNA(VLOOKUP($A319,[3]stockregister!$A$1:$M$2000,12,0),0)-$I319</f>
        <v>0</v>
      </c>
      <c r="K319" s="3" t="s">
        <v>22</v>
      </c>
      <c r="L319" s="3" t="s">
        <v>23</v>
      </c>
      <c r="M319" s="3">
        <f>_xlfn.IFNA(VLOOKUP($A319,[2]stockregister!$A$2:$H$2000,8,0),0)</f>
        <v>800</v>
      </c>
      <c r="N319" s="3">
        <f>_xlfn.IFNA(VLOOKUP($A319,[2]stockregister!$A$2:$H$2000,8,0),0)-$M319</f>
        <v>0</v>
      </c>
      <c r="O319" s="3" t="s">
        <v>868</v>
      </c>
      <c r="P319" s="3" t="s">
        <v>868</v>
      </c>
      <c r="Q319" s="3" t="s">
        <v>869</v>
      </c>
      <c r="R319" s="3" t="s">
        <v>68</v>
      </c>
      <c r="S319" s="3" t="s">
        <v>870</v>
      </c>
    </row>
    <row r="320" spans="1:19">
      <c r="A320" s="3">
        <v>1244</v>
      </c>
      <c r="B320" s="3" t="b">
        <f>ISNUMBER(MATCH(A320,[1]stockregister!$A$2:$A$2000,0))</f>
        <v>1</v>
      </c>
      <c r="C320" s="3" t="s">
        <v>479</v>
      </c>
      <c r="D320" s="3" t="str">
        <f>VLOOKUP($C320,[1]stockregister!$B$2:$B$2000,1,0)</f>
        <v>WHITLEY NEILL RASPBERRY GIN 750ML </v>
      </c>
      <c r="E320" s="3" t="str">
        <f>IF(ISNA($D320),VLOOKUP($A320,[2]stockregister!$A$2:$B$2000,2,FALSE),"")</f>
        <v/>
      </c>
      <c r="F320" s="3" t="s">
        <v>21</v>
      </c>
      <c r="G320" s="3">
        <f>_xlfn.IFNA(VLOOKUP($A320,[3]stockregister!$A$2:$L$2000,11,0),0)</f>
        <v>96</v>
      </c>
      <c r="H320" s="3">
        <f>_xlfn.IFNA(VLOOKUP($A320,[3]stockregister!$A$2:$L$2000,11,0),0)-$G320</f>
        <v>0</v>
      </c>
      <c r="I320" s="3">
        <f>_xlfn.IFNA(VLOOKUP($A320,[3]stockregister!$A$2:$L$2000,12,0),0)</f>
        <v>1196</v>
      </c>
      <c r="J320" s="3">
        <f>_xlfn.IFNA(VLOOKUP($A320,[3]stockregister!$A$1:$M$2000,12,0),0)-$I320</f>
        <v>0</v>
      </c>
      <c r="K320" s="3" t="s">
        <v>22</v>
      </c>
      <c r="L320" s="3" t="s">
        <v>23</v>
      </c>
      <c r="M320" s="3">
        <f>_xlfn.IFNA(VLOOKUP($A320,[2]stockregister!$A$2:$H$2000,8,0),0)</f>
        <v>1200</v>
      </c>
      <c r="N320" s="3">
        <f>_xlfn.IFNA(VLOOKUP($A320,[2]stockregister!$A$2:$H$2000,8,0),0)-$M320</f>
        <v>0</v>
      </c>
      <c r="O320" s="3" t="s">
        <v>871</v>
      </c>
      <c r="P320" s="3" t="s">
        <v>871</v>
      </c>
      <c r="Q320" s="3" t="s">
        <v>872</v>
      </c>
      <c r="R320" s="3" t="s">
        <v>68</v>
      </c>
      <c r="S320" s="3" t="s">
        <v>369</v>
      </c>
    </row>
    <row r="321" spans="1:19">
      <c r="A321" s="3">
        <v>1682</v>
      </c>
      <c r="B321" s="3" t="b">
        <f>ISNUMBER(MATCH(A321,[1]stockregister!$A$2:$A$2000,0))</f>
        <v>1</v>
      </c>
      <c r="C321" s="3" t="s">
        <v>482</v>
      </c>
      <c r="D321" s="3" t="str">
        <f>VLOOKUP($C321,[1]stockregister!$B$2:$B$2000,1,0)</f>
        <v>GREENALL WILDBERRY  1LTR</v>
      </c>
      <c r="E321" s="3" t="str">
        <f>IF(ISNA($D321),VLOOKUP($A321,[2]stockregister!$A$2:$B$2000,2,FALSE),"")</f>
        <v/>
      </c>
      <c r="F321" s="3" t="s">
        <v>21</v>
      </c>
      <c r="G321" s="3">
        <f>_xlfn.IFNA(VLOOKUP($A321,[3]stockregister!$A$2:$L$2000,11,0),0)</f>
        <v>96</v>
      </c>
      <c r="H321" s="3">
        <f>_xlfn.IFNA(VLOOKUP($A321,[3]stockregister!$A$2:$L$2000,11,0),0)-$G321</f>
        <v>0</v>
      </c>
      <c r="I321" s="3">
        <f>_xlfn.IFNA(VLOOKUP($A321,[3]stockregister!$A$2:$L$2000,12,0),0)</f>
        <v>1104</v>
      </c>
      <c r="J321" s="3">
        <f>_xlfn.IFNA(VLOOKUP($A321,[3]stockregister!$A$1:$M$2000,12,0),0)-$I321</f>
        <v>0</v>
      </c>
      <c r="K321" s="3" t="s">
        <v>22</v>
      </c>
      <c r="L321" s="3" t="s">
        <v>23</v>
      </c>
      <c r="M321" s="3">
        <f>_xlfn.IFNA(VLOOKUP($A321,[2]stockregister!$A$2:$H$2000,8,0),0)</f>
        <v>1200</v>
      </c>
      <c r="N321" s="3">
        <f>_xlfn.IFNA(VLOOKUP($A321,[2]stockregister!$A$2:$H$2000,8,0),0)-$M321</f>
        <v>0</v>
      </c>
      <c r="O321" s="3" t="s">
        <v>873</v>
      </c>
      <c r="P321" s="3" t="s">
        <v>873</v>
      </c>
      <c r="Q321" s="3" t="s">
        <v>874</v>
      </c>
      <c r="R321" s="3" t="s">
        <v>68</v>
      </c>
      <c r="S321" s="3" t="s">
        <v>169</v>
      </c>
    </row>
    <row r="322" spans="1:19">
      <c r="A322" s="3">
        <v>1246</v>
      </c>
      <c r="B322" s="3" t="b">
        <f>ISNUMBER(MATCH(A322,[1]stockregister!$A$2:$A$2000,0))</f>
        <v>1</v>
      </c>
      <c r="C322" s="3" t="s">
        <v>486</v>
      </c>
      <c r="D322" s="3" t="str">
        <f>VLOOKUP($C322,[1]stockregister!$B$2:$B$2000,1,0)</f>
        <v>KO CLASSIC GIN 750ML </v>
      </c>
      <c r="E322" s="3" t="str">
        <f>IF(ISNA($D322),VLOOKUP($A322,[2]stockregister!$A$2:$B$2000,2,FALSE),"")</f>
        <v/>
      </c>
      <c r="F322" s="3" t="s">
        <v>21</v>
      </c>
      <c r="G322" s="3">
        <f>_xlfn.IFNA(VLOOKUP($A322,[3]stockregister!$A$2:$L$2000,11,0),0)</f>
        <v>96</v>
      </c>
      <c r="H322" s="3">
        <f>_xlfn.IFNA(VLOOKUP($A322,[3]stockregister!$A$2:$L$2000,11,0),0)-$G322</f>
        <v>0</v>
      </c>
      <c r="I322" s="3">
        <f>_xlfn.IFNA(VLOOKUP($A322,[3]stockregister!$A$2:$L$2000,12,0),0)</f>
        <v>1196</v>
      </c>
      <c r="J322" s="3">
        <f>_xlfn.IFNA(VLOOKUP($A322,[3]stockregister!$A$1:$M$2000,12,0),0)-$I322</f>
        <v>0</v>
      </c>
      <c r="K322" s="3" t="s">
        <v>22</v>
      </c>
      <c r="L322" s="3" t="s">
        <v>23</v>
      </c>
      <c r="M322" s="3">
        <f>_xlfn.IFNA(VLOOKUP($A322,[2]stockregister!$A$2:$H$2000,8,0),0)</f>
        <v>1200</v>
      </c>
      <c r="N322" s="3">
        <f>_xlfn.IFNA(VLOOKUP($A322,[2]stockregister!$A$2:$H$2000,8,0),0)-$M322</f>
        <v>0</v>
      </c>
      <c r="O322" s="3" t="s">
        <v>875</v>
      </c>
      <c r="P322" s="3" t="s">
        <v>875</v>
      </c>
      <c r="Q322" s="3" t="s">
        <v>872</v>
      </c>
      <c r="R322" s="3" t="s">
        <v>68</v>
      </c>
      <c r="S322" s="3" t="s">
        <v>876</v>
      </c>
    </row>
    <row r="323" spans="1:19">
      <c r="A323" s="3">
        <v>2913</v>
      </c>
      <c r="B323" s="3" t="b">
        <f>ISNUMBER(MATCH(A323,[1]stockregister!$A$2:$A$2000,0))</f>
        <v>1</v>
      </c>
      <c r="C323" s="3" t="s">
        <v>488</v>
      </c>
      <c r="D323" s="3" t="str">
        <f>VLOOKUP($C323,[1]stockregister!$B$2:$B$2000,1,0)</f>
        <v>IRISH  MIST 1LTR</v>
      </c>
      <c r="E323" s="3" t="str">
        <f>IF(ISNA($D323),VLOOKUP($A323,[2]stockregister!$A$2:$B$2000,2,FALSE),"")</f>
        <v/>
      </c>
      <c r="F323" s="3" t="s">
        <v>21</v>
      </c>
      <c r="G323" s="3">
        <f>_xlfn.IFNA(VLOOKUP($A323,[3]stockregister!$A$2:$L$2000,11,0),0)</f>
        <v>96</v>
      </c>
      <c r="H323" s="3">
        <f>_xlfn.IFNA(VLOOKUP($A323,[3]stockregister!$A$2:$L$2000,11,0),0)-$G323</f>
        <v>0</v>
      </c>
      <c r="I323" s="3">
        <f>_xlfn.IFNA(VLOOKUP($A323,[3]stockregister!$A$2:$L$2000,12,0),0)</f>
        <v>650</v>
      </c>
      <c r="J323" s="3">
        <f>_xlfn.IFNA(VLOOKUP($A323,[3]stockregister!$A$1:$M$2000,12,0),0)-$I323</f>
        <v>0</v>
      </c>
      <c r="K323" s="3" t="s">
        <v>22</v>
      </c>
      <c r="L323" s="3" t="s">
        <v>23</v>
      </c>
      <c r="M323" s="3">
        <f>_xlfn.IFNA(VLOOKUP($A323,[2]stockregister!$A$2:$H$2000,8,0),0)</f>
        <v>750</v>
      </c>
      <c r="N323" s="3">
        <f>_xlfn.IFNA(VLOOKUP($A323,[2]stockregister!$A$2:$H$2000,8,0),0)-$M323</f>
        <v>0</v>
      </c>
      <c r="O323" s="3" t="s">
        <v>877</v>
      </c>
      <c r="P323" s="3" t="s">
        <v>877</v>
      </c>
      <c r="Q323" s="3" t="s">
        <v>878</v>
      </c>
      <c r="R323" s="3" t="s">
        <v>537</v>
      </c>
      <c r="S323" s="3" t="s">
        <v>196</v>
      </c>
    </row>
    <row r="324" spans="1:18">
      <c r="A324" s="3">
        <v>1199</v>
      </c>
      <c r="B324" s="3" t="b">
        <f>ISNUMBER(MATCH(A324,[1]stockregister!$A$2:$A$2000,0))</f>
        <v>1</v>
      </c>
      <c r="C324" s="3" t="s">
        <v>490</v>
      </c>
      <c r="D324" s="3" t="str">
        <f>VLOOKUP($C324,[1]stockregister!$B$2:$B$2000,1,0)</f>
        <v>WHITLEY NEILL ORIGINAL  GIN 1LTR</v>
      </c>
      <c r="E324" s="3" t="str">
        <f>IF(ISNA($D324),VLOOKUP($A324,[2]stockregister!$A$2:$B$2000,2,FALSE),"")</f>
        <v/>
      </c>
      <c r="F324" s="3" t="s">
        <v>21</v>
      </c>
      <c r="G324" s="3">
        <f>_xlfn.IFNA(VLOOKUP($A324,[3]stockregister!$A$2:$L$2000,11,0),0)</f>
        <v>45</v>
      </c>
      <c r="H324" s="3">
        <f>_xlfn.IFNA(VLOOKUP($A324,[3]stockregister!$A$2:$L$2000,11,0),0)-$G324</f>
        <v>0</v>
      </c>
      <c r="I324" s="3">
        <f>_xlfn.IFNA(VLOOKUP($A324,[3]stockregister!$A$2:$L$2000,12,0),0)</f>
        <v>626</v>
      </c>
      <c r="J324" s="3">
        <f>_xlfn.IFNA(VLOOKUP($A324,[3]stockregister!$A$1:$M$2000,12,0),0)-$I324</f>
        <v>0</v>
      </c>
      <c r="K324" s="3" t="s">
        <v>22</v>
      </c>
      <c r="L324" s="3" t="s">
        <v>23</v>
      </c>
      <c r="M324" s="3">
        <f>_xlfn.IFNA(VLOOKUP($A324,[2]stockregister!$A$2:$H$2000,8,0),0)</f>
        <v>626</v>
      </c>
      <c r="N324" s="3">
        <f>_xlfn.IFNA(VLOOKUP($A324,[2]stockregister!$A$2:$H$2000,8,0),0)-$M324</f>
        <v>0</v>
      </c>
      <c r="O324" s="3" t="s">
        <v>879</v>
      </c>
      <c r="P324" s="3" t="s">
        <v>879</v>
      </c>
      <c r="Q324" s="3" t="s">
        <v>317</v>
      </c>
      <c r="R324" s="3" t="s">
        <v>318</v>
      </c>
    </row>
    <row r="325" spans="1:19">
      <c r="A325" s="3">
        <v>482</v>
      </c>
      <c r="B325" s="3" t="b">
        <f>ISNUMBER(MATCH(A325,[1]stockregister!$A$2:$A$2000,0))</f>
        <v>1</v>
      </c>
      <c r="C325" s="3" t="s">
        <v>492</v>
      </c>
      <c r="D325" s="3" t="str">
        <f>VLOOKUP($C325,[1]stockregister!$B$2:$B$2000,1,0)</f>
        <v>WHITLEY NEILL ORIGINAL  GIN 750ML </v>
      </c>
      <c r="E325" s="3" t="str">
        <f>IF(ISNA($D325),VLOOKUP($A325,[2]stockregister!$A$2:$B$2000,2,FALSE),"")</f>
        <v/>
      </c>
      <c r="F325" s="3" t="s">
        <v>21</v>
      </c>
      <c r="G325" s="3">
        <f>_xlfn.IFNA(VLOOKUP($A325,[3]stockregister!$A$2:$L$2000,11,0),0)</f>
        <v>92</v>
      </c>
      <c r="H325" s="3">
        <f>_xlfn.IFNA(VLOOKUP($A325,[3]stockregister!$A$2:$L$2000,11,0),0)-$G325</f>
        <v>0</v>
      </c>
      <c r="I325" s="3">
        <f>_xlfn.IFNA(VLOOKUP($A325,[3]stockregister!$A$2:$L$2000,12,0),0)</f>
        <v>2990</v>
      </c>
      <c r="J325" s="3">
        <f>_xlfn.IFNA(VLOOKUP($A325,[3]stockregister!$A$1:$M$2000,12,0),0)-$I325</f>
        <v>0</v>
      </c>
      <c r="K325" s="3" t="s">
        <v>22</v>
      </c>
      <c r="L325" s="3" t="s">
        <v>23</v>
      </c>
      <c r="M325" s="3">
        <f>_xlfn.IFNA(VLOOKUP($A325,[2]stockregister!$A$2:$H$2000,8,0),0)</f>
        <v>4800</v>
      </c>
      <c r="N325" s="3">
        <f>_xlfn.IFNA(VLOOKUP($A325,[2]stockregister!$A$2:$H$2000,8,0),0)-$M325</f>
        <v>0</v>
      </c>
      <c r="O325" s="3" t="s">
        <v>880</v>
      </c>
      <c r="P325" s="3" t="s">
        <v>880</v>
      </c>
      <c r="Q325" s="3" t="s">
        <v>588</v>
      </c>
      <c r="R325" s="3" t="s">
        <v>318</v>
      </c>
      <c r="S325" s="3" t="s">
        <v>647</v>
      </c>
    </row>
    <row r="326" spans="1:19">
      <c r="A326" s="3">
        <v>2943</v>
      </c>
      <c r="B326" s="3" t="b">
        <f>ISNUMBER(MATCH(A326,[1]stockregister!$A$2:$A$2000,0))</f>
        <v>1</v>
      </c>
      <c r="C326" s="3" t="s">
        <v>495</v>
      </c>
      <c r="D326" s="3" t="str">
        <f>VLOOKUP($C326,[1]stockregister!$B$2:$B$2000,1,0)</f>
        <v>GINBERYS LONDON DRY GIN  700ML</v>
      </c>
      <c r="E326" s="3" t="str">
        <f>IF(ISNA($D326),VLOOKUP($A326,[2]stockregister!$A$2:$B$2000,2,FALSE),"")</f>
        <v/>
      </c>
      <c r="F326" s="3" t="s">
        <v>21</v>
      </c>
      <c r="G326" s="3">
        <f>_xlfn.IFNA(VLOOKUP($A326,[3]stockregister!$A$2:$L$2000,11,0),0)</f>
        <v>77</v>
      </c>
      <c r="H326" s="3">
        <f>_xlfn.IFNA(VLOOKUP($A326,[3]stockregister!$A$2:$L$2000,11,0),0)-$G326</f>
        <v>0</v>
      </c>
      <c r="I326" s="3">
        <f>_xlfn.IFNA(VLOOKUP($A326,[3]stockregister!$A$2:$L$2000,12,0),0)</f>
        <v>1200</v>
      </c>
      <c r="J326" s="3">
        <f>_xlfn.IFNA(VLOOKUP($A326,[3]stockregister!$A$1:$M$2000,12,0),0)-$I326</f>
        <v>0</v>
      </c>
      <c r="K326" s="3" t="s">
        <v>22</v>
      </c>
      <c r="L326" s="3" t="s">
        <v>23</v>
      </c>
      <c r="M326" s="3">
        <f>_xlfn.IFNA(VLOOKUP($A326,[2]stockregister!$A$2:$H$2000,8,0),0)</f>
        <v>1500</v>
      </c>
      <c r="N326" s="3">
        <f>_xlfn.IFNA(VLOOKUP($A326,[2]stockregister!$A$2:$H$2000,8,0),0)-$M326</f>
        <v>0</v>
      </c>
      <c r="O326" s="3" t="s">
        <v>881</v>
      </c>
      <c r="P326" s="3" t="s">
        <v>881</v>
      </c>
      <c r="Q326" s="3" t="s">
        <v>882</v>
      </c>
      <c r="R326" s="3" t="s">
        <v>39</v>
      </c>
      <c r="S326" s="3" t="s">
        <v>613</v>
      </c>
    </row>
    <row r="327" spans="1:19">
      <c r="A327" s="3">
        <v>2843</v>
      </c>
      <c r="B327" s="3" t="b">
        <f>ISNUMBER(MATCH(A327,[1]stockregister!$A$2:$A$2000,0))</f>
        <v>1</v>
      </c>
      <c r="C327" s="3" t="s">
        <v>498</v>
      </c>
      <c r="D327" s="3" t="str">
        <f>VLOOKUP($C327,[1]stockregister!$B$2:$B$2000,1,0)</f>
        <v>TANG SOUR  - APPLE 750ML</v>
      </c>
      <c r="E327" s="3" t="str">
        <f>IF(ISNA($D327),VLOOKUP($A327,[2]stockregister!$A$2:$B$2000,2,FALSE),"")</f>
        <v/>
      </c>
      <c r="F327" s="3" t="s">
        <v>21</v>
      </c>
      <c r="G327" s="3">
        <f>_xlfn.IFNA(VLOOKUP($A327,[3]stockregister!$A$2:$L$2000,11,0),0)</f>
        <v>90</v>
      </c>
      <c r="H327" s="3">
        <f>_xlfn.IFNA(VLOOKUP($A327,[3]stockregister!$A$2:$L$2000,11,0),0)-$G327</f>
        <v>0</v>
      </c>
      <c r="I327" s="3">
        <f>_xlfn.IFNA(VLOOKUP($A327,[3]stockregister!$A$2:$L$2000,12,0),0)</f>
        <v>1650</v>
      </c>
      <c r="J327" s="3">
        <f>_xlfn.IFNA(VLOOKUP($A327,[3]stockregister!$A$1:$M$2000,12,0),0)-$I327</f>
        <v>0</v>
      </c>
      <c r="K327" s="3" t="s">
        <v>22</v>
      </c>
      <c r="L327" s="3" t="s">
        <v>23</v>
      </c>
      <c r="M327" s="3">
        <f>_xlfn.IFNA(VLOOKUP($A327,[2]stockregister!$A$2:$H$2000,8,0),0)</f>
        <v>1800</v>
      </c>
      <c r="N327" s="3">
        <f>_xlfn.IFNA(VLOOKUP($A327,[2]stockregister!$A$2:$H$2000,8,0),0)-$M327</f>
        <v>0</v>
      </c>
      <c r="O327" s="3" t="s">
        <v>883</v>
      </c>
      <c r="P327" s="3" t="s">
        <v>883</v>
      </c>
      <c r="Q327" s="3" t="s">
        <v>884</v>
      </c>
      <c r="R327" s="3" t="s">
        <v>577</v>
      </c>
      <c r="S327" s="3" t="s">
        <v>885</v>
      </c>
    </row>
    <row r="328" spans="1:19">
      <c r="A328" s="3">
        <v>1591</v>
      </c>
      <c r="B328" s="3" t="b">
        <f>ISNUMBER(MATCH(A328,[1]stockregister!$A$2:$A$2000,0))</f>
        <v>1</v>
      </c>
      <c r="C328" s="3" t="s">
        <v>501</v>
      </c>
      <c r="D328" s="3" t="str">
        <f>VLOOKUP($C328,[1]stockregister!$B$2:$B$2000,1,0)</f>
        <v>JAGERMEISTER 1.75L</v>
      </c>
      <c r="E328" s="3" t="str">
        <f>IF(ISNA($D328),VLOOKUP($A328,[2]stockregister!$A$2:$B$2000,2,FALSE),"")</f>
        <v/>
      </c>
      <c r="F328" s="3" t="s">
        <v>21</v>
      </c>
      <c r="G328" s="3">
        <f>_xlfn.IFNA(VLOOKUP($A328,[3]stockregister!$A$2:$L$2000,11,0),0)</f>
        <v>18</v>
      </c>
      <c r="H328" s="3">
        <f>_xlfn.IFNA(VLOOKUP($A328,[3]stockregister!$A$2:$L$2000,11,0),0)-$G328</f>
        <v>0</v>
      </c>
      <c r="I328" s="3">
        <f>_xlfn.IFNA(VLOOKUP($A328,[3]stockregister!$A$2:$L$2000,12,0),0)</f>
        <v>6900</v>
      </c>
      <c r="J328" s="3">
        <f>_xlfn.IFNA(VLOOKUP($A328,[3]stockregister!$A$1:$M$2000,12,0),0)-$I328</f>
        <v>0</v>
      </c>
      <c r="K328" s="3" t="s">
        <v>22</v>
      </c>
      <c r="L328" s="3" t="s">
        <v>23</v>
      </c>
      <c r="M328" s="3">
        <f>_xlfn.IFNA(VLOOKUP($A328,[2]stockregister!$A$2:$H$2000,8,0),0)</f>
        <v>7500</v>
      </c>
      <c r="N328" s="3">
        <f>_xlfn.IFNA(VLOOKUP($A328,[2]stockregister!$A$2:$H$2000,8,0),0)-$M328</f>
        <v>0</v>
      </c>
      <c r="O328" s="3" t="s">
        <v>886</v>
      </c>
      <c r="P328" s="3" t="s">
        <v>886</v>
      </c>
      <c r="Q328" s="3" t="s">
        <v>849</v>
      </c>
      <c r="R328" s="3" t="s">
        <v>73</v>
      </c>
      <c r="S328" s="3" t="s">
        <v>260</v>
      </c>
    </row>
    <row r="329" spans="1:19">
      <c r="A329" s="3">
        <v>1924</v>
      </c>
      <c r="B329" s="3" t="b">
        <f>ISNUMBER(MATCH(A329,[1]stockregister!$A$2:$A$2000,0))</f>
        <v>1</v>
      </c>
      <c r="C329" s="3" t="s">
        <v>503</v>
      </c>
      <c r="D329" s="3" t="str">
        <f>VLOOKUP($C329,[1]stockregister!$B$2:$B$2000,1,0)</f>
        <v>JAGERMEISTER WITH CORK  750ML </v>
      </c>
      <c r="E329" s="3" t="str">
        <f>IF(ISNA($D329),VLOOKUP($A329,[2]stockregister!$A$2:$B$2000,2,FALSE),"")</f>
        <v/>
      </c>
      <c r="F329" s="3" t="s">
        <v>21</v>
      </c>
      <c r="G329" s="3">
        <f>_xlfn.IFNA(VLOOKUP($A329,[3]stockregister!$A$2:$L$2000,11,0),0)</f>
        <v>90</v>
      </c>
      <c r="H329" s="3">
        <f>_xlfn.IFNA(VLOOKUP($A329,[3]stockregister!$A$2:$L$2000,11,0),0)-$G329</f>
        <v>0</v>
      </c>
      <c r="I329" s="3">
        <f>_xlfn.IFNA(VLOOKUP($A329,[3]stockregister!$A$2:$L$2000,12,0),0)</f>
        <v>1104</v>
      </c>
      <c r="J329" s="3">
        <f>_xlfn.IFNA(VLOOKUP($A329,[3]stockregister!$A$1:$M$2000,12,0),0)-$I329</f>
        <v>0</v>
      </c>
      <c r="K329" s="3" t="s">
        <v>22</v>
      </c>
      <c r="L329" s="3" t="s">
        <v>23</v>
      </c>
      <c r="M329" s="3">
        <f>_xlfn.IFNA(VLOOKUP($A329,[2]stockregister!$A$2:$H$2000,8,0),0)</f>
        <v>1200</v>
      </c>
      <c r="N329" s="3">
        <f>_xlfn.IFNA(VLOOKUP($A329,[2]stockregister!$A$2:$H$2000,8,0),0)-$M329</f>
        <v>0</v>
      </c>
      <c r="O329" s="3" t="s">
        <v>887</v>
      </c>
      <c r="P329" s="3" t="s">
        <v>887</v>
      </c>
      <c r="Q329" s="3" t="s">
        <v>888</v>
      </c>
      <c r="R329" s="3" t="s">
        <v>68</v>
      </c>
      <c r="S329" s="3" t="s">
        <v>889</v>
      </c>
    </row>
    <row r="330" spans="1:19">
      <c r="A330" s="3">
        <v>2234</v>
      </c>
      <c r="B330" s="3" t="b">
        <f>ISNUMBER(MATCH(A330,[1]stockregister!$A$2:$A$2000,0))</f>
        <v>1</v>
      </c>
      <c r="C330" s="3" t="s">
        <v>508</v>
      </c>
      <c r="D330" s="3" t="str">
        <f>VLOOKUP($C330,[1]stockregister!$B$2:$B$2000,1,0)</f>
        <v>CAPTAIN MORGAN DARK 750ML</v>
      </c>
      <c r="E330" s="3" t="str">
        <f>IF(ISNA($D330),VLOOKUP($A330,[2]stockregister!$A$2:$B$2000,2,FALSE),"")</f>
        <v/>
      </c>
      <c r="F330" s="3" t="s">
        <v>21</v>
      </c>
      <c r="G330" s="3">
        <f>_xlfn.IFNA(VLOOKUP($A330,[3]stockregister!$A$2:$L$2000,11,0),0)</f>
        <v>90</v>
      </c>
      <c r="H330" s="3">
        <f>_xlfn.IFNA(VLOOKUP($A330,[3]stockregister!$A$2:$L$2000,11,0),0)-$G330</f>
        <v>0</v>
      </c>
      <c r="I330" s="3">
        <f>_xlfn.IFNA(VLOOKUP($A330,[3]stockregister!$A$2:$L$2000,12,0),0)</f>
        <v>1200</v>
      </c>
      <c r="J330" s="3">
        <f>_xlfn.IFNA(VLOOKUP($A330,[3]stockregister!$A$1:$M$2000,12,0),0)-$I330</f>
        <v>0</v>
      </c>
      <c r="K330" s="3" t="s">
        <v>22</v>
      </c>
      <c r="L330" s="3" t="s">
        <v>23</v>
      </c>
      <c r="M330" s="3">
        <f>_xlfn.IFNA(VLOOKUP($A330,[2]stockregister!$A$2:$H$2000,8,0),0)</f>
        <v>1300</v>
      </c>
      <c r="N330" s="3">
        <f>_xlfn.IFNA(VLOOKUP($A330,[2]stockregister!$A$2:$H$2000,8,0),0)-$M330</f>
        <v>0</v>
      </c>
      <c r="O330" s="3" t="s">
        <v>890</v>
      </c>
      <c r="P330" s="3" t="s">
        <v>890</v>
      </c>
      <c r="Q330" s="3" t="s">
        <v>891</v>
      </c>
      <c r="R330" s="3" t="s">
        <v>68</v>
      </c>
      <c r="S330" s="3" t="s">
        <v>892</v>
      </c>
    </row>
    <row r="331" spans="1:18">
      <c r="A331" s="3">
        <v>2714</v>
      </c>
      <c r="B331" s="3" t="b">
        <f>ISNUMBER(MATCH(A331,[1]stockregister!$A$2:$A$2000,0))</f>
        <v>1</v>
      </c>
      <c r="C331" s="3" t="s">
        <v>511</v>
      </c>
      <c r="D331" s="3" t="str">
        <f>VLOOKUP($C331,[1]stockregister!$B$2:$B$2000,1,0)</f>
        <v>CAPTAIN MORGAN SPICED GOLD 750ML</v>
      </c>
      <c r="E331" s="3" t="str">
        <f>IF(ISNA($D331),VLOOKUP($A331,[2]stockregister!$A$2:$B$2000,2,FALSE),"")</f>
        <v/>
      </c>
      <c r="F331" s="3" t="s">
        <v>21</v>
      </c>
      <c r="G331" s="3">
        <f>_xlfn.IFNA(VLOOKUP($A331,[3]stockregister!$A$2:$L$2000,11,0),0)</f>
        <v>206</v>
      </c>
      <c r="H331" s="3">
        <f>_xlfn.IFNA(VLOOKUP($A331,[3]stockregister!$A$2:$L$2000,11,0),0)-$G331</f>
        <v>0</v>
      </c>
      <c r="I331" s="3">
        <f>_xlfn.IFNA(VLOOKUP($A331,[3]stockregister!$A$2:$L$2000,12,0),0)</f>
        <v>695.9</v>
      </c>
      <c r="J331" s="3">
        <f>_xlfn.IFNA(VLOOKUP($A331,[3]stockregister!$A$1:$M$2000,12,0),0)-$I331</f>
        <v>0</v>
      </c>
      <c r="K331" s="3" t="s">
        <v>22</v>
      </c>
      <c r="L331" s="3" t="s">
        <v>23</v>
      </c>
      <c r="M331" s="3">
        <f>_xlfn.IFNA(VLOOKUP($A331,[2]stockregister!$A$2:$H$2000,8,0),0)</f>
        <v>700</v>
      </c>
      <c r="N331" s="3">
        <f>_xlfn.IFNA(VLOOKUP($A331,[2]stockregister!$A$2:$H$2000,8,0),0)-$M331</f>
        <v>0</v>
      </c>
      <c r="O331" s="3" t="s">
        <v>893</v>
      </c>
      <c r="P331" s="3" t="s">
        <v>893</v>
      </c>
      <c r="Q331" s="3" t="s">
        <v>583</v>
      </c>
      <c r="R331" s="3" t="s">
        <v>78</v>
      </c>
    </row>
    <row r="332" spans="1:20">
      <c r="A332" s="3">
        <v>464</v>
      </c>
      <c r="B332" s="3" t="b">
        <f>ISNUMBER(MATCH(A332,[1]stockregister!$A$2:$A$2000,0))</f>
        <v>1</v>
      </c>
      <c r="C332" s="3" t="s">
        <v>514</v>
      </c>
      <c r="D332" s="3" t="str">
        <f>VLOOKUP($C332,[1]stockregister!$B$2:$B$2000,1,0)</f>
        <v>BACARDI LIMON 1 LITRE</v>
      </c>
      <c r="E332" s="3" t="str">
        <f>IF(ISNA($D332),VLOOKUP($A332,[2]stockregister!$A$2:$B$2000,2,FALSE),"")</f>
        <v/>
      </c>
      <c r="F332" s="3" t="s">
        <v>21</v>
      </c>
      <c r="G332" s="3">
        <f>_xlfn.IFNA(VLOOKUP($A332,[3]stockregister!$A$2:$L$2000,11,0),0)</f>
        <v>86</v>
      </c>
      <c r="H332" s="3">
        <f>_xlfn.IFNA(VLOOKUP($A332,[3]stockregister!$A$2:$L$2000,11,0),0)-$G332</f>
        <v>0</v>
      </c>
      <c r="I332" s="3">
        <f>_xlfn.IFNA(VLOOKUP($A332,[3]stockregister!$A$2:$L$2000,12,0),0)</f>
        <v>7825</v>
      </c>
      <c r="J332" s="3">
        <f>_xlfn.IFNA(VLOOKUP($A332,[3]stockregister!$A$1:$M$2000,12,0),0)-$I332</f>
        <v>0</v>
      </c>
      <c r="K332" s="3" t="s">
        <v>22</v>
      </c>
      <c r="L332" s="3" t="s">
        <v>23</v>
      </c>
      <c r="M332" s="3">
        <f>_xlfn.IFNA(VLOOKUP($A332,[2]stockregister!$A$2:$H$2000,8,0),0)</f>
        <v>9000</v>
      </c>
      <c r="N332" s="3">
        <f>_xlfn.IFNA(VLOOKUP($A332,[2]stockregister!$A$2:$H$2000,8,0),0)-$M332</f>
        <v>0</v>
      </c>
      <c r="O332" s="3" t="s">
        <v>894</v>
      </c>
      <c r="P332" s="3" t="s">
        <v>894</v>
      </c>
      <c r="Q332" s="3" t="s">
        <v>895</v>
      </c>
      <c r="R332" s="3" t="s">
        <v>92</v>
      </c>
      <c r="S332" s="3" t="s">
        <v>134</v>
      </c>
      <c r="T332" s="3">
        <v>18</v>
      </c>
    </row>
    <row r="333" spans="1:19">
      <c r="A333" s="3">
        <v>234</v>
      </c>
      <c r="B333" s="3" t="b">
        <f>ISNUMBER(MATCH(A333,[1]stockregister!$A$2:$A$2000,0))</f>
        <v>1</v>
      </c>
      <c r="C333" s="3" t="s">
        <v>516</v>
      </c>
      <c r="D333" s="3" t="str">
        <f>VLOOKUP($C333,[1]stockregister!$B$2:$B$2000,1,0)</f>
        <v>BACARDI CARTA BLANCA 700 ML</v>
      </c>
      <c r="E333" s="3" t="str">
        <f>IF(ISNA($D333),VLOOKUP($A333,[2]stockregister!$A$2:$B$2000,2,FALSE),"")</f>
        <v/>
      </c>
      <c r="F333" s="3" t="s">
        <v>21</v>
      </c>
      <c r="G333" s="3">
        <f>_xlfn.IFNA(VLOOKUP($A333,[3]stockregister!$A$2:$L$2000,11,0),0)</f>
        <v>80</v>
      </c>
      <c r="H333" s="3">
        <f>_xlfn.IFNA(VLOOKUP($A333,[3]stockregister!$A$2:$L$2000,11,0),0)-$G333</f>
        <v>0</v>
      </c>
      <c r="I333" s="3">
        <f>_xlfn.IFNA(VLOOKUP($A333,[3]stockregister!$A$2:$L$2000,12,0),0)</f>
        <v>828</v>
      </c>
      <c r="J333" s="3">
        <f>_xlfn.IFNA(VLOOKUP($A333,[3]stockregister!$A$1:$M$2000,12,0),0)-$I333</f>
        <v>0</v>
      </c>
      <c r="K333" s="3" t="s">
        <v>22</v>
      </c>
      <c r="L333" s="3" t="s">
        <v>23</v>
      </c>
      <c r="M333" s="3">
        <f>_xlfn.IFNA(VLOOKUP($A333,[2]stockregister!$A$2:$H$2000,8,0),0)</f>
        <v>950</v>
      </c>
      <c r="N333" s="3">
        <f>_xlfn.IFNA(VLOOKUP($A333,[2]stockregister!$A$2:$H$2000,8,0),0)-$M333</f>
        <v>0</v>
      </c>
      <c r="O333" s="3" t="s">
        <v>896</v>
      </c>
      <c r="P333" s="3" t="s">
        <v>896</v>
      </c>
      <c r="Q333" s="3" t="s">
        <v>897</v>
      </c>
      <c r="R333" s="3" t="s">
        <v>68</v>
      </c>
      <c r="S333" s="3" t="s">
        <v>196</v>
      </c>
    </row>
    <row r="334" spans="1:19">
      <c r="A334" s="3">
        <v>93</v>
      </c>
      <c r="B334" s="3" t="b">
        <f>ISNUMBER(MATCH(A334,[1]stockregister!$A$2:$A$2000,0))</f>
        <v>1</v>
      </c>
      <c r="C334" s="3" t="s">
        <v>520</v>
      </c>
      <c r="D334" s="3" t="str">
        <f>VLOOKUP($C334,[1]stockregister!$B$2:$B$2000,1,0)</f>
        <v>OLMECA ANEJO 750ML </v>
      </c>
      <c r="E334" s="3" t="str">
        <f>IF(ISNA($D334),VLOOKUP($A334,[2]stockregister!$A$2:$B$2000,2,FALSE),"")</f>
        <v/>
      </c>
      <c r="F334" s="3" t="s">
        <v>21</v>
      </c>
      <c r="G334" s="3">
        <f>_xlfn.IFNA(VLOOKUP($A334,[3]stockregister!$A$2:$L$2000,11,0),0)</f>
        <v>85</v>
      </c>
      <c r="H334" s="3">
        <f>_xlfn.IFNA(VLOOKUP($A334,[3]stockregister!$A$2:$L$2000,11,0),0)-$G334</f>
        <v>0</v>
      </c>
      <c r="I334" s="3">
        <f>_xlfn.IFNA(VLOOKUP($A334,[3]stockregister!$A$2:$L$2000,12,0),0)</f>
        <v>1564</v>
      </c>
      <c r="J334" s="3">
        <f>_xlfn.IFNA(VLOOKUP($A334,[3]stockregister!$A$1:$M$2000,12,0),0)-$I334</f>
        <v>0</v>
      </c>
      <c r="K334" s="3" t="s">
        <v>22</v>
      </c>
      <c r="L334" s="3" t="s">
        <v>23</v>
      </c>
      <c r="M334" s="3">
        <f>_xlfn.IFNA(VLOOKUP($A334,[2]stockregister!$A$2:$H$2000,8,0),0)</f>
        <v>1700</v>
      </c>
      <c r="N334" s="3">
        <f>_xlfn.IFNA(VLOOKUP($A334,[2]stockregister!$A$2:$H$2000,8,0),0)-$M334</f>
        <v>0</v>
      </c>
      <c r="O334" s="3" t="s">
        <v>898</v>
      </c>
      <c r="P334" s="3" t="s">
        <v>898</v>
      </c>
      <c r="Q334" s="3" t="s">
        <v>899</v>
      </c>
      <c r="R334" s="3" t="s">
        <v>577</v>
      </c>
      <c r="S334" s="3" t="s">
        <v>900</v>
      </c>
    </row>
    <row r="335" spans="1:19">
      <c r="A335" s="3">
        <v>2942</v>
      </c>
      <c r="B335" s="3" t="b">
        <f>ISNUMBER(MATCH(A335,[1]stockregister!$A$2:$A$2000,0))</f>
        <v>1</v>
      </c>
      <c r="C335" s="3" t="s">
        <v>523</v>
      </c>
      <c r="D335" s="3" t="str">
        <f>VLOOKUP($C335,[1]stockregister!$B$2:$B$2000,1,0)</f>
        <v>CLASE AZUL ANEJO 700ML </v>
      </c>
      <c r="E335" s="3" t="str">
        <f>IF(ISNA($D335),VLOOKUP($A335,[2]stockregister!$A$2:$B$2000,2,FALSE),"")</f>
        <v/>
      </c>
      <c r="F335" s="3" t="s">
        <v>21</v>
      </c>
      <c r="G335" s="3">
        <f>_xlfn.IFNA(VLOOKUP($A335,[3]stockregister!$A$2:$L$2000,11,0),0)</f>
        <v>12</v>
      </c>
      <c r="H335" s="3">
        <f>_xlfn.IFNA(VLOOKUP($A335,[3]stockregister!$A$2:$L$2000,11,0),0)-$G335</f>
        <v>0</v>
      </c>
      <c r="I335" s="3">
        <f>_xlfn.IFNA(VLOOKUP($A335,[3]stockregister!$A$2:$L$2000,12,0),0)</f>
        <v>1100</v>
      </c>
      <c r="J335" s="3">
        <f>_xlfn.IFNA(VLOOKUP($A335,[3]stockregister!$A$1:$M$2000,12,0),0)-$I335</f>
        <v>0</v>
      </c>
      <c r="K335" s="3" t="s">
        <v>22</v>
      </c>
      <c r="L335" s="3" t="s">
        <v>23</v>
      </c>
      <c r="M335" s="3">
        <f>_xlfn.IFNA(VLOOKUP($A335,[2]stockregister!$A$2:$H$2000,8,0),0)</f>
        <v>1300</v>
      </c>
      <c r="N335" s="3">
        <f>_xlfn.IFNA(VLOOKUP($A335,[2]stockregister!$A$2:$H$2000,8,0),0)-$M335</f>
        <v>0</v>
      </c>
      <c r="O335" s="3" t="s">
        <v>901</v>
      </c>
      <c r="P335" s="3" t="s">
        <v>901</v>
      </c>
      <c r="Q335" s="3" t="s">
        <v>612</v>
      </c>
      <c r="R335" s="3" t="s">
        <v>39</v>
      </c>
      <c r="S335" s="3" t="s">
        <v>613</v>
      </c>
    </row>
    <row r="336" spans="1:19">
      <c r="A336" s="3">
        <v>580</v>
      </c>
      <c r="B336" s="3" t="b">
        <f>ISNUMBER(MATCH(A336,[1]stockregister!$A$2:$A$2000,0))</f>
        <v>1</v>
      </c>
      <c r="C336" s="3" t="s">
        <v>525</v>
      </c>
      <c r="D336" s="3" t="str">
        <f>VLOOKUP($C336,[1]stockregister!$B$2:$B$2000,1,0)</f>
        <v>WOOSH PEN 1800 PUFFS BLUEBERRY ICE</v>
      </c>
      <c r="E336" s="3" t="str">
        <f>IF(ISNA($D336),VLOOKUP($A336,[2]stockregister!$A$2:$B$2000,2,FALSE),"")</f>
        <v/>
      </c>
      <c r="F336" s="3" t="s">
        <v>21</v>
      </c>
      <c r="G336" s="3">
        <f>_xlfn.IFNA(VLOOKUP($A336,[3]stockregister!$A$2:$L$2000,11,0),0)</f>
        <v>0</v>
      </c>
      <c r="H336" s="3">
        <f>_xlfn.IFNA(VLOOKUP($A336,[3]stockregister!$A$2:$L$2000,11,0),0)-$G336</f>
        <v>0</v>
      </c>
      <c r="I336" s="3">
        <f>_xlfn.IFNA(VLOOKUP($A336,[3]stockregister!$A$2:$L$2000,12,0),0)</f>
        <v>27.08</v>
      </c>
      <c r="J336" s="3">
        <f>_xlfn.IFNA(VLOOKUP($A336,[3]stockregister!$A$1:$M$2000,12,0),0)-$I336</f>
        <v>0</v>
      </c>
      <c r="K336" s="3" t="s">
        <v>22</v>
      </c>
      <c r="L336" s="3" t="s">
        <v>23</v>
      </c>
      <c r="M336" s="3">
        <f>_xlfn.IFNA(VLOOKUP($A336,[2]stockregister!$A$2:$H$2000,8,0),0)</f>
        <v>50</v>
      </c>
      <c r="N336" s="3">
        <f>_xlfn.IFNA(VLOOKUP($A336,[2]stockregister!$A$2:$H$2000,8,0),0)-$M336</f>
        <v>0</v>
      </c>
      <c r="O336" s="3" t="s">
        <v>902</v>
      </c>
      <c r="P336" s="3" t="s">
        <v>902</v>
      </c>
      <c r="Q336" s="3" t="s">
        <v>665</v>
      </c>
      <c r="R336" s="3" t="s">
        <v>26</v>
      </c>
      <c r="S336" s="3" t="s">
        <v>240</v>
      </c>
    </row>
    <row r="337" spans="1:18">
      <c r="A337" s="3">
        <v>2855</v>
      </c>
      <c r="B337" s="3" t="b">
        <f>ISNUMBER(MATCH(A337,[1]stockregister!$A$2:$A$2000,0))</f>
        <v>1</v>
      </c>
      <c r="C337" s="3" t="s">
        <v>527</v>
      </c>
      <c r="D337" s="3" t="str">
        <f>VLOOKUP($C337,[1]stockregister!$B$2:$B$2000,1,0)</f>
        <v>MARTINI BIANCO 750ML</v>
      </c>
      <c r="E337" s="3" t="str">
        <f>IF(ISNA($D337),VLOOKUP($A337,[2]stockregister!$A$2:$B$2000,2,FALSE),"")</f>
        <v/>
      </c>
      <c r="F337" s="3" t="s">
        <v>21</v>
      </c>
      <c r="G337" s="3">
        <f>_xlfn.IFNA(VLOOKUP($A337,[3]stockregister!$A$2:$L$2000,11,0),0)</f>
        <v>72</v>
      </c>
      <c r="H337" s="3">
        <f>_xlfn.IFNA(VLOOKUP($A337,[3]stockregister!$A$2:$L$2000,11,0),0)-$G337</f>
        <v>0</v>
      </c>
      <c r="I337" s="3">
        <f>_xlfn.IFNA(VLOOKUP($A337,[3]stockregister!$A$2:$L$2000,12,0),0)</f>
        <v>603</v>
      </c>
      <c r="J337" s="3">
        <f>_xlfn.IFNA(VLOOKUP($A337,[3]stockregister!$A$1:$M$2000,12,0),0)-$I337</f>
        <v>0</v>
      </c>
      <c r="K337" s="3" t="s">
        <v>22</v>
      </c>
      <c r="L337" s="3" t="s">
        <v>23</v>
      </c>
      <c r="M337" s="3">
        <f>_xlfn.IFNA(VLOOKUP($A337,[2]stockregister!$A$2:$H$2000,8,0),0)</f>
        <v>620</v>
      </c>
      <c r="N337" s="3">
        <f>_xlfn.IFNA(VLOOKUP($A337,[2]stockregister!$A$2:$H$2000,8,0),0)-$M337</f>
        <v>0</v>
      </c>
      <c r="O337" s="3" t="s">
        <v>903</v>
      </c>
      <c r="P337" s="3" t="s">
        <v>903</v>
      </c>
      <c r="Q337" s="3" t="s">
        <v>372</v>
      </c>
      <c r="R337" s="3" t="s">
        <v>373</v>
      </c>
    </row>
    <row r="338" spans="1:18">
      <c r="A338" s="3">
        <v>1300</v>
      </c>
      <c r="B338" s="3" t="b">
        <f>ISNUMBER(MATCH(A338,[1]stockregister!$A$2:$A$2000,0))</f>
        <v>1</v>
      </c>
      <c r="C338" s="3" t="s">
        <v>529</v>
      </c>
      <c r="D338" s="3" t="str">
        <f>VLOOKUP($C338,[1]stockregister!$B$2:$B$2000,1,0)</f>
        <v>PETROVSKAIA CHOCOLATE VODKA LITRE</v>
      </c>
      <c r="E338" s="3" t="str">
        <f>IF(ISNA($D338),VLOOKUP($A338,[2]stockregister!$A$2:$B$2000,2,FALSE),"")</f>
        <v/>
      </c>
      <c r="F338" s="3" t="s">
        <v>21</v>
      </c>
      <c r="G338" s="3">
        <f>_xlfn.IFNA(VLOOKUP($A338,[3]stockregister!$A$2:$L$2000,11,0),0)</f>
        <v>84</v>
      </c>
      <c r="H338" s="3">
        <f>_xlfn.IFNA(VLOOKUP($A338,[3]stockregister!$A$2:$L$2000,11,0),0)-$G338</f>
        <v>0</v>
      </c>
      <c r="I338" s="3">
        <f>_xlfn.IFNA(VLOOKUP($A338,[3]stockregister!$A$2:$L$2000,12,0),0)</f>
        <v>2200</v>
      </c>
      <c r="J338" s="3">
        <f>_xlfn.IFNA(VLOOKUP($A338,[3]stockregister!$A$1:$M$2000,12,0),0)-$I338</f>
        <v>0</v>
      </c>
      <c r="K338" s="3" t="s">
        <v>22</v>
      </c>
      <c r="L338" s="3" t="s">
        <v>23</v>
      </c>
      <c r="M338" s="3">
        <f>_xlfn.IFNA(VLOOKUP($A338,[2]stockregister!$A$2:$H$2000,8,0),0)</f>
        <v>2400</v>
      </c>
      <c r="N338" s="3">
        <f>_xlfn.IFNA(VLOOKUP($A338,[2]stockregister!$A$2:$H$2000,8,0),0)-$M338</f>
        <v>0</v>
      </c>
      <c r="O338" s="3" t="s">
        <v>904</v>
      </c>
      <c r="P338" s="3" t="s">
        <v>904</v>
      </c>
      <c r="Q338" s="3" t="s">
        <v>905</v>
      </c>
      <c r="R338" s="3" t="s">
        <v>78</v>
      </c>
    </row>
    <row r="339" spans="1:20">
      <c r="A339" s="3">
        <v>1339</v>
      </c>
      <c r="B339" s="3" t="b">
        <f>ISNUMBER(MATCH(A339,[1]stockregister!$A$2:$A$2000,0))</f>
        <v>1</v>
      </c>
      <c r="C339" s="3" t="s">
        <v>532</v>
      </c>
      <c r="D339" s="3" t="str">
        <f>VLOOKUP($C339,[1]stockregister!$B$2:$B$2000,1,0)</f>
        <v>FLIRT VODKA LEMON  1LTR</v>
      </c>
      <c r="E339" s="3" t="str">
        <f>IF(ISNA($D339),VLOOKUP($A339,[2]stockregister!$A$2:$B$2000,2,FALSE),"")</f>
        <v/>
      </c>
      <c r="F339" s="3" t="s">
        <v>21</v>
      </c>
      <c r="G339" s="3">
        <f>_xlfn.IFNA(VLOOKUP($A339,[3]stockregister!$A$2:$L$2000,11,0),0)</f>
        <v>84</v>
      </c>
      <c r="H339" s="3">
        <f>_xlfn.IFNA(VLOOKUP($A339,[3]stockregister!$A$2:$L$2000,11,0),0)-$G339</f>
        <v>0</v>
      </c>
      <c r="I339" s="3">
        <f>_xlfn.IFNA(VLOOKUP($A339,[3]stockregister!$A$2:$L$2000,12,0),0)</f>
        <v>14500</v>
      </c>
      <c r="J339" s="3">
        <f>_xlfn.IFNA(VLOOKUP($A339,[3]stockregister!$A$1:$M$2000,12,0),0)-$I339</f>
        <v>0</v>
      </c>
      <c r="K339" s="3" t="s">
        <v>22</v>
      </c>
      <c r="L339" s="3" t="s">
        <v>23</v>
      </c>
      <c r="M339" s="3">
        <f>_xlfn.IFNA(VLOOKUP($A339,[2]stockregister!$A$2:$H$2000,8,0),0)</f>
        <v>20000</v>
      </c>
      <c r="N339" s="3">
        <f>_xlfn.IFNA(VLOOKUP($A339,[2]stockregister!$A$2:$H$2000,8,0),0)-$M339</f>
        <v>0</v>
      </c>
      <c r="O339" s="3" t="s">
        <v>906</v>
      </c>
      <c r="P339" s="3" t="s">
        <v>906</v>
      </c>
      <c r="Q339" s="3" t="s">
        <v>907</v>
      </c>
      <c r="R339" s="3" t="s">
        <v>113</v>
      </c>
      <c r="S339" s="3" t="s">
        <v>114</v>
      </c>
      <c r="T339" s="3">
        <v>15</v>
      </c>
    </row>
    <row r="340" spans="1:19">
      <c r="A340" s="3">
        <v>238</v>
      </c>
      <c r="B340" s="3" t="b">
        <f>ISNUMBER(MATCH(A340,[1]stockregister!$A$2:$A$2000,0))</f>
        <v>1</v>
      </c>
      <c r="C340" s="3" t="s">
        <v>535</v>
      </c>
      <c r="D340" s="3" t="str">
        <f>VLOOKUP($C340,[1]stockregister!$B$2:$B$2000,1,0)</f>
        <v>FLIRT VODKA ORANGE  1LTR</v>
      </c>
      <c r="E340" s="3" t="str">
        <f>IF(ISNA($D340),VLOOKUP($A340,[2]stockregister!$A$2:$B$2000,2,FALSE),"")</f>
        <v/>
      </c>
      <c r="F340" s="3" t="s">
        <v>21</v>
      </c>
      <c r="G340" s="3">
        <f>_xlfn.IFNA(VLOOKUP($A340,[3]stockregister!$A$2:$L$2000,11,0),0)</f>
        <v>84</v>
      </c>
      <c r="H340" s="3">
        <f>_xlfn.IFNA(VLOOKUP($A340,[3]stockregister!$A$2:$L$2000,11,0),0)-$G340</f>
        <v>0</v>
      </c>
      <c r="I340" s="3">
        <f>_xlfn.IFNA(VLOOKUP($A340,[3]stockregister!$A$2:$L$2000,12,0),0)</f>
        <v>900</v>
      </c>
      <c r="J340" s="3">
        <f>_xlfn.IFNA(VLOOKUP($A340,[3]stockregister!$A$1:$M$2000,12,0),0)-$I340</f>
        <v>0</v>
      </c>
      <c r="K340" s="3" t="s">
        <v>22</v>
      </c>
      <c r="L340" s="3" t="s">
        <v>23</v>
      </c>
      <c r="M340" s="3">
        <f>_xlfn.IFNA(VLOOKUP($A340,[2]stockregister!$A$2:$H$2000,8,0),0)</f>
        <v>1100</v>
      </c>
      <c r="N340" s="3">
        <f>_xlfn.IFNA(VLOOKUP($A340,[2]stockregister!$A$2:$H$2000,8,0),0)-$M340</f>
        <v>0</v>
      </c>
      <c r="O340" s="3" t="s">
        <v>908</v>
      </c>
      <c r="P340" s="3" t="s">
        <v>908</v>
      </c>
      <c r="Q340" s="3" t="s">
        <v>91</v>
      </c>
      <c r="R340" s="3" t="s">
        <v>92</v>
      </c>
      <c r="S340" s="3" t="s">
        <v>867</v>
      </c>
    </row>
    <row r="341" spans="1:19">
      <c r="A341" s="3">
        <v>1444</v>
      </c>
      <c r="B341" s="3" t="b">
        <f>ISNUMBER(MATCH(A341,[1]stockregister!$A$2:$A$2000,0))</f>
        <v>1</v>
      </c>
      <c r="C341" s="3" t="s">
        <v>539</v>
      </c>
      <c r="D341" s="3" t="str">
        <f>VLOOKUP($C341,[1]stockregister!$B$2:$B$2000,1,0)</f>
        <v>PETROVSKAIA CRANBERRY VODKA LITRE</v>
      </c>
      <c r="E341" s="3" t="str">
        <f>IF(ISNA($D341),VLOOKUP($A341,[2]stockregister!$A$2:$B$2000,2,FALSE),"")</f>
        <v/>
      </c>
      <c r="F341" s="3" t="s">
        <v>21</v>
      </c>
      <c r="G341" s="3">
        <f>_xlfn.IFNA(VLOOKUP($A341,[3]stockregister!$A$2:$L$2000,11,0),0)</f>
        <v>84</v>
      </c>
      <c r="H341" s="3">
        <f>_xlfn.IFNA(VLOOKUP($A341,[3]stockregister!$A$2:$L$2000,11,0),0)-$G341</f>
        <v>0</v>
      </c>
      <c r="I341" s="3">
        <f>_xlfn.IFNA(VLOOKUP($A341,[3]stockregister!$A$2:$L$2000,12,0),0)</f>
        <v>11500</v>
      </c>
      <c r="J341" s="3">
        <f>_xlfn.IFNA(VLOOKUP($A341,[3]stockregister!$A$1:$M$2000,12,0),0)-$I341</f>
        <v>0</v>
      </c>
      <c r="K341" s="3" t="s">
        <v>22</v>
      </c>
      <c r="L341" s="3" t="s">
        <v>23</v>
      </c>
      <c r="M341" s="3">
        <f>_xlfn.IFNA(VLOOKUP($A341,[2]stockregister!$A$2:$H$2000,8,0),0)</f>
        <v>12500</v>
      </c>
      <c r="N341" s="3">
        <f>_xlfn.IFNA(VLOOKUP($A341,[2]stockregister!$A$2:$H$2000,8,0),0)-$M341</f>
        <v>0</v>
      </c>
      <c r="O341" s="3" t="s">
        <v>909</v>
      </c>
      <c r="P341" s="3" t="s">
        <v>909</v>
      </c>
      <c r="Q341" s="3" t="s">
        <v>420</v>
      </c>
      <c r="R341" s="3" t="s">
        <v>68</v>
      </c>
      <c r="S341" s="3" t="s">
        <v>750</v>
      </c>
    </row>
    <row r="342" spans="1:19">
      <c r="A342" s="3">
        <v>1513</v>
      </c>
      <c r="B342" s="3" t="b">
        <f>ISNUMBER(MATCH(A342,[1]stockregister!$A$2:$A$2000,0))</f>
        <v>1</v>
      </c>
      <c r="C342" s="3" t="s">
        <v>543</v>
      </c>
      <c r="D342" s="3" t="str">
        <f>VLOOKUP($C342,[1]stockregister!$B$2:$B$2000,1,0)</f>
        <v>PETROVSKAIA PLATIMUM VODKA LITRE</v>
      </c>
      <c r="E342" s="3" t="str">
        <f>IF(ISNA($D342),VLOOKUP($A342,[2]stockregister!$A$2:$B$2000,2,FALSE),"")</f>
        <v/>
      </c>
      <c r="F342" s="3" t="s">
        <v>21</v>
      </c>
      <c r="G342" s="3">
        <f>_xlfn.IFNA(VLOOKUP($A342,[3]stockregister!$A$2:$L$2000,11,0),0)</f>
        <v>84</v>
      </c>
      <c r="H342" s="3">
        <f>_xlfn.IFNA(VLOOKUP($A342,[3]stockregister!$A$2:$L$2000,11,0),0)-$G342</f>
        <v>0</v>
      </c>
      <c r="I342" s="3">
        <f>_xlfn.IFNA(VLOOKUP($A342,[3]stockregister!$A$2:$L$2000,12,0),0)</f>
        <v>1334</v>
      </c>
      <c r="J342" s="3">
        <f>_xlfn.IFNA(VLOOKUP($A342,[3]stockregister!$A$1:$M$2000,12,0),0)-$I342</f>
        <v>0</v>
      </c>
      <c r="K342" s="3" t="s">
        <v>22</v>
      </c>
      <c r="L342" s="3" t="s">
        <v>23</v>
      </c>
      <c r="M342" s="3">
        <f>_xlfn.IFNA(VLOOKUP($A342,[2]stockregister!$A$2:$H$2000,8,0),0)</f>
        <v>1450</v>
      </c>
      <c r="N342" s="3">
        <f>_xlfn.IFNA(VLOOKUP($A342,[2]stockregister!$A$2:$H$2000,8,0),0)-$M342</f>
        <v>0</v>
      </c>
      <c r="O342" s="3" t="s">
        <v>910</v>
      </c>
      <c r="P342" s="3" t="s">
        <v>910</v>
      </c>
      <c r="Q342" s="3" t="s">
        <v>205</v>
      </c>
      <c r="R342" s="3" t="s">
        <v>68</v>
      </c>
      <c r="S342" s="3" t="s">
        <v>911</v>
      </c>
    </row>
    <row r="343" spans="1:19">
      <c r="A343" s="3">
        <v>2912</v>
      </c>
      <c r="B343" s="3" t="b">
        <f>ISNUMBER(MATCH(A343,[1]stockregister!$A$2:$A$2000,0))</f>
        <v>1</v>
      </c>
      <c r="C343" s="3" t="s">
        <v>547</v>
      </c>
      <c r="D343" s="3" t="str">
        <f>VLOOKUP($C343,[1]stockregister!$B$2:$B$2000,1,0)</f>
        <v>KETEL ONE VODKA 750ML</v>
      </c>
      <c r="E343" s="3" t="str">
        <f>IF(ISNA($D343),VLOOKUP($A343,[2]stockregister!$A$2:$B$2000,2,FALSE),"")</f>
        <v/>
      </c>
      <c r="F343" s="3" t="s">
        <v>21</v>
      </c>
      <c r="G343" s="3">
        <f>_xlfn.IFNA(VLOOKUP($A343,[3]stockregister!$A$2:$L$2000,11,0),0)</f>
        <v>72</v>
      </c>
      <c r="H343" s="3">
        <f>_xlfn.IFNA(VLOOKUP($A343,[3]stockregister!$A$2:$L$2000,11,0),0)-$G343</f>
        <v>0</v>
      </c>
      <c r="I343" s="3">
        <f>_xlfn.IFNA(VLOOKUP($A343,[3]stockregister!$A$2:$L$2000,12,0),0)</f>
        <v>650</v>
      </c>
      <c r="J343" s="3">
        <f>_xlfn.IFNA(VLOOKUP($A343,[3]stockregister!$A$1:$M$2000,12,0),0)-$I343</f>
        <v>0</v>
      </c>
      <c r="K343" s="3" t="s">
        <v>22</v>
      </c>
      <c r="L343" s="3" t="s">
        <v>23</v>
      </c>
      <c r="M343" s="3">
        <f>_xlfn.IFNA(VLOOKUP($A343,[2]stockregister!$A$2:$H$2000,8,0),0)</f>
        <v>750</v>
      </c>
      <c r="N343" s="3">
        <f>_xlfn.IFNA(VLOOKUP($A343,[2]stockregister!$A$2:$H$2000,8,0),0)-$M343</f>
        <v>0</v>
      </c>
      <c r="O343" s="3" t="s">
        <v>912</v>
      </c>
      <c r="P343" s="3" t="s">
        <v>912</v>
      </c>
      <c r="Q343" s="3" t="s">
        <v>913</v>
      </c>
      <c r="R343" s="3" t="s">
        <v>537</v>
      </c>
      <c r="S343" s="3" t="s">
        <v>169</v>
      </c>
    </row>
    <row r="344" spans="1:19">
      <c r="A344" s="3">
        <v>2336</v>
      </c>
      <c r="B344" s="3" t="b">
        <f>ISNUMBER(MATCH(A344,[1]stockregister!$A$2:$A$2000,0))</f>
        <v>1</v>
      </c>
      <c r="C344" s="3" t="s">
        <v>550</v>
      </c>
      <c r="D344" s="3" t="str">
        <f>VLOOKUP($C344,[1]stockregister!$B$2:$B$2000,1,0)</f>
        <v>SIR EDWARDS WHISKY  700ML</v>
      </c>
      <c r="E344" s="3" t="str">
        <f>IF(ISNA($D344),VLOOKUP($A344,[2]stockregister!$A$2:$B$2000,2,FALSE),"")</f>
        <v/>
      </c>
      <c r="F344" s="3" t="s">
        <v>21</v>
      </c>
      <c r="G344" s="3">
        <f>_xlfn.IFNA(VLOOKUP($A344,[3]stockregister!$A$2:$L$2000,11,0),0)</f>
        <v>72</v>
      </c>
      <c r="H344" s="3">
        <f>_xlfn.IFNA(VLOOKUP($A344,[3]stockregister!$A$2:$L$2000,11,0),0)-$G344</f>
        <v>0</v>
      </c>
      <c r="I344" s="3">
        <f>_xlfn.IFNA(VLOOKUP($A344,[3]stockregister!$A$2:$L$2000,12,0),0)</f>
        <v>1100</v>
      </c>
      <c r="J344" s="3">
        <f>_xlfn.IFNA(VLOOKUP($A344,[3]stockregister!$A$1:$M$2000,12,0),0)-$I344</f>
        <v>0</v>
      </c>
      <c r="K344" s="3" t="s">
        <v>22</v>
      </c>
      <c r="L344" s="3" t="s">
        <v>23</v>
      </c>
      <c r="M344" s="3">
        <f>_xlfn.IFNA(VLOOKUP($A344,[2]stockregister!$A$2:$H$2000,8,0),0)</f>
        <v>1200</v>
      </c>
      <c r="N344" s="3">
        <f>_xlfn.IFNA(VLOOKUP($A344,[2]stockregister!$A$2:$H$2000,8,0),0)-$M344</f>
        <v>0</v>
      </c>
      <c r="O344" s="3" t="s">
        <v>914</v>
      </c>
      <c r="P344" s="3" t="s">
        <v>914</v>
      </c>
      <c r="Q344" s="3" t="s">
        <v>915</v>
      </c>
      <c r="R344" s="3" t="s">
        <v>68</v>
      </c>
      <c r="S344" s="3" t="s">
        <v>196</v>
      </c>
    </row>
    <row r="345" spans="1:19">
      <c r="A345" s="3">
        <v>395</v>
      </c>
      <c r="B345" s="3" t="b">
        <f>ISNUMBER(MATCH(A345,[1]stockregister!$A$2:$A$2000,0))</f>
        <v>1</v>
      </c>
      <c r="C345" s="3" t="s">
        <v>552</v>
      </c>
      <c r="D345" s="3" t="str">
        <f>VLOOKUP($C345,[1]stockregister!$B$2:$B$2000,1,0)</f>
        <v>GRANT'S WITHOUT GLASS 750ML </v>
      </c>
      <c r="E345" s="3" t="str">
        <f>IF(ISNA($D345),VLOOKUP($A345,[2]stockregister!$A$2:$B$2000,2,FALSE),"")</f>
        <v/>
      </c>
      <c r="F345" s="3" t="s">
        <v>21</v>
      </c>
      <c r="G345" s="3">
        <f>_xlfn.IFNA(VLOOKUP($A345,[3]stockregister!$A$2:$L$2000,11,0),0)</f>
        <v>84</v>
      </c>
      <c r="H345" s="3">
        <f>_xlfn.IFNA(VLOOKUP($A345,[3]stockregister!$A$2:$L$2000,11,0),0)-$G345</f>
        <v>0</v>
      </c>
      <c r="I345" s="3">
        <f>_xlfn.IFNA(VLOOKUP($A345,[3]stockregister!$A$2:$L$2000,12,0),0)</f>
        <v>1288</v>
      </c>
      <c r="J345" s="3">
        <f>_xlfn.IFNA(VLOOKUP($A345,[3]stockregister!$A$1:$M$2000,12,0),0)-$I345</f>
        <v>0</v>
      </c>
      <c r="K345" s="3" t="s">
        <v>22</v>
      </c>
      <c r="L345" s="3" t="s">
        <v>23</v>
      </c>
      <c r="M345" s="3">
        <f>_xlfn.IFNA(VLOOKUP($A345,[2]stockregister!$A$2:$H$2000,8,0),0)</f>
        <v>1400</v>
      </c>
      <c r="N345" s="3">
        <f>_xlfn.IFNA(VLOOKUP($A345,[2]stockregister!$A$2:$H$2000,8,0),0)-$M345</f>
        <v>0</v>
      </c>
      <c r="O345" s="3" t="s">
        <v>916</v>
      </c>
      <c r="P345" s="3" t="s">
        <v>916</v>
      </c>
      <c r="Q345" s="3" t="s">
        <v>917</v>
      </c>
      <c r="R345" s="3" t="s">
        <v>68</v>
      </c>
      <c r="S345" s="3" t="s">
        <v>157</v>
      </c>
    </row>
    <row r="346" spans="1:18">
      <c r="A346" s="3">
        <v>1204</v>
      </c>
      <c r="B346" s="3" t="b">
        <f>ISNUMBER(MATCH(A346,[1]stockregister!$A$2:$A$2000,0))</f>
        <v>1</v>
      </c>
      <c r="C346" s="3" t="s">
        <v>556</v>
      </c>
      <c r="D346" s="3" t="str">
        <f>VLOOKUP($C346,[1]stockregister!$B$2:$B$2000,1,0)</f>
        <v>DALWHINNE 15YRS WHISKY 750ML </v>
      </c>
      <c r="E346" s="3" t="str">
        <f>IF(ISNA($D346),VLOOKUP($A346,[2]stockregister!$A$2:$B$2000,2,FALSE),"")</f>
        <v/>
      </c>
      <c r="F346" s="3" t="s">
        <v>21</v>
      </c>
      <c r="G346" s="3">
        <f>_xlfn.IFNA(VLOOKUP($A346,[3]stockregister!$A$2:$L$2000,11,0),0)</f>
        <v>83</v>
      </c>
      <c r="H346" s="3">
        <f>_xlfn.IFNA(VLOOKUP($A346,[3]stockregister!$A$2:$L$2000,11,0),0)-$G346</f>
        <v>0</v>
      </c>
      <c r="I346" s="3">
        <f>_xlfn.IFNA(VLOOKUP($A346,[3]stockregister!$A$2:$L$2000,12,0),0)</f>
        <v>1288</v>
      </c>
      <c r="J346" s="3">
        <f>_xlfn.IFNA(VLOOKUP($A346,[3]stockregister!$A$1:$M$2000,12,0),0)-$I346</f>
        <v>0</v>
      </c>
      <c r="K346" s="3" t="s">
        <v>22</v>
      </c>
      <c r="L346" s="3" t="s">
        <v>23</v>
      </c>
      <c r="M346" s="3">
        <f>_xlfn.IFNA(VLOOKUP($A346,[2]stockregister!$A$2:$H$2000,8,0),0)</f>
        <v>1400</v>
      </c>
      <c r="N346" s="3">
        <f>_xlfn.IFNA(VLOOKUP($A346,[2]stockregister!$A$2:$H$2000,8,0),0)-$M346</f>
        <v>0</v>
      </c>
      <c r="O346" s="3" t="s">
        <v>918</v>
      </c>
      <c r="P346" s="3" t="s">
        <v>918</v>
      </c>
      <c r="Q346" s="3" t="s">
        <v>919</v>
      </c>
      <c r="R346" s="3" t="s">
        <v>156</v>
      </c>
    </row>
    <row r="347" spans="1:19">
      <c r="A347" s="3">
        <v>371</v>
      </c>
      <c r="B347" s="3" t="b">
        <f>ISNUMBER(MATCH(A347,[1]stockregister!$A$2:$A$2000,0))</f>
        <v>1</v>
      </c>
      <c r="C347" s="3" t="s">
        <v>559</v>
      </c>
      <c r="D347" s="3" t="str">
        <f>VLOOKUP($C347,[1]stockregister!$B$2:$B$2000,1,0)</f>
        <v>THE GLENLIVET GEORGE SMITH 12 YO  750ML</v>
      </c>
      <c r="E347" s="3" t="str">
        <f>IF(ISNA($D347),VLOOKUP($A347,[2]stockregister!$A$2:$B$2000,2,FALSE),"")</f>
        <v/>
      </c>
      <c r="F347" s="3" t="s">
        <v>21</v>
      </c>
      <c r="G347" s="3">
        <f>_xlfn.IFNA(VLOOKUP($A347,[3]stockregister!$A$2:$L$2000,11,0),0)</f>
        <v>70</v>
      </c>
      <c r="H347" s="3">
        <f>_xlfn.IFNA(VLOOKUP($A347,[3]stockregister!$A$2:$L$2000,11,0),0)-$G347</f>
        <v>0</v>
      </c>
      <c r="I347" s="3">
        <f>_xlfn.IFNA(VLOOKUP($A347,[3]stockregister!$A$2:$L$2000,12,0),0)</f>
        <v>868.99</v>
      </c>
      <c r="J347" s="3">
        <f>_xlfn.IFNA(VLOOKUP($A347,[3]stockregister!$A$1:$M$2000,12,0),0)-$I347</f>
        <v>0</v>
      </c>
      <c r="K347" s="3" t="s">
        <v>22</v>
      </c>
      <c r="L347" s="3" t="s">
        <v>23</v>
      </c>
      <c r="M347" s="3">
        <f>_xlfn.IFNA(VLOOKUP($A347,[2]stockregister!$A$2:$H$2000,8,0),0)</f>
        <v>880</v>
      </c>
      <c r="N347" s="3">
        <f>_xlfn.IFNA(VLOOKUP($A347,[2]stockregister!$A$2:$H$2000,8,0),0)-$M347</f>
        <v>0</v>
      </c>
      <c r="O347" s="3" t="s">
        <v>920</v>
      </c>
      <c r="P347" s="3" t="s">
        <v>920</v>
      </c>
      <c r="Q347" s="3" t="s">
        <v>921</v>
      </c>
      <c r="R347" s="3" t="s">
        <v>68</v>
      </c>
      <c r="S347" s="3" t="s">
        <v>82</v>
      </c>
    </row>
    <row r="348" spans="1:19">
      <c r="A348" s="3">
        <v>638</v>
      </c>
      <c r="B348" s="3" t="b">
        <f>ISNUMBER(MATCH(A348,[1]stockregister!$A$2:$A$2000,0))</f>
        <v>1</v>
      </c>
      <c r="C348" s="3" t="s">
        <v>561</v>
      </c>
      <c r="D348" s="3" t="str">
        <f>VLOOKUP($C348,[1]stockregister!$B$2:$B$2000,1,0)</f>
        <v>ABERLOUR 16 YRS  DOUBLE CASK WHISKY 700ML</v>
      </c>
      <c r="E348" s="3" t="str">
        <f>IF(ISNA($D348),VLOOKUP($A348,[2]stockregister!$A$2:$B$2000,2,FALSE),"")</f>
        <v/>
      </c>
      <c r="F348" s="3" t="s">
        <v>21</v>
      </c>
      <c r="G348" s="3">
        <f>_xlfn.IFNA(VLOOKUP($A348,[3]stockregister!$A$2:$L$2000,11,0),0)</f>
        <v>82</v>
      </c>
      <c r="H348" s="3">
        <f>_xlfn.IFNA(VLOOKUP($A348,[3]stockregister!$A$2:$L$2000,11,0),0)-$G348</f>
        <v>0</v>
      </c>
      <c r="I348" s="3">
        <f>_xlfn.IFNA(VLOOKUP($A348,[3]stockregister!$A$2:$L$2000,12,0),0)</f>
        <v>1850</v>
      </c>
      <c r="J348" s="3">
        <f>_xlfn.IFNA(VLOOKUP($A348,[3]stockregister!$A$1:$M$2000,12,0),0)-$I348</f>
        <v>0</v>
      </c>
      <c r="K348" s="3" t="s">
        <v>22</v>
      </c>
      <c r="L348" s="3" t="s">
        <v>23</v>
      </c>
      <c r="M348" s="3">
        <f>_xlfn.IFNA(VLOOKUP($A348,[2]stockregister!$A$2:$H$2000,8,0),0)</f>
        <v>2500</v>
      </c>
      <c r="N348" s="3">
        <f>_xlfn.IFNA(VLOOKUP($A348,[2]stockregister!$A$2:$H$2000,8,0),0)-$M348</f>
        <v>0</v>
      </c>
      <c r="O348" s="3" t="s">
        <v>922</v>
      </c>
      <c r="P348" s="3" t="s">
        <v>922</v>
      </c>
      <c r="Q348" s="3" t="s">
        <v>923</v>
      </c>
      <c r="R348" s="3" t="s">
        <v>68</v>
      </c>
      <c r="S348" s="3" t="s">
        <v>82</v>
      </c>
    </row>
    <row r="349" spans="1:19">
      <c r="A349" s="3">
        <v>670</v>
      </c>
      <c r="B349" s="3" t="b">
        <f>ISNUMBER(MATCH(A349,[1]stockregister!$A$2:$A$2000,0))</f>
        <v>1</v>
      </c>
      <c r="C349" s="3" t="s">
        <v>564</v>
      </c>
      <c r="D349" s="3" t="str">
        <f>VLOOKUP($C349,[1]stockregister!$B$2:$B$2000,1,0)</f>
        <v>ROYAL CIRCLE HONEY 750ML  </v>
      </c>
      <c r="E349" s="3" t="str">
        <f>IF(ISNA($D349),VLOOKUP($A349,[2]stockregister!$A$2:$B$2000,2,FALSE),"")</f>
        <v/>
      </c>
      <c r="F349" s="3" t="s">
        <v>21</v>
      </c>
      <c r="G349" s="3">
        <f>_xlfn.IFNA(VLOOKUP($A349,[3]stockregister!$A$2:$L$2000,11,0),0)</f>
        <v>82</v>
      </c>
      <c r="H349" s="3">
        <f>_xlfn.IFNA(VLOOKUP($A349,[3]stockregister!$A$2:$L$2000,11,0),0)-$G349</f>
        <v>0</v>
      </c>
      <c r="I349" s="3">
        <f>_xlfn.IFNA(VLOOKUP($A349,[3]stockregister!$A$2:$L$2000,12,0),0)</f>
        <v>939</v>
      </c>
      <c r="J349" s="3">
        <f>_xlfn.IFNA(VLOOKUP($A349,[3]stockregister!$A$1:$M$2000,12,0),0)-$I349</f>
        <v>0</v>
      </c>
      <c r="K349" s="3" t="s">
        <v>22</v>
      </c>
      <c r="L349" s="3" t="s">
        <v>23</v>
      </c>
      <c r="M349" s="3">
        <f>_xlfn.IFNA(VLOOKUP($A349,[2]stockregister!$A$2:$H$2000,8,0),0)</f>
        <v>1200</v>
      </c>
      <c r="N349" s="3">
        <f>_xlfn.IFNA(VLOOKUP($A349,[2]stockregister!$A$2:$H$2000,8,0),0)-$M349</f>
        <v>0</v>
      </c>
      <c r="O349" s="3" t="s">
        <v>924</v>
      </c>
      <c r="P349" s="3" t="s">
        <v>924</v>
      </c>
      <c r="Q349" s="3" t="s">
        <v>925</v>
      </c>
      <c r="R349" s="3" t="s">
        <v>537</v>
      </c>
      <c r="S349" s="3" t="s">
        <v>88</v>
      </c>
    </row>
    <row r="350" spans="1:19">
      <c r="A350" s="3">
        <v>2201</v>
      </c>
      <c r="B350" s="3" t="b">
        <f>ISNUMBER(MATCH(A350,[1]stockregister!$A$2:$A$2000,0))</f>
        <v>1</v>
      </c>
      <c r="C350" s="3" t="s">
        <v>567</v>
      </c>
      <c r="D350" s="3" t="str">
        <f>VLOOKUP($C350,[1]stockregister!$B$2:$B$2000,1,0)</f>
        <v>JAMESON WHISKY  4.5LTR</v>
      </c>
      <c r="E350" s="3" t="str">
        <f>IF(ISNA($D350),VLOOKUP($A350,[2]stockregister!$A$2:$B$2000,2,FALSE),"")</f>
        <v/>
      </c>
      <c r="F350" s="3" t="s">
        <v>21</v>
      </c>
      <c r="G350" s="3">
        <f>_xlfn.IFNA(VLOOKUP($A350,[3]stockregister!$A$2:$L$2000,11,0),0)</f>
        <v>81</v>
      </c>
      <c r="H350" s="3">
        <f>_xlfn.IFNA(VLOOKUP($A350,[3]stockregister!$A$2:$L$2000,11,0),0)-$G350</f>
        <v>0</v>
      </c>
      <c r="I350" s="3">
        <f>_xlfn.IFNA(VLOOKUP($A350,[3]stockregister!$A$2:$L$2000,12,0),0)</f>
        <v>2300</v>
      </c>
      <c r="J350" s="3">
        <f>_xlfn.IFNA(VLOOKUP($A350,[3]stockregister!$A$1:$M$2000,12,0),0)-$I350</f>
        <v>0</v>
      </c>
      <c r="K350" s="3" t="s">
        <v>22</v>
      </c>
      <c r="L350" s="3" t="s">
        <v>23</v>
      </c>
      <c r="M350" s="3">
        <f>_xlfn.IFNA(VLOOKUP($A350,[2]stockregister!$A$2:$H$2000,8,0),0)</f>
        <v>2500</v>
      </c>
      <c r="N350" s="3">
        <f>_xlfn.IFNA(VLOOKUP($A350,[2]stockregister!$A$2:$H$2000,8,0),0)-$M350</f>
        <v>0</v>
      </c>
      <c r="O350" s="3" t="s">
        <v>926</v>
      </c>
      <c r="P350" s="3" t="s">
        <v>926</v>
      </c>
      <c r="Q350" s="3" t="s">
        <v>927</v>
      </c>
      <c r="R350" s="3" t="s">
        <v>92</v>
      </c>
      <c r="S350" s="3" t="s">
        <v>284</v>
      </c>
    </row>
    <row r="351" spans="1:18">
      <c r="A351" s="3">
        <v>1551</v>
      </c>
      <c r="B351" s="3" t="b">
        <f>ISNUMBER(MATCH(A351,[1]stockregister!$A$2:$A$2000,0))</f>
        <v>1</v>
      </c>
      <c r="C351" s="3" t="s">
        <v>569</v>
      </c>
      <c r="D351" s="3" t="str">
        <f>VLOOKUP($C351,[1]stockregister!$B$2:$B$2000,1,0)</f>
        <v>HIGH COMMISSIONER  1LTR</v>
      </c>
      <c r="E351" s="3" t="str">
        <f>IF(ISNA($D351),VLOOKUP($A351,[2]stockregister!$A$2:$B$2000,2,FALSE),"")</f>
        <v/>
      </c>
      <c r="F351" s="3" t="s">
        <v>21</v>
      </c>
      <c r="G351" s="3">
        <f>_xlfn.IFNA(VLOOKUP($A351,[3]stockregister!$A$2:$L$2000,11,0),0)</f>
        <v>68</v>
      </c>
      <c r="H351" s="3">
        <f>_xlfn.IFNA(VLOOKUP($A351,[3]stockregister!$A$2:$L$2000,11,0),0)-$G351</f>
        <v>0</v>
      </c>
      <c r="I351" s="3">
        <f>_xlfn.IFNA(VLOOKUP($A351,[3]stockregister!$A$2:$L$2000,12,0),0)</f>
        <v>800</v>
      </c>
      <c r="J351" s="3">
        <f>_xlfn.IFNA(VLOOKUP($A351,[3]stockregister!$A$1:$M$2000,12,0),0)-$I351</f>
        <v>0</v>
      </c>
      <c r="K351" s="3" t="s">
        <v>22</v>
      </c>
      <c r="L351" s="3" t="s">
        <v>23</v>
      </c>
      <c r="M351" s="3">
        <f>_xlfn.IFNA(VLOOKUP($A351,[2]stockregister!$A$2:$H$2000,8,0),0)</f>
        <v>950</v>
      </c>
      <c r="N351" s="3">
        <f>_xlfn.IFNA(VLOOKUP($A351,[2]stockregister!$A$2:$H$2000,8,0),0)-$M351</f>
        <v>0</v>
      </c>
      <c r="O351" s="3" t="s">
        <v>928</v>
      </c>
      <c r="P351" s="3" t="s">
        <v>928</v>
      </c>
      <c r="Q351" s="3" t="s">
        <v>929</v>
      </c>
      <c r="R351" s="3" t="s">
        <v>156</v>
      </c>
    </row>
    <row r="352" spans="1:18">
      <c r="A352" s="3">
        <v>2415</v>
      </c>
      <c r="B352" s="3" t="b">
        <f>ISNUMBER(MATCH(A352,[1]stockregister!$A$2:$A$2000,0))</f>
        <v>1</v>
      </c>
      <c r="C352" s="3" t="s">
        <v>572</v>
      </c>
      <c r="D352" s="3" t="str">
        <f>VLOOKUP($C352,[1]stockregister!$B$2:$B$2000,1,0)</f>
        <v>VAT 69 1L</v>
      </c>
      <c r="E352" s="3" t="str">
        <f>IF(ISNA($D352),VLOOKUP($A352,[2]stockregister!$A$2:$B$2000,2,FALSE),"")</f>
        <v/>
      </c>
      <c r="F352" s="3" t="s">
        <v>21</v>
      </c>
      <c r="G352" s="3">
        <f>_xlfn.IFNA(VLOOKUP($A352,[3]stockregister!$A$2:$L$2000,11,0),0)</f>
        <v>80</v>
      </c>
      <c r="H352" s="3">
        <f>_xlfn.IFNA(VLOOKUP($A352,[3]stockregister!$A$2:$L$2000,11,0),0)-$G352</f>
        <v>0</v>
      </c>
      <c r="I352" s="3">
        <f>_xlfn.IFNA(VLOOKUP($A352,[3]stockregister!$A$2:$L$2000,12,0),0)</f>
        <v>216</v>
      </c>
      <c r="J352" s="3">
        <f>_xlfn.IFNA(VLOOKUP($A352,[3]stockregister!$A$1:$M$2000,12,0),0)-$I352</f>
        <v>0</v>
      </c>
      <c r="K352" s="3" t="s">
        <v>22</v>
      </c>
      <c r="L352" s="3" t="s">
        <v>23</v>
      </c>
      <c r="M352" s="3">
        <f>_xlfn.IFNA(VLOOKUP($A352,[2]stockregister!$A$2:$H$2000,8,0),0)</f>
        <v>220</v>
      </c>
      <c r="N352" s="3">
        <f>_xlfn.IFNA(VLOOKUP($A352,[2]stockregister!$A$2:$H$2000,8,0),0)-$M352</f>
        <v>0</v>
      </c>
      <c r="O352" s="3" t="s">
        <v>930</v>
      </c>
      <c r="P352" s="3" t="s">
        <v>930</v>
      </c>
      <c r="Q352" s="3" t="s">
        <v>931</v>
      </c>
      <c r="R352" s="3" t="s">
        <v>466</v>
      </c>
    </row>
    <row r="353" spans="1:19">
      <c r="A353" s="3">
        <v>2148</v>
      </c>
      <c r="B353" s="3" t="b">
        <f>ISNUMBER(MATCH(A353,[1]stockregister!$A$2:$A$2000,0))</f>
        <v>1</v>
      </c>
      <c r="C353" s="3" t="s">
        <v>575</v>
      </c>
      <c r="D353" s="3" t="str">
        <f>VLOOKUP($C353,[1]stockregister!$B$2:$B$2000,1,0)</f>
        <v>GLENFIDDICH 25YRS WHISKY 750ML </v>
      </c>
      <c r="E353" s="3" t="str">
        <f>IF(ISNA($D353),VLOOKUP($A353,[2]stockregister!$A$2:$B$2000,2,FALSE),"")</f>
        <v/>
      </c>
      <c r="F353" s="3" t="s">
        <v>21</v>
      </c>
      <c r="G353" s="3">
        <f>_xlfn.IFNA(VLOOKUP($A353,[3]stockregister!$A$2:$L$2000,11,0),0)</f>
        <v>78</v>
      </c>
      <c r="H353" s="3">
        <f>_xlfn.IFNA(VLOOKUP($A353,[3]stockregister!$A$2:$L$2000,11,0),0)-$G353</f>
        <v>0</v>
      </c>
      <c r="I353" s="3">
        <f>_xlfn.IFNA(VLOOKUP($A353,[3]stockregister!$A$2:$L$2000,12,0),0)</f>
        <v>1334</v>
      </c>
      <c r="J353" s="3">
        <f>_xlfn.IFNA(VLOOKUP($A353,[3]stockregister!$A$1:$M$2000,12,0),0)-$I353</f>
        <v>0</v>
      </c>
      <c r="K353" s="3" t="s">
        <v>22</v>
      </c>
      <c r="L353" s="3" t="s">
        <v>23</v>
      </c>
      <c r="M353" s="3">
        <f>_xlfn.IFNA(VLOOKUP($A353,[2]stockregister!$A$2:$H$2000,8,0),0)</f>
        <v>1450</v>
      </c>
      <c r="N353" s="3">
        <f>_xlfn.IFNA(VLOOKUP($A353,[2]stockregister!$A$2:$H$2000,8,0),0)-$M353</f>
        <v>0</v>
      </c>
      <c r="O353" s="3" t="s">
        <v>932</v>
      </c>
      <c r="P353" s="3" t="s">
        <v>932</v>
      </c>
      <c r="Q353" s="3" t="s">
        <v>606</v>
      </c>
      <c r="R353" s="3" t="s">
        <v>126</v>
      </c>
      <c r="S353" s="3" t="s">
        <v>933</v>
      </c>
    </row>
    <row r="354" spans="1:19">
      <c r="A354" s="3">
        <v>2481</v>
      </c>
      <c r="B354" s="3" t="b">
        <f>ISNUMBER(MATCH(A354,[1]stockregister!$A$2:$A$2000,0))</f>
        <v>1</v>
      </c>
      <c r="C354" s="3" t="s">
        <v>578</v>
      </c>
      <c r="D354" s="3" t="str">
        <f>VLOOKUP($C354,[1]stockregister!$B$2:$B$2000,1,0)</f>
        <v>GRANTS 12YRS WHISKY 750ML </v>
      </c>
      <c r="E354" s="3" t="str">
        <f>IF(ISNA($D354),VLOOKUP($A354,[2]stockregister!$A$2:$B$2000,2,FALSE),"")</f>
        <v/>
      </c>
      <c r="F354" s="3" t="s">
        <v>21</v>
      </c>
      <c r="G354" s="3">
        <f>_xlfn.IFNA(VLOOKUP($A354,[3]stockregister!$A$2:$L$2000,11,0),0)</f>
        <v>78</v>
      </c>
      <c r="H354" s="3">
        <f>_xlfn.IFNA(VLOOKUP($A354,[3]stockregister!$A$2:$L$2000,11,0),0)-$G354</f>
        <v>0</v>
      </c>
      <c r="I354" s="3">
        <f>_xlfn.IFNA(VLOOKUP($A354,[3]stockregister!$A$2:$L$2000,12,0),0)</f>
        <v>4050</v>
      </c>
      <c r="J354" s="3">
        <f>_xlfn.IFNA(VLOOKUP($A354,[3]stockregister!$A$1:$M$2000,12,0),0)-$I354</f>
        <v>0</v>
      </c>
      <c r="K354" s="3" t="s">
        <v>22</v>
      </c>
      <c r="L354" s="3" t="s">
        <v>23</v>
      </c>
      <c r="M354" s="3">
        <f>_xlfn.IFNA(VLOOKUP($A354,[2]stockregister!$A$2:$H$2000,8,0),0)</f>
        <v>5500</v>
      </c>
      <c r="N354" s="3">
        <f>_xlfn.IFNA(VLOOKUP($A354,[2]stockregister!$A$2:$H$2000,8,0),0)-$M354</f>
        <v>0</v>
      </c>
      <c r="O354" s="3" t="s">
        <v>934</v>
      </c>
      <c r="P354" s="3" t="s">
        <v>934</v>
      </c>
      <c r="Q354" s="3" t="s">
        <v>293</v>
      </c>
      <c r="R354" s="3" t="s">
        <v>73</v>
      </c>
      <c r="S354" s="3" t="s">
        <v>935</v>
      </c>
    </row>
    <row r="355" spans="1:19">
      <c r="A355" s="3">
        <v>2025</v>
      </c>
      <c r="B355" s="3" t="b">
        <f>ISNUMBER(MATCH(A355,[1]stockregister!$A$2:$A$2000,0))</f>
        <v>1</v>
      </c>
      <c r="C355" s="3" t="s">
        <v>581</v>
      </c>
      <c r="D355" s="3" t="str">
        <f>VLOOKUP($C355,[1]stockregister!$B$2:$B$2000,1,0)</f>
        <v>HARRINGTON  WHISKY 750ML</v>
      </c>
      <c r="E355" s="3" t="str">
        <f>IF(ISNA($D355),VLOOKUP($A355,[2]stockregister!$A$2:$B$2000,2,FALSE),"")</f>
        <v/>
      </c>
      <c r="F355" s="3" t="s">
        <v>21</v>
      </c>
      <c r="G355" s="3">
        <f>_xlfn.IFNA(VLOOKUP($A355,[3]stockregister!$A$2:$L$2000,11,0),0)</f>
        <v>66</v>
      </c>
      <c r="H355" s="3">
        <f>_xlfn.IFNA(VLOOKUP($A355,[3]stockregister!$A$2:$L$2000,11,0),0)-$G355</f>
        <v>0</v>
      </c>
      <c r="I355" s="3">
        <f>_xlfn.IFNA(VLOOKUP($A355,[3]stockregister!$A$2:$L$2000,12,0),0)</f>
        <v>2050</v>
      </c>
      <c r="J355" s="3">
        <f>_xlfn.IFNA(VLOOKUP($A355,[3]stockregister!$A$1:$M$2000,12,0),0)-$I355</f>
        <v>0</v>
      </c>
      <c r="K355" s="3" t="s">
        <v>22</v>
      </c>
      <c r="L355" s="3" t="s">
        <v>23</v>
      </c>
      <c r="M355" s="3">
        <f>_xlfn.IFNA(VLOOKUP($A355,[2]stockregister!$A$2:$H$2000,8,0),0)</f>
        <v>2400</v>
      </c>
      <c r="N355" s="3">
        <f>_xlfn.IFNA(VLOOKUP($A355,[2]stockregister!$A$2:$H$2000,8,0),0)-$M355</f>
        <v>0</v>
      </c>
      <c r="O355" s="3" t="s">
        <v>936</v>
      </c>
      <c r="P355" s="3" t="s">
        <v>936</v>
      </c>
      <c r="Q355" s="3" t="s">
        <v>937</v>
      </c>
      <c r="R355" s="3" t="s">
        <v>113</v>
      </c>
      <c r="S355" s="3" t="s">
        <v>114</v>
      </c>
    </row>
    <row r="356" spans="1:19">
      <c r="A356" s="3">
        <v>293</v>
      </c>
      <c r="B356" s="3" t="b">
        <f>ISNUMBER(MATCH(A356,[1]stockregister!$A$2:$A$2000,0))</f>
        <v>1</v>
      </c>
      <c r="C356" s="3" t="s">
        <v>584</v>
      </c>
      <c r="D356" s="3" t="str">
        <f>VLOOKUP($C356,[1]stockregister!$B$2:$B$2000,1,0)</f>
        <v>JOHNNIE WALKER BLONDE  750ml</v>
      </c>
      <c r="E356" s="3" t="str">
        <f>IF(ISNA($D356),VLOOKUP($A356,[2]stockregister!$A$2:$B$2000,2,FALSE),"")</f>
        <v/>
      </c>
      <c r="F356" s="3" t="s">
        <v>21</v>
      </c>
      <c r="G356" s="3">
        <f>_xlfn.IFNA(VLOOKUP($A356,[3]stockregister!$A$2:$L$2000,11,0),0)</f>
        <v>78</v>
      </c>
      <c r="H356" s="3">
        <f>_xlfn.IFNA(VLOOKUP($A356,[3]stockregister!$A$2:$L$2000,11,0),0)-$G356</f>
        <v>0</v>
      </c>
      <c r="I356" s="3">
        <f>_xlfn.IFNA(VLOOKUP($A356,[3]stockregister!$A$2:$L$2000,12,0),0)</f>
        <v>1150</v>
      </c>
      <c r="J356" s="3">
        <f>_xlfn.IFNA(VLOOKUP($A356,[3]stockregister!$A$1:$M$2000,12,0),0)-$I356</f>
        <v>0</v>
      </c>
      <c r="K356" s="3" t="s">
        <v>22</v>
      </c>
      <c r="L356" s="3" t="s">
        <v>23</v>
      </c>
      <c r="M356" s="3">
        <f>_xlfn.IFNA(VLOOKUP($A356,[2]stockregister!$A$2:$H$2000,8,0),0)</f>
        <v>1250</v>
      </c>
      <c r="N356" s="3">
        <f>_xlfn.IFNA(VLOOKUP($A356,[2]stockregister!$A$2:$H$2000,8,0),0)-$M356</f>
        <v>0</v>
      </c>
      <c r="O356" s="3" t="s">
        <v>938</v>
      </c>
      <c r="P356" s="3" t="s">
        <v>938</v>
      </c>
      <c r="Q356" s="3" t="s">
        <v>939</v>
      </c>
      <c r="R356" s="3" t="s">
        <v>68</v>
      </c>
      <c r="S356" s="3" t="s">
        <v>940</v>
      </c>
    </row>
    <row r="357" spans="1:19">
      <c r="A357" s="3">
        <v>1980</v>
      </c>
      <c r="B357" s="3" t="b">
        <f>ISNUMBER(MATCH(A357,[1]stockregister!$A$2:$A$2000,0))</f>
        <v>1</v>
      </c>
      <c r="C357" s="3" t="s">
        <v>586</v>
      </c>
      <c r="D357" s="3" t="str">
        <f>VLOOKUP($C357,[1]stockregister!$B$2:$B$2000,1,0)</f>
        <v>JOHNNIE WALKER  PLATINUM WHISKY 1LTR</v>
      </c>
      <c r="E357" s="3" t="str">
        <f>IF(ISNA($D357),VLOOKUP($A357,[2]stockregister!$A$2:$B$2000,2,FALSE),"")</f>
        <v/>
      </c>
      <c r="F357" s="3" t="s">
        <v>21</v>
      </c>
      <c r="G357" s="3">
        <f>_xlfn.IFNA(VLOOKUP($A357,[3]stockregister!$A$2:$L$2000,11,0),0)</f>
        <v>78</v>
      </c>
      <c r="H357" s="3">
        <f>_xlfn.IFNA(VLOOKUP($A357,[3]stockregister!$A$2:$L$2000,11,0),0)-$G357</f>
        <v>0</v>
      </c>
      <c r="I357" s="3">
        <f>_xlfn.IFNA(VLOOKUP($A357,[3]stockregister!$A$2:$L$2000,12,0),0)</f>
        <v>2944</v>
      </c>
      <c r="J357" s="3">
        <f>_xlfn.IFNA(VLOOKUP($A357,[3]stockregister!$A$1:$M$2000,12,0),0)-$I357</f>
        <v>0</v>
      </c>
      <c r="K357" s="3" t="s">
        <v>22</v>
      </c>
      <c r="L357" s="3" t="s">
        <v>23</v>
      </c>
      <c r="M357" s="3">
        <f>_xlfn.IFNA(VLOOKUP($A357,[2]stockregister!$A$2:$H$2000,8,0),0)</f>
        <v>3200</v>
      </c>
      <c r="N357" s="3">
        <f>_xlfn.IFNA(VLOOKUP($A357,[2]stockregister!$A$2:$H$2000,8,0),0)-$M357</f>
        <v>0</v>
      </c>
      <c r="O357" s="3" t="s">
        <v>941</v>
      </c>
      <c r="P357" s="3" t="s">
        <v>941</v>
      </c>
      <c r="Q357" s="3" t="s">
        <v>942</v>
      </c>
      <c r="R357" s="3" t="s">
        <v>68</v>
      </c>
      <c r="S357" s="3" t="s">
        <v>88</v>
      </c>
    </row>
    <row r="358" spans="1:19">
      <c r="A358" s="3">
        <v>1590</v>
      </c>
      <c r="B358" s="3" t="b">
        <f>ISNUMBER(MATCH(A358,[1]stockregister!$A$2:$A$2000,0))</f>
        <v>1</v>
      </c>
      <c r="C358" s="3" t="s">
        <v>589</v>
      </c>
      <c r="D358" s="3" t="str">
        <f>VLOOKUP($C358,[1]stockregister!$B$2:$B$2000,1,0)</f>
        <v>SIR EDWARDS WHISKY  4.5LTR</v>
      </c>
      <c r="E358" s="3" t="str">
        <f>IF(ISNA($D358),VLOOKUP($A358,[2]stockregister!$A$2:$B$2000,2,FALSE),"")</f>
        <v/>
      </c>
      <c r="F358" s="3" t="s">
        <v>21</v>
      </c>
      <c r="G358" s="3">
        <f>_xlfn.IFNA(VLOOKUP($A358,[3]stockregister!$A$2:$L$2000,11,0),0)</f>
        <v>77</v>
      </c>
      <c r="H358" s="3">
        <f>_xlfn.IFNA(VLOOKUP($A358,[3]stockregister!$A$2:$L$2000,11,0),0)-$G358</f>
        <v>0</v>
      </c>
      <c r="I358" s="3">
        <f>_xlfn.IFNA(VLOOKUP($A358,[3]stockregister!$A$2:$L$2000,12,0),0)</f>
        <v>5601.88</v>
      </c>
      <c r="J358" s="3">
        <f>_xlfn.IFNA(VLOOKUP($A358,[3]stockregister!$A$1:$M$2000,12,0),0)-$I358</f>
        <v>0</v>
      </c>
      <c r="K358" s="3" t="s">
        <v>22</v>
      </c>
      <c r="L358" s="3" t="s">
        <v>23</v>
      </c>
      <c r="M358" s="3">
        <f>_xlfn.IFNA(VLOOKUP($A358,[2]stockregister!$A$2:$H$2000,8,0),0)</f>
        <v>6200</v>
      </c>
      <c r="N358" s="3">
        <f>_xlfn.IFNA(VLOOKUP($A358,[2]stockregister!$A$2:$H$2000,8,0),0)-$M358</f>
        <v>0</v>
      </c>
      <c r="O358" s="3" t="s">
        <v>943</v>
      </c>
      <c r="P358" s="3" t="s">
        <v>943</v>
      </c>
      <c r="Q358" s="3" t="s">
        <v>849</v>
      </c>
      <c r="R358" s="3" t="s">
        <v>73</v>
      </c>
      <c r="S358" s="3" t="s">
        <v>818</v>
      </c>
    </row>
    <row r="359" spans="1:18">
      <c r="A359" s="3">
        <v>2285</v>
      </c>
      <c r="B359" s="3" t="b">
        <f>ISNUMBER(MATCH(A359,[1]stockregister!$A$2:$A$2000,0))</f>
        <v>1</v>
      </c>
      <c r="C359" s="3" t="s">
        <v>592</v>
      </c>
      <c r="D359" s="3" t="str">
        <f>VLOOKUP($C359,[1]stockregister!$B$2:$B$2000,1,0)</f>
        <v>TALISKER  NEIST POINT 700ml</v>
      </c>
      <c r="E359" s="3" t="str">
        <f>IF(ISNA($D359),VLOOKUP($A359,[2]stockregister!$A$2:$B$2000,2,FALSE),"")</f>
        <v/>
      </c>
      <c r="F359" s="3" t="s">
        <v>21</v>
      </c>
      <c r="G359" s="3">
        <f>_xlfn.IFNA(VLOOKUP($A359,[3]stockregister!$A$2:$L$2000,11,0),0)</f>
        <v>77</v>
      </c>
      <c r="H359" s="3">
        <f>_xlfn.IFNA(VLOOKUP($A359,[3]stockregister!$A$2:$L$2000,11,0),0)-$G359</f>
        <v>0</v>
      </c>
      <c r="I359" s="3">
        <f>_xlfn.IFNA(VLOOKUP($A359,[3]stockregister!$A$2:$L$2000,12,0),0)</f>
        <v>450</v>
      </c>
      <c r="J359" s="3">
        <f>_xlfn.IFNA(VLOOKUP($A359,[3]stockregister!$A$1:$M$2000,12,0),0)-$I359</f>
        <v>0</v>
      </c>
      <c r="K359" s="3" t="s">
        <v>22</v>
      </c>
      <c r="L359" s="3" t="s">
        <v>23</v>
      </c>
      <c r="M359" s="3">
        <f>_xlfn.IFNA(VLOOKUP($A359,[2]stockregister!$A$2:$H$2000,8,0),0)</f>
        <v>500</v>
      </c>
      <c r="N359" s="3">
        <f>_xlfn.IFNA(VLOOKUP($A359,[2]stockregister!$A$2:$H$2000,8,0),0)-$M359</f>
        <v>0</v>
      </c>
      <c r="O359" s="3" t="s">
        <v>944</v>
      </c>
      <c r="P359" s="3" t="s">
        <v>944</v>
      </c>
      <c r="Q359" s="3" t="s">
        <v>945</v>
      </c>
      <c r="R359" s="3" t="s">
        <v>318</v>
      </c>
    </row>
    <row r="360" spans="1:19">
      <c r="A360" s="3">
        <v>1453</v>
      </c>
      <c r="B360" s="3" t="b">
        <f>ISNUMBER(MATCH(A360,[1]stockregister!$A$2:$A$2000,0))</f>
        <v>1</v>
      </c>
      <c r="C360" s="3" t="s">
        <v>595</v>
      </c>
      <c r="D360" s="3" t="str">
        <f>VLOOKUP($C360,[1]stockregister!$B$2:$B$2000,1,0)</f>
        <v>LUC BELAIRE  RARE BRUT 750ML</v>
      </c>
      <c r="E360" s="3" t="str">
        <f>IF(ISNA($D360),VLOOKUP($A360,[2]stockregister!$A$2:$B$2000,2,FALSE),"")</f>
        <v/>
      </c>
      <c r="F360" s="3" t="s">
        <v>21</v>
      </c>
      <c r="G360" s="3">
        <f>_xlfn.IFNA(VLOOKUP($A360,[3]stockregister!$A$2:$L$2000,11,0),0)</f>
        <v>77</v>
      </c>
      <c r="H360" s="3">
        <f>_xlfn.IFNA(VLOOKUP($A360,[3]stockregister!$A$2:$L$2000,11,0),0)-$G360</f>
        <v>0</v>
      </c>
      <c r="I360" s="3">
        <f>_xlfn.IFNA(VLOOKUP($A360,[3]stockregister!$A$2:$L$2000,12,0),0)</f>
        <v>9610</v>
      </c>
      <c r="J360" s="3">
        <f>_xlfn.IFNA(VLOOKUP($A360,[3]stockregister!$A$1:$M$2000,12,0),0)-$I360</f>
        <v>0</v>
      </c>
      <c r="K360" s="3" t="s">
        <v>22</v>
      </c>
      <c r="L360" s="3" t="s">
        <v>23</v>
      </c>
      <c r="M360" s="3">
        <f>_xlfn.IFNA(VLOOKUP($A360,[2]stockregister!$A$2:$H$2000,8,0),0)</f>
        <v>12500</v>
      </c>
      <c r="N360" s="3">
        <f>_xlfn.IFNA(VLOOKUP($A360,[2]stockregister!$A$2:$H$2000,8,0),0)-$M360</f>
        <v>0</v>
      </c>
      <c r="O360" s="3" t="s">
        <v>946</v>
      </c>
      <c r="P360" s="3" t="s">
        <v>946</v>
      </c>
      <c r="Q360" s="3" t="s">
        <v>420</v>
      </c>
      <c r="R360" s="3" t="s">
        <v>68</v>
      </c>
      <c r="S360" s="3" t="s">
        <v>750</v>
      </c>
    </row>
    <row r="361" spans="1:19">
      <c r="A361" s="3">
        <v>393</v>
      </c>
      <c r="B361" s="3" t="b">
        <f>ISNUMBER(MATCH(A361,[1]stockregister!$A$2:$A$2000,0))</f>
        <v>1</v>
      </c>
      <c r="C361" s="3" t="s">
        <v>597</v>
      </c>
      <c r="D361" s="3" t="str">
        <f>VLOOKUP($C361,[1]stockregister!$B$2:$B$2000,1,0)</f>
        <v>FRONTERA CAB  BLUSH 750ML</v>
      </c>
      <c r="E361" s="3" t="str">
        <f>IF(ISNA($D361),VLOOKUP($A361,[2]stockregister!$A$2:$B$2000,2,FALSE),"")</f>
        <v/>
      </c>
      <c r="F361" s="3" t="s">
        <v>21</v>
      </c>
      <c r="G361" s="3">
        <f>_xlfn.IFNA(VLOOKUP($A361,[3]stockregister!$A$2:$L$2000,11,0),0)</f>
        <v>77</v>
      </c>
      <c r="H361" s="3">
        <f>_xlfn.IFNA(VLOOKUP($A361,[3]stockregister!$A$2:$L$2000,11,0),0)-$G361</f>
        <v>0</v>
      </c>
      <c r="I361" s="3">
        <f>_xlfn.IFNA(VLOOKUP($A361,[3]stockregister!$A$2:$L$2000,12,0),0)</f>
        <v>1288</v>
      </c>
      <c r="J361" s="3">
        <f>_xlfn.IFNA(VLOOKUP($A361,[3]stockregister!$A$1:$M$2000,12,0),0)-$I361</f>
        <v>0</v>
      </c>
      <c r="K361" s="3" t="s">
        <v>22</v>
      </c>
      <c r="L361" s="3" t="s">
        <v>23</v>
      </c>
      <c r="M361" s="3">
        <f>_xlfn.IFNA(VLOOKUP($A361,[2]stockregister!$A$2:$H$2000,8,0),0)</f>
        <v>1400</v>
      </c>
      <c r="N361" s="3">
        <f>_xlfn.IFNA(VLOOKUP($A361,[2]stockregister!$A$2:$H$2000,8,0),0)-$M361</f>
        <v>0</v>
      </c>
      <c r="O361" s="3" t="s">
        <v>947</v>
      </c>
      <c r="P361" s="3" t="s">
        <v>947</v>
      </c>
      <c r="Q361" s="3" t="s">
        <v>917</v>
      </c>
      <c r="R361" s="3" t="s">
        <v>68</v>
      </c>
      <c r="S361" s="3" t="s">
        <v>948</v>
      </c>
    </row>
    <row r="362" spans="1:19">
      <c r="A362" s="3">
        <v>2994</v>
      </c>
      <c r="B362" s="3" t="b">
        <f>ISNUMBER(MATCH(A362,[1]stockregister!$A$2:$A$2000,0))</f>
        <v>1</v>
      </c>
      <c r="C362" s="3" t="s">
        <v>599</v>
      </c>
      <c r="D362" s="3" t="str">
        <f>VLOOKUP($C362,[1]stockregister!$B$2:$B$2000,1,0)</f>
        <v>FRONTERA CAB SAUV  1.5LTR</v>
      </c>
      <c r="E362" s="3" t="str">
        <f>IF(ISNA($D362),VLOOKUP($A362,[2]stockregister!$A$2:$B$2000,2,FALSE),"")</f>
        <v/>
      </c>
      <c r="F362" s="3" t="s">
        <v>21</v>
      </c>
      <c r="G362" s="3">
        <f>_xlfn.IFNA(VLOOKUP($A362,[3]stockregister!$A$2:$L$2000,11,0),0)</f>
        <v>696</v>
      </c>
      <c r="H362" s="3">
        <f>_xlfn.IFNA(VLOOKUP($A362,[3]stockregister!$A$2:$L$2000,11,0),0)-$G362</f>
        <v>0</v>
      </c>
      <c r="I362" s="3">
        <f>_xlfn.IFNA(VLOOKUP($A362,[3]stockregister!$A$2:$L$2000,12,0),0)</f>
        <v>750</v>
      </c>
      <c r="J362" s="3">
        <f>_xlfn.IFNA(VLOOKUP($A362,[3]stockregister!$A$1:$M$2000,12,0),0)-$I362</f>
        <v>0</v>
      </c>
      <c r="K362" s="3" t="s">
        <v>22</v>
      </c>
      <c r="L362" s="3" t="s">
        <v>23</v>
      </c>
      <c r="M362" s="3">
        <f>_xlfn.IFNA(VLOOKUP($A362,[2]stockregister!$A$2:$H$2000,8,0),0)</f>
        <v>900</v>
      </c>
      <c r="N362" s="3">
        <f>_xlfn.IFNA(VLOOKUP($A362,[2]stockregister!$A$2:$H$2000,8,0),0)-$M362</f>
        <v>0</v>
      </c>
      <c r="O362" s="3" t="s">
        <v>949</v>
      </c>
      <c r="P362" s="3" t="s">
        <v>949</v>
      </c>
      <c r="Q362" s="3" t="s">
        <v>233</v>
      </c>
      <c r="R362" s="3" t="s">
        <v>68</v>
      </c>
      <c r="S362" s="3" t="s">
        <v>69</v>
      </c>
    </row>
    <row r="363" spans="1:19">
      <c r="A363" s="3">
        <v>1938</v>
      </c>
      <c r="B363" s="3" t="b">
        <f>ISNUMBER(MATCH(A363,[1]stockregister!$A$2:$A$2000,0))</f>
        <v>1</v>
      </c>
      <c r="C363" s="3" t="s">
        <v>602</v>
      </c>
      <c r="D363" s="3" t="str">
        <f>VLOOKUP($C363,[1]stockregister!$B$2:$B$2000,1,0)</f>
        <v>ROCHE MAZET CAB SAUV  750ml </v>
      </c>
      <c r="E363" s="3" t="str">
        <f>IF(ISNA($D363),VLOOKUP($A363,[2]stockregister!$A$2:$B$2000,2,FALSE),"")</f>
        <v/>
      </c>
      <c r="F363" s="3" t="s">
        <v>21</v>
      </c>
      <c r="G363" s="3">
        <f>_xlfn.IFNA(VLOOKUP($A363,[3]stockregister!$A$2:$L$2000,11,0),0)</f>
        <v>64</v>
      </c>
      <c r="H363" s="3">
        <f>_xlfn.IFNA(VLOOKUP($A363,[3]stockregister!$A$2:$L$2000,11,0),0)-$G363</f>
        <v>0</v>
      </c>
      <c r="I363" s="3">
        <f>_xlfn.IFNA(VLOOKUP($A363,[3]stockregister!$A$2:$L$2000,12,0),0)</f>
        <v>3016</v>
      </c>
      <c r="J363" s="3">
        <f>_xlfn.IFNA(VLOOKUP($A363,[3]stockregister!$A$1:$M$2000,12,0),0)-$I363</f>
        <v>0</v>
      </c>
      <c r="K363" s="3" t="s">
        <v>22</v>
      </c>
      <c r="L363" s="3" t="s">
        <v>23</v>
      </c>
      <c r="M363" s="3">
        <f>_xlfn.IFNA(VLOOKUP($A363,[2]stockregister!$A$2:$H$2000,8,0),0)</f>
        <v>4000</v>
      </c>
      <c r="N363" s="3">
        <f>_xlfn.IFNA(VLOOKUP($A363,[2]stockregister!$A$2:$H$2000,8,0),0)-$M363</f>
        <v>0</v>
      </c>
      <c r="O363" s="3" t="s">
        <v>950</v>
      </c>
      <c r="P363" s="3" t="s">
        <v>950</v>
      </c>
      <c r="Q363" s="3" t="s">
        <v>221</v>
      </c>
      <c r="R363" s="3" t="s">
        <v>78</v>
      </c>
      <c r="S363" s="3" t="s">
        <v>222</v>
      </c>
    </row>
    <row r="364" spans="1:19">
      <c r="A364" s="3">
        <v>2397</v>
      </c>
      <c r="B364" s="3" t="b">
        <f>ISNUMBER(MATCH(A364,[1]stockregister!$A$2:$A$2000,0))</f>
        <v>1</v>
      </c>
      <c r="C364" s="3" t="s">
        <v>604</v>
      </c>
      <c r="D364" s="3" t="str">
        <f>VLOOKUP($C364,[1]stockregister!$B$2:$B$2000,1,0)</f>
        <v>ROCHE MAZET CHARDONNAY 750ML </v>
      </c>
      <c r="E364" s="3" t="str">
        <f>IF(ISNA($D364),VLOOKUP($A364,[2]stockregister!$A$2:$B$2000,2,FALSE),"")</f>
        <v/>
      </c>
      <c r="F364" s="3" t="s">
        <v>21</v>
      </c>
      <c r="G364" s="3">
        <f>_xlfn.IFNA(VLOOKUP($A364,[3]stockregister!$A$2:$L$2000,11,0),0)</f>
        <v>76</v>
      </c>
      <c r="H364" s="3">
        <f>_xlfn.IFNA(VLOOKUP($A364,[3]stockregister!$A$2:$L$2000,11,0),0)-$G364</f>
        <v>0</v>
      </c>
      <c r="I364" s="3">
        <f>_xlfn.IFNA(VLOOKUP($A364,[3]stockregister!$A$2:$L$2000,12,0),0)</f>
        <v>3300</v>
      </c>
      <c r="J364" s="3">
        <f>_xlfn.IFNA(VLOOKUP($A364,[3]stockregister!$A$1:$M$2000,12,0),0)-$I364</f>
        <v>0</v>
      </c>
      <c r="K364" s="3" t="s">
        <v>22</v>
      </c>
      <c r="L364" s="3" t="s">
        <v>23</v>
      </c>
      <c r="M364" s="3">
        <f>_xlfn.IFNA(VLOOKUP($A364,[2]stockregister!$A$2:$H$2000,8,0),0)</f>
        <v>3500</v>
      </c>
      <c r="N364" s="3">
        <f>_xlfn.IFNA(VLOOKUP($A364,[2]stockregister!$A$2:$H$2000,8,0),0)-$M364</f>
        <v>0</v>
      </c>
      <c r="O364" s="3" t="s">
        <v>951</v>
      </c>
      <c r="P364" s="3" t="s">
        <v>951</v>
      </c>
      <c r="Q364" s="3" t="s">
        <v>952</v>
      </c>
      <c r="R364" s="3" t="s">
        <v>537</v>
      </c>
      <c r="S364" s="3" t="s">
        <v>82</v>
      </c>
    </row>
    <row r="365" spans="1:19">
      <c r="A365" s="3">
        <v>2243</v>
      </c>
      <c r="B365" s="3" t="b">
        <f>ISNUMBER(MATCH(A365,[1]stockregister!$A$2:$A$2000,0))</f>
        <v>1</v>
      </c>
      <c r="C365" s="3" t="s">
        <v>608</v>
      </c>
      <c r="D365" s="3" t="str">
        <f>VLOOKUP($C365,[1]stockregister!$B$2:$B$2000,1,0)</f>
        <v>ROBERTSON  WINERY CHENIN BLANC 750ML</v>
      </c>
      <c r="E365" s="3" t="str">
        <f>IF(ISNA($D365),VLOOKUP($A365,[2]stockregister!$A$2:$B$2000,2,FALSE),"")</f>
        <v/>
      </c>
      <c r="F365" s="3" t="s">
        <v>21</v>
      </c>
      <c r="G365" s="3">
        <f>_xlfn.IFNA(VLOOKUP($A365,[3]stockregister!$A$2:$L$2000,11,0),0)</f>
        <v>76</v>
      </c>
      <c r="H365" s="3">
        <f>_xlfn.IFNA(VLOOKUP($A365,[3]stockregister!$A$2:$L$2000,11,0),0)-$G365</f>
        <v>0</v>
      </c>
      <c r="I365" s="3">
        <f>_xlfn.IFNA(VLOOKUP($A365,[3]stockregister!$A$2:$L$2000,12,0),0)</f>
        <v>750</v>
      </c>
      <c r="J365" s="3">
        <f>_xlfn.IFNA(VLOOKUP($A365,[3]stockregister!$A$1:$M$2000,12,0),0)-$I365</f>
        <v>0</v>
      </c>
      <c r="K365" s="3" t="s">
        <v>22</v>
      </c>
      <c r="L365" s="3" t="s">
        <v>23</v>
      </c>
      <c r="M365" s="3">
        <f>_xlfn.IFNA(VLOOKUP($A365,[2]stockregister!$A$2:$H$2000,8,0),0)</f>
        <v>800</v>
      </c>
      <c r="N365" s="3">
        <f>_xlfn.IFNA(VLOOKUP($A365,[2]stockregister!$A$2:$H$2000,8,0),0)-$M365</f>
        <v>0</v>
      </c>
      <c r="O365" s="3" t="s">
        <v>953</v>
      </c>
      <c r="P365" s="3" t="s">
        <v>953</v>
      </c>
      <c r="Q365" s="3" t="s">
        <v>954</v>
      </c>
      <c r="R365" s="3" t="s">
        <v>68</v>
      </c>
      <c r="S365" s="3" t="s">
        <v>398</v>
      </c>
    </row>
    <row r="366" spans="1:19">
      <c r="A366" s="3">
        <v>142</v>
      </c>
      <c r="B366" s="3" t="b">
        <f>ISNUMBER(MATCH(A366,[1]stockregister!$A$2:$A$2000,0))</f>
        <v>1</v>
      </c>
      <c r="C366" s="3" t="s">
        <v>610</v>
      </c>
      <c r="D366" s="3" t="str">
        <f>VLOOKUP($C366,[1]stockregister!$B$2:$B$2000,1,0)</f>
        <v>NAMAQUA DRY RED  5LTR </v>
      </c>
      <c r="E366" s="3" t="str">
        <f>IF(ISNA($D366),VLOOKUP($A366,[2]stockregister!$A$2:$B$2000,2,FALSE),"")</f>
        <v/>
      </c>
      <c r="F366" s="3" t="s">
        <v>21</v>
      </c>
      <c r="G366" s="3">
        <f>_xlfn.IFNA(VLOOKUP($A366,[3]stockregister!$A$2:$L$2000,11,0),0)</f>
        <v>61</v>
      </c>
      <c r="H366" s="3">
        <f>_xlfn.IFNA(VLOOKUP($A366,[3]stockregister!$A$2:$L$2000,11,0),0)-$G366</f>
        <v>0</v>
      </c>
      <c r="I366" s="3">
        <f>_xlfn.IFNA(VLOOKUP($A366,[3]stockregister!$A$2:$L$2000,12,0),0)</f>
        <v>2024</v>
      </c>
      <c r="J366" s="3">
        <f>_xlfn.IFNA(VLOOKUP($A366,[3]stockregister!$A$1:$M$2000,12,0),0)-$I366</f>
        <v>0</v>
      </c>
      <c r="K366" s="3" t="s">
        <v>22</v>
      </c>
      <c r="L366" s="3" t="s">
        <v>23</v>
      </c>
      <c r="M366" s="3">
        <f>_xlfn.IFNA(VLOOKUP($A366,[2]stockregister!$A$2:$H$2000,8,0),0)</f>
        <v>2200</v>
      </c>
      <c r="N366" s="3">
        <f>_xlfn.IFNA(VLOOKUP($A366,[2]stockregister!$A$2:$H$2000,8,0),0)-$M366</f>
        <v>0</v>
      </c>
      <c r="O366" s="3" t="s">
        <v>955</v>
      </c>
      <c r="P366" s="3" t="s">
        <v>955</v>
      </c>
      <c r="Q366" s="3" t="s">
        <v>956</v>
      </c>
      <c r="R366" s="3" t="s">
        <v>156</v>
      </c>
      <c r="S366" s="3" t="s">
        <v>74</v>
      </c>
    </row>
    <row r="367" spans="1:19">
      <c r="A367" s="3">
        <v>2641</v>
      </c>
      <c r="B367" s="3" t="b">
        <f>ISNUMBER(MATCH(A367,[1]stockregister!$A$2:$A$2000,0))</f>
        <v>1</v>
      </c>
      <c r="C367" s="3" t="s">
        <v>614</v>
      </c>
      <c r="D367" s="3" t="str">
        <f>VLOOKUP($C367,[1]stockregister!$B$2:$B$2000,1,0)</f>
        <v> EXPRESSION MOJITO 750ML</v>
      </c>
      <c r="E367" s="3" t="str">
        <f>IF(ISNA($D367),VLOOKUP($A367,[2]stockregister!$A$2:$B$2000,2,FALSE),"")</f>
        <v/>
      </c>
      <c r="F367" s="3" t="s">
        <v>21</v>
      </c>
      <c r="G367" s="3">
        <f>_xlfn.IFNA(VLOOKUP($A367,[3]stockregister!$A$2:$L$2000,11,0),0)</f>
        <v>72</v>
      </c>
      <c r="H367" s="3">
        <f>_xlfn.IFNA(VLOOKUP($A367,[3]stockregister!$A$2:$L$2000,11,0),0)-$G367</f>
        <v>0</v>
      </c>
      <c r="I367" s="3">
        <f>_xlfn.IFNA(VLOOKUP($A367,[3]stockregister!$A$2:$L$2000,12,0),0)</f>
        <v>66.67</v>
      </c>
      <c r="J367" s="3">
        <f>_xlfn.IFNA(VLOOKUP($A367,[3]stockregister!$A$1:$M$2000,12,0),0)-$I367</f>
        <v>0</v>
      </c>
      <c r="K367" s="3" t="s">
        <v>22</v>
      </c>
      <c r="L367" s="3" t="s">
        <v>23</v>
      </c>
      <c r="M367" s="3">
        <f>_xlfn.IFNA(VLOOKUP($A367,[2]stockregister!$A$2:$H$2000,8,0),0)</f>
        <v>80</v>
      </c>
      <c r="N367" s="3">
        <f>_xlfn.IFNA(VLOOKUP($A367,[2]stockregister!$A$2:$H$2000,8,0),0)-$M367</f>
        <v>0</v>
      </c>
      <c r="O367" s="3" t="s">
        <v>957</v>
      </c>
      <c r="P367" s="3" t="s">
        <v>957</v>
      </c>
      <c r="Q367" s="3" t="s">
        <v>790</v>
      </c>
      <c r="R367" s="3" t="s">
        <v>216</v>
      </c>
      <c r="S367" s="3" t="s">
        <v>791</v>
      </c>
    </row>
    <row r="368" spans="1:19">
      <c r="A368" s="3">
        <v>1850</v>
      </c>
      <c r="B368" s="3" t="b">
        <f>ISNUMBER(MATCH(A368,[1]stockregister!$A$2:$A$2000,0))</f>
        <v>1</v>
      </c>
      <c r="C368" s="3" t="s">
        <v>618</v>
      </c>
      <c r="D368" s="3" t="str">
        <f>VLOOKUP($C368,[1]stockregister!$B$2:$B$2000,1,0)</f>
        <v>BIG OAK  RED 750ML</v>
      </c>
      <c r="E368" s="3" t="str">
        <f>IF(ISNA($D368),VLOOKUP($A368,[2]stockregister!$A$2:$B$2000,2,FALSE),"")</f>
        <v/>
      </c>
      <c r="F368" s="3" t="s">
        <v>21</v>
      </c>
      <c r="G368" s="3">
        <f>_xlfn.IFNA(VLOOKUP($A368,[3]stockregister!$A$2:$L$2000,11,0),0)</f>
        <v>120</v>
      </c>
      <c r="H368" s="3">
        <f>_xlfn.IFNA(VLOOKUP($A368,[3]stockregister!$A$2:$L$2000,11,0),0)-$G368</f>
        <v>0</v>
      </c>
      <c r="I368" s="3">
        <f>_xlfn.IFNA(VLOOKUP($A368,[3]stockregister!$A$2:$L$2000,12,0),0)</f>
        <v>66.67</v>
      </c>
      <c r="J368" s="3">
        <f>_xlfn.IFNA(VLOOKUP($A368,[3]stockregister!$A$1:$M$2000,12,0),0)-$I368</f>
        <v>0</v>
      </c>
      <c r="K368" s="3" t="s">
        <v>22</v>
      </c>
      <c r="L368" s="3" t="s">
        <v>23</v>
      </c>
      <c r="M368" s="3">
        <f>_xlfn.IFNA(VLOOKUP($A368,[2]stockregister!$A$2:$H$2000,8,0),0)</f>
        <v>80</v>
      </c>
      <c r="N368" s="3">
        <f>_xlfn.IFNA(VLOOKUP($A368,[2]stockregister!$A$2:$H$2000,8,0),0)-$M368</f>
        <v>0</v>
      </c>
      <c r="O368" s="3" t="s">
        <v>958</v>
      </c>
      <c r="P368" s="3" t="s">
        <v>958</v>
      </c>
      <c r="Q368" s="3" t="s">
        <v>341</v>
      </c>
      <c r="R368" s="3" t="s">
        <v>26</v>
      </c>
      <c r="S368" s="3" t="s">
        <v>342</v>
      </c>
    </row>
    <row r="369" spans="1:18">
      <c r="A369" s="3">
        <v>187</v>
      </c>
      <c r="B369" s="3" t="b">
        <f>ISNUMBER(MATCH(A369,[1]stockregister!$A$2:$A$2000,0))</f>
        <v>1</v>
      </c>
      <c r="C369" s="3" t="s">
        <v>619</v>
      </c>
      <c r="D369" s="3" t="str">
        <f>VLOOKUP($C369,[1]stockregister!$B$2:$B$2000,1,0)</f>
        <v>TOMMASI AMARONE DELLA VALPOLICELLA CLASSICO  750ML</v>
      </c>
      <c r="E369" s="3" t="str">
        <f>IF(ISNA($D369),VLOOKUP($A369,[2]stockregister!$A$2:$B$2000,2,FALSE),"")</f>
        <v/>
      </c>
      <c r="F369" s="3" t="s">
        <v>21</v>
      </c>
      <c r="G369" s="3">
        <f>_xlfn.IFNA(VLOOKUP($A369,[3]stockregister!$A$2:$L$2000,11,0),0)</f>
        <v>72</v>
      </c>
      <c r="H369" s="3">
        <f>_xlfn.IFNA(VLOOKUP($A369,[3]stockregister!$A$2:$L$2000,11,0),0)-$G369</f>
        <v>0</v>
      </c>
      <c r="I369" s="3">
        <f>_xlfn.IFNA(VLOOKUP($A369,[3]stockregister!$A$2:$L$2000,12,0),0)</f>
        <v>2116</v>
      </c>
      <c r="J369" s="3">
        <f>_xlfn.IFNA(VLOOKUP($A369,[3]stockregister!$A$1:$M$2000,12,0),0)-$I369</f>
        <v>0</v>
      </c>
      <c r="K369" s="3" t="s">
        <v>22</v>
      </c>
      <c r="L369" s="3" t="s">
        <v>23</v>
      </c>
      <c r="M369" s="3">
        <f>_xlfn.IFNA(VLOOKUP($A369,[2]stockregister!$A$2:$H$2000,8,0),0)</f>
        <v>2300</v>
      </c>
      <c r="N369" s="3">
        <f>_xlfn.IFNA(VLOOKUP($A369,[2]stockregister!$A$2:$H$2000,8,0),0)-$M369</f>
        <v>0</v>
      </c>
      <c r="O369" s="3" t="s">
        <v>375</v>
      </c>
      <c r="P369" s="3" t="s">
        <v>375</v>
      </c>
      <c r="Q369" s="3" t="s">
        <v>278</v>
      </c>
      <c r="R369" s="3" t="s">
        <v>78</v>
      </c>
    </row>
    <row r="370" spans="1:18">
      <c r="A370" s="3">
        <v>1492</v>
      </c>
      <c r="B370" s="3" t="b">
        <f>ISNUMBER(MATCH(A370,[1]stockregister!$A$2:$A$2000,0))</f>
        <v>1</v>
      </c>
      <c r="C370" s="3" t="s">
        <v>622</v>
      </c>
      <c r="D370" s="3" t="str">
        <f>VLOOKUP($C370,[1]stockregister!$B$2:$B$2000,1,0)</f>
        <v> BITOLA RED 750ML</v>
      </c>
      <c r="E370" s="3" t="str">
        <f>IF(ISNA($D370),VLOOKUP($A370,[2]stockregister!$A$2:$B$2000,2,FALSE),"")</f>
        <v/>
      </c>
      <c r="F370" s="3" t="s">
        <v>21</v>
      </c>
      <c r="G370" s="3">
        <f>_xlfn.IFNA(VLOOKUP($A370,[3]stockregister!$A$2:$L$2000,11,0),0)</f>
        <v>72</v>
      </c>
      <c r="H370" s="3">
        <f>_xlfn.IFNA(VLOOKUP($A370,[3]stockregister!$A$2:$L$2000,11,0),0)-$G370</f>
        <v>0</v>
      </c>
      <c r="I370" s="3">
        <f>_xlfn.IFNA(VLOOKUP($A370,[3]stockregister!$A$2:$L$2000,12,0),0)</f>
        <v>630</v>
      </c>
      <c r="J370" s="3">
        <f>_xlfn.IFNA(VLOOKUP($A370,[3]stockregister!$A$1:$M$2000,12,0),0)-$I370</f>
        <v>0</v>
      </c>
      <c r="K370" s="3" t="s">
        <v>22</v>
      </c>
      <c r="L370" s="3" t="s">
        <v>23</v>
      </c>
      <c r="M370" s="3">
        <f>_xlfn.IFNA(VLOOKUP($A370,[2]stockregister!$A$2:$H$2000,8,0),0)</f>
        <v>650</v>
      </c>
      <c r="N370" s="3">
        <f>_xlfn.IFNA(VLOOKUP($A370,[2]stockregister!$A$2:$H$2000,8,0),0)-$M370</f>
        <v>0</v>
      </c>
      <c r="O370" s="3" t="s">
        <v>959</v>
      </c>
      <c r="P370" s="3" t="s">
        <v>959</v>
      </c>
      <c r="Q370" s="3" t="s">
        <v>960</v>
      </c>
      <c r="R370" s="3" t="s">
        <v>156</v>
      </c>
    </row>
    <row r="371" spans="1:19">
      <c r="A371" s="3">
        <v>1707</v>
      </c>
      <c r="B371" s="3" t="b">
        <f>ISNUMBER(MATCH(A371,[1]stockregister!$A$2:$A$2000,0))</f>
        <v>1</v>
      </c>
      <c r="C371" s="3" t="s">
        <v>626</v>
      </c>
      <c r="D371" s="3" t="str">
        <f>VLOOKUP($C371,[1]stockregister!$B$2:$B$2000,1,0)</f>
        <v>FRONTERA SAUV BLANC  750ML</v>
      </c>
      <c r="E371" s="3" t="str">
        <f>IF(ISNA($D371),VLOOKUP($A371,[2]stockregister!$A$2:$B$2000,2,FALSE),"")</f>
        <v/>
      </c>
      <c r="F371" s="3" t="s">
        <v>21</v>
      </c>
      <c r="G371" s="3">
        <f>_xlfn.IFNA(VLOOKUP($A371,[3]stockregister!$A$2:$L$2000,11,0),0)</f>
        <v>24</v>
      </c>
      <c r="H371" s="3">
        <f>_xlfn.IFNA(VLOOKUP($A371,[3]stockregister!$A$2:$L$2000,11,0),0)-$G371</f>
        <v>0</v>
      </c>
      <c r="I371" s="3">
        <f>_xlfn.IFNA(VLOOKUP($A371,[3]stockregister!$A$2:$L$2000,12,0),0)</f>
        <v>375</v>
      </c>
      <c r="J371" s="3">
        <f>_xlfn.IFNA(VLOOKUP($A371,[3]stockregister!$A$1:$M$2000,12,0),0)-$I371</f>
        <v>0</v>
      </c>
      <c r="K371" s="3" t="s">
        <v>22</v>
      </c>
      <c r="L371" s="3" t="s">
        <v>23</v>
      </c>
      <c r="M371" s="3">
        <f>_xlfn.IFNA(VLOOKUP($A371,[2]stockregister!$A$2:$H$2000,8,0),0)</f>
        <v>550</v>
      </c>
      <c r="N371" s="3">
        <f>_xlfn.IFNA(VLOOKUP($A371,[2]stockregister!$A$2:$H$2000,8,0),0)-$M371</f>
        <v>0</v>
      </c>
      <c r="O371" s="3" t="s">
        <v>961</v>
      </c>
      <c r="P371" s="3" t="s">
        <v>961</v>
      </c>
      <c r="Q371" s="3" t="s">
        <v>444</v>
      </c>
      <c r="R371" s="3" t="s">
        <v>92</v>
      </c>
      <c r="S371" s="3" t="s">
        <v>114</v>
      </c>
    </row>
    <row r="372" spans="1:19">
      <c r="A372" s="3">
        <v>2244</v>
      </c>
      <c r="B372" s="3" t="b">
        <f>ISNUMBER(MATCH(A372,[1]stockregister!$A$2:$A$2000,0))</f>
        <v>1</v>
      </c>
      <c r="C372" s="3" t="s">
        <v>629</v>
      </c>
      <c r="D372" s="3" t="str">
        <f>VLOOKUP($C372,[1]stockregister!$B$2:$B$2000,1,0)</f>
        <v>BRUCE JACK  SAUV BLANC 2021 750ML</v>
      </c>
      <c r="E372" s="3" t="str">
        <f>IF(ISNA($D372),VLOOKUP($A372,[2]stockregister!$A$2:$B$2000,2,FALSE),"")</f>
        <v/>
      </c>
      <c r="F372" s="3" t="s">
        <v>21</v>
      </c>
      <c r="G372" s="3">
        <f>_xlfn.IFNA(VLOOKUP($A372,[3]stockregister!$A$2:$L$2000,11,0),0)</f>
        <v>48</v>
      </c>
      <c r="H372" s="3">
        <f>_xlfn.IFNA(VLOOKUP($A372,[3]stockregister!$A$2:$L$2000,11,0),0)-$G372</f>
        <v>0</v>
      </c>
      <c r="I372" s="3">
        <f>_xlfn.IFNA(VLOOKUP($A372,[3]stockregister!$A$2:$L$2000,12,0),0)</f>
        <v>500</v>
      </c>
      <c r="J372" s="3">
        <f>_xlfn.IFNA(VLOOKUP($A372,[3]stockregister!$A$1:$M$2000,12,0),0)-$I372</f>
        <v>0</v>
      </c>
      <c r="K372" s="3" t="s">
        <v>22</v>
      </c>
      <c r="L372" s="3" t="s">
        <v>23</v>
      </c>
      <c r="M372" s="3">
        <f>_xlfn.IFNA(VLOOKUP($A372,[2]stockregister!$A$2:$H$2000,8,0),0)</f>
        <v>550</v>
      </c>
      <c r="N372" s="3">
        <f>_xlfn.IFNA(VLOOKUP($A372,[2]stockregister!$A$2:$H$2000,8,0),0)-$M372</f>
        <v>0</v>
      </c>
      <c r="O372" s="3" t="s">
        <v>962</v>
      </c>
      <c r="P372" s="3" t="s">
        <v>962</v>
      </c>
      <c r="Q372" s="3" t="s">
        <v>283</v>
      </c>
      <c r="R372" s="3" t="s">
        <v>92</v>
      </c>
      <c r="S372" s="3" t="s">
        <v>284</v>
      </c>
    </row>
    <row r="373" spans="1:20">
      <c r="A373" s="3">
        <v>872</v>
      </c>
      <c r="B373" s="3" t="b">
        <f>ISNUMBER(MATCH(A373,[1]stockregister!$A$2:$A$2000,0))</f>
        <v>1</v>
      </c>
      <c r="C373" s="3" t="s">
        <v>633</v>
      </c>
      <c r="D373" s="3" t="str">
        <f>VLOOKUP($C373,[1]stockregister!$B$2:$B$2000,1,0)</f>
        <v>KLEINE RUST  SAVIGNON BLANC 1.5LTR</v>
      </c>
      <c r="E373" s="3" t="str">
        <f>IF(ISNA($D373),VLOOKUP($A373,[2]stockregister!$A$2:$B$2000,2,FALSE),"")</f>
        <v/>
      </c>
      <c r="F373" s="3" t="s">
        <v>21</v>
      </c>
      <c r="G373" s="3">
        <f>_xlfn.IFNA(VLOOKUP($A373,[3]stockregister!$A$2:$L$2000,11,0),0)</f>
        <v>60</v>
      </c>
      <c r="H373" s="3">
        <f>_xlfn.IFNA(VLOOKUP($A373,[3]stockregister!$A$2:$L$2000,11,0),0)-$G373</f>
        <v>0</v>
      </c>
      <c r="I373" s="3">
        <f>_xlfn.IFNA(VLOOKUP($A373,[3]stockregister!$A$2:$L$2000,12,0),0)</f>
        <v>6440</v>
      </c>
      <c r="J373" s="3">
        <f>_xlfn.IFNA(VLOOKUP($A373,[3]stockregister!$A$1:$M$2000,12,0),0)-$I373</f>
        <v>0</v>
      </c>
      <c r="K373" s="3" t="s">
        <v>22</v>
      </c>
      <c r="L373" s="3" t="s">
        <v>23</v>
      </c>
      <c r="M373" s="3">
        <f>_xlfn.IFNA(VLOOKUP($A373,[2]stockregister!$A$2:$H$2000,8,0),0)</f>
        <v>7000</v>
      </c>
      <c r="N373" s="3">
        <f>_xlfn.IFNA(VLOOKUP($A373,[2]stockregister!$A$2:$H$2000,8,0),0)-$M373</f>
        <v>0</v>
      </c>
      <c r="O373" s="3" t="s">
        <v>963</v>
      </c>
      <c r="P373" s="3" t="s">
        <v>963</v>
      </c>
      <c r="Q373" s="3" t="s">
        <v>780</v>
      </c>
      <c r="R373" s="3" t="s">
        <v>92</v>
      </c>
      <c r="S373" s="3" t="s">
        <v>284</v>
      </c>
      <c r="T373" s="3">
        <v>10</v>
      </c>
    </row>
    <row r="374" spans="1:19">
      <c r="A374" s="3">
        <v>268</v>
      </c>
      <c r="B374" s="3" t="b">
        <f>ISNUMBER(MATCH(A374,[1]stockregister!$A$2:$A$2000,0))</f>
        <v>1</v>
      </c>
      <c r="C374" s="3" t="s">
        <v>636</v>
      </c>
      <c r="D374" s="3" t="str">
        <f>VLOOKUP($C374,[1]stockregister!$B$2:$B$2000,1,0)</f>
        <v>MAISON CASTEL ICE  750ML</v>
      </c>
      <c r="E374" s="3" t="str">
        <f>IF(ISNA($D374),VLOOKUP($A374,[2]stockregister!$A$2:$B$2000,2,FALSE),"")</f>
        <v/>
      </c>
      <c r="F374" s="3" t="s">
        <v>21</v>
      </c>
      <c r="G374" s="3">
        <f>_xlfn.IFNA(VLOOKUP($A374,[3]stockregister!$A$2:$L$2000,11,0),0)</f>
        <v>360</v>
      </c>
      <c r="H374" s="3">
        <f>_xlfn.IFNA(VLOOKUP($A374,[3]stockregister!$A$2:$L$2000,11,0),0)-$G374</f>
        <v>0</v>
      </c>
      <c r="I374" s="3">
        <f>_xlfn.IFNA(VLOOKUP($A374,[3]stockregister!$A$2:$L$2000,12,0),0)</f>
        <v>563.95</v>
      </c>
      <c r="J374" s="3">
        <f>_xlfn.IFNA(VLOOKUP($A374,[3]stockregister!$A$1:$M$2000,12,0),0)-$I374</f>
        <v>0</v>
      </c>
      <c r="K374" s="3" t="s">
        <v>22</v>
      </c>
      <c r="L374" s="3" t="s">
        <v>23</v>
      </c>
      <c r="M374" s="3">
        <f>_xlfn.IFNA(VLOOKUP($A374,[2]stockregister!$A$2:$H$2000,8,0),0)</f>
        <v>576</v>
      </c>
      <c r="N374" s="3">
        <f>_xlfn.IFNA(VLOOKUP($A374,[2]stockregister!$A$2:$H$2000,8,0),0)-$M374</f>
        <v>0</v>
      </c>
      <c r="O374" s="3" t="s">
        <v>964</v>
      </c>
      <c r="P374" s="3" t="s">
        <v>964</v>
      </c>
      <c r="Q374" s="3" t="s">
        <v>500</v>
      </c>
      <c r="R374" s="3" t="s">
        <v>92</v>
      </c>
      <c r="S374" s="3" t="s">
        <v>134</v>
      </c>
    </row>
    <row r="375" spans="1:19">
      <c r="A375" s="3">
        <v>2209</v>
      </c>
      <c r="B375" s="3" t="b">
        <f>ISNUMBER(MATCH(A375,[1]stockregister!$A$2:$A$2000,0))</f>
        <v>1</v>
      </c>
      <c r="C375" s="3" t="s">
        <v>639</v>
      </c>
      <c r="D375" s="3" t="str">
        <f>VLOOKUP($C375,[1]stockregister!$B$2:$B$2000,1,0)</f>
        <v>MAISON CASTEL ICE ROSE  750ML</v>
      </c>
      <c r="E375" s="3" t="str">
        <f>IF(ISNA($D375),VLOOKUP($A375,[2]stockregister!$A$2:$B$2000,2,FALSE),"")</f>
        <v/>
      </c>
      <c r="F375" s="3" t="s">
        <v>21</v>
      </c>
      <c r="G375" s="3">
        <f>_xlfn.IFNA(VLOOKUP($A375,[3]stockregister!$A$2:$L$2000,11,0),0)</f>
        <v>72</v>
      </c>
      <c r="H375" s="3">
        <f>_xlfn.IFNA(VLOOKUP($A375,[3]stockregister!$A$2:$L$2000,11,0),0)-$G375</f>
        <v>0</v>
      </c>
      <c r="I375" s="3">
        <f>_xlfn.IFNA(VLOOKUP($A375,[3]stockregister!$A$2:$L$2000,12,0),0)</f>
        <v>1050</v>
      </c>
      <c r="J375" s="3">
        <f>_xlfn.IFNA(VLOOKUP($A375,[3]stockregister!$A$1:$M$2000,12,0),0)-$I375</f>
        <v>0</v>
      </c>
      <c r="K375" s="3" t="s">
        <v>22</v>
      </c>
      <c r="L375" s="3" t="s">
        <v>23</v>
      </c>
      <c r="M375" s="3">
        <f>_xlfn.IFNA(VLOOKUP($A375,[2]stockregister!$A$2:$H$2000,8,0),0)</f>
        <v>1450</v>
      </c>
      <c r="N375" s="3">
        <f>_xlfn.IFNA(VLOOKUP($A375,[2]stockregister!$A$2:$H$2000,8,0),0)-$M375</f>
        <v>0</v>
      </c>
      <c r="O375" s="3" t="s">
        <v>965</v>
      </c>
      <c r="P375" s="3" t="s">
        <v>965</v>
      </c>
      <c r="Q375" s="3" t="s">
        <v>966</v>
      </c>
      <c r="R375" s="3" t="s">
        <v>68</v>
      </c>
      <c r="S375" s="3" t="s">
        <v>206</v>
      </c>
    </row>
    <row r="376" spans="1:19">
      <c r="A376" s="3">
        <v>2385</v>
      </c>
      <c r="B376" s="3" t="b">
        <f>ISNUMBER(MATCH(A376,[1]stockregister!$A$2:$A$2000,0))</f>
        <v>1</v>
      </c>
      <c r="C376" s="3" t="s">
        <v>643</v>
      </c>
      <c r="D376" s="3" t="str">
        <f>VLOOKUP($C376,[1]stockregister!$B$2:$B$2000,1,0)</f>
        <v>CASALDOMO CUVEE BRUT 750ML </v>
      </c>
      <c r="E376" s="3" t="str">
        <f>IF(ISNA($D376),VLOOKUP($A376,[2]stockregister!$A$2:$B$2000,2,FALSE),"")</f>
        <v/>
      </c>
      <c r="F376" s="3" t="s">
        <v>21</v>
      </c>
      <c r="G376" s="3">
        <f>_xlfn.IFNA(VLOOKUP($A376,[3]stockregister!$A$2:$L$2000,11,0),0)</f>
        <v>72</v>
      </c>
      <c r="H376" s="3">
        <f>_xlfn.IFNA(VLOOKUP($A376,[3]stockregister!$A$2:$L$2000,11,0),0)-$G376</f>
        <v>0</v>
      </c>
      <c r="I376" s="3">
        <f>_xlfn.IFNA(VLOOKUP($A376,[3]stockregister!$A$2:$L$2000,12,0),0)</f>
        <v>1100</v>
      </c>
      <c r="J376" s="3">
        <f>_xlfn.IFNA(VLOOKUP($A376,[3]stockregister!$A$1:$M$2000,12,0),0)-$I376</f>
        <v>0</v>
      </c>
      <c r="K376" s="3" t="s">
        <v>22</v>
      </c>
      <c r="L376" s="3" t="s">
        <v>23</v>
      </c>
      <c r="M376" s="3">
        <f>_xlfn.IFNA(VLOOKUP($A376,[2]stockregister!$A$2:$H$2000,8,0),0)</f>
        <v>1300</v>
      </c>
      <c r="N376" s="3">
        <f>_xlfn.IFNA(VLOOKUP($A376,[2]stockregister!$A$2:$H$2000,8,0),0)-$M376</f>
        <v>0</v>
      </c>
      <c r="O376" s="3" t="s">
        <v>967</v>
      </c>
      <c r="P376" s="3" t="s">
        <v>967</v>
      </c>
      <c r="Q376" s="3" t="s">
        <v>968</v>
      </c>
      <c r="R376" s="3" t="s">
        <v>537</v>
      </c>
      <c r="S376" s="3" t="s">
        <v>969</v>
      </c>
    </row>
    <row r="377" spans="1:19">
      <c r="A377" s="3">
        <v>321</v>
      </c>
      <c r="B377" s="3" t="b">
        <f>ISNUMBER(MATCH(A377,[1]stockregister!$A$2:$A$2000,0))</f>
        <v>1</v>
      </c>
      <c r="C377" s="3" t="s">
        <v>645</v>
      </c>
      <c r="D377" s="3" t="str">
        <f>VLOOKUP($C377,[1]stockregister!$B$2:$B$2000,1,0)</f>
        <v>CHAMDOR RED  750ML</v>
      </c>
      <c r="E377" s="3" t="str">
        <f>IF(ISNA($D377),VLOOKUP($A377,[2]stockregister!$A$2:$B$2000,2,FALSE),"")</f>
        <v/>
      </c>
      <c r="F377" s="3" t="s">
        <v>21</v>
      </c>
      <c r="G377" s="3">
        <f>_xlfn.IFNA(VLOOKUP($A377,[3]stockregister!$A$2:$L$2000,11,0),0)</f>
        <v>69</v>
      </c>
      <c r="H377" s="3">
        <f>_xlfn.IFNA(VLOOKUP($A377,[3]stockregister!$A$2:$L$2000,11,0),0)-$G377</f>
        <v>0</v>
      </c>
      <c r="I377" s="3">
        <f>_xlfn.IFNA(VLOOKUP($A377,[3]stockregister!$A$2:$L$2000,12,0),0)</f>
        <v>1472</v>
      </c>
      <c r="J377" s="3">
        <f>_xlfn.IFNA(VLOOKUP($A377,[3]stockregister!$A$1:$M$2000,12,0),0)-$I377</f>
        <v>0</v>
      </c>
      <c r="K377" s="3" t="s">
        <v>22</v>
      </c>
      <c r="L377" s="3" t="s">
        <v>23</v>
      </c>
      <c r="M377" s="3">
        <f>_xlfn.IFNA(VLOOKUP($A377,[2]stockregister!$A$2:$H$2000,8,0),0)</f>
        <v>1600</v>
      </c>
      <c r="N377" s="3">
        <f>_xlfn.IFNA(VLOOKUP($A377,[2]stockregister!$A$2:$H$2000,8,0),0)-$M377</f>
        <v>0</v>
      </c>
      <c r="O377" s="3" t="s">
        <v>970</v>
      </c>
      <c r="P377" s="3" t="s">
        <v>970</v>
      </c>
      <c r="Q377" s="3" t="s">
        <v>641</v>
      </c>
      <c r="R377" s="3" t="s">
        <v>126</v>
      </c>
      <c r="S377" s="3" t="s">
        <v>971</v>
      </c>
    </row>
    <row r="378" spans="1:19">
      <c r="A378" s="3">
        <v>372</v>
      </c>
      <c r="B378" s="3" t="b">
        <f>ISNUMBER(MATCH(A378,[1]stockregister!$A$2:$A$2000,0))</f>
        <v>1</v>
      </c>
      <c r="C378" s="3" t="s">
        <v>648</v>
      </c>
      <c r="D378" s="3" t="str">
        <f>VLOOKUP($C378,[1]stockregister!$B$2:$B$2000,1,0)</f>
        <v>SILK &amp;SPICE  750ML</v>
      </c>
      <c r="E378" s="3" t="str">
        <f>IF(ISNA($D378),VLOOKUP($A378,[2]stockregister!$A$2:$B$2000,2,FALSE),"")</f>
        <v/>
      </c>
      <c r="F378" s="3" t="s">
        <v>21</v>
      </c>
      <c r="G378" s="3">
        <f>_xlfn.IFNA(VLOOKUP($A378,[3]stockregister!$A$2:$L$2000,11,0),0)</f>
        <v>57</v>
      </c>
      <c r="H378" s="3">
        <f>_xlfn.IFNA(VLOOKUP($A378,[3]stockregister!$A$2:$L$2000,11,0),0)-$G378</f>
        <v>0</v>
      </c>
      <c r="I378" s="3">
        <f>_xlfn.IFNA(VLOOKUP($A378,[3]stockregister!$A$2:$L$2000,12,0),0)</f>
        <v>868.99</v>
      </c>
      <c r="J378" s="3">
        <f>_xlfn.IFNA(VLOOKUP($A378,[3]stockregister!$A$1:$M$2000,12,0),0)-$I378</f>
        <v>0</v>
      </c>
      <c r="K378" s="3" t="s">
        <v>22</v>
      </c>
      <c r="L378" s="3" t="s">
        <v>23</v>
      </c>
      <c r="M378" s="3">
        <f>_xlfn.IFNA(VLOOKUP($A378,[2]stockregister!$A$2:$H$2000,8,0),0)</f>
        <v>880</v>
      </c>
      <c r="N378" s="3">
        <f>_xlfn.IFNA(VLOOKUP($A378,[2]stockregister!$A$2:$H$2000,8,0),0)-$M378</f>
        <v>0</v>
      </c>
      <c r="O378" s="3" t="s">
        <v>972</v>
      </c>
      <c r="P378" s="3" t="s">
        <v>972</v>
      </c>
      <c r="Q378" s="3" t="s">
        <v>921</v>
      </c>
      <c r="R378" s="3" t="s">
        <v>68</v>
      </c>
      <c r="S378" s="3" t="s">
        <v>549</v>
      </c>
    </row>
    <row r="379" spans="1:19">
      <c r="A379" s="3">
        <v>2248</v>
      </c>
      <c r="B379" s="3" t="b">
        <f>ISNUMBER(MATCH(A379,[1]stockregister!$A$2:$A$2000,0))</f>
        <v>1</v>
      </c>
      <c r="C379" s="3" t="s">
        <v>650</v>
      </c>
      <c r="D379" s="3" t="str">
        <f>VLOOKUP($C379,[1]stockregister!$B$2:$B$2000,1,0)</f>
        <v>VINUM IL ROSSO DABRUZZO ORGANIC 750ML</v>
      </c>
      <c r="E379" s="3" t="str">
        <f>IF(ISNA($D379),VLOOKUP($A379,[2]stockregister!$A$2:$B$2000,2,FALSE),"")</f>
        <v/>
      </c>
      <c r="F379" s="3" t="s">
        <v>21</v>
      </c>
      <c r="G379" s="3">
        <f>_xlfn.IFNA(VLOOKUP($A379,[3]stockregister!$A$2:$L$2000,11,0),0)</f>
        <v>12</v>
      </c>
      <c r="H379" s="3">
        <f>_xlfn.IFNA(VLOOKUP($A379,[3]stockregister!$A$2:$L$2000,11,0),0)-$G379</f>
        <v>0</v>
      </c>
      <c r="I379" s="3">
        <f>_xlfn.IFNA(VLOOKUP($A379,[3]stockregister!$A$2:$L$2000,12,0),0)</f>
        <v>175</v>
      </c>
      <c r="J379" s="3">
        <f>_xlfn.IFNA(VLOOKUP($A379,[3]stockregister!$A$1:$M$2000,12,0),0)-$I379</f>
        <v>0</v>
      </c>
      <c r="K379" s="3" t="s">
        <v>22</v>
      </c>
      <c r="L379" s="3" t="s">
        <v>23</v>
      </c>
      <c r="M379" s="3">
        <f>_xlfn.IFNA(VLOOKUP($A379,[2]stockregister!$A$2:$H$2000,8,0),0)</f>
        <v>180</v>
      </c>
      <c r="N379" s="3">
        <f>_xlfn.IFNA(VLOOKUP($A379,[2]stockregister!$A$2:$H$2000,8,0),0)-$M379</f>
        <v>0</v>
      </c>
      <c r="O379" s="3" t="s">
        <v>973</v>
      </c>
      <c r="P379" s="3" t="s">
        <v>973</v>
      </c>
      <c r="Q379" s="3" t="s">
        <v>974</v>
      </c>
      <c r="R379" s="3" t="s">
        <v>26</v>
      </c>
      <c r="S379" s="3" t="s">
        <v>27</v>
      </c>
    </row>
    <row r="380" spans="1:18">
      <c r="A380" s="3">
        <v>1299</v>
      </c>
      <c r="B380" s="3" t="b">
        <f>ISNUMBER(MATCH(A380,[1]stockregister!$A$2:$A$2000,0))</f>
        <v>1</v>
      </c>
      <c r="C380" s="3" t="s">
        <v>975</v>
      </c>
      <c r="D380" s="3" t="str">
        <f>VLOOKUP($C380,[1]stockregister!$B$2:$B$2000,1,0)</f>
        <v>LONDON HILL DRY GIN 1LTR</v>
      </c>
      <c r="E380" s="3" t="str">
        <f>IF(ISNA($D380),VLOOKUP($A380,[2]stockregister!$A$2:$B$2000,2,FALSE),"")</f>
        <v/>
      </c>
      <c r="F380" s="3" t="s">
        <v>21</v>
      </c>
      <c r="G380" s="3">
        <f>_xlfn.IFNA(VLOOKUP($A380,[3]stockregister!$A$2:$L$2000,11,0),0)</f>
        <v>66</v>
      </c>
      <c r="H380" s="3">
        <f>_xlfn.IFNA(VLOOKUP($A380,[3]stockregister!$A$2:$L$2000,11,0),0)-$G380</f>
        <v>0</v>
      </c>
      <c r="I380" s="3">
        <f>_xlfn.IFNA(VLOOKUP($A380,[3]stockregister!$A$2:$L$2000,12,0),0)</f>
        <v>3312</v>
      </c>
      <c r="J380" s="3">
        <f>_xlfn.IFNA(VLOOKUP($A380,[3]stockregister!$A$1:$M$2000,12,0),0)-$I380</f>
        <v>0</v>
      </c>
      <c r="K380" s="3" t="s">
        <v>22</v>
      </c>
      <c r="L380" s="3" t="s">
        <v>23</v>
      </c>
      <c r="M380" s="3">
        <f>_xlfn.IFNA(VLOOKUP($A380,[2]stockregister!$A$2:$H$2000,8,0),0)</f>
        <v>3600</v>
      </c>
      <c r="N380" s="3">
        <f>_xlfn.IFNA(VLOOKUP($A380,[2]stockregister!$A$2:$H$2000,8,0),0)-$M380</f>
        <v>0</v>
      </c>
      <c r="O380" s="3" t="s">
        <v>976</v>
      </c>
      <c r="P380" s="3" t="s">
        <v>976</v>
      </c>
      <c r="Q380" s="3" t="s">
        <v>977</v>
      </c>
      <c r="R380" s="3" t="s">
        <v>78</v>
      </c>
    </row>
    <row r="381" spans="1:18">
      <c r="A381" s="3">
        <v>954</v>
      </c>
      <c r="B381" s="3" t="b">
        <f>ISNUMBER(MATCH(A381,[1]stockregister!$A$2:$A$2000,0))</f>
        <v>1</v>
      </c>
      <c r="C381" s="3" t="s">
        <v>298</v>
      </c>
      <c r="D381" s="3" t="str">
        <f>VLOOKUP($C381,[1]stockregister!$B$2:$B$2000,1,0)</f>
        <v>HENDRICKS LUNAR GIN 750ML</v>
      </c>
      <c r="E381" s="3" t="str">
        <f>IF(ISNA($D381),VLOOKUP($A381,[2]stockregister!$A$2:$B$2000,2,FALSE),"")</f>
        <v/>
      </c>
      <c r="F381" s="3" t="s">
        <v>21</v>
      </c>
      <c r="G381" s="3">
        <f>_xlfn.IFNA(VLOOKUP($A381,[3]stockregister!$A$2:$L$2000,11,0),0)</f>
        <v>66</v>
      </c>
      <c r="H381" s="3">
        <f>_xlfn.IFNA(VLOOKUP($A381,[3]stockregister!$A$2:$L$2000,11,0),0)-$G381</f>
        <v>0</v>
      </c>
      <c r="I381" s="3">
        <f>_xlfn.IFNA(VLOOKUP($A381,[3]stockregister!$A$2:$L$2000,12,0),0)</f>
        <v>4160</v>
      </c>
      <c r="J381" s="3">
        <f>_xlfn.IFNA(VLOOKUP($A381,[3]stockregister!$A$1:$M$2000,12,0),0)-$I381</f>
        <v>0</v>
      </c>
      <c r="K381" s="3" t="s">
        <v>22</v>
      </c>
      <c r="L381" s="3" t="s">
        <v>23</v>
      </c>
      <c r="M381" s="3">
        <f>_xlfn.IFNA(VLOOKUP($A381,[2]stockregister!$A$2:$H$2000,8,0),0)</f>
        <v>6000</v>
      </c>
      <c r="N381" s="3">
        <f>_xlfn.IFNA(VLOOKUP($A381,[2]stockregister!$A$2:$H$2000,8,0),0)-$M381</f>
        <v>0</v>
      </c>
      <c r="O381" s="3" t="s">
        <v>978</v>
      </c>
      <c r="P381" s="3" t="s">
        <v>978</v>
      </c>
      <c r="Q381" s="3" t="s">
        <v>979</v>
      </c>
      <c r="R381" s="3" t="s">
        <v>78</v>
      </c>
    </row>
    <row r="382" spans="1:19">
      <c r="A382" s="3">
        <v>1596</v>
      </c>
      <c r="B382" s="3" t="b">
        <f>ISNUMBER(MATCH(A382,[1]stockregister!$A$2:$A$2000,0))</f>
        <v>1</v>
      </c>
      <c r="C382" s="3" t="s">
        <v>302</v>
      </c>
      <c r="D382" s="3" t="str">
        <f>VLOOKUP($C382,[1]stockregister!$B$2:$B$2000,1,0)</f>
        <v>BACARDI CARTA ORO GOLD 750ML</v>
      </c>
      <c r="E382" s="3" t="str">
        <f>IF(ISNA($D382),VLOOKUP($A382,[2]stockregister!$A$2:$B$2000,2,FALSE),"")</f>
        <v/>
      </c>
      <c r="F382" s="3" t="s">
        <v>21</v>
      </c>
      <c r="G382" s="3">
        <f>_xlfn.IFNA(VLOOKUP($A382,[3]stockregister!$A$2:$L$2000,11,0),0)</f>
        <v>66</v>
      </c>
      <c r="H382" s="3">
        <f>_xlfn.IFNA(VLOOKUP($A382,[3]stockregister!$A$2:$L$2000,11,0),0)-$G382</f>
        <v>0</v>
      </c>
      <c r="I382" s="3">
        <f>_xlfn.IFNA(VLOOKUP($A382,[3]stockregister!$A$2:$L$2000,12,0),0)</f>
        <v>8740</v>
      </c>
      <c r="J382" s="3">
        <f>_xlfn.IFNA(VLOOKUP($A382,[3]stockregister!$A$1:$M$2000,12,0),0)-$I382</f>
        <v>0</v>
      </c>
      <c r="K382" s="3" t="s">
        <v>22</v>
      </c>
      <c r="L382" s="3" t="s">
        <v>23</v>
      </c>
      <c r="M382" s="3">
        <f>_xlfn.IFNA(VLOOKUP($A382,[2]stockregister!$A$2:$H$2000,8,0),0)</f>
        <v>9500</v>
      </c>
      <c r="N382" s="3">
        <f>_xlfn.IFNA(VLOOKUP($A382,[2]stockregister!$A$2:$H$2000,8,0),0)-$M382</f>
        <v>0</v>
      </c>
      <c r="O382" s="3" t="s">
        <v>980</v>
      </c>
      <c r="P382" s="3" t="s">
        <v>980</v>
      </c>
      <c r="Q382" s="3" t="s">
        <v>849</v>
      </c>
      <c r="R382" s="3" t="s">
        <v>73</v>
      </c>
      <c r="S382" s="3" t="s">
        <v>85</v>
      </c>
    </row>
    <row r="383" spans="1:18">
      <c r="A383" s="3">
        <v>735</v>
      </c>
      <c r="B383" s="3" t="b">
        <f>ISNUMBER(MATCH(A383,[1]stockregister!$A$2:$A$2000,0))</f>
        <v>1</v>
      </c>
      <c r="C383" s="3" t="s">
        <v>305</v>
      </c>
      <c r="D383" s="3" t="str">
        <f>VLOOKUP($C383,[1]stockregister!$B$2:$B$2000,1,0)</f>
        <v>CONSIGNIA  MERLOT 750ML</v>
      </c>
      <c r="E383" s="3" t="str">
        <f>IF(ISNA($D383),VLOOKUP($A383,[2]stockregister!$A$2:$B$2000,2,FALSE),"")</f>
        <v/>
      </c>
      <c r="F383" s="3" t="s">
        <v>21</v>
      </c>
      <c r="G383" s="3">
        <f>_xlfn.IFNA(VLOOKUP($A383,[3]stockregister!$A$2:$L$2000,11,0),0)</f>
        <v>66</v>
      </c>
      <c r="H383" s="3">
        <f>_xlfn.IFNA(VLOOKUP($A383,[3]stockregister!$A$2:$L$2000,11,0),0)-$G383</f>
        <v>0</v>
      </c>
      <c r="I383" s="3">
        <f>_xlfn.IFNA(VLOOKUP($A383,[3]stockregister!$A$2:$L$2000,12,0),0)</f>
        <v>950</v>
      </c>
      <c r="J383" s="3">
        <f>_xlfn.IFNA(VLOOKUP($A383,[3]stockregister!$A$1:$M$2000,12,0),0)-$I383</f>
        <v>0</v>
      </c>
      <c r="K383" s="3" t="s">
        <v>22</v>
      </c>
      <c r="L383" s="3" t="s">
        <v>23</v>
      </c>
      <c r="M383" s="3">
        <f>_xlfn.IFNA(VLOOKUP($A383,[2]stockregister!$A$2:$H$2000,8,0),0)</f>
        <v>1200</v>
      </c>
      <c r="N383" s="3">
        <f>_xlfn.IFNA(VLOOKUP($A383,[2]stockregister!$A$2:$H$2000,8,0),0)-$M383</f>
        <v>0</v>
      </c>
      <c r="O383" s="3" t="s">
        <v>981</v>
      </c>
      <c r="P383" s="3" t="s">
        <v>981</v>
      </c>
      <c r="Q383" s="3" t="s">
        <v>982</v>
      </c>
      <c r="R383" s="3" t="s">
        <v>318</v>
      </c>
    </row>
    <row r="384" spans="1:19">
      <c r="A384" s="3">
        <v>2277</v>
      </c>
      <c r="B384" s="3" t="b">
        <f>ISNUMBER(MATCH(A384,[1]stockregister!$A$2:$A$2000,0))</f>
        <v>1</v>
      </c>
      <c r="C384" s="3" t="s">
        <v>308</v>
      </c>
      <c r="D384" s="3" t="str">
        <f>VLOOKUP($C384,[1]stockregister!$B$2:$B$2000,1,0)</f>
        <v>ROSSO NOBILE CHERRY  750ML</v>
      </c>
      <c r="E384" s="3" t="str">
        <f>IF(ISNA($D384),VLOOKUP($A384,[2]stockregister!$A$2:$B$2000,2,FALSE),"")</f>
        <v/>
      </c>
      <c r="F384" s="3" t="s">
        <v>21</v>
      </c>
      <c r="G384" s="3">
        <f>_xlfn.IFNA(VLOOKUP($A384,[3]stockregister!$A$2:$L$2000,11,0),0)</f>
        <v>66</v>
      </c>
      <c r="H384" s="3">
        <f>_xlfn.IFNA(VLOOKUP($A384,[3]stockregister!$A$2:$L$2000,11,0),0)-$G384</f>
        <v>0</v>
      </c>
      <c r="I384" s="3">
        <f>_xlfn.IFNA(VLOOKUP($A384,[3]stockregister!$A$2:$L$2000,12,0),0)</f>
        <v>950</v>
      </c>
      <c r="J384" s="3">
        <f>_xlfn.IFNA(VLOOKUP($A384,[3]stockregister!$A$1:$M$2000,12,0),0)-$I384</f>
        <v>0</v>
      </c>
      <c r="K384" s="3" t="s">
        <v>22</v>
      </c>
      <c r="L384" s="3" t="s">
        <v>23</v>
      </c>
      <c r="M384" s="3">
        <f>_xlfn.IFNA(VLOOKUP($A384,[2]stockregister!$A$2:$H$2000,8,0),0)</f>
        <v>1000</v>
      </c>
      <c r="N384" s="3">
        <f>_xlfn.IFNA(VLOOKUP($A384,[2]stockregister!$A$2:$H$2000,8,0),0)-$M384</f>
        <v>0</v>
      </c>
      <c r="O384" s="3" t="s">
        <v>983</v>
      </c>
      <c r="P384" s="3" t="s">
        <v>983</v>
      </c>
      <c r="Q384" s="3" t="s">
        <v>984</v>
      </c>
      <c r="R384" s="3" t="s">
        <v>68</v>
      </c>
      <c r="S384" s="3" t="s">
        <v>985</v>
      </c>
    </row>
    <row r="385" spans="1:19">
      <c r="A385" s="3">
        <v>2253</v>
      </c>
      <c r="B385" s="3" t="b">
        <f>ISNUMBER(MATCH(A385,[1]stockregister!$A$2:$A$2000,0))</f>
        <v>1</v>
      </c>
      <c r="C385" s="3" t="s">
        <v>310</v>
      </c>
      <c r="D385" s="3" t="str">
        <f>VLOOKUP($C385,[1]stockregister!$B$2:$B$2000,1,0)</f>
        <v>WHITLEY NEILL BLACK BERRY GIN 750ML </v>
      </c>
      <c r="E385" s="3" t="str">
        <f>IF(ISNA($D385),VLOOKUP($A385,[2]stockregister!$A$2:$B$2000,2,FALSE),"")</f>
        <v/>
      </c>
      <c r="F385" s="3" t="s">
        <v>21</v>
      </c>
      <c r="G385" s="3">
        <f>_xlfn.IFNA(VLOOKUP($A385,[3]stockregister!$A$2:$L$2000,11,0),0)</f>
        <v>66</v>
      </c>
      <c r="H385" s="3">
        <f>_xlfn.IFNA(VLOOKUP($A385,[3]stockregister!$A$2:$L$2000,11,0),0)-$G385</f>
        <v>0</v>
      </c>
      <c r="I385" s="3">
        <f>_xlfn.IFNA(VLOOKUP($A385,[3]stockregister!$A$2:$L$2000,12,0),0)</f>
        <v>2900</v>
      </c>
      <c r="J385" s="3">
        <f>_xlfn.IFNA(VLOOKUP($A385,[3]stockregister!$A$1:$M$2000,12,0),0)-$I385</f>
        <v>0</v>
      </c>
      <c r="K385" s="3" t="s">
        <v>22</v>
      </c>
      <c r="L385" s="3" t="s">
        <v>23</v>
      </c>
      <c r="M385" s="3">
        <f>_xlfn.IFNA(VLOOKUP($A385,[2]stockregister!$A$2:$H$2000,8,0),0)</f>
        <v>3000</v>
      </c>
      <c r="N385" s="3">
        <f>_xlfn.IFNA(VLOOKUP($A385,[2]stockregister!$A$2:$H$2000,8,0),0)-$M385</f>
        <v>0</v>
      </c>
      <c r="O385" s="3" t="s">
        <v>986</v>
      </c>
      <c r="P385" s="3" t="s">
        <v>986</v>
      </c>
      <c r="Q385" s="3" t="s">
        <v>987</v>
      </c>
      <c r="R385" s="3" t="s">
        <v>68</v>
      </c>
      <c r="S385" s="3" t="s">
        <v>69</v>
      </c>
    </row>
    <row r="386" spans="1:19">
      <c r="A386" s="3">
        <v>939</v>
      </c>
      <c r="B386" s="3" t="b">
        <f>ISNUMBER(MATCH(A386,[1]stockregister!$A$2:$A$2000,0))</f>
        <v>1</v>
      </c>
      <c r="C386" s="3" t="s">
        <v>312</v>
      </c>
      <c r="D386" s="3" t="str">
        <f>VLOOKUP($C386,[1]stockregister!$B$2:$B$2000,1,0)</f>
        <v>ERISTOFF 750ML </v>
      </c>
      <c r="E386" s="3" t="str">
        <f>IF(ISNA($D386),VLOOKUP($A386,[2]stockregister!$A$2:$B$2000,2,FALSE),"")</f>
        <v/>
      </c>
      <c r="F386" s="3" t="s">
        <v>21</v>
      </c>
      <c r="G386" s="3">
        <f>_xlfn.IFNA(VLOOKUP($A386,[3]stockregister!$A$2:$L$2000,11,0),0)</f>
        <v>64</v>
      </c>
      <c r="H386" s="3">
        <f>_xlfn.IFNA(VLOOKUP($A386,[3]stockregister!$A$2:$L$2000,11,0),0)-$G386</f>
        <v>0</v>
      </c>
      <c r="I386" s="3">
        <f>_xlfn.IFNA(VLOOKUP($A386,[3]stockregister!$A$2:$L$2000,12,0),0)</f>
        <v>2300</v>
      </c>
      <c r="J386" s="3">
        <f>_xlfn.IFNA(VLOOKUP($A386,[3]stockregister!$A$1:$M$2000,12,0),0)-$I386</f>
        <v>0</v>
      </c>
      <c r="K386" s="3" t="s">
        <v>22</v>
      </c>
      <c r="L386" s="3" t="s">
        <v>23</v>
      </c>
      <c r="M386" s="3">
        <f>_xlfn.IFNA(VLOOKUP($A386,[2]stockregister!$A$2:$H$2000,8,0),0)</f>
        <v>2500</v>
      </c>
      <c r="N386" s="3">
        <f>_xlfn.IFNA(VLOOKUP($A386,[2]stockregister!$A$2:$H$2000,8,0),0)-$M386</f>
        <v>0</v>
      </c>
      <c r="O386" s="3" t="s">
        <v>988</v>
      </c>
      <c r="P386" s="3" t="s">
        <v>988</v>
      </c>
      <c r="Q386" s="3" t="s">
        <v>989</v>
      </c>
      <c r="R386" s="3" t="s">
        <v>68</v>
      </c>
      <c r="S386" s="3" t="s">
        <v>990</v>
      </c>
    </row>
    <row r="387" spans="1:19">
      <c r="A387" s="3">
        <v>2122</v>
      </c>
      <c r="B387" s="3" t="b">
        <f>ISNUMBER(MATCH(A387,[1]stockregister!$A$2:$A$2000,0))</f>
        <v>1</v>
      </c>
      <c r="C387" s="3" t="s">
        <v>314</v>
      </c>
      <c r="D387" s="3" t="str">
        <f>VLOOKUP($C387,[1]stockregister!$B$2:$B$2000,1,0)</f>
        <v>CARLO ROSSI DRY WHITE 3LTR </v>
      </c>
      <c r="E387" s="3" t="str">
        <f>IF(ISNA($D387),VLOOKUP($A387,[2]stockregister!$A$2:$B$2000,2,FALSE),"")</f>
        <v/>
      </c>
      <c r="F387" s="3" t="s">
        <v>21</v>
      </c>
      <c r="G387" s="3">
        <f>_xlfn.IFNA(VLOOKUP($A387,[3]stockregister!$A$2:$L$2000,11,0),0)</f>
        <v>63</v>
      </c>
      <c r="H387" s="3">
        <f>_xlfn.IFNA(VLOOKUP($A387,[3]stockregister!$A$2:$L$2000,11,0),0)-$G387</f>
        <v>0</v>
      </c>
      <c r="I387" s="3">
        <f>_xlfn.IFNA(VLOOKUP($A387,[3]stockregister!$A$2:$L$2000,12,0),0)</f>
        <v>1564</v>
      </c>
      <c r="J387" s="3">
        <f>_xlfn.IFNA(VLOOKUP($A387,[3]stockregister!$A$1:$M$2000,12,0),0)-$I387</f>
        <v>0</v>
      </c>
      <c r="K387" s="3" t="s">
        <v>22</v>
      </c>
      <c r="L387" s="3" t="s">
        <v>23</v>
      </c>
      <c r="M387" s="3">
        <f>_xlfn.IFNA(VLOOKUP($A387,[2]stockregister!$A$2:$H$2000,8,0),0)</f>
        <v>1700</v>
      </c>
      <c r="N387" s="3">
        <f>_xlfn.IFNA(VLOOKUP($A387,[2]stockregister!$A$2:$H$2000,8,0),0)-$M387</f>
        <v>0</v>
      </c>
      <c r="O387" s="3" t="s">
        <v>991</v>
      </c>
      <c r="P387" s="3" t="s">
        <v>991</v>
      </c>
      <c r="Q387" s="3" t="s">
        <v>471</v>
      </c>
      <c r="R387" s="3" t="s">
        <v>92</v>
      </c>
      <c r="S387" s="3" t="s">
        <v>134</v>
      </c>
    </row>
    <row r="388" spans="1:19">
      <c r="A388" s="3">
        <v>2615</v>
      </c>
      <c r="B388" s="3" t="b">
        <f>ISNUMBER(MATCH(A388,[1]stockregister!$A$2:$A$2000,0))</f>
        <v>1</v>
      </c>
      <c r="C388" s="3" t="s">
        <v>315</v>
      </c>
      <c r="D388" s="3" t="str">
        <f>VLOOKUP($C388,[1]stockregister!$B$2:$B$2000,1,0)</f>
        <v>BUTLERS  CRÈME DE BANANA 750ML</v>
      </c>
      <c r="E388" s="3" t="str">
        <f>IF(ISNA($D388),VLOOKUP($A388,[2]stockregister!$A$2:$B$2000,2,FALSE),"")</f>
        <v/>
      </c>
      <c r="F388" s="3" t="s">
        <v>21</v>
      </c>
      <c r="G388" s="3">
        <f>_xlfn.IFNA(VLOOKUP($A388,[3]stockregister!$A$2:$L$2000,11,0),0)</f>
        <v>24</v>
      </c>
      <c r="H388" s="3">
        <f>_xlfn.IFNA(VLOOKUP($A388,[3]stockregister!$A$2:$L$2000,11,0),0)-$G388</f>
        <v>0</v>
      </c>
      <c r="I388" s="3">
        <f>_xlfn.IFNA(VLOOKUP($A388,[3]stockregister!$A$2:$L$2000,12,0),0)</f>
        <v>54.17</v>
      </c>
      <c r="J388" s="3">
        <f>_xlfn.IFNA(VLOOKUP($A388,[3]stockregister!$A$1:$M$2000,12,0),0)-$I388</f>
        <v>0</v>
      </c>
      <c r="K388" s="3" t="s">
        <v>22</v>
      </c>
      <c r="L388" s="3" t="s">
        <v>23</v>
      </c>
      <c r="M388" s="3">
        <f>_xlfn.IFNA(VLOOKUP($A388,[2]stockregister!$A$2:$H$2000,8,0),0)</f>
        <v>70</v>
      </c>
      <c r="N388" s="3">
        <f>_xlfn.IFNA(VLOOKUP($A388,[2]stockregister!$A$2:$H$2000,8,0),0)-$M388</f>
        <v>0</v>
      </c>
      <c r="O388" s="3" t="s">
        <v>992</v>
      </c>
      <c r="P388" s="3" t="s">
        <v>992</v>
      </c>
      <c r="Q388" s="3" t="s">
        <v>993</v>
      </c>
      <c r="R388" s="3" t="s">
        <v>26</v>
      </c>
      <c r="S388" s="3" t="s">
        <v>680</v>
      </c>
    </row>
    <row r="389" spans="1:19">
      <c r="A389" s="3">
        <v>2826</v>
      </c>
      <c r="B389" s="3" t="b">
        <f>ISNUMBER(MATCH(A389,[1]stockregister!$A$2:$A$2000,0))</f>
        <v>1</v>
      </c>
      <c r="C389" s="3" t="s">
        <v>319</v>
      </c>
      <c r="D389" s="3" t="str">
        <f>VLOOKUP($C389,[1]stockregister!$B$2:$B$2000,1,0)</f>
        <v>EMBER PINE POA 750  ML</v>
      </c>
      <c r="E389" s="3" t="str">
        <f>IF(ISNA($D389),VLOOKUP($A389,[2]stockregister!$A$2:$B$2000,2,FALSE),"")</f>
        <v/>
      </c>
      <c r="F389" s="3" t="s">
        <v>21</v>
      </c>
      <c r="G389" s="3">
        <f>_xlfn.IFNA(VLOOKUP($A389,[3]stockregister!$A$2:$L$2000,11,0),0)</f>
        <v>48</v>
      </c>
      <c r="H389" s="3">
        <f>_xlfn.IFNA(VLOOKUP($A389,[3]stockregister!$A$2:$L$2000,11,0),0)-$G389</f>
        <v>0</v>
      </c>
      <c r="I389" s="3">
        <f>_xlfn.IFNA(VLOOKUP($A389,[3]stockregister!$A$2:$L$2000,12,0),0)</f>
        <v>133.33</v>
      </c>
      <c r="J389" s="3">
        <f>_xlfn.IFNA(VLOOKUP($A389,[3]stockregister!$A$1:$M$2000,12,0),0)-$I389</f>
        <v>0</v>
      </c>
      <c r="K389" s="3" t="s">
        <v>22</v>
      </c>
      <c r="L389" s="3" t="s">
        <v>23</v>
      </c>
      <c r="M389" s="3">
        <f>_xlfn.IFNA(VLOOKUP($A389,[2]stockregister!$A$2:$H$2000,8,0),0)</f>
        <v>139.99</v>
      </c>
      <c r="N389" s="3">
        <f>_xlfn.IFNA(VLOOKUP($A389,[2]stockregister!$A$2:$H$2000,8,0),0)-$M389</f>
        <v>0</v>
      </c>
      <c r="O389" s="3" t="s">
        <v>994</v>
      </c>
      <c r="P389" s="3" t="s">
        <v>994</v>
      </c>
      <c r="Q389" s="3" t="s">
        <v>790</v>
      </c>
      <c r="R389" s="3" t="s">
        <v>216</v>
      </c>
      <c r="S389" s="3" t="s">
        <v>791</v>
      </c>
    </row>
    <row r="390" spans="1:18">
      <c r="A390" s="3">
        <v>1986</v>
      </c>
      <c r="B390" s="3" t="b">
        <f>ISNUMBER(MATCH(A390,[1]stockregister!$A$2:$A$2000,0))</f>
        <v>1</v>
      </c>
      <c r="C390" s="3" t="s">
        <v>323</v>
      </c>
      <c r="D390" s="3" t="str">
        <f>VLOOKUP($C390,[1]stockregister!$B$2:$B$2000,1,0)</f>
        <v>JAMESON SINGLE  POT STILL 750ML</v>
      </c>
      <c r="E390" s="3" t="str">
        <f>IF(ISNA($D390),VLOOKUP($A390,[2]stockregister!$A$2:$B$2000,2,FALSE),"")</f>
        <v/>
      </c>
      <c r="F390" s="3" t="s">
        <v>21</v>
      </c>
      <c r="G390" s="3">
        <f>_xlfn.IFNA(VLOOKUP($A390,[3]stockregister!$A$2:$L$2000,11,0),0)</f>
        <v>60</v>
      </c>
      <c r="H390" s="3">
        <f>_xlfn.IFNA(VLOOKUP($A390,[3]stockregister!$A$2:$L$2000,11,0),0)-$G390</f>
        <v>0</v>
      </c>
      <c r="I390" s="3">
        <f>_xlfn.IFNA(VLOOKUP($A390,[3]stockregister!$A$2:$L$2000,12,0),0)</f>
        <v>2100</v>
      </c>
      <c r="J390" s="3">
        <f>_xlfn.IFNA(VLOOKUP($A390,[3]stockregister!$A$1:$M$2000,12,0),0)-$I390</f>
        <v>0</v>
      </c>
      <c r="K390" s="3" t="s">
        <v>22</v>
      </c>
      <c r="L390" s="3" t="s">
        <v>23</v>
      </c>
      <c r="M390" s="3">
        <f>_xlfn.IFNA(VLOOKUP($A390,[2]stockregister!$A$2:$H$2000,8,0),0)</f>
        <v>2100</v>
      </c>
      <c r="N390" s="3">
        <f>_xlfn.IFNA(VLOOKUP($A390,[2]stockregister!$A$2:$H$2000,8,0),0)-$M390</f>
        <v>0</v>
      </c>
      <c r="O390" s="3" t="s">
        <v>995</v>
      </c>
      <c r="P390" s="3" t="s">
        <v>995</v>
      </c>
      <c r="Q390" s="3" t="s">
        <v>996</v>
      </c>
      <c r="R390" s="3" t="s">
        <v>109</v>
      </c>
    </row>
    <row r="391" spans="1:18">
      <c r="A391" s="3">
        <v>1176</v>
      </c>
      <c r="B391" s="3" t="b">
        <f>ISNUMBER(MATCH(A391,[1]stockregister!$A$2:$A$2000,0))</f>
        <v>1</v>
      </c>
      <c r="C391" s="3" t="s">
        <v>326</v>
      </c>
      <c r="D391" s="3" t="str">
        <f>VLOOKUP($C391,[1]stockregister!$B$2:$B$2000,1,0)</f>
        <v>PENASOL TEMPRANILLO GARNACHA 750ML</v>
      </c>
      <c r="E391" s="3" t="str">
        <f>IF(ISNA($D391),VLOOKUP($A391,[2]stockregister!$A$2:$B$2000,2,FALSE),"")</f>
        <v/>
      </c>
      <c r="F391" s="3" t="s">
        <v>21</v>
      </c>
      <c r="G391" s="3">
        <f>_xlfn.IFNA(VLOOKUP($A391,[3]stockregister!$A$2:$L$2000,11,0),0)</f>
        <v>60</v>
      </c>
      <c r="H391" s="3">
        <f>_xlfn.IFNA(VLOOKUP($A391,[3]stockregister!$A$2:$L$2000,11,0),0)-$G391</f>
        <v>0</v>
      </c>
      <c r="I391" s="3">
        <f>_xlfn.IFNA(VLOOKUP($A391,[3]stockregister!$A$2:$L$2000,12,0),0)</f>
        <v>782</v>
      </c>
      <c r="J391" s="3">
        <f>_xlfn.IFNA(VLOOKUP($A391,[3]stockregister!$A$1:$M$2000,12,0),0)-$I391</f>
        <v>0</v>
      </c>
      <c r="K391" s="3" t="s">
        <v>22</v>
      </c>
      <c r="L391" s="3" t="s">
        <v>23</v>
      </c>
      <c r="M391" s="3">
        <f>_xlfn.IFNA(VLOOKUP($A391,[2]stockregister!$A$2:$H$2000,8,0),0)</f>
        <v>850</v>
      </c>
      <c r="N391" s="3">
        <f>_xlfn.IFNA(VLOOKUP($A391,[2]stockregister!$A$2:$H$2000,8,0),0)-$M391</f>
        <v>0</v>
      </c>
      <c r="O391" s="3" t="s">
        <v>997</v>
      </c>
      <c r="P391" s="3" t="s">
        <v>997</v>
      </c>
      <c r="Q391" s="3" t="s">
        <v>998</v>
      </c>
      <c r="R391" s="3" t="s">
        <v>78</v>
      </c>
    </row>
    <row r="392" spans="1:18">
      <c r="A392" s="3">
        <v>1958</v>
      </c>
      <c r="B392" s="3" t="b">
        <f>ISNUMBER(MATCH(A392,[1]stockregister!$A$2:$A$2000,0))</f>
        <v>1</v>
      </c>
      <c r="C392" s="3" t="s">
        <v>328</v>
      </c>
      <c r="D392" s="3" t="str">
        <f>VLOOKUP($C392,[1]stockregister!$B$2:$B$2000,1,0)</f>
        <v>TASSENBERG  750ML</v>
      </c>
      <c r="E392" s="3" t="str">
        <f>IF(ISNA($D392),VLOOKUP($A392,[2]stockregister!$A$2:$B$2000,2,FALSE),"")</f>
        <v/>
      </c>
      <c r="F392" s="3" t="s">
        <v>21</v>
      </c>
      <c r="G392" s="3">
        <f>_xlfn.IFNA(VLOOKUP($A392,[3]stockregister!$A$2:$L$2000,11,0),0)</f>
        <v>54</v>
      </c>
      <c r="H392" s="3">
        <f>_xlfn.IFNA(VLOOKUP($A392,[3]stockregister!$A$2:$L$2000,11,0),0)-$G392</f>
        <v>0</v>
      </c>
      <c r="I392" s="3">
        <f>_xlfn.IFNA(VLOOKUP($A392,[3]stockregister!$A$2:$L$2000,12,0),0)</f>
        <v>4600</v>
      </c>
      <c r="J392" s="3">
        <f>_xlfn.IFNA(VLOOKUP($A392,[3]stockregister!$A$1:$M$2000,12,0),0)-$I392</f>
        <v>0</v>
      </c>
      <c r="K392" s="3" t="s">
        <v>22</v>
      </c>
      <c r="L392" s="3" t="s">
        <v>23</v>
      </c>
      <c r="M392" s="3">
        <f>_xlfn.IFNA(VLOOKUP($A392,[2]stockregister!$A$2:$H$2000,8,0),0)</f>
        <v>5000</v>
      </c>
      <c r="N392" s="3">
        <f>_xlfn.IFNA(VLOOKUP($A392,[2]stockregister!$A$2:$H$2000,8,0),0)-$M392</f>
        <v>0</v>
      </c>
      <c r="O392" s="3" t="s">
        <v>999</v>
      </c>
      <c r="P392" s="3" t="s">
        <v>999</v>
      </c>
      <c r="Q392" s="3" t="s">
        <v>1000</v>
      </c>
      <c r="R392" s="3" t="s">
        <v>78</v>
      </c>
    </row>
    <row r="393" spans="1:18">
      <c r="A393" s="3">
        <v>957</v>
      </c>
      <c r="B393" s="3" t="b">
        <f>ISNUMBER(MATCH(A393,[1]stockregister!$A$2:$A$2000,0))</f>
        <v>1</v>
      </c>
      <c r="C393" s="3" t="s">
        <v>331</v>
      </c>
      <c r="D393" s="3" t="str">
        <f>VLOOKUP($C393,[1]stockregister!$B$2:$B$2000,1,0)</f>
        <v>MAISON CASTEL  SAUV BLANC 750ML</v>
      </c>
      <c r="E393" s="3" t="str">
        <f>IF(ISNA($D393),VLOOKUP($A393,[2]stockregister!$A$2:$B$2000,2,FALSE),"")</f>
        <v/>
      </c>
      <c r="F393" s="3" t="s">
        <v>21</v>
      </c>
      <c r="G393" s="3">
        <f>_xlfn.IFNA(VLOOKUP($A393,[3]stockregister!$A$2:$L$2000,11,0),0)</f>
        <v>60</v>
      </c>
      <c r="H393" s="3">
        <f>_xlfn.IFNA(VLOOKUP($A393,[3]stockregister!$A$2:$L$2000,11,0),0)-$G393</f>
        <v>0</v>
      </c>
      <c r="I393" s="3">
        <f>_xlfn.IFNA(VLOOKUP($A393,[3]stockregister!$A$2:$L$2000,12,0),0)</f>
        <v>4462</v>
      </c>
      <c r="J393" s="3">
        <f>_xlfn.IFNA(VLOOKUP($A393,[3]stockregister!$A$1:$M$2000,12,0),0)-$I393</f>
        <v>0</v>
      </c>
      <c r="K393" s="3" t="s">
        <v>22</v>
      </c>
      <c r="L393" s="3" t="s">
        <v>23</v>
      </c>
      <c r="M393" s="3">
        <f>_xlfn.IFNA(VLOOKUP($A393,[2]stockregister!$A$2:$H$2000,8,0),0)</f>
        <v>4850</v>
      </c>
      <c r="N393" s="3">
        <f>_xlfn.IFNA(VLOOKUP($A393,[2]stockregister!$A$2:$H$2000,8,0),0)-$M393</f>
        <v>0</v>
      </c>
      <c r="O393" s="3" t="s">
        <v>1001</v>
      </c>
      <c r="P393" s="3" t="s">
        <v>1001</v>
      </c>
      <c r="Q393" s="3" t="s">
        <v>979</v>
      </c>
      <c r="R393" s="3" t="s">
        <v>78</v>
      </c>
    </row>
    <row r="394" spans="1:18">
      <c r="A394" s="3">
        <v>1490</v>
      </c>
      <c r="B394" s="3" t="b">
        <f>ISNUMBER(MATCH(A394,[1]stockregister!$A$2:$A$2000,0))</f>
        <v>1</v>
      </c>
      <c r="C394" s="3" t="s">
        <v>335</v>
      </c>
      <c r="D394" s="3" t="str">
        <f>VLOOKUP($C394,[1]stockregister!$B$2:$B$2000,1,0)</f>
        <v>GREY GOOSE VODKA  750ML</v>
      </c>
      <c r="E394" s="3" t="str">
        <f>IF(ISNA($D394),VLOOKUP($A394,[2]stockregister!$A$2:$B$2000,2,FALSE),"")</f>
        <v/>
      </c>
      <c r="F394" s="3" t="s">
        <v>21</v>
      </c>
      <c r="G394" s="3">
        <f>_xlfn.IFNA(VLOOKUP($A394,[3]stockregister!$A$2:$L$2000,11,0),0)</f>
        <v>60</v>
      </c>
      <c r="H394" s="3">
        <f>_xlfn.IFNA(VLOOKUP($A394,[3]stockregister!$A$2:$L$2000,11,0),0)-$G394</f>
        <v>0</v>
      </c>
      <c r="I394" s="3">
        <f>_xlfn.IFNA(VLOOKUP($A394,[3]stockregister!$A$2:$L$2000,12,0),0)</f>
        <v>598</v>
      </c>
      <c r="J394" s="3">
        <f>_xlfn.IFNA(VLOOKUP($A394,[3]stockregister!$A$1:$M$2000,12,0),0)-$I394</f>
        <v>0</v>
      </c>
      <c r="K394" s="3" t="s">
        <v>22</v>
      </c>
      <c r="L394" s="3" t="s">
        <v>23</v>
      </c>
      <c r="M394" s="3">
        <f>_xlfn.IFNA(VLOOKUP($A394,[2]stockregister!$A$2:$H$2000,8,0),0)</f>
        <v>650</v>
      </c>
      <c r="N394" s="3">
        <f>_xlfn.IFNA(VLOOKUP($A394,[2]stockregister!$A$2:$H$2000,8,0),0)-$M394</f>
        <v>0</v>
      </c>
      <c r="O394" s="3" t="s">
        <v>1002</v>
      </c>
      <c r="P394" s="3" t="s">
        <v>1002</v>
      </c>
      <c r="Q394" s="3" t="s">
        <v>1003</v>
      </c>
      <c r="R394" s="3" t="s">
        <v>78</v>
      </c>
    </row>
    <row r="395" spans="1:19">
      <c r="A395" s="3">
        <v>504</v>
      </c>
      <c r="B395" s="3" t="b">
        <f>ISNUMBER(MATCH(A395,[1]stockregister!$A$2:$A$2000,0))</f>
        <v>1</v>
      </c>
      <c r="C395" s="3" t="s">
        <v>337</v>
      </c>
      <c r="D395" s="3" t="str">
        <f>VLOOKUP($C395,[1]stockregister!$B$2:$B$2000,1,0)</f>
        <v>EXPRESSION SWEET WHITE  750ml</v>
      </c>
      <c r="E395" s="3" t="str">
        <f>IF(ISNA($D395),VLOOKUP($A395,[2]stockregister!$A$2:$B$2000,2,FALSE),"")</f>
        <v/>
      </c>
      <c r="F395" s="3" t="s">
        <v>21</v>
      </c>
      <c r="G395" s="3">
        <f>_xlfn.IFNA(VLOOKUP($A395,[3]stockregister!$A$2:$L$2000,11,0),0)</f>
        <v>48</v>
      </c>
      <c r="H395" s="3">
        <f>_xlfn.IFNA(VLOOKUP($A395,[3]stockregister!$A$2:$L$2000,11,0),0)-$G395</f>
        <v>0</v>
      </c>
      <c r="I395" s="3">
        <f>_xlfn.IFNA(VLOOKUP($A395,[3]stockregister!$A$2:$L$2000,12,0),0)</f>
        <v>2653</v>
      </c>
      <c r="J395" s="3">
        <f>_xlfn.IFNA(VLOOKUP($A395,[3]stockregister!$A$1:$M$2000,12,0),0)-$I395</f>
        <v>0</v>
      </c>
      <c r="K395" s="3" t="s">
        <v>22</v>
      </c>
      <c r="L395" s="3" t="s">
        <v>23</v>
      </c>
      <c r="M395" s="3">
        <f>_xlfn.IFNA(VLOOKUP($A395,[2]stockregister!$A$2:$H$2000,8,0),0)</f>
        <v>3500</v>
      </c>
      <c r="N395" s="3">
        <f>_xlfn.IFNA(VLOOKUP($A395,[2]stockregister!$A$2:$H$2000,8,0),0)-$M395</f>
        <v>0</v>
      </c>
      <c r="O395" s="3" t="s">
        <v>1004</v>
      </c>
      <c r="P395" s="3" t="s">
        <v>1004</v>
      </c>
      <c r="Q395" s="3" t="s">
        <v>1005</v>
      </c>
      <c r="R395" s="3" t="s">
        <v>126</v>
      </c>
      <c r="S395" s="3" t="s">
        <v>1006</v>
      </c>
    </row>
    <row r="396" spans="1:19">
      <c r="A396" s="3">
        <v>143</v>
      </c>
      <c r="B396" s="3" t="b">
        <f>ISNUMBER(MATCH(A396,[1]stockregister!$A$2:$A$2000,0))</f>
        <v>1</v>
      </c>
      <c r="C396" s="3" t="s">
        <v>339</v>
      </c>
      <c r="D396" s="3" t="str">
        <f>VLOOKUP($C396,[1]stockregister!$B$2:$B$2000,1,0)</f>
        <v>WHITLEY NEILL BLOOD ORANGE  GIN 750ML </v>
      </c>
      <c r="E396" s="3" t="str">
        <f>IF(ISNA($D396),VLOOKUP($A396,[2]stockregister!$A$2:$B$2000,2,FALSE),"")</f>
        <v/>
      </c>
      <c r="F396" s="3" t="s">
        <v>21</v>
      </c>
      <c r="G396" s="3">
        <f>_xlfn.IFNA(VLOOKUP($A396,[3]stockregister!$A$2:$L$2000,11,0),0)</f>
        <v>42</v>
      </c>
      <c r="H396" s="3">
        <f>_xlfn.IFNA(VLOOKUP($A396,[3]stockregister!$A$2:$L$2000,11,0),0)-$G396</f>
        <v>0</v>
      </c>
      <c r="I396" s="3">
        <f>_xlfn.IFNA(VLOOKUP($A396,[3]stockregister!$A$2:$L$2000,12,0),0)</f>
        <v>1840</v>
      </c>
      <c r="J396" s="3">
        <f>_xlfn.IFNA(VLOOKUP($A396,[3]stockregister!$A$1:$M$2000,12,0),0)-$I396</f>
        <v>0</v>
      </c>
      <c r="K396" s="3" t="s">
        <v>22</v>
      </c>
      <c r="L396" s="3" t="s">
        <v>23</v>
      </c>
      <c r="M396" s="3">
        <f>_xlfn.IFNA(VLOOKUP($A396,[2]stockregister!$A$2:$H$2000,8,0),0)</f>
        <v>2000</v>
      </c>
      <c r="N396" s="3">
        <f>_xlfn.IFNA(VLOOKUP($A396,[2]stockregister!$A$2:$H$2000,8,0),0)-$M396</f>
        <v>0</v>
      </c>
      <c r="O396" s="3" t="s">
        <v>1007</v>
      </c>
      <c r="P396" s="3" t="s">
        <v>1007</v>
      </c>
      <c r="Q396" s="3" t="s">
        <v>956</v>
      </c>
      <c r="R396" s="3" t="s">
        <v>156</v>
      </c>
      <c r="S396" s="3" t="s">
        <v>74</v>
      </c>
    </row>
    <row r="397" spans="1:19">
      <c r="A397" s="3">
        <v>1948</v>
      </c>
      <c r="B397" s="3" t="b">
        <f>ISNUMBER(MATCH(A397,[1]stockregister!$A$2:$A$2000,0))</f>
        <v>1</v>
      </c>
      <c r="C397" s="3" t="s">
        <v>343</v>
      </c>
      <c r="D397" s="3" t="str">
        <f>VLOOKUP($C397,[1]stockregister!$B$2:$B$2000,1,0)</f>
        <v>LIONS DRY WHITE  750ML</v>
      </c>
      <c r="E397" s="3" t="str">
        <f>IF(ISNA($D397),VLOOKUP($A397,[2]stockregister!$A$2:$B$2000,2,FALSE),"")</f>
        <v/>
      </c>
      <c r="F397" s="3" t="s">
        <v>21</v>
      </c>
      <c r="G397" s="3">
        <f>_xlfn.IFNA(VLOOKUP($A397,[3]stockregister!$A$2:$L$2000,11,0),0)</f>
        <v>60</v>
      </c>
      <c r="H397" s="3">
        <f>_xlfn.IFNA(VLOOKUP($A397,[3]stockregister!$A$2:$L$2000,11,0),0)-$G397</f>
        <v>0</v>
      </c>
      <c r="I397" s="3">
        <f>_xlfn.IFNA(VLOOKUP($A397,[3]stockregister!$A$2:$L$2000,12,0),0)</f>
        <v>1288</v>
      </c>
      <c r="J397" s="3">
        <f>_xlfn.IFNA(VLOOKUP($A397,[3]stockregister!$A$1:$M$2000,12,0),0)-$I397</f>
        <v>0</v>
      </c>
      <c r="K397" s="3" t="s">
        <v>22</v>
      </c>
      <c r="L397" s="3" t="s">
        <v>23</v>
      </c>
      <c r="M397" s="3">
        <f>_xlfn.IFNA(VLOOKUP($A397,[2]stockregister!$A$2:$H$2000,8,0),0)</f>
        <v>1400</v>
      </c>
      <c r="N397" s="3">
        <f>_xlfn.IFNA(VLOOKUP($A397,[2]stockregister!$A$2:$H$2000,8,0),0)-$M397</f>
        <v>0</v>
      </c>
      <c r="O397" s="3" t="s">
        <v>1008</v>
      </c>
      <c r="P397" s="3" t="s">
        <v>1008</v>
      </c>
      <c r="Q397" s="3" t="s">
        <v>513</v>
      </c>
      <c r="R397" s="3" t="s">
        <v>92</v>
      </c>
      <c r="S397" s="3" t="s">
        <v>252</v>
      </c>
    </row>
    <row r="398" spans="1:19">
      <c r="A398" s="3">
        <v>1926</v>
      </c>
      <c r="B398" s="3" t="b">
        <f>ISNUMBER(MATCH(A398,[1]stockregister!$A$2:$A$2000,0))</f>
        <v>1</v>
      </c>
      <c r="C398" s="3" t="s">
        <v>346</v>
      </c>
      <c r="D398" s="3" t="str">
        <f>VLOOKUP($C398,[1]stockregister!$B$2:$B$2000,1,0)</f>
        <v>SWARTLAND  SYRAH 750ML</v>
      </c>
      <c r="E398" s="3" t="str">
        <f>IF(ISNA($D398),VLOOKUP($A398,[2]stockregister!$A$2:$B$2000,2,FALSE),"")</f>
        <v/>
      </c>
      <c r="F398" s="3" t="s">
        <v>21</v>
      </c>
      <c r="G398" s="3">
        <f>_xlfn.IFNA(VLOOKUP($A398,[3]stockregister!$A$2:$L$2000,11,0),0)</f>
        <v>60</v>
      </c>
      <c r="H398" s="3">
        <f>_xlfn.IFNA(VLOOKUP($A398,[3]stockregister!$A$2:$L$2000,11,0),0)-$G398</f>
        <v>0</v>
      </c>
      <c r="I398" s="3">
        <f>_xlfn.IFNA(VLOOKUP($A398,[3]stockregister!$A$2:$L$2000,12,0),0)</f>
        <v>1104</v>
      </c>
      <c r="J398" s="3">
        <f>_xlfn.IFNA(VLOOKUP($A398,[3]stockregister!$A$1:$M$2000,12,0),0)-$I398</f>
        <v>0</v>
      </c>
      <c r="K398" s="3" t="s">
        <v>22</v>
      </c>
      <c r="L398" s="3" t="s">
        <v>23</v>
      </c>
      <c r="M398" s="3">
        <f>_xlfn.IFNA(VLOOKUP($A398,[2]stockregister!$A$2:$H$2000,8,0),0)</f>
        <v>1200</v>
      </c>
      <c r="N398" s="3">
        <f>_xlfn.IFNA(VLOOKUP($A398,[2]stockregister!$A$2:$H$2000,8,0),0)-$M398</f>
        <v>0</v>
      </c>
      <c r="O398" s="3" t="s">
        <v>1009</v>
      </c>
      <c r="P398" s="3" t="s">
        <v>1009</v>
      </c>
      <c r="Q398" s="3" t="s">
        <v>1010</v>
      </c>
      <c r="R398" s="3" t="s">
        <v>537</v>
      </c>
      <c r="S398" s="3" t="s">
        <v>940</v>
      </c>
    </row>
    <row r="399" spans="1:19">
      <c r="A399" s="3">
        <v>2186</v>
      </c>
      <c r="B399" s="3" t="b">
        <f>ISNUMBER(MATCH(A399,[1]stockregister!$A$2:$A$2000,0))</f>
        <v>1</v>
      </c>
      <c r="C399" s="3" t="s">
        <v>349</v>
      </c>
      <c r="D399" s="3" t="str">
        <f>VLOOKUP($C399,[1]stockregister!$B$2:$B$2000,1,0)</f>
        <v>HENDRICKS ORBIUM GIN 700ML</v>
      </c>
      <c r="E399" s="3" t="str">
        <f>IF(ISNA($D399),VLOOKUP($A399,[2]stockregister!$A$2:$B$2000,2,FALSE),"")</f>
        <v/>
      </c>
      <c r="F399" s="3" t="s">
        <v>21</v>
      </c>
      <c r="G399" s="3">
        <f>_xlfn.IFNA(VLOOKUP($A399,[3]stockregister!$A$2:$L$2000,11,0),0)</f>
        <v>60</v>
      </c>
      <c r="H399" s="3">
        <f>_xlfn.IFNA(VLOOKUP($A399,[3]stockregister!$A$2:$L$2000,11,0),0)-$G399</f>
        <v>0</v>
      </c>
      <c r="I399" s="3">
        <f>_xlfn.IFNA(VLOOKUP($A399,[3]stockregister!$A$2:$L$2000,12,0),0)</f>
        <v>1400</v>
      </c>
      <c r="J399" s="3">
        <f>_xlfn.IFNA(VLOOKUP($A399,[3]stockregister!$A$1:$M$2000,12,0),0)-$I399</f>
        <v>0</v>
      </c>
      <c r="K399" s="3" t="s">
        <v>22</v>
      </c>
      <c r="L399" s="3" t="s">
        <v>23</v>
      </c>
      <c r="M399" s="3">
        <f>_xlfn.IFNA(VLOOKUP($A399,[2]stockregister!$A$2:$H$2000,8,0),0)</f>
        <v>1440</v>
      </c>
      <c r="N399" s="3">
        <f>_xlfn.IFNA(VLOOKUP($A399,[2]stockregister!$A$2:$H$2000,8,0),0)-$M399</f>
        <v>0</v>
      </c>
      <c r="O399" s="3" t="s">
        <v>1011</v>
      </c>
      <c r="P399" s="3" t="s">
        <v>1011</v>
      </c>
      <c r="Q399" s="3" t="s">
        <v>1012</v>
      </c>
      <c r="R399" s="3" t="s">
        <v>68</v>
      </c>
      <c r="S399" s="3" t="s">
        <v>369</v>
      </c>
    </row>
    <row r="400" spans="1:19">
      <c r="A400" s="3">
        <v>2805</v>
      </c>
      <c r="B400" s="3" t="b">
        <f>ISNUMBER(MATCH(A400,[1]stockregister!$A$2:$A$2000,0))</f>
        <v>1</v>
      </c>
      <c r="C400" s="3" t="s">
        <v>353</v>
      </c>
      <c r="D400" s="3" t="str">
        <f>VLOOKUP($C400,[1]stockregister!$B$2:$B$2000,1,0)</f>
        <v>BUSHMILL BLACK BUSH 750ML</v>
      </c>
      <c r="E400" s="3" t="str">
        <f>IF(ISNA($D400),VLOOKUP($A400,[2]stockregister!$A$2:$B$2000,2,FALSE),"")</f>
        <v/>
      </c>
      <c r="F400" s="3" t="s">
        <v>21</v>
      </c>
      <c r="G400" s="3">
        <f>_xlfn.IFNA(VLOOKUP($A400,[3]stockregister!$A$2:$L$2000,11,0),0)</f>
        <v>60</v>
      </c>
      <c r="H400" s="3">
        <f>_xlfn.IFNA(VLOOKUP($A400,[3]stockregister!$A$2:$L$2000,11,0),0)-$G400</f>
        <v>0</v>
      </c>
      <c r="I400" s="3">
        <f>_xlfn.IFNA(VLOOKUP($A400,[3]stockregister!$A$2:$L$2000,12,0),0)</f>
        <v>1388</v>
      </c>
      <c r="J400" s="3">
        <f>_xlfn.IFNA(VLOOKUP($A400,[3]stockregister!$A$1:$M$2000,12,0),0)-$I400</f>
        <v>0</v>
      </c>
      <c r="K400" s="3" t="s">
        <v>22</v>
      </c>
      <c r="L400" s="3" t="s">
        <v>23</v>
      </c>
      <c r="M400" s="3">
        <f>_xlfn.IFNA(VLOOKUP($A400,[2]stockregister!$A$2:$H$2000,8,0),0)</f>
        <v>1800</v>
      </c>
      <c r="N400" s="3">
        <f>_xlfn.IFNA(VLOOKUP($A400,[2]stockregister!$A$2:$H$2000,8,0),0)-$M400</f>
        <v>0</v>
      </c>
      <c r="O400" s="3" t="s">
        <v>1013</v>
      </c>
      <c r="P400" s="3" t="s">
        <v>1013</v>
      </c>
      <c r="Q400" s="3" t="s">
        <v>1014</v>
      </c>
      <c r="R400" s="3" t="s">
        <v>537</v>
      </c>
      <c r="S400" s="3" t="s">
        <v>169</v>
      </c>
    </row>
    <row r="401" spans="1:19">
      <c r="A401" s="3">
        <v>646</v>
      </c>
      <c r="B401" s="3" t="b">
        <f>ISNUMBER(MATCH(A401,[1]stockregister!$A$2:$A$2000,0))</f>
        <v>1</v>
      </c>
      <c r="C401" s="3" t="s">
        <v>356</v>
      </c>
      <c r="D401" s="3" t="str">
        <f>VLOOKUP($C401,[1]stockregister!$B$2:$B$2000,1,0)</f>
        <v>LEOPARDS LEAP CAB SAUV  MERLOT 750ML</v>
      </c>
      <c r="E401" s="3" t="str">
        <f>IF(ISNA($D401),VLOOKUP($A401,[2]stockregister!$A$2:$B$2000,2,FALSE),"")</f>
        <v/>
      </c>
      <c r="F401" s="3" t="s">
        <v>21</v>
      </c>
      <c r="G401" s="3">
        <f>_xlfn.IFNA(VLOOKUP($A401,[3]stockregister!$A$2:$L$2000,11,0),0)</f>
        <v>42</v>
      </c>
      <c r="H401" s="3">
        <f>_xlfn.IFNA(VLOOKUP($A401,[3]stockregister!$A$2:$L$2000,11,0),0)-$G401</f>
        <v>0</v>
      </c>
      <c r="I401" s="3">
        <f>_xlfn.IFNA(VLOOKUP($A401,[3]stockregister!$A$2:$L$2000,12,0),0)</f>
        <v>1200</v>
      </c>
      <c r="J401" s="3">
        <f>_xlfn.IFNA(VLOOKUP($A401,[3]stockregister!$A$1:$M$2000,12,0),0)-$I401</f>
        <v>0</v>
      </c>
      <c r="K401" s="3" t="s">
        <v>22</v>
      </c>
      <c r="L401" s="3" t="s">
        <v>23</v>
      </c>
      <c r="M401" s="3">
        <f>_xlfn.IFNA(VLOOKUP($A401,[2]stockregister!$A$2:$H$2000,8,0),0)</f>
        <v>1400</v>
      </c>
      <c r="N401" s="3">
        <f>_xlfn.IFNA(VLOOKUP($A401,[2]stockregister!$A$2:$H$2000,8,0),0)-$M401</f>
        <v>0</v>
      </c>
      <c r="O401" s="3" t="s">
        <v>1015</v>
      </c>
      <c r="P401" s="3" t="s">
        <v>1015</v>
      </c>
      <c r="Q401" s="3" t="s">
        <v>1016</v>
      </c>
      <c r="R401" s="3" t="s">
        <v>68</v>
      </c>
      <c r="S401" s="3" t="s">
        <v>88</v>
      </c>
    </row>
    <row r="402" spans="1:19">
      <c r="A402" s="3">
        <v>1693</v>
      </c>
      <c r="B402" s="3" t="b">
        <f>ISNUMBER(MATCH(A402,[1]stockregister!$A$2:$A$2000,0))</f>
        <v>1</v>
      </c>
      <c r="C402" s="3" t="s">
        <v>360</v>
      </c>
      <c r="D402" s="3" t="str">
        <f>VLOOKUP($C402,[1]stockregister!$B$2:$B$2000,1,0)</f>
        <v>WOOSH 9000 PUFFS BLUE RAZZ </v>
      </c>
      <c r="E402" s="3" t="str">
        <f>IF(ISNA($D402),VLOOKUP($A402,[2]stockregister!$A$2:$B$2000,2,FALSE),"")</f>
        <v/>
      </c>
      <c r="F402" s="3" t="s">
        <v>21</v>
      </c>
      <c r="G402" s="3">
        <f>_xlfn.IFNA(VLOOKUP($A402,[3]stockregister!$A$2:$L$2000,11,0),0)</f>
        <v>60</v>
      </c>
      <c r="H402" s="3">
        <f>_xlfn.IFNA(VLOOKUP($A402,[3]stockregister!$A$2:$L$2000,11,0),0)-$G402</f>
        <v>0</v>
      </c>
      <c r="I402" s="3">
        <f>_xlfn.IFNA(VLOOKUP($A402,[3]stockregister!$A$2:$L$2000,12,0),0)</f>
        <v>1100</v>
      </c>
      <c r="J402" s="3">
        <f>_xlfn.IFNA(VLOOKUP($A402,[3]stockregister!$A$1:$M$2000,12,0),0)-$I402</f>
        <v>0</v>
      </c>
      <c r="K402" s="3" t="s">
        <v>22</v>
      </c>
      <c r="L402" s="3" t="s">
        <v>23</v>
      </c>
      <c r="M402" s="3">
        <f>_xlfn.IFNA(VLOOKUP($A402,[2]stockregister!$A$2:$H$2000,8,0),0)</f>
        <v>1200</v>
      </c>
      <c r="N402" s="3">
        <f>_xlfn.IFNA(VLOOKUP($A402,[2]stockregister!$A$2:$H$2000,8,0),0)-$M402</f>
        <v>0</v>
      </c>
      <c r="O402" s="3" t="s">
        <v>1017</v>
      </c>
      <c r="P402" s="3" t="s">
        <v>1017</v>
      </c>
      <c r="Q402" s="3" t="s">
        <v>67</v>
      </c>
      <c r="R402" s="3" t="s">
        <v>68</v>
      </c>
      <c r="S402" s="3" t="s">
        <v>1018</v>
      </c>
    </row>
    <row r="403" spans="1:19">
      <c r="A403" s="3">
        <v>1696</v>
      </c>
      <c r="B403" s="3" t="b">
        <f>ISNUMBER(MATCH(A403,[1]stockregister!$A$2:$A$2000,0))</f>
        <v>1</v>
      </c>
      <c r="C403" s="3" t="s">
        <v>363</v>
      </c>
      <c r="D403" s="3" t="str">
        <f>VLOOKUP($C403,[1]stockregister!$B$2:$B$2000,1,0)</f>
        <v>INVERROCHE CLASSIC 750ML </v>
      </c>
      <c r="E403" s="3" t="str">
        <f>IF(ISNA($D403),VLOOKUP($A403,[2]stockregister!$A$2:$B$2000,2,FALSE),"")</f>
        <v/>
      </c>
      <c r="F403" s="3" t="s">
        <v>21</v>
      </c>
      <c r="G403" s="3">
        <f>_xlfn.IFNA(VLOOKUP($A403,[3]stockregister!$A$2:$L$2000,11,0),0)</f>
        <v>0</v>
      </c>
      <c r="H403" s="3">
        <f>_xlfn.IFNA(VLOOKUP($A403,[3]stockregister!$A$2:$L$2000,11,0),0)-$G403</f>
        <v>0</v>
      </c>
      <c r="I403" s="3">
        <f>_xlfn.IFNA(VLOOKUP($A403,[3]stockregister!$A$2:$L$2000,12,0),0)</f>
        <v>1100</v>
      </c>
      <c r="J403" s="3">
        <f>_xlfn.IFNA(VLOOKUP($A403,[3]stockregister!$A$1:$M$2000,12,0),0)-$I403</f>
        <v>0</v>
      </c>
      <c r="K403" s="3" t="s">
        <v>22</v>
      </c>
      <c r="L403" s="3" t="s">
        <v>23</v>
      </c>
      <c r="M403" s="3">
        <f>_xlfn.IFNA(VLOOKUP($A403,[2]stockregister!$A$2:$H$2000,8,0),0)</f>
        <v>1200</v>
      </c>
      <c r="N403" s="3">
        <f>_xlfn.IFNA(VLOOKUP($A403,[2]stockregister!$A$2:$H$2000,8,0),0)-$M403</f>
        <v>0</v>
      </c>
      <c r="O403" s="3" t="s">
        <v>1019</v>
      </c>
      <c r="P403" s="3" t="s">
        <v>1019</v>
      </c>
      <c r="Q403" s="3" t="s">
        <v>321</v>
      </c>
      <c r="R403" s="3" t="s">
        <v>68</v>
      </c>
      <c r="S403" s="3" t="s">
        <v>1018</v>
      </c>
    </row>
    <row r="404" spans="1:19">
      <c r="A404" s="3">
        <v>1698</v>
      </c>
      <c r="B404" s="3" t="b">
        <f>ISNUMBER(MATCH(A404,[1]stockregister!$A$2:$A$2000,0))</f>
        <v>1</v>
      </c>
      <c r="C404" s="3" t="s">
        <v>366</v>
      </c>
      <c r="D404" s="3" t="str">
        <f>VLOOKUP($C404,[1]stockregister!$B$2:$B$2000,1,0)</f>
        <v>WHITLEY NEILL PROTEA &amp; HIBISCUS GIN 750ML </v>
      </c>
      <c r="E404" s="3" t="str">
        <f>IF(ISNA($D404),VLOOKUP($A404,[2]stockregister!$A$2:$B$2000,2,FALSE),"")</f>
        <v/>
      </c>
      <c r="F404" s="3" t="s">
        <v>21</v>
      </c>
      <c r="G404" s="3">
        <f>_xlfn.IFNA(VLOOKUP($A404,[3]stockregister!$A$2:$L$2000,11,0),0)</f>
        <v>60</v>
      </c>
      <c r="H404" s="3">
        <f>_xlfn.IFNA(VLOOKUP($A404,[3]stockregister!$A$2:$L$2000,11,0),0)-$G404</f>
        <v>0</v>
      </c>
      <c r="I404" s="3">
        <f>_xlfn.IFNA(VLOOKUP($A404,[3]stockregister!$A$2:$L$2000,12,0),0)</f>
        <v>1100</v>
      </c>
      <c r="J404" s="3">
        <f>_xlfn.IFNA(VLOOKUP($A404,[3]stockregister!$A$1:$M$2000,12,0),0)-$I404</f>
        <v>0</v>
      </c>
      <c r="K404" s="3" t="s">
        <v>22</v>
      </c>
      <c r="L404" s="3" t="s">
        <v>23</v>
      </c>
      <c r="M404" s="3">
        <f>_xlfn.IFNA(VLOOKUP($A404,[2]stockregister!$A$2:$H$2000,8,0),0)</f>
        <v>1200</v>
      </c>
      <c r="N404" s="3">
        <f>_xlfn.IFNA(VLOOKUP($A404,[2]stockregister!$A$2:$H$2000,8,0),0)-$M404</f>
        <v>0</v>
      </c>
      <c r="O404" s="3" t="s">
        <v>1020</v>
      </c>
      <c r="P404" s="3" t="s">
        <v>1020</v>
      </c>
      <c r="Q404" s="3" t="s">
        <v>67</v>
      </c>
      <c r="R404" s="3" t="s">
        <v>68</v>
      </c>
      <c r="S404" s="3" t="s">
        <v>1018</v>
      </c>
    </row>
    <row r="405" spans="1:18">
      <c r="A405" s="3">
        <v>2356</v>
      </c>
      <c r="B405" s="3" t="b">
        <f>ISNUMBER(MATCH(A405,[1]stockregister!$A$2:$A$2000,0))</f>
        <v>1</v>
      </c>
      <c r="C405" s="3" t="s">
        <v>370</v>
      </c>
      <c r="D405" s="3" t="str">
        <f>VLOOKUP($C405,[1]stockregister!$B$2:$B$2000,1,0)</f>
        <v>GLENMORANGIE 18YRS WHISKY EXTREME  700ML</v>
      </c>
      <c r="E405" s="3" t="str">
        <f>IF(ISNA($D405),VLOOKUP($A405,[2]stockregister!$A$2:$B$2000,2,FALSE),"")</f>
        <v/>
      </c>
      <c r="F405" s="3" t="s">
        <v>21</v>
      </c>
      <c r="G405" s="3">
        <f>_xlfn.IFNA(VLOOKUP($A405,[3]stockregister!$A$2:$L$2000,11,0),0)</f>
        <v>54</v>
      </c>
      <c r="H405" s="3">
        <f>_xlfn.IFNA(VLOOKUP($A405,[3]stockregister!$A$2:$L$2000,11,0),0)-$G405</f>
        <v>0</v>
      </c>
      <c r="I405" s="3">
        <f>_xlfn.IFNA(VLOOKUP($A405,[3]stockregister!$A$2:$L$2000,12,0),0)</f>
        <v>2153</v>
      </c>
      <c r="J405" s="3">
        <f>_xlfn.IFNA(VLOOKUP($A405,[3]stockregister!$A$1:$M$2000,12,0),0)-$I405</f>
        <v>0</v>
      </c>
      <c r="K405" s="3" t="s">
        <v>22</v>
      </c>
      <c r="L405" s="3" t="s">
        <v>23</v>
      </c>
      <c r="M405" s="3">
        <f>_xlfn.IFNA(VLOOKUP($A405,[2]stockregister!$A$2:$H$2000,8,0),0)</f>
        <v>2300</v>
      </c>
      <c r="N405" s="3">
        <f>_xlfn.IFNA(VLOOKUP($A405,[2]stockregister!$A$2:$H$2000,8,0),0)-$M405</f>
        <v>0</v>
      </c>
      <c r="O405" s="3" t="s">
        <v>1021</v>
      </c>
      <c r="P405" s="3" t="s">
        <v>1021</v>
      </c>
      <c r="Q405" s="3" t="s">
        <v>1022</v>
      </c>
      <c r="R405" s="3" t="s">
        <v>537</v>
      </c>
    </row>
    <row r="406" spans="1:19">
      <c r="A406" s="3">
        <v>1874</v>
      </c>
      <c r="B406" s="3" t="b">
        <f>ISNUMBER(MATCH(A406,[1]stockregister!$A$2:$A$2000,0))</f>
        <v>1</v>
      </c>
      <c r="C406" s="3" t="s">
        <v>374</v>
      </c>
      <c r="D406" s="3" t="str">
        <f>VLOOKUP($C406,[1]stockregister!$B$2:$B$2000,1,0)</f>
        <v>JOHNNIE WALKER BLUE LABEL GHOST &amp; RARE 750ML</v>
      </c>
      <c r="E406" s="3" t="str">
        <f>IF(ISNA($D406),VLOOKUP($A406,[2]stockregister!$A$2:$B$2000,2,FALSE),"")</f>
        <v/>
      </c>
      <c r="F406" s="3" t="s">
        <v>21</v>
      </c>
      <c r="G406" s="3">
        <f>_xlfn.IFNA(VLOOKUP($A406,[3]stockregister!$A$2:$L$2000,11,0),0)</f>
        <v>60</v>
      </c>
      <c r="H406" s="3">
        <f>_xlfn.IFNA(VLOOKUP($A406,[3]stockregister!$A$2:$L$2000,11,0),0)-$G406</f>
        <v>0</v>
      </c>
      <c r="I406" s="3">
        <f>_xlfn.IFNA(VLOOKUP($A406,[3]stockregister!$A$2:$L$2000,12,0),0)</f>
        <v>1656</v>
      </c>
      <c r="J406" s="3">
        <f>_xlfn.IFNA(VLOOKUP($A406,[3]stockregister!$A$1:$M$2000,12,0),0)-$I406</f>
        <v>0</v>
      </c>
      <c r="K406" s="3" t="s">
        <v>22</v>
      </c>
      <c r="L406" s="3" t="s">
        <v>23</v>
      </c>
      <c r="M406" s="3">
        <f>_xlfn.IFNA(VLOOKUP($A406,[2]stockregister!$A$2:$H$2000,8,0),0)</f>
        <v>1800</v>
      </c>
      <c r="N406" s="3">
        <f>_xlfn.IFNA(VLOOKUP($A406,[2]stockregister!$A$2:$H$2000,8,0),0)-$M406</f>
        <v>0</v>
      </c>
      <c r="O406" s="3" t="s">
        <v>1023</v>
      </c>
      <c r="P406" s="3" t="s">
        <v>1023</v>
      </c>
      <c r="Q406" s="3" t="s">
        <v>108</v>
      </c>
      <c r="R406" s="3" t="s">
        <v>109</v>
      </c>
      <c r="S406" s="3" t="s">
        <v>401</v>
      </c>
    </row>
    <row r="407" spans="1:19">
      <c r="A407" s="3">
        <v>97</v>
      </c>
      <c r="B407" s="3" t="b">
        <f>ISNUMBER(MATCH(A407,[1]stockregister!$A$2:$A$2000,0))</f>
        <v>1</v>
      </c>
      <c r="C407" s="3" t="s">
        <v>376</v>
      </c>
      <c r="D407" s="3" t="str">
        <f>VLOOKUP($C407,[1]stockregister!$B$2:$B$2000,1,0)</f>
        <v>LEOPARDS LEAP  CAB SAuv 750ML</v>
      </c>
      <c r="E407" s="3" t="str">
        <f>IF(ISNA($D407),VLOOKUP($A407,[2]stockregister!$A$2:$B$2000,2,FALSE),"")</f>
        <v/>
      </c>
      <c r="F407" s="3" t="s">
        <v>21</v>
      </c>
      <c r="G407" s="3">
        <f>_xlfn.IFNA(VLOOKUP($A407,[3]stockregister!$A$2:$L$2000,11,0),0)</f>
        <v>59</v>
      </c>
      <c r="H407" s="3">
        <f>_xlfn.IFNA(VLOOKUP($A407,[3]stockregister!$A$2:$L$2000,11,0),0)-$G407</f>
        <v>0</v>
      </c>
      <c r="I407" s="3">
        <f>_xlfn.IFNA(VLOOKUP($A407,[3]stockregister!$A$2:$L$2000,12,0),0)</f>
        <v>1380</v>
      </c>
      <c r="J407" s="3">
        <f>_xlfn.IFNA(VLOOKUP($A407,[3]stockregister!$A$1:$M$2000,12,0),0)-$I407</f>
        <v>0</v>
      </c>
      <c r="K407" s="3" t="s">
        <v>22</v>
      </c>
      <c r="L407" s="3" t="s">
        <v>23</v>
      </c>
      <c r="M407" s="3">
        <f>_xlfn.IFNA(VLOOKUP($A407,[2]stockregister!$A$2:$H$2000,8,0),0)</f>
        <v>1500</v>
      </c>
      <c r="N407" s="3">
        <f>_xlfn.IFNA(VLOOKUP($A407,[2]stockregister!$A$2:$H$2000,8,0),0)-$M407</f>
        <v>0</v>
      </c>
      <c r="O407" s="3" t="s">
        <v>1024</v>
      </c>
      <c r="P407" s="3" t="s">
        <v>1024</v>
      </c>
      <c r="Q407" s="3" t="s">
        <v>1025</v>
      </c>
      <c r="R407" s="3" t="s">
        <v>68</v>
      </c>
      <c r="S407" s="3" t="s">
        <v>169</v>
      </c>
    </row>
    <row r="408" spans="1:18">
      <c r="A408" s="3">
        <v>1209</v>
      </c>
      <c r="B408" s="3" t="b">
        <f>ISNUMBER(MATCH(A408,[1]stockregister!$A$2:$A$2000,0))</f>
        <v>1</v>
      </c>
      <c r="C408" s="3" t="s">
        <v>377</v>
      </c>
      <c r="D408" s="3" t="str">
        <f>VLOOKUP($C408,[1]stockregister!$B$2:$B$2000,1,0)</f>
        <v>LAURENT- PERRIER ROSE CHAMPAGNE  750ML</v>
      </c>
      <c r="E408" s="3" t="str">
        <f>IF(ISNA($D408),VLOOKUP($A408,[2]stockregister!$A$2:$B$2000,2,FALSE),"")</f>
        <v/>
      </c>
      <c r="F408" s="3" t="s">
        <v>21</v>
      </c>
      <c r="G408" s="3">
        <f>_xlfn.IFNA(VLOOKUP($A408,[3]stockregister!$A$2:$L$2000,11,0),0)</f>
        <v>58</v>
      </c>
      <c r="H408" s="3">
        <f>_xlfn.IFNA(VLOOKUP($A408,[3]stockregister!$A$2:$L$2000,11,0),0)-$G408</f>
        <v>0</v>
      </c>
      <c r="I408" s="3">
        <f>_xlfn.IFNA(VLOOKUP($A408,[3]stockregister!$A$2:$L$2000,12,0),0)</f>
        <v>1288</v>
      </c>
      <c r="J408" s="3">
        <f>_xlfn.IFNA(VLOOKUP($A408,[3]stockregister!$A$1:$M$2000,12,0),0)-$I408</f>
        <v>0</v>
      </c>
      <c r="K408" s="3" t="s">
        <v>22</v>
      </c>
      <c r="L408" s="3" t="s">
        <v>23</v>
      </c>
      <c r="M408" s="3">
        <f>_xlfn.IFNA(VLOOKUP($A408,[2]stockregister!$A$2:$H$2000,8,0),0)</f>
        <v>1400</v>
      </c>
      <c r="N408" s="3">
        <f>_xlfn.IFNA(VLOOKUP($A408,[2]stockregister!$A$2:$H$2000,8,0),0)-$M408</f>
        <v>0</v>
      </c>
      <c r="O408" s="3" t="s">
        <v>1026</v>
      </c>
      <c r="P408" s="3" t="s">
        <v>1026</v>
      </c>
      <c r="Q408" s="3" t="s">
        <v>919</v>
      </c>
      <c r="R408" s="3" t="s">
        <v>318</v>
      </c>
    </row>
    <row r="409" spans="1:19">
      <c r="A409" s="3">
        <v>1248</v>
      </c>
      <c r="B409" s="3" t="b">
        <f>ISNUMBER(MATCH(A409,[1]stockregister!$A$2:$A$2000,0))</f>
        <v>1</v>
      </c>
      <c r="C409" s="3" t="s">
        <v>380</v>
      </c>
      <c r="D409" s="3" t="str">
        <f>VLOOKUP($C409,[1]stockregister!$B$2:$B$2000,1,0)</f>
        <v>PENASOL MEDIUM SWEET WHITE 1L</v>
      </c>
      <c r="E409" s="3" t="str">
        <f>IF(ISNA($D409),VLOOKUP($A409,[2]stockregister!$A$2:$B$2000,2,FALSE),"")</f>
        <v/>
      </c>
      <c r="F409" s="3" t="s">
        <v>21</v>
      </c>
      <c r="G409" s="3">
        <f>_xlfn.IFNA(VLOOKUP($A409,[3]stockregister!$A$2:$L$2000,11,0),0)</f>
        <v>57</v>
      </c>
      <c r="H409" s="3">
        <f>_xlfn.IFNA(VLOOKUP($A409,[3]stockregister!$A$2:$L$2000,11,0),0)-$G409</f>
        <v>0</v>
      </c>
      <c r="I409" s="3">
        <f>_xlfn.IFNA(VLOOKUP($A409,[3]stockregister!$A$2:$L$2000,12,0),0)</f>
        <v>1200</v>
      </c>
      <c r="J409" s="3">
        <f>_xlfn.IFNA(VLOOKUP($A409,[3]stockregister!$A$1:$M$2000,12,0),0)-$I409</f>
        <v>0</v>
      </c>
      <c r="K409" s="3" t="s">
        <v>22</v>
      </c>
      <c r="L409" s="3" t="s">
        <v>23</v>
      </c>
      <c r="M409" s="3">
        <f>_xlfn.IFNA(VLOOKUP($A409,[2]stockregister!$A$2:$H$2000,8,0),0)</f>
        <v>1400</v>
      </c>
      <c r="N409" s="3">
        <f>_xlfn.IFNA(VLOOKUP($A409,[2]stockregister!$A$2:$H$2000,8,0),0)-$M409</f>
        <v>0</v>
      </c>
      <c r="O409" s="3" t="s">
        <v>1027</v>
      </c>
      <c r="P409" s="3" t="s">
        <v>1027</v>
      </c>
      <c r="Q409" s="3" t="s">
        <v>872</v>
      </c>
      <c r="R409" s="3" t="s">
        <v>68</v>
      </c>
      <c r="S409" s="3" t="s">
        <v>889</v>
      </c>
    </row>
    <row r="410" spans="1:19">
      <c r="A410" s="3">
        <v>122</v>
      </c>
      <c r="B410" s="3" t="b">
        <f>ISNUMBER(MATCH(A410,[1]stockregister!$A$2:$A$2000,0))</f>
        <v>1</v>
      </c>
      <c r="C410" s="3" t="s">
        <v>383</v>
      </c>
      <c r="D410" s="3" t="str">
        <f>VLOOKUP($C410,[1]stockregister!$B$2:$B$2000,1,0)</f>
        <v>JP AZEITAO RED 750ML </v>
      </c>
      <c r="E410" s="3" t="str">
        <f>IF(ISNA($D410),VLOOKUP($A410,[2]stockregister!$A$2:$B$2000,2,FALSE),"")</f>
        <v/>
      </c>
      <c r="F410" s="3" t="s">
        <v>21</v>
      </c>
      <c r="G410" s="3">
        <f>_xlfn.IFNA(VLOOKUP($A410,[3]stockregister!$A$2:$L$2000,11,0),0)</f>
        <v>55</v>
      </c>
      <c r="H410" s="3">
        <f>_xlfn.IFNA(VLOOKUP($A410,[3]stockregister!$A$2:$L$2000,11,0),0)-$G410</f>
        <v>0</v>
      </c>
      <c r="I410" s="3">
        <f>_xlfn.IFNA(VLOOKUP($A410,[3]stockregister!$A$2:$L$2000,12,0),0)</f>
        <v>1550</v>
      </c>
      <c r="J410" s="3">
        <f>_xlfn.IFNA(VLOOKUP($A410,[3]stockregister!$A$1:$M$2000,12,0),0)-$I410</f>
        <v>0</v>
      </c>
      <c r="K410" s="3" t="s">
        <v>22</v>
      </c>
      <c r="L410" s="3" t="s">
        <v>23</v>
      </c>
      <c r="M410" s="3">
        <f>_xlfn.IFNA(VLOOKUP($A410,[2]stockregister!$A$2:$H$2000,8,0),0)</f>
        <v>1630</v>
      </c>
      <c r="N410" s="3">
        <f>_xlfn.IFNA(VLOOKUP($A410,[2]stockregister!$A$2:$H$2000,8,0),0)-$M410</f>
        <v>0</v>
      </c>
      <c r="O410" s="3" t="s">
        <v>1028</v>
      </c>
      <c r="P410" s="3" t="s">
        <v>1028</v>
      </c>
      <c r="Q410" s="3" t="s">
        <v>1029</v>
      </c>
      <c r="R410" s="3" t="s">
        <v>68</v>
      </c>
      <c r="S410" s="3" t="s">
        <v>1030</v>
      </c>
    </row>
    <row r="411" spans="1:19">
      <c r="A411" s="3">
        <v>1377</v>
      </c>
      <c r="B411" s="3" t="b">
        <f>ISNUMBER(MATCH(A411,[1]stockregister!$A$2:$A$2000,0))</f>
        <v>1</v>
      </c>
      <c r="C411" s="3" t="s">
        <v>386</v>
      </c>
      <c r="D411" s="3" t="str">
        <f>VLOOKUP($C411,[1]stockregister!$B$2:$B$2000,1,0)</f>
        <v>JP AZEITAO WHITE 750ML </v>
      </c>
      <c r="E411" s="3" t="str">
        <f>IF(ISNA($D411),VLOOKUP($A411,[2]stockregister!$A$2:$B$2000,2,FALSE),"")</f>
        <v/>
      </c>
      <c r="F411" s="3" t="s">
        <v>21</v>
      </c>
      <c r="G411" s="3">
        <f>_xlfn.IFNA(VLOOKUP($A411,[3]stockregister!$A$2:$L$2000,11,0),0)</f>
        <v>30</v>
      </c>
      <c r="H411" s="3">
        <f>_xlfn.IFNA(VLOOKUP($A411,[3]stockregister!$A$2:$L$2000,11,0),0)-$G411</f>
        <v>0</v>
      </c>
      <c r="I411" s="3">
        <f>_xlfn.IFNA(VLOOKUP($A411,[3]stockregister!$A$2:$L$2000,12,0),0)</f>
        <v>1481</v>
      </c>
      <c r="J411" s="3">
        <f>_xlfn.IFNA(VLOOKUP($A411,[3]stockregister!$A$1:$M$2000,12,0),0)-$I411</f>
        <v>0</v>
      </c>
      <c r="K411" s="3" t="s">
        <v>22</v>
      </c>
      <c r="L411" s="3" t="s">
        <v>23</v>
      </c>
      <c r="M411" s="3">
        <f>_xlfn.IFNA(VLOOKUP($A411,[2]stockregister!$A$2:$H$2000,8,0),0)</f>
        <v>2300</v>
      </c>
      <c r="N411" s="3">
        <f>_xlfn.IFNA(VLOOKUP($A411,[2]stockregister!$A$2:$H$2000,8,0),0)-$M411</f>
        <v>0</v>
      </c>
      <c r="O411" s="3" t="s">
        <v>1031</v>
      </c>
      <c r="P411" s="3" t="s">
        <v>1031</v>
      </c>
      <c r="Q411" s="3" t="s">
        <v>1032</v>
      </c>
      <c r="R411" s="3" t="s">
        <v>126</v>
      </c>
      <c r="S411" s="3" t="s">
        <v>1033</v>
      </c>
    </row>
    <row r="412" spans="1:19">
      <c r="A412" s="3">
        <v>2870</v>
      </c>
      <c r="B412" s="3" t="b">
        <f>ISNUMBER(MATCH(A412,[1]stockregister!$A$2:$A$2000,0))</f>
        <v>1</v>
      </c>
      <c r="C412" s="3" t="s">
        <v>387</v>
      </c>
      <c r="D412" s="3" t="str">
        <f>VLOOKUP($C412,[1]stockregister!$B$2:$B$2000,1,0)</f>
        <v>BOWMORE 12YRS WHISKY 700ML </v>
      </c>
      <c r="E412" s="3" t="str">
        <f>IF(ISNA($D412),VLOOKUP($A412,[2]stockregister!$A$2:$B$2000,2,FALSE),"")</f>
        <v/>
      </c>
      <c r="F412" s="3" t="s">
        <v>21</v>
      </c>
      <c r="G412" s="3">
        <f>_xlfn.IFNA(VLOOKUP($A412,[3]stockregister!$A$2:$L$2000,11,0),0)</f>
        <v>54</v>
      </c>
      <c r="H412" s="3">
        <f>_xlfn.IFNA(VLOOKUP($A412,[3]stockregister!$A$2:$L$2000,11,0),0)-$G412</f>
        <v>0</v>
      </c>
      <c r="I412" s="3">
        <f>_xlfn.IFNA(VLOOKUP($A412,[3]stockregister!$A$2:$L$2000,12,0),0)</f>
        <v>5000</v>
      </c>
      <c r="J412" s="3">
        <f>_xlfn.IFNA(VLOOKUP($A412,[3]stockregister!$A$1:$M$2000,12,0),0)-$I412</f>
        <v>0</v>
      </c>
      <c r="K412" s="3" t="s">
        <v>22</v>
      </c>
      <c r="L412" s="3" t="s">
        <v>23</v>
      </c>
      <c r="M412" s="3">
        <f>_xlfn.IFNA(VLOOKUP($A412,[2]stockregister!$A$2:$H$2000,8,0),0)</f>
        <v>5500</v>
      </c>
      <c r="N412" s="3">
        <f>_xlfn.IFNA(VLOOKUP($A412,[2]stockregister!$A$2:$H$2000,8,0),0)-$M412</f>
        <v>0</v>
      </c>
      <c r="O412" s="3" t="s">
        <v>1034</v>
      </c>
      <c r="P412" s="3" t="s">
        <v>1034</v>
      </c>
      <c r="Q412" s="3" t="s">
        <v>1035</v>
      </c>
      <c r="R412" s="3" t="s">
        <v>113</v>
      </c>
      <c r="S412" s="3" t="s">
        <v>114</v>
      </c>
    </row>
    <row r="413" spans="1:19">
      <c r="A413" s="3">
        <v>404</v>
      </c>
      <c r="B413" s="3" t="b">
        <f>ISNUMBER(MATCH(A413,[1]stockregister!$A$2:$A$2000,0))</f>
        <v>1</v>
      </c>
      <c r="C413" s="3" t="s">
        <v>390</v>
      </c>
      <c r="D413" s="3" t="str">
        <f>VLOOKUP($C413,[1]stockregister!$B$2:$B$2000,1,0)</f>
        <v>BACARDI SUPERIOR  350ML</v>
      </c>
      <c r="E413" s="3" t="str">
        <f>IF(ISNA($D413),VLOOKUP($A413,[2]stockregister!$A$2:$B$2000,2,FALSE),"")</f>
        <v/>
      </c>
      <c r="F413" s="3" t="s">
        <v>21</v>
      </c>
      <c r="G413" s="3">
        <f>_xlfn.IFNA(VLOOKUP($A413,[3]stockregister!$A$2:$L$2000,11,0),0)</f>
        <v>54</v>
      </c>
      <c r="H413" s="3">
        <f>_xlfn.IFNA(VLOOKUP($A413,[3]stockregister!$A$2:$L$2000,11,0),0)-$G413</f>
        <v>0</v>
      </c>
      <c r="I413" s="3">
        <f>_xlfn.IFNA(VLOOKUP($A413,[3]stockregister!$A$2:$L$2000,12,0),0)</f>
        <v>782</v>
      </c>
      <c r="J413" s="3">
        <f>_xlfn.IFNA(VLOOKUP($A413,[3]stockregister!$A$1:$M$2000,12,0),0)-$I413</f>
        <v>0</v>
      </c>
      <c r="K413" s="3" t="s">
        <v>22</v>
      </c>
      <c r="L413" s="3" t="s">
        <v>23</v>
      </c>
      <c r="M413" s="3">
        <f>_xlfn.IFNA(VLOOKUP($A413,[2]stockregister!$A$2:$H$2000,8,0),0)</f>
        <v>850</v>
      </c>
      <c r="N413" s="3">
        <f>_xlfn.IFNA(VLOOKUP($A413,[2]stockregister!$A$2:$H$2000,8,0),0)-$M413</f>
        <v>0</v>
      </c>
      <c r="O413" s="3" t="s">
        <v>1036</v>
      </c>
      <c r="P413" s="3" t="s">
        <v>1036</v>
      </c>
      <c r="Q413" s="3" t="s">
        <v>1037</v>
      </c>
      <c r="R413" s="3" t="s">
        <v>68</v>
      </c>
      <c r="S413" s="3" t="s">
        <v>206</v>
      </c>
    </row>
    <row r="414" spans="1:19">
      <c r="A414" s="3">
        <v>287</v>
      </c>
      <c r="B414" s="3" t="b">
        <f>ISNUMBER(MATCH(A414,[1]stockregister!$A$2:$A$2000,0))</f>
        <v>1</v>
      </c>
      <c r="C414" s="3" t="s">
        <v>394</v>
      </c>
      <c r="D414" s="3" t="str">
        <f>VLOOKUP($C414,[1]stockregister!$B$2:$B$2000,1,0)</f>
        <v>WOOSH 9000 PUFFS COLA LIME</v>
      </c>
      <c r="E414" s="3" t="str">
        <f>IF(ISNA($D414),VLOOKUP($A414,[2]stockregister!$A$2:$B$2000,2,FALSE),"")</f>
        <v/>
      </c>
      <c r="F414" s="3" t="s">
        <v>21</v>
      </c>
      <c r="G414" s="3">
        <f>_xlfn.IFNA(VLOOKUP($A414,[3]stockregister!$A$2:$L$2000,11,0),0)</f>
        <v>54</v>
      </c>
      <c r="H414" s="3">
        <f>_xlfn.IFNA(VLOOKUP($A414,[3]stockregister!$A$2:$L$2000,11,0),0)-$G414</f>
        <v>0</v>
      </c>
      <c r="I414" s="3">
        <f>_xlfn.IFNA(VLOOKUP($A414,[3]stockregister!$A$2:$L$2000,12,0),0)</f>
        <v>1380</v>
      </c>
      <c r="J414" s="3">
        <f>_xlfn.IFNA(VLOOKUP($A414,[3]stockregister!$A$1:$M$2000,12,0),0)-$I414</f>
        <v>0</v>
      </c>
      <c r="K414" s="3" t="s">
        <v>22</v>
      </c>
      <c r="L414" s="3" t="s">
        <v>23</v>
      </c>
      <c r="M414" s="3">
        <f>_xlfn.IFNA(VLOOKUP($A414,[2]stockregister!$A$2:$H$2000,8,0),0)</f>
        <v>1500</v>
      </c>
      <c r="N414" s="3">
        <f>_xlfn.IFNA(VLOOKUP($A414,[2]stockregister!$A$2:$H$2000,8,0),0)-$M414</f>
        <v>0</v>
      </c>
      <c r="O414" s="3" t="s">
        <v>1038</v>
      </c>
      <c r="P414" s="3" t="s">
        <v>1038</v>
      </c>
      <c r="Q414" s="3" t="s">
        <v>939</v>
      </c>
      <c r="R414" s="3" t="s">
        <v>68</v>
      </c>
      <c r="S414" s="3" t="s">
        <v>206</v>
      </c>
    </row>
    <row r="415" spans="1:19">
      <c r="A415" s="3">
        <v>2016</v>
      </c>
      <c r="B415" s="3" t="b">
        <f>ISNUMBER(MATCH(A415,[1]stockregister!$A$2:$A$2000,0))</f>
        <v>1</v>
      </c>
      <c r="C415" s="3" t="s">
        <v>396</v>
      </c>
      <c r="D415" s="3" t="str">
        <f>VLOOKUP($C415,[1]stockregister!$B$2:$B$2000,1,0)</f>
        <v>MARTINI  BIANCO 1LTR</v>
      </c>
      <c r="E415" s="3" t="str">
        <f>IF(ISNA($D415),VLOOKUP($A415,[2]stockregister!$A$2:$B$2000,2,FALSE),"")</f>
        <v/>
      </c>
      <c r="F415" s="3" t="s">
        <v>21</v>
      </c>
      <c r="G415" s="3">
        <f>_xlfn.IFNA(VLOOKUP($A415,[3]stockregister!$A$2:$L$2000,11,0),0)</f>
        <v>48</v>
      </c>
      <c r="H415" s="3">
        <f>_xlfn.IFNA(VLOOKUP($A415,[3]stockregister!$A$2:$L$2000,11,0),0)-$G415</f>
        <v>0</v>
      </c>
      <c r="I415" s="3">
        <f>_xlfn.IFNA(VLOOKUP($A415,[3]stockregister!$A$2:$L$2000,12,0),0)</f>
        <v>1737.68</v>
      </c>
      <c r="J415" s="3">
        <f>_xlfn.IFNA(VLOOKUP($A415,[3]stockregister!$A$1:$M$2000,12,0),0)-$I415</f>
        <v>0</v>
      </c>
      <c r="K415" s="3" t="s">
        <v>22</v>
      </c>
      <c r="L415" s="3" t="s">
        <v>23</v>
      </c>
      <c r="M415" s="3">
        <f>_xlfn.IFNA(VLOOKUP($A415,[2]stockregister!$A$2:$H$2000,8,0),0)</f>
        <v>2000</v>
      </c>
      <c r="N415" s="3">
        <f>_xlfn.IFNA(VLOOKUP($A415,[2]stockregister!$A$2:$H$2000,8,0),0)-$M415</f>
        <v>0</v>
      </c>
      <c r="O415" s="3" t="s">
        <v>1039</v>
      </c>
      <c r="P415" s="3" t="s">
        <v>1039</v>
      </c>
      <c r="Q415" s="3" t="s">
        <v>1040</v>
      </c>
      <c r="R415" s="3" t="s">
        <v>537</v>
      </c>
      <c r="S415" s="3" t="s">
        <v>1041</v>
      </c>
    </row>
    <row r="416" spans="1:19">
      <c r="A416" s="3">
        <v>1366</v>
      </c>
      <c r="B416" s="3" t="b">
        <f>ISNUMBER(MATCH(A416,[1]stockregister!$A$2:$A$2000,0))</f>
        <v>1</v>
      </c>
      <c r="C416" s="3" t="s">
        <v>399</v>
      </c>
      <c r="D416" s="3" t="str">
        <f>VLOOKUP($C416,[1]stockregister!$B$2:$B$2000,1,0)</f>
        <v>JACK DANIELS SINATRA  1LTR</v>
      </c>
      <c r="E416" s="3" t="str">
        <f>IF(ISNA($D416),VLOOKUP($A416,[2]stockregister!$A$2:$B$2000,2,FALSE),"")</f>
        <v/>
      </c>
      <c r="F416" s="3" t="s">
        <v>21</v>
      </c>
      <c r="G416" s="3">
        <f>_xlfn.IFNA(VLOOKUP($A416,[3]stockregister!$A$2:$L$2000,11,0),0)</f>
        <v>54</v>
      </c>
      <c r="H416" s="3">
        <f>_xlfn.IFNA(VLOOKUP($A416,[3]stockregister!$A$2:$L$2000,11,0),0)-$G416</f>
        <v>0</v>
      </c>
      <c r="I416" s="3">
        <f>_xlfn.IFNA(VLOOKUP($A416,[3]stockregister!$A$2:$L$2000,12,0),0)</f>
        <v>1104</v>
      </c>
      <c r="J416" s="3">
        <f>_xlfn.IFNA(VLOOKUP($A416,[3]stockregister!$A$1:$M$2000,12,0),0)-$I416</f>
        <v>0</v>
      </c>
      <c r="K416" s="3" t="s">
        <v>22</v>
      </c>
      <c r="L416" s="3" t="s">
        <v>23</v>
      </c>
      <c r="M416" s="3">
        <f>_xlfn.IFNA(VLOOKUP($A416,[2]stockregister!$A$2:$H$2000,8,0),0)</f>
        <v>1200</v>
      </c>
      <c r="N416" s="3">
        <f>_xlfn.IFNA(VLOOKUP($A416,[2]stockregister!$A$2:$H$2000,8,0),0)-$M416</f>
        <v>0</v>
      </c>
      <c r="O416" s="3" t="s">
        <v>1042</v>
      </c>
      <c r="P416" s="3" t="s">
        <v>1042</v>
      </c>
      <c r="Q416" s="3" t="s">
        <v>891</v>
      </c>
      <c r="R416" s="3" t="s">
        <v>68</v>
      </c>
      <c r="S416" s="3" t="s">
        <v>398</v>
      </c>
    </row>
    <row r="417" spans="1:19">
      <c r="A417" s="3">
        <v>2796</v>
      </c>
      <c r="B417" s="3" t="b">
        <f>ISNUMBER(MATCH(A417,[1]stockregister!$A$2:$A$2000,0))</f>
        <v>1</v>
      </c>
      <c r="C417" s="3" t="s">
        <v>402</v>
      </c>
      <c r="D417" s="3" t="str">
        <f>VLOOKUP($C417,[1]stockregister!$B$2:$B$2000,1,0)</f>
        <v>SIX  DOGS KAROO 750ML</v>
      </c>
      <c r="E417" s="3" t="str">
        <f>IF(ISNA($D417),VLOOKUP($A417,[2]stockregister!$A$2:$B$2000,2,FALSE),"")</f>
        <v/>
      </c>
      <c r="F417" s="3" t="s">
        <v>21</v>
      </c>
      <c r="G417" s="3">
        <f>_xlfn.IFNA(VLOOKUP($A417,[3]stockregister!$A$2:$L$2000,11,0),0)</f>
        <v>54</v>
      </c>
      <c r="H417" s="3">
        <f>_xlfn.IFNA(VLOOKUP($A417,[3]stockregister!$A$2:$L$2000,11,0),0)-$G417</f>
        <v>0</v>
      </c>
      <c r="I417" s="3">
        <f>_xlfn.IFNA(VLOOKUP($A417,[3]stockregister!$A$2:$L$2000,12,0),0)</f>
        <v>26500</v>
      </c>
      <c r="J417" s="3">
        <f>_xlfn.IFNA(VLOOKUP($A417,[3]stockregister!$A$1:$M$2000,12,0),0)-$I417</f>
        <v>0</v>
      </c>
      <c r="K417" s="3" t="s">
        <v>22</v>
      </c>
      <c r="L417" s="3" t="s">
        <v>23</v>
      </c>
      <c r="M417" s="3">
        <f>_xlfn.IFNA(VLOOKUP($A417,[2]stockregister!$A$2:$H$2000,8,0),0)</f>
        <v>55000</v>
      </c>
      <c r="N417" s="3">
        <f>_xlfn.IFNA(VLOOKUP($A417,[2]stockregister!$A$2:$H$2000,8,0),0)-$M417</f>
        <v>0</v>
      </c>
      <c r="O417" s="3" t="s">
        <v>1043</v>
      </c>
      <c r="P417" s="3" t="s">
        <v>1043</v>
      </c>
      <c r="Q417" s="3" t="s">
        <v>1044</v>
      </c>
      <c r="R417" s="3" t="s">
        <v>537</v>
      </c>
      <c r="S417" s="3" t="s">
        <v>538</v>
      </c>
    </row>
    <row r="418" spans="1:19">
      <c r="A418" s="3">
        <v>2602</v>
      </c>
      <c r="B418" s="3" t="b">
        <f>ISNUMBER(MATCH(A418,[1]stockregister!$A$2:$A$2000,0))</f>
        <v>1</v>
      </c>
      <c r="C418" s="3" t="s">
        <v>404</v>
      </c>
      <c r="D418" s="3" t="str">
        <f>VLOOKUP($C418,[1]stockregister!$B$2:$B$2000,1,0)</f>
        <v>AUCHENTOSHAN AMERICAN  OAK 700ML</v>
      </c>
      <c r="E418" s="3" t="str">
        <f>IF(ISNA($D418),VLOOKUP($A418,[2]stockregister!$A$2:$B$2000,2,FALSE),"")</f>
        <v/>
      </c>
      <c r="F418" s="3" t="s">
        <v>21</v>
      </c>
      <c r="G418" s="3">
        <f>_xlfn.IFNA(VLOOKUP($A418,[3]stockregister!$A$2:$L$2000,11,0),0)</f>
        <v>54</v>
      </c>
      <c r="H418" s="3">
        <f>_xlfn.IFNA(VLOOKUP($A418,[3]stockregister!$A$2:$L$2000,11,0),0)-$G418</f>
        <v>0</v>
      </c>
      <c r="I418" s="3">
        <f>_xlfn.IFNA(VLOOKUP($A418,[3]stockregister!$A$2:$L$2000,12,0),0)</f>
        <v>1042</v>
      </c>
      <c r="J418" s="3">
        <f>_xlfn.IFNA(VLOOKUP($A418,[3]stockregister!$A$1:$M$2000,12,0),0)-$I418</f>
        <v>0</v>
      </c>
      <c r="K418" s="3" t="s">
        <v>22</v>
      </c>
      <c r="L418" s="3" t="s">
        <v>23</v>
      </c>
      <c r="M418" s="3">
        <f>_xlfn.IFNA(VLOOKUP($A418,[2]stockregister!$A$2:$H$2000,8,0),0)</f>
        <v>1150</v>
      </c>
      <c r="N418" s="3">
        <f>_xlfn.IFNA(VLOOKUP($A418,[2]stockregister!$A$2:$H$2000,8,0),0)-$M418</f>
        <v>0</v>
      </c>
      <c r="O418" s="3" t="s">
        <v>1045</v>
      </c>
      <c r="P418" s="3" t="s">
        <v>1045</v>
      </c>
      <c r="Q418" s="3" t="s">
        <v>1046</v>
      </c>
      <c r="R418" s="3" t="s">
        <v>68</v>
      </c>
      <c r="S418" s="3" t="s">
        <v>196</v>
      </c>
    </row>
    <row r="419" spans="1:19">
      <c r="A419" s="3">
        <v>430</v>
      </c>
      <c r="B419" s="3" t="b">
        <f>ISNUMBER(MATCH(A419,[1]stockregister!$A$2:$A$2000,0))</f>
        <v>1</v>
      </c>
      <c r="C419" s="3" t="s">
        <v>407</v>
      </c>
      <c r="D419" s="3" t="str">
        <f>VLOOKUP($C419,[1]stockregister!$B$2:$B$2000,1,0)</f>
        <v>TALISKER  PORT RUIGHE WHISKY 700ML</v>
      </c>
      <c r="E419" s="3" t="str">
        <f>IF(ISNA($D419),VLOOKUP($A419,[2]stockregister!$A$2:$B$2000,2,FALSE),"")</f>
        <v/>
      </c>
      <c r="F419" s="3" t="s">
        <v>21</v>
      </c>
      <c r="G419" s="3">
        <f>_xlfn.IFNA(VLOOKUP($A419,[3]stockregister!$A$2:$L$2000,11,0),0)</f>
        <v>48</v>
      </c>
      <c r="H419" s="3">
        <f>_xlfn.IFNA(VLOOKUP($A419,[3]stockregister!$A$2:$L$2000,11,0),0)-$G419</f>
        <v>0</v>
      </c>
      <c r="I419" s="3">
        <f>_xlfn.IFNA(VLOOKUP($A419,[3]stockregister!$A$2:$L$2000,12,0),0)</f>
        <v>709.914</v>
      </c>
      <c r="J419" s="3">
        <f>_xlfn.IFNA(VLOOKUP($A419,[3]stockregister!$A$1:$M$2000,12,0),0)-$I419</f>
        <v>0</v>
      </c>
      <c r="K419" s="3" t="s">
        <v>22</v>
      </c>
      <c r="L419" s="3" t="s">
        <v>23</v>
      </c>
      <c r="M419" s="3">
        <f>_xlfn.IFNA(VLOOKUP($A419,[2]stockregister!$A$2:$H$2000,8,0),0)</f>
        <v>760</v>
      </c>
      <c r="N419" s="3">
        <f>_xlfn.IFNA(VLOOKUP($A419,[2]stockregister!$A$2:$H$2000,8,0),0)-$M419</f>
        <v>0</v>
      </c>
      <c r="O419" s="3" t="s">
        <v>1047</v>
      </c>
      <c r="P419" s="3" t="s">
        <v>1047</v>
      </c>
      <c r="Q419" s="3" t="s">
        <v>1048</v>
      </c>
      <c r="R419" s="3" t="s">
        <v>68</v>
      </c>
      <c r="S419" s="3" t="s">
        <v>69</v>
      </c>
    </row>
    <row r="420" spans="1:19">
      <c r="A420" s="3">
        <v>1501</v>
      </c>
      <c r="B420" s="3" t="b">
        <f>ISNUMBER(MATCH(A420,[1]stockregister!$A$2:$A$2000,0))</f>
        <v>1</v>
      </c>
      <c r="C420" s="3" t="s">
        <v>409</v>
      </c>
      <c r="D420" s="3" t="str">
        <f>VLOOKUP($C420,[1]stockregister!$B$2:$B$2000,1,0)</f>
        <v>HAUTE CABRIERE CHARDONNAY  PINOT 750ML750ML</v>
      </c>
      <c r="E420" s="3" t="str">
        <f>IF(ISNA($D420),VLOOKUP($A420,[2]stockregister!$A$2:$B$2000,2,FALSE),"")</f>
        <v/>
      </c>
      <c r="F420" s="3" t="s">
        <v>21</v>
      </c>
      <c r="G420" s="3">
        <f>_xlfn.IFNA(VLOOKUP($A420,[3]stockregister!$A$2:$L$2000,11,0),0)</f>
        <v>53</v>
      </c>
      <c r="H420" s="3">
        <f>_xlfn.IFNA(VLOOKUP($A420,[3]stockregister!$A$2:$L$2000,11,0),0)-$G420</f>
        <v>0</v>
      </c>
      <c r="I420" s="3">
        <f>_xlfn.IFNA(VLOOKUP($A420,[3]stockregister!$A$2:$L$2000,12,0),0)</f>
        <v>2500</v>
      </c>
      <c r="J420" s="3">
        <f>_xlfn.IFNA(VLOOKUP($A420,[3]stockregister!$A$1:$M$2000,12,0),0)-$I420</f>
        <v>0</v>
      </c>
      <c r="K420" s="3" t="s">
        <v>22</v>
      </c>
      <c r="L420" s="3" t="s">
        <v>23</v>
      </c>
      <c r="M420" s="3">
        <f>_xlfn.IFNA(VLOOKUP($A420,[2]stockregister!$A$2:$H$2000,8,0),0)</f>
        <v>3300</v>
      </c>
      <c r="N420" s="3">
        <f>_xlfn.IFNA(VLOOKUP($A420,[2]stockregister!$A$2:$H$2000,8,0),0)-$M420</f>
        <v>0</v>
      </c>
      <c r="O420" s="3" t="s">
        <v>1049</v>
      </c>
      <c r="P420" s="3" t="s">
        <v>1049</v>
      </c>
      <c r="Q420" s="3" t="s">
        <v>1050</v>
      </c>
      <c r="R420" s="3" t="s">
        <v>537</v>
      </c>
      <c r="S420" s="3" t="s">
        <v>69</v>
      </c>
    </row>
    <row r="421" spans="1:18">
      <c r="A421" s="3">
        <v>1921</v>
      </c>
      <c r="B421" s="3" t="b">
        <f>ISNUMBER(MATCH(A421,[1]stockregister!$A$2:$A$2000,0))</f>
        <v>1</v>
      </c>
      <c r="C421" s="3" t="s">
        <v>411</v>
      </c>
      <c r="D421" s="3" t="str">
        <f>VLOOKUP($C421,[1]stockregister!$B$2:$B$2000,1,0)</f>
        <v>WAVE DANCER SWT WHITE  700ML</v>
      </c>
      <c r="E421" s="3" t="str">
        <f>IF(ISNA($D421),VLOOKUP($A421,[2]stockregister!$A$2:$B$2000,2,FALSE),"")</f>
        <v/>
      </c>
      <c r="F421" s="3" t="s">
        <v>21</v>
      </c>
      <c r="G421" s="3">
        <f>_xlfn.IFNA(VLOOKUP($A421,[3]stockregister!$A$2:$L$2000,11,0),0)</f>
        <v>52</v>
      </c>
      <c r="H421" s="3">
        <f>_xlfn.IFNA(VLOOKUP($A421,[3]stockregister!$A$2:$L$2000,11,0),0)-$G421</f>
        <v>0</v>
      </c>
      <c r="I421" s="3">
        <f>_xlfn.IFNA(VLOOKUP($A421,[3]stockregister!$A$2:$L$2000,12,0),0)</f>
        <v>7820</v>
      </c>
      <c r="J421" s="3">
        <f>_xlfn.IFNA(VLOOKUP($A421,[3]stockregister!$A$1:$M$2000,12,0),0)-$I421</f>
        <v>0</v>
      </c>
      <c r="K421" s="3" t="s">
        <v>22</v>
      </c>
      <c r="L421" s="3" t="s">
        <v>23</v>
      </c>
      <c r="M421" s="3">
        <f>_xlfn.IFNA(VLOOKUP($A421,[2]stockregister!$A$2:$H$2000,8,0),0)</f>
        <v>8500</v>
      </c>
      <c r="N421" s="3">
        <f>_xlfn.IFNA(VLOOKUP($A421,[2]stockregister!$A$2:$H$2000,8,0),0)-$M421</f>
        <v>0</v>
      </c>
      <c r="O421" s="3" t="s">
        <v>1051</v>
      </c>
      <c r="P421" s="3" t="s">
        <v>1051</v>
      </c>
      <c r="Q421" s="3" t="s">
        <v>1052</v>
      </c>
      <c r="R421" s="3" t="s">
        <v>92</v>
      </c>
    </row>
    <row r="422" spans="1:19">
      <c r="A422" s="3">
        <v>2296</v>
      </c>
      <c r="B422" s="3" t="b">
        <f>ISNUMBER(MATCH(A422,[1]stockregister!$A$2:$A$2000,0))</f>
        <v>1</v>
      </c>
      <c r="C422" s="3" t="s">
        <v>413</v>
      </c>
      <c r="D422" s="3" t="str">
        <f>VLOOKUP($C422,[1]stockregister!$B$2:$B$2000,1,0)</f>
        <v>WHITLEY NEILL LEMON GRASS  GIN 1LTR</v>
      </c>
      <c r="E422" s="3" t="str">
        <f>IF(ISNA($D422),VLOOKUP($A422,[2]stockregister!$A$2:$B$2000,2,FALSE),"")</f>
        <v/>
      </c>
      <c r="F422" s="3" t="s">
        <v>21</v>
      </c>
      <c r="G422" s="3">
        <f>_xlfn.IFNA(VLOOKUP($A422,[3]stockregister!$A$2:$L$2000,11,0),0)</f>
        <v>51</v>
      </c>
      <c r="H422" s="3">
        <f>_xlfn.IFNA(VLOOKUP($A422,[3]stockregister!$A$2:$L$2000,11,0),0)-$G422</f>
        <v>0</v>
      </c>
      <c r="I422" s="3">
        <f>_xlfn.IFNA(VLOOKUP($A422,[3]stockregister!$A$2:$L$2000,12,0),0)</f>
        <v>1130</v>
      </c>
      <c r="J422" s="3">
        <f>_xlfn.IFNA(VLOOKUP($A422,[3]stockregister!$A$1:$M$2000,12,0),0)-$I422</f>
        <v>0</v>
      </c>
      <c r="K422" s="3" t="s">
        <v>22</v>
      </c>
      <c r="L422" s="3" t="s">
        <v>23</v>
      </c>
      <c r="M422" s="3">
        <f>_xlfn.IFNA(VLOOKUP($A422,[2]stockregister!$A$2:$H$2000,8,0),0)</f>
        <v>1200</v>
      </c>
      <c r="N422" s="3">
        <f>_xlfn.IFNA(VLOOKUP($A422,[2]stockregister!$A$2:$H$2000,8,0),0)-$M422</f>
        <v>0</v>
      </c>
      <c r="O422" s="3" t="s">
        <v>1053</v>
      </c>
      <c r="P422" s="3" t="s">
        <v>1053</v>
      </c>
      <c r="Q422" s="3" t="s">
        <v>824</v>
      </c>
      <c r="R422" s="3" t="s">
        <v>92</v>
      </c>
      <c r="S422" s="3" t="s">
        <v>284</v>
      </c>
    </row>
    <row r="423" spans="1:20">
      <c r="A423" s="3">
        <v>463</v>
      </c>
      <c r="B423" s="3" t="b">
        <f>ISNUMBER(MATCH(A423,[1]stockregister!$A$2:$A$2000,0))</f>
        <v>1</v>
      </c>
      <c r="C423" s="3" t="s">
        <v>416</v>
      </c>
      <c r="D423" s="3" t="str">
        <f>VLOOKUP($C423,[1]stockregister!$B$2:$B$2000,1,0)</f>
        <v>MAISON CASTEL CUVEE ROSEE  750ML</v>
      </c>
      <c r="E423" s="3" t="str">
        <f>IF(ISNA($D423),VLOOKUP($A423,[2]stockregister!$A$2:$B$2000,2,FALSE),"")</f>
        <v/>
      </c>
      <c r="F423" s="3" t="s">
        <v>21</v>
      </c>
      <c r="G423" s="3">
        <f>_xlfn.IFNA(VLOOKUP($A423,[3]stockregister!$A$2:$L$2000,11,0),0)</f>
        <v>50</v>
      </c>
      <c r="H423" s="3">
        <f>_xlfn.IFNA(VLOOKUP($A423,[3]stockregister!$A$2:$L$2000,11,0),0)-$G423</f>
        <v>0</v>
      </c>
      <c r="I423" s="3">
        <f>_xlfn.IFNA(VLOOKUP($A423,[3]stockregister!$A$2:$L$2000,12,0),0)</f>
        <v>7360</v>
      </c>
      <c r="J423" s="3">
        <f>_xlfn.IFNA(VLOOKUP($A423,[3]stockregister!$A$1:$M$2000,12,0),0)-$I423</f>
        <v>0</v>
      </c>
      <c r="K423" s="3" t="s">
        <v>22</v>
      </c>
      <c r="L423" s="3" t="s">
        <v>23</v>
      </c>
      <c r="M423" s="3">
        <f>_xlfn.IFNA(VLOOKUP($A423,[2]stockregister!$A$2:$H$2000,8,0),0)</f>
        <v>7500</v>
      </c>
      <c r="N423" s="3">
        <f>_xlfn.IFNA(VLOOKUP($A423,[2]stockregister!$A$2:$H$2000,8,0),0)-$M423</f>
        <v>0</v>
      </c>
      <c r="O423" s="3" t="s">
        <v>1054</v>
      </c>
      <c r="P423" s="3" t="s">
        <v>1054</v>
      </c>
      <c r="Q423" s="3" t="s">
        <v>164</v>
      </c>
      <c r="R423" s="3" t="s">
        <v>92</v>
      </c>
      <c r="S423" s="3" t="s">
        <v>134</v>
      </c>
      <c r="T423" s="3">
        <v>18</v>
      </c>
    </row>
    <row r="424" spans="1:19">
      <c r="A424" s="3">
        <v>1128</v>
      </c>
      <c r="B424" s="3" t="b">
        <f>ISNUMBER(MATCH(A424,[1]stockregister!$A$2:$A$2000,0))</f>
        <v>1</v>
      </c>
      <c r="C424" s="3" t="s">
        <v>418</v>
      </c>
      <c r="D424" s="3" t="str">
        <f>VLOOKUP($C424,[1]stockregister!$B$2:$B$2000,1,0)</f>
        <v>ANGOVE  MCLAREN VALE SHIRAZ 2016 750ML</v>
      </c>
      <c r="E424" s="3" t="str">
        <f>IF(ISNA($D424),VLOOKUP($A424,[2]stockregister!$A$2:$B$2000,2,FALSE),"")</f>
        <v/>
      </c>
      <c r="F424" s="3" t="s">
        <v>21</v>
      </c>
      <c r="G424" s="3">
        <f>_xlfn.IFNA(VLOOKUP($A424,[3]stockregister!$A$2:$L$2000,11,0),0)</f>
        <v>49</v>
      </c>
      <c r="H424" s="3">
        <f>_xlfn.IFNA(VLOOKUP($A424,[3]stockregister!$A$2:$L$2000,11,0),0)-$G424</f>
        <v>0</v>
      </c>
      <c r="I424" s="3">
        <f>_xlfn.IFNA(VLOOKUP($A424,[3]stockregister!$A$2:$L$2000,12,0),0)</f>
        <v>17800</v>
      </c>
      <c r="J424" s="3">
        <f>_xlfn.IFNA(VLOOKUP($A424,[3]stockregister!$A$1:$M$2000,12,0),0)-$I424</f>
        <v>0</v>
      </c>
      <c r="K424" s="3" t="s">
        <v>22</v>
      </c>
      <c r="L424" s="3" t="s">
        <v>23</v>
      </c>
      <c r="M424" s="3">
        <f>_xlfn.IFNA(VLOOKUP($A424,[2]stockregister!$A$2:$H$2000,8,0),0)</f>
        <v>18000</v>
      </c>
      <c r="N424" s="3">
        <f>_xlfn.IFNA(VLOOKUP($A424,[2]stockregister!$A$2:$H$2000,8,0),0)-$M424</f>
        <v>0</v>
      </c>
      <c r="O424" s="3" t="s">
        <v>1055</v>
      </c>
      <c r="P424" s="3" t="s">
        <v>1055</v>
      </c>
      <c r="Q424" s="3" t="s">
        <v>1056</v>
      </c>
      <c r="R424" s="3" t="s">
        <v>73</v>
      </c>
      <c r="S424" s="3" t="s">
        <v>1057</v>
      </c>
    </row>
    <row r="425" spans="1:19">
      <c r="A425" s="3">
        <v>681</v>
      </c>
      <c r="B425" s="3" t="b">
        <f>ISNUMBER(MATCH(A425,[1]stockregister!$A$2:$A$2000,0))</f>
        <v>1</v>
      </c>
      <c r="C425" s="3" t="s">
        <v>422</v>
      </c>
      <c r="D425" s="3" t="str">
        <f>VLOOKUP($C425,[1]stockregister!$B$2:$B$2000,1,0)</f>
        <v>WOOSH PEN 1800 PUFFS COLA LIME </v>
      </c>
      <c r="E425" s="3" t="str">
        <f>IF(ISNA($D425),VLOOKUP($A425,[2]stockregister!$A$2:$B$2000,2,FALSE),"")</f>
        <v/>
      </c>
      <c r="F425" s="3" t="s">
        <v>21</v>
      </c>
      <c r="G425" s="3">
        <f>_xlfn.IFNA(VLOOKUP($A425,[3]stockregister!$A$2:$L$2000,11,0),0)</f>
        <v>96</v>
      </c>
      <c r="H425" s="3">
        <f>_xlfn.IFNA(VLOOKUP($A425,[3]stockregister!$A$2:$L$2000,11,0),0)-$G425</f>
        <v>0</v>
      </c>
      <c r="I425" s="3">
        <f>_xlfn.IFNA(VLOOKUP($A425,[3]stockregister!$A$2:$L$2000,12,0),0)</f>
        <v>65.83</v>
      </c>
      <c r="J425" s="3">
        <f>_xlfn.IFNA(VLOOKUP($A425,[3]stockregister!$A$1:$M$2000,12,0),0)-$I425</f>
        <v>0</v>
      </c>
      <c r="K425" s="3" t="s">
        <v>22</v>
      </c>
      <c r="L425" s="3" t="s">
        <v>23</v>
      </c>
      <c r="M425" s="3">
        <f>_xlfn.IFNA(VLOOKUP($A425,[2]stockregister!$A$2:$H$2000,8,0),0)</f>
        <v>80</v>
      </c>
      <c r="N425" s="3">
        <f>_xlfn.IFNA(VLOOKUP($A425,[2]stockregister!$A$2:$H$2000,8,0),0)-$M425</f>
        <v>0</v>
      </c>
      <c r="O425" s="3" t="s">
        <v>1058</v>
      </c>
      <c r="P425" s="3" t="s">
        <v>1058</v>
      </c>
      <c r="Q425" s="3" t="s">
        <v>1059</v>
      </c>
      <c r="R425" s="3" t="s">
        <v>26</v>
      </c>
      <c r="S425" s="3" t="s">
        <v>27</v>
      </c>
    </row>
    <row r="426" spans="1:19">
      <c r="A426" s="3">
        <v>2098</v>
      </c>
      <c r="B426" s="3" t="b">
        <f>ISNUMBER(MATCH(A426,[1]stockregister!$A$2:$A$2000,0))</f>
        <v>1</v>
      </c>
      <c r="C426" s="3" t="s">
        <v>424</v>
      </c>
      <c r="D426" s="3" t="str">
        <f>VLOOKUP($C426,[1]stockregister!$B$2:$B$2000,1,0)</f>
        <v>WOOSH 9000 PUFFS WATERMELON ICE </v>
      </c>
      <c r="E426" s="3" t="str">
        <f>IF(ISNA($D426),VLOOKUP($A426,[2]stockregister!$A$2:$B$2000,2,FALSE),"")</f>
        <v/>
      </c>
      <c r="F426" s="3" t="s">
        <v>21</v>
      </c>
      <c r="G426" s="3">
        <f>_xlfn.IFNA(VLOOKUP($A426,[3]stockregister!$A$2:$L$2000,11,0),0)</f>
        <v>48</v>
      </c>
      <c r="H426" s="3">
        <f>_xlfn.IFNA(VLOOKUP($A426,[3]stockregister!$A$2:$L$2000,11,0),0)-$G426</f>
        <v>0</v>
      </c>
      <c r="I426" s="3">
        <f>_xlfn.IFNA(VLOOKUP($A426,[3]stockregister!$A$2:$L$2000,12,0),0)</f>
        <v>2576</v>
      </c>
      <c r="J426" s="3">
        <f>_xlfn.IFNA(VLOOKUP($A426,[3]stockregister!$A$1:$M$2000,12,0),0)-$I426</f>
        <v>0</v>
      </c>
      <c r="K426" s="3" t="s">
        <v>22</v>
      </c>
      <c r="L426" s="3" t="s">
        <v>23</v>
      </c>
      <c r="M426" s="3">
        <f>_xlfn.IFNA(VLOOKUP($A426,[2]stockregister!$A$2:$H$2000,8,0),0)</f>
        <v>2800</v>
      </c>
      <c r="N426" s="3">
        <f>_xlfn.IFNA(VLOOKUP($A426,[2]stockregister!$A$2:$H$2000,8,0),0)-$M426</f>
        <v>0</v>
      </c>
      <c r="O426" s="3" t="s">
        <v>1060</v>
      </c>
      <c r="P426" s="3" t="s">
        <v>1060</v>
      </c>
      <c r="Q426" s="3" t="s">
        <v>1061</v>
      </c>
      <c r="R426" s="3" t="s">
        <v>78</v>
      </c>
      <c r="S426" s="3" t="s">
        <v>632</v>
      </c>
    </row>
    <row r="427" spans="1:19">
      <c r="A427" s="3">
        <v>322</v>
      </c>
      <c r="B427" s="3" t="b">
        <f>ISNUMBER(MATCH(A427,[1]stockregister!$A$2:$A$2000,0))</f>
        <v>1</v>
      </c>
      <c r="C427" s="3" t="s">
        <v>427</v>
      </c>
      <c r="D427" s="3" t="str">
        <f>VLOOKUP($C427,[1]stockregister!$B$2:$B$2000,1,0)</f>
        <v>FRONTERA CAB SAUV  750ML</v>
      </c>
      <c r="E427" s="3" t="str">
        <f>IF(ISNA($D427),VLOOKUP($A427,[2]stockregister!$A$2:$B$2000,2,FALSE),"")</f>
        <v/>
      </c>
      <c r="F427" s="3" t="s">
        <v>21</v>
      </c>
      <c r="G427" s="3">
        <f>_xlfn.IFNA(VLOOKUP($A427,[3]stockregister!$A$2:$L$2000,11,0),0)</f>
        <v>48</v>
      </c>
      <c r="H427" s="3">
        <f>_xlfn.IFNA(VLOOKUP($A427,[3]stockregister!$A$2:$L$2000,11,0),0)-$G427</f>
        <v>0</v>
      </c>
      <c r="I427" s="3">
        <f>_xlfn.IFNA(VLOOKUP($A427,[3]stockregister!$A$2:$L$2000,12,0),0)</f>
        <v>1472</v>
      </c>
      <c r="J427" s="3">
        <f>_xlfn.IFNA(VLOOKUP($A427,[3]stockregister!$A$1:$M$2000,12,0),0)-$I427</f>
        <v>0</v>
      </c>
      <c r="K427" s="3" t="s">
        <v>22</v>
      </c>
      <c r="L427" s="3" t="s">
        <v>23</v>
      </c>
      <c r="M427" s="3">
        <f>_xlfn.IFNA(VLOOKUP($A427,[2]stockregister!$A$2:$H$2000,8,0),0)</f>
        <v>1600</v>
      </c>
      <c r="N427" s="3">
        <f>_xlfn.IFNA(VLOOKUP($A427,[2]stockregister!$A$2:$H$2000,8,0),0)-$M427</f>
        <v>0</v>
      </c>
      <c r="O427" s="3" t="s">
        <v>1062</v>
      </c>
      <c r="P427" s="3" t="s">
        <v>1062</v>
      </c>
      <c r="Q427" s="3" t="s">
        <v>641</v>
      </c>
      <c r="R427" s="3" t="s">
        <v>126</v>
      </c>
      <c r="S427" s="3" t="s">
        <v>1063</v>
      </c>
    </row>
    <row r="428" spans="1:19">
      <c r="A428" s="3">
        <v>257</v>
      </c>
      <c r="B428" s="3" t="b">
        <f>ISNUMBER(MATCH(A428,[1]stockregister!$A$2:$A$2000,0))</f>
        <v>1</v>
      </c>
      <c r="C428" s="3" t="s">
        <v>429</v>
      </c>
      <c r="D428" s="3" t="str">
        <f>VLOOKUP($C428,[1]stockregister!$B$2:$B$2000,1,0)</f>
        <v>WOOSH 9000 PUFFS SUN KISSED GRAPE</v>
      </c>
      <c r="E428" s="3" t="str">
        <f>IF(ISNA($D428),VLOOKUP($A428,[2]stockregister!$A$2:$B$2000,2,FALSE),"")</f>
        <v/>
      </c>
      <c r="F428" s="3" t="s">
        <v>21</v>
      </c>
      <c r="G428" s="3">
        <f>_xlfn.IFNA(VLOOKUP($A428,[3]stockregister!$A$2:$L$2000,11,0),0)</f>
        <v>48</v>
      </c>
      <c r="H428" s="3">
        <f>_xlfn.IFNA(VLOOKUP($A428,[3]stockregister!$A$2:$L$2000,11,0),0)-$G428</f>
        <v>0</v>
      </c>
      <c r="I428" s="3">
        <f>_xlfn.IFNA(VLOOKUP($A428,[3]stockregister!$A$2:$L$2000,12,0),0)</f>
        <v>1564</v>
      </c>
      <c r="J428" s="3">
        <f>_xlfn.IFNA(VLOOKUP($A428,[3]stockregister!$A$1:$M$2000,12,0),0)-$I428</f>
        <v>0</v>
      </c>
      <c r="K428" s="3" t="s">
        <v>22</v>
      </c>
      <c r="L428" s="3" t="s">
        <v>23</v>
      </c>
      <c r="M428" s="3">
        <f>_xlfn.IFNA(VLOOKUP($A428,[2]stockregister!$A$2:$H$2000,8,0),0)</f>
        <v>1700</v>
      </c>
      <c r="N428" s="3">
        <f>_xlfn.IFNA(VLOOKUP($A428,[2]stockregister!$A$2:$H$2000,8,0),0)-$M428</f>
        <v>0</v>
      </c>
      <c r="O428" s="3" t="s">
        <v>1064</v>
      </c>
      <c r="P428" s="3" t="s">
        <v>1064</v>
      </c>
      <c r="Q428" s="3" t="s">
        <v>707</v>
      </c>
      <c r="R428" s="3" t="s">
        <v>126</v>
      </c>
      <c r="S428" s="3" t="s">
        <v>720</v>
      </c>
    </row>
    <row r="429" spans="1:19">
      <c r="A429" s="3">
        <v>49</v>
      </c>
      <c r="B429" s="3" t="b">
        <f>ISNUMBER(MATCH(A429,[1]stockregister!$A$2:$A$2000,0))</f>
        <v>1</v>
      </c>
      <c r="C429" s="3" t="s">
        <v>431</v>
      </c>
      <c r="D429" s="3" t="str">
        <f>VLOOKUP($C429,[1]stockregister!$B$2:$B$2000,1,0)</f>
        <v>JOHNNIE WALKER RED LABEL  1LTR</v>
      </c>
      <c r="E429" s="3" t="str">
        <f>IF(ISNA($D429),VLOOKUP($A429,[2]stockregister!$A$2:$B$2000,2,FALSE),"")</f>
        <v/>
      </c>
      <c r="F429" s="3" t="s">
        <v>21</v>
      </c>
      <c r="G429" s="3">
        <f>_xlfn.IFNA(VLOOKUP($A429,[3]stockregister!$A$2:$L$2000,11,0),0)</f>
        <v>48</v>
      </c>
      <c r="H429" s="3">
        <f>_xlfn.IFNA(VLOOKUP($A429,[3]stockregister!$A$2:$L$2000,11,0),0)-$G429</f>
        <v>0</v>
      </c>
      <c r="I429" s="3">
        <f>_xlfn.IFNA(VLOOKUP($A429,[3]stockregister!$A$2:$L$2000,12,0),0)</f>
        <v>2024</v>
      </c>
      <c r="J429" s="3">
        <f>_xlfn.IFNA(VLOOKUP($A429,[3]stockregister!$A$1:$M$2000,12,0),0)-$I429</f>
        <v>0</v>
      </c>
      <c r="K429" s="3" t="s">
        <v>22</v>
      </c>
      <c r="L429" s="3" t="s">
        <v>23</v>
      </c>
      <c r="M429" s="3">
        <f>_xlfn.IFNA(VLOOKUP($A429,[2]stockregister!$A$2:$H$2000,8,0),0)</f>
        <v>2200</v>
      </c>
      <c r="N429" s="3">
        <f>_xlfn.IFNA(VLOOKUP($A429,[2]stockregister!$A$2:$H$2000,8,0),0)-$M429</f>
        <v>0</v>
      </c>
      <c r="O429" s="3" t="s">
        <v>1065</v>
      </c>
      <c r="P429" s="3" t="s">
        <v>1065</v>
      </c>
      <c r="Q429" s="3" t="s">
        <v>358</v>
      </c>
      <c r="R429" s="3" t="s">
        <v>318</v>
      </c>
      <c r="S429" s="3" t="s">
        <v>1066</v>
      </c>
    </row>
    <row r="430" spans="1:18">
      <c r="A430" s="3">
        <v>665</v>
      </c>
      <c r="B430" s="3" t="b">
        <f>ISNUMBER(MATCH(A430,[1]stockregister!$A$2:$A$2000,0))</f>
        <v>1</v>
      </c>
      <c r="C430" s="3" t="s">
        <v>434</v>
      </c>
      <c r="D430" s="3" t="str">
        <f>VLOOKUP($C430,[1]stockregister!$B$2:$B$2000,1,0)</f>
        <v>STARCHASER  750ML</v>
      </c>
      <c r="E430" s="3" t="str">
        <f>IF(ISNA($D430),VLOOKUP($A430,[2]stockregister!$A$2:$B$2000,2,FALSE),"")</f>
        <v/>
      </c>
      <c r="F430" s="3" t="s">
        <v>21</v>
      </c>
      <c r="G430" s="3">
        <f>_xlfn.IFNA(VLOOKUP($A430,[3]stockregister!$A$2:$L$2000,11,0),0)</f>
        <v>48</v>
      </c>
      <c r="H430" s="3">
        <f>_xlfn.IFNA(VLOOKUP($A430,[3]stockregister!$A$2:$L$2000,11,0),0)-$G430</f>
        <v>0</v>
      </c>
      <c r="I430" s="3">
        <f>_xlfn.IFNA(VLOOKUP($A430,[3]stockregister!$A$2:$L$2000,12,0),0)</f>
        <v>700</v>
      </c>
      <c r="J430" s="3">
        <f>_xlfn.IFNA(VLOOKUP($A430,[3]stockregister!$A$1:$M$2000,12,0),0)-$I430</f>
        <v>0</v>
      </c>
      <c r="K430" s="3" t="s">
        <v>22</v>
      </c>
      <c r="L430" s="3" t="s">
        <v>23</v>
      </c>
      <c r="M430" s="3">
        <f>_xlfn.IFNA(VLOOKUP($A430,[2]stockregister!$A$2:$H$2000,8,0),0)</f>
        <v>800</v>
      </c>
      <c r="N430" s="3">
        <f>_xlfn.IFNA(VLOOKUP($A430,[2]stockregister!$A$2:$H$2000,8,0),0)-$M430</f>
        <v>0</v>
      </c>
      <c r="O430" s="3" t="s">
        <v>1067</v>
      </c>
      <c r="P430" s="3" t="s">
        <v>1067</v>
      </c>
      <c r="Q430" s="3" t="s">
        <v>1068</v>
      </c>
      <c r="R430" s="3" t="s">
        <v>318</v>
      </c>
    </row>
    <row r="431" spans="1:18">
      <c r="A431" s="3">
        <v>1523</v>
      </c>
      <c r="B431" s="3" t="b">
        <f>ISNUMBER(MATCH(A431,[1]stockregister!$A$2:$A$2000,0))</f>
        <v>1</v>
      </c>
      <c r="C431" s="3" t="s">
        <v>436</v>
      </c>
      <c r="D431" s="3" t="str">
        <f>VLOOKUP($C431,[1]stockregister!$B$2:$B$2000,1,0)</f>
        <v>ROOIBERG WINERY RED MUSCADEL  750ML</v>
      </c>
      <c r="E431" s="3" t="str">
        <f>IF(ISNA($D431),VLOOKUP($A431,[2]stockregister!$A$2:$B$2000,2,FALSE),"")</f>
        <v/>
      </c>
      <c r="F431" s="3" t="s">
        <v>21</v>
      </c>
      <c r="G431" s="3">
        <f>_xlfn.IFNA(VLOOKUP($A431,[3]stockregister!$A$2:$L$2000,11,0),0)</f>
        <v>48</v>
      </c>
      <c r="H431" s="3">
        <f>_xlfn.IFNA(VLOOKUP($A431,[3]stockregister!$A$2:$L$2000,11,0),0)-$G431</f>
        <v>0</v>
      </c>
      <c r="I431" s="3">
        <f>_xlfn.IFNA(VLOOKUP($A431,[3]stockregister!$A$2:$L$2000,12,0),0)</f>
        <v>800</v>
      </c>
      <c r="J431" s="3">
        <f>_xlfn.IFNA(VLOOKUP($A431,[3]stockregister!$A$1:$M$2000,12,0),0)-$I431</f>
        <v>0</v>
      </c>
      <c r="K431" s="3" t="s">
        <v>22</v>
      </c>
      <c r="L431" s="3" t="s">
        <v>23</v>
      </c>
      <c r="M431" s="3">
        <f>_xlfn.IFNA(VLOOKUP($A431,[2]stockregister!$A$2:$H$2000,8,0),0)</f>
        <v>900</v>
      </c>
      <c r="N431" s="3">
        <f>_xlfn.IFNA(VLOOKUP($A431,[2]stockregister!$A$2:$H$2000,8,0),0)-$M431</f>
        <v>0</v>
      </c>
      <c r="O431" s="3" t="s">
        <v>1069</v>
      </c>
      <c r="P431" s="3" t="s">
        <v>1069</v>
      </c>
      <c r="Q431" s="3" t="s">
        <v>1070</v>
      </c>
      <c r="R431" s="3" t="s">
        <v>318</v>
      </c>
    </row>
    <row r="432" spans="1:19">
      <c r="A432" s="3">
        <v>1708</v>
      </c>
      <c r="B432" s="3" t="b">
        <f>ISNUMBER(MATCH(A432,[1]stockregister!$A$2:$A$2000,0))</f>
        <v>1</v>
      </c>
      <c r="C432" s="3" t="s">
        <v>439</v>
      </c>
      <c r="D432" s="3" t="str">
        <f>VLOOKUP($C432,[1]stockregister!$B$2:$B$2000,1,0)</f>
        <v>ROSSO BIANCO NOBILE ALLA VANIGLIA 750ML</v>
      </c>
      <c r="E432" s="3" t="str">
        <f>IF(ISNA($D432),VLOOKUP($A432,[2]stockregister!$A$2:$B$2000,2,FALSE),"")</f>
        <v/>
      </c>
      <c r="F432" s="3" t="s">
        <v>21</v>
      </c>
      <c r="G432" s="3">
        <f>_xlfn.IFNA(VLOOKUP($A432,[3]stockregister!$A$2:$L$2000,11,0),0)</f>
        <v>48</v>
      </c>
      <c r="H432" s="3">
        <f>_xlfn.IFNA(VLOOKUP($A432,[3]stockregister!$A$2:$L$2000,11,0),0)-$G432</f>
        <v>0</v>
      </c>
      <c r="I432" s="3">
        <f>_xlfn.IFNA(VLOOKUP($A432,[3]stockregister!$A$2:$L$2000,12,0),0)</f>
        <v>1087.27</v>
      </c>
      <c r="J432" s="3">
        <f>_xlfn.IFNA(VLOOKUP($A432,[3]stockregister!$A$1:$M$2000,12,0),0)-$I432</f>
        <v>0</v>
      </c>
      <c r="K432" s="3" t="s">
        <v>22</v>
      </c>
      <c r="L432" s="3" t="s">
        <v>23</v>
      </c>
      <c r="M432" s="3">
        <f>_xlfn.IFNA(VLOOKUP($A432,[2]stockregister!$A$2:$H$2000,8,0),0)</f>
        <v>1150</v>
      </c>
      <c r="N432" s="3">
        <f>_xlfn.IFNA(VLOOKUP($A432,[2]stockregister!$A$2:$H$2000,8,0),0)-$M432</f>
        <v>0</v>
      </c>
      <c r="O432" s="3" t="s">
        <v>1071</v>
      </c>
      <c r="P432" s="3" t="s">
        <v>1071</v>
      </c>
      <c r="Q432" s="3" t="s">
        <v>444</v>
      </c>
      <c r="R432" s="3" t="s">
        <v>92</v>
      </c>
      <c r="S432" s="3" t="s">
        <v>114</v>
      </c>
    </row>
    <row r="433" spans="1:19">
      <c r="A433" s="3">
        <v>1616</v>
      </c>
      <c r="B433" s="3" t="b">
        <f>ISNUMBER(MATCH(A433,[1]stockregister!$A$2:$A$2000,0))</f>
        <v>1</v>
      </c>
      <c r="C433" s="3" t="s">
        <v>442</v>
      </c>
      <c r="D433" s="3" t="str">
        <f>VLOOKUP($C433,[1]stockregister!$B$2:$B$2000,1,0)</f>
        <v>MANYATTA  MANGO &amp; GINGER 330ML</v>
      </c>
      <c r="E433" s="3" t="str">
        <f>IF(ISNA($D433),VLOOKUP($A433,[2]stockregister!$A$2:$B$2000,2,FALSE),"")</f>
        <v/>
      </c>
      <c r="F433" s="3" t="s">
        <v>21</v>
      </c>
      <c r="G433" s="3">
        <f>_xlfn.IFNA(VLOOKUP($A433,[3]stockregister!$A$2:$L$2000,11,0),0)</f>
        <v>48</v>
      </c>
      <c r="H433" s="3">
        <f>_xlfn.IFNA(VLOOKUP($A433,[3]stockregister!$A$2:$L$2000,11,0),0)-$G433</f>
        <v>0</v>
      </c>
      <c r="I433" s="3">
        <f>_xlfn.IFNA(VLOOKUP($A433,[3]stockregister!$A$2:$L$2000,12,0),0)</f>
        <v>2300</v>
      </c>
      <c r="J433" s="3">
        <f>_xlfn.IFNA(VLOOKUP($A433,[3]stockregister!$A$1:$M$2000,12,0),0)-$I433</f>
        <v>0</v>
      </c>
      <c r="K433" s="3" t="s">
        <v>22</v>
      </c>
      <c r="L433" s="3" t="s">
        <v>23</v>
      </c>
      <c r="M433" s="3">
        <f>_xlfn.IFNA(VLOOKUP($A433,[2]stockregister!$A$2:$H$2000,8,0),0)</f>
        <v>2500</v>
      </c>
      <c r="N433" s="3">
        <f>_xlfn.IFNA(VLOOKUP($A433,[2]stockregister!$A$2:$H$2000,8,0),0)-$M433</f>
        <v>0</v>
      </c>
      <c r="O433" s="3" t="s">
        <v>1072</v>
      </c>
      <c r="P433" s="3" t="s">
        <v>1072</v>
      </c>
      <c r="Q433" s="3" t="s">
        <v>1073</v>
      </c>
      <c r="R433" s="3" t="s">
        <v>92</v>
      </c>
      <c r="S433" s="3" t="s">
        <v>134</v>
      </c>
    </row>
    <row r="434" spans="1:19">
      <c r="A434" s="3">
        <v>1036</v>
      </c>
      <c r="B434" s="3" t="b">
        <f>ISNUMBER(MATCH(A434,[1]stockregister!$A$2:$A$2000,0))</f>
        <v>1</v>
      </c>
      <c r="C434" s="3" t="s">
        <v>445</v>
      </c>
      <c r="D434" s="3" t="str">
        <f>VLOOKUP($C434,[1]stockregister!$B$2:$B$2000,1,0)</f>
        <v>KO LIME AND GINGER 330 ML CAN </v>
      </c>
      <c r="E434" s="3" t="str">
        <f>IF(ISNA($D434),VLOOKUP($A434,[2]stockregister!$A$2:$B$2000,2,FALSE),"")</f>
        <v/>
      </c>
      <c r="F434" s="3" t="s">
        <v>21</v>
      </c>
      <c r="G434" s="3">
        <f>_xlfn.IFNA(VLOOKUP($A434,[3]stockregister!$A$2:$L$2000,11,0),0)</f>
        <v>48</v>
      </c>
      <c r="H434" s="3">
        <f>_xlfn.IFNA(VLOOKUP($A434,[3]stockregister!$A$2:$L$2000,11,0),0)-$G434</f>
        <v>0</v>
      </c>
      <c r="I434" s="3">
        <f>_xlfn.IFNA(VLOOKUP($A434,[3]stockregister!$A$2:$L$2000,12,0),0)</f>
        <v>2944</v>
      </c>
      <c r="J434" s="3">
        <f>_xlfn.IFNA(VLOOKUP($A434,[3]stockregister!$A$1:$M$2000,12,0),0)-$I434</f>
        <v>0</v>
      </c>
      <c r="K434" s="3" t="s">
        <v>22</v>
      </c>
      <c r="L434" s="3" t="s">
        <v>23</v>
      </c>
      <c r="M434" s="3">
        <f>_xlfn.IFNA(VLOOKUP($A434,[2]stockregister!$A$2:$H$2000,8,0),0)</f>
        <v>3200</v>
      </c>
      <c r="N434" s="3">
        <f>_xlfn.IFNA(VLOOKUP($A434,[2]stockregister!$A$2:$H$2000,8,0),0)-$M434</f>
        <v>0</v>
      </c>
      <c r="O434" s="3" t="s">
        <v>1074</v>
      </c>
      <c r="P434" s="3" t="s">
        <v>1074</v>
      </c>
      <c r="Q434" s="3" t="s">
        <v>236</v>
      </c>
      <c r="R434" s="3" t="s">
        <v>92</v>
      </c>
      <c r="S434" s="3" t="s">
        <v>1075</v>
      </c>
    </row>
    <row r="435" spans="1:19">
      <c r="A435" s="3">
        <v>2012</v>
      </c>
      <c r="B435" s="3" t="b">
        <f>ISNUMBER(MATCH(A435,[1]stockregister!$A$2:$A$2000,0))</f>
        <v>1</v>
      </c>
      <c r="C435" s="3" t="s">
        <v>449</v>
      </c>
      <c r="D435" s="3" t="str">
        <f>VLOOKUP($C435,[1]stockregister!$B$2:$B$2000,1,0)</f>
        <v>KO  DRY CIDER 500ML</v>
      </c>
      <c r="E435" s="3" t="str">
        <f>IF(ISNA($D435),VLOOKUP($A435,[2]stockregister!$A$2:$B$2000,2,FALSE),"")</f>
        <v/>
      </c>
      <c r="F435" s="3" t="s">
        <v>21</v>
      </c>
      <c r="G435" s="3">
        <f>_xlfn.IFNA(VLOOKUP($A435,[3]stockregister!$A$2:$L$2000,11,0),0)</f>
        <v>48</v>
      </c>
      <c r="H435" s="3">
        <f>_xlfn.IFNA(VLOOKUP($A435,[3]stockregister!$A$2:$L$2000,11,0),0)-$G435</f>
        <v>0</v>
      </c>
      <c r="I435" s="3">
        <f>_xlfn.IFNA(VLOOKUP($A435,[3]stockregister!$A$2:$L$2000,12,0),0)</f>
        <v>1498</v>
      </c>
      <c r="J435" s="3">
        <f>_xlfn.IFNA(VLOOKUP($A435,[3]stockregister!$A$1:$M$2000,12,0),0)-$I435</f>
        <v>0</v>
      </c>
      <c r="K435" s="3" t="s">
        <v>22</v>
      </c>
      <c r="L435" s="3" t="s">
        <v>23</v>
      </c>
      <c r="M435" s="3">
        <f>_xlfn.IFNA(VLOOKUP($A435,[2]stockregister!$A$2:$H$2000,8,0),0)</f>
        <v>1850</v>
      </c>
      <c r="N435" s="3">
        <f>_xlfn.IFNA(VLOOKUP($A435,[2]stockregister!$A$2:$H$2000,8,0),0)-$M435</f>
        <v>0</v>
      </c>
      <c r="O435" s="3" t="s">
        <v>1076</v>
      </c>
      <c r="P435" s="3" t="s">
        <v>1076</v>
      </c>
      <c r="Q435" s="3" t="s">
        <v>1077</v>
      </c>
      <c r="R435" s="3" t="s">
        <v>68</v>
      </c>
      <c r="S435" s="3" t="s">
        <v>1078</v>
      </c>
    </row>
    <row r="436" spans="1:19">
      <c r="A436" s="3">
        <v>747</v>
      </c>
      <c r="B436" s="3" t="b">
        <f>ISNUMBER(MATCH(A436,[1]stockregister!$A$2:$A$2000,0))</f>
        <v>1</v>
      </c>
      <c r="C436" s="3" t="s">
        <v>452</v>
      </c>
      <c r="D436" s="3" t="str">
        <f>VLOOKUP($C436,[1]stockregister!$B$2:$B$2000,1,0)</f>
        <v>RED BULL ENERGY DRINK 250ML</v>
      </c>
      <c r="E436" s="3" t="str">
        <f>IF(ISNA($D436),VLOOKUP($A436,[2]stockregister!$A$2:$B$2000,2,FALSE),"")</f>
        <v/>
      </c>
      <c r="F436" s="3" t="s">
        <v>21</v>
      </c>
      <c r="G436" s="3">
        <f>_xlfn.IFNA(VLOOKUP($A436,[3]stockregister!$A$2:$L$2000,11,0),0)</f>
        <v>48</v>
      </c>
      <c r="H436" s="3">
        <f>_xlfn.IFNA(VLOOKUP($A436,[3]stockregister!$A$2:$L$2000,11,0),0)-$G436</f>
        <v>0</v>
      </c>
      <c r="I436" s="3">
        <f>_xlfn.IFNA(VLOOKUP($A436,[3]stockregister!$A$2:$L$2000,12,0),0)</f>
        <v>920</v>
      </c>
      <c r="J436" s="3">
        <f>_xlfn.IFNA(VLOOKUP($A436,[3]stockregister!$A$1:$M$2000,12,0),0)-$I436</f>
        <v>0</v>
      </c>
      <c r="K436" s="3" t="s">
        <v>22</v>
      </c>
      <c r="L436" s="3" t="s">
        <v>23</v>
      </c>
      <c r="M436" s="3">
        <f>_xlfn.IFNA(VLOOKUP($A436,[2]stockregister!$A$2:$H$2000,8,0),0)</f>
        <v>1000</v>
      </c>
      <c r="N436" s="3">
        <f>_xlfn.IFNA(VLOOKUP($A436,[2]stockregister!$A$2:$H$2000,8,0),0)-$M436</f>
        <v>0</v>
      </c>
      <c r="O436" s="3" t="s">
        <v>1079</v>
      </c>
      <c r="P436" s="3" t="s">
        <v>1079</v>
      </c>
      <c r="Q436" s="3" t="s">
        <v>952</v>
      </c>
      <c r="R436" s="3" t="s">
        <v>537</v>
      </c>
      <c r="S436" s="3" t="s">
        <v>206</v>
      </c>
    </row>
    <row r="437" spans="1:19">
      <c r="A437" s="3">
        <v>639</v>
      </c>
      <c r="B437" s="3" t="b">
        <f>ISNUMBER(MATCH(A437,[1]stockregister!$A$2:$A$2000,0))</f>
        <v>1</v>
      </c>
      <c r="C437" s="3" t="s">
        <v>454</v>
      </c>
      <c r="D437" s="3" t="str">
        <f>VLOOKUP($C437,[1]stockregister!$B$2:$B$2000,1,0)</f>
        <v>FANTA  BLACKCURRANT 1.25L</v>
      </c>
      <c r="E437" s="3" t="str">
        <f>IF(ISNA($D437),VLOOKUP($A437,[2]stockregister!$A$2:$B$2000,2,FALSE),"")</f>
        <v/>
      </c>
      <c r="F437" s="3" t="s">
        <v>21</v>
      </c>
      <c r="G437" s="3">
        <f>_xlfn.IFNA(VLOOKUP($A437,[3]stockregister!$A$2:$L$2000,11,0),0)</f>
        <v>48</v>
      </c>
      <c r="H437" s="3">
        <f>_xlfn.IFNA(VLOOKUP($A437,[3]stockregister!$A$2:$L$2000,11,0),0)-$G437</f>
        <v>0</v>
      </c>
      <c r="I437" s="3">
        <f>_xlfn.IFNA(VLOOKUP($A437,[3]stockregister!$A$2:$L$2000,12,0),0)</f>
        <v>360</v>
      </c>
      <c r="J437" s="3">
        <f>_xlfn.IFNA(VLOOKUP($A437,[3]stockregister!$A$1:$M$2000,12,0),0)-$I437</f>
        <v>0</v>
      </c>
      <c r="K437" s="3" t="s">
        <v>22</v>
      </c>
      <c r="L437" s="3" t="s">
        <v>23</v>
      </c>
      <c r="M437" s="3">
        <f>_xlfn.IFNA(VLOOKUP($A437,[2]stockregister!$A$2:$H$2000,8,0),0)</f>
        <v>460</v>
      </c>
      <c r="N437" s="3">
        <f>_xlfn.IFNA(VLOOKUP($A437,[2]stockregister!$A$2:$H$2000,8,0),0)-$M437</f>
        <v>0</v>
      </c>
      <c r="O437" s="3" t="s">
        <v>1080</v>
      </c>
      <c r="P437" s="3" t="s">
        <v>1080</v>
      </c>
      <c r="Q437" s="3" t="s">
        <v>676</v>
      </c>
      <c r="R437" s="3" t="s">
        <v>68</v>
      </c>
      <c r="S437" s="3" t="s">
        <v>82</v>
      </c>
    </row>
    <row r="438" spans="1:19">
      <c r="A438" s="3">
        <v>790</v>
      </c>
      <c r="B438" s="3" t="b">
        <f>ISNUMBER(MATCH(A438,[1]stockregister!$A$2:$A$2000,0))</f>
        <v>1</v>
      </c>
      <c r="C438" s="3" t="s">
        <v>458</v>
      </c>
      <c r="D438" s="3" t="str">
        <f>VLOOKUP($C438,[1]stockregister!$B$2:$B$2000,1,0)</f>
        <v>FANTA BLACKCURRANT 2L</v>
      </c>
      <c r="E438" s="3" t="str">
        <f>IF(ISNA($D438),VLOOKUP($A438,[2]stockregister!$A$2:$B$2000,2,FALSE),"")</f>
        <v/>
      </c>
      <c r="F438" s="3" t="s">
        <v>21</v>
      </c>
      <c r="G438" s="3">
        <f>_xlfn.IFNA(VLOOKUP($A438,[3]stockregister!$A$2:$L$2000,11,0),0)</f>
        <v>48</v>
      </c>
      <c r="H438" s="3">
        <f>_xlfn.IFNA(VLOOKUP($A438,[3]stockregister!$A$2:$L$2000,11,0),0)-$G438</f>
        <v>0</v>
      </c>
      <c r="I438" s="3">
        <f>_xlfn.IFNA(VLOOKUP($A438,[3]stockregister!$A$2:$L$2000,12,0),0)</f>
        <v>1660</v>
      </c>
      <c r="J438" s="3">
        <f>_xlfn.IFNA(VLOOKUP($A438,[3]stockregister!$A$1:$M$2000,12,0),0)-$I438</f>
        <v>0</v>
      </c>
      <c r="K438" s="3" t="s">
        <v>22</v>
      </c>
      <c r="L438" s="3" t="s">
        <v>23</v>
      </c>
      <c r="M438" s="3">
        <f>_xlfn.IFNA(VLOOKUP($A438,[2]stockregister!$A$2:$H$2000,8,0),0)</f>
        <v>1850</v>
      </c>
      <c r="N438" s="3">
        <f>_xlfn.IFNA(VLOOKUP($A438,[2]stockregister!$A$2:$H$2000,8,0),0)-$M438</f>
        <v>0</v>
      </c>
      <c r="O438" s="3" t="s">
        <v>1081</v>
      </c>
      <c r="P438" s="3" t="s">
        <v>1081</v>
      </c>
      <c r="Q438" s="3" t="s">
        <v>1082</v>
      </c>
      <c r="R438" s="3" t="s">
        <v>68</v>
      </c>
      <c r="S438" s="3" t="s">
        <v>369</v>
      </c>
    </row>
    <row r="439" spans="1:19">
      <c r="A439" s="3">
        <v>2015</v>
      </c>
      <c r="B439" s="3" t="b">
        <f>ISNUMBER(MATCH(A439,[1]stockregister!$A$2:$A$2000,0))</f>
        <v>1</v>
      </c>
      <c r="C439" s="3" t="s">
        <v>460</v>
      </c>
      <c r="D439" s="3" t="str">
        <f>VLOOKUP($C439,[1]stockregister!$B$2:$B$2000,1,0)</f>
        <v>FANTA BLACKCURRANT 500ML</v>
      </c>
      <c r="E439" s="3" t="str">
        <f>IF(ISNA($D439),VLOOKUP($A439,[2]stockregister!$A$2:$B$2000,2,FALSE),"")</f>
        <v/>
      </c>
      <c r="F439" s="3" t="s">
        <v>21</v>
      </c>
      <c r="G439" s="3">
        <f>_xlfn.IFNA(VLOOKUP($A439,[3]stockregister!$A$2:$L$2000,11,0),0)</f>
        <v>30</v>
      </c>
      <c r="H439" s="3">
        <f>_xlfn.IFNA(VLOOKUP($A439,[3]stockregister!$A$2:$L$2000,11,0),0)-$G439</f>
        <v>0</v>
      </c>
      <c r="I439" s="3">
        <f>_xlfn.IFNA(VLOOKUP($A439,[3]stockregister!$A$2:$L$2000,12,0),0)</f>
        <v>1679.68</v>
      </c>
      <c r="J439" s="3">
        <f>_xlfn.IFNA(VLOOKUP($A439,[3]stockregister!$A$1:$M$2000,12,0),0)-$I439</f>
        <v>0</v>
      </c>
      <c r="K439" s="3" t="s">
        <v>22</v>
      </c>
      <c r="L439" s="3" t="s">
        <v>23</v>
      </c>
      <c r="M439" s="3">
        <f>_xlfn.IFNA(VLOOKUP($A439,[2]stockregister!$A$2:$H$2000,8,0),0)</f>
        <v>1850</v>
      </c>
      <c r="N439" s="3">
        <f>_xlfn.IFNA(VLOOKUP($A439,[2]stockregister!$A$2:$H$2000,8,0),0)-$M439</f>
        <v>0</v>
      </c>
      <c r="O439" s="3" t="s">
        <v>1083</v>
      </c>
      <c r="P439" s="3" t="s">
        <v>1083</v>
      </c>
      <c r="Q439" s="3" t="s">
        <v>1077</v>
      </c>
      <c r="R439" s="3" t="s">
        <v>68</v>
      </c>
      <c r="S439" s="3" t="s">
        <v>369</v>
      </c>
    </row>
    <row r="440" spans="1:19">
      <c r="A440" s="3">
        <v>158</v>
      </c>
      <c r="B440" s="3" t="b">
        <f>ISNUMBER(MATCH(A440,[1]stockregister!$A$2:$A$2000,0))</f>
        <v>1</v>
      </c>
      <c r="C440" s="3" t="s">
        <v>463</v>
      </c>
      <c r="D440" s="3" t="str">
        <f>VLOOKUP($C440,[1]stockregister!$B$2:$B$2000,1,0)</f>
        <v>FANTA BLACKCURRANT 350ML</v>
      </c>
      <c r="E440" s="3" t="str">
        <f>IF(ISNA($D440),VLOOKUP($A440,[2]stockregister!$A$2:$B$2000,2,FALSE),"")</f>
        <v/>
      </c>
      <c r="F440" s="3" t="s">
        <v>21</v>
      </c>
      <c r="G440" s="3">
        <f>_xlfn.IFNA(VLOOKUP($A440,[3]stockregister!$A$2:$L$2000,11,0),0)</f>
        <v>48</v>
      </c>
      <c r="H440" s="3">
        <f>_xlfn.IFNA(VLOOKUP($A440,[3]stockregister!$A$2:$L$2000,11,0),0)-$G440</f>
        <v>0</v>
      </c>
      <c r="I440" s="3">
        <f>_xlfn.IFNA(VLOOKUP($A440,[3]stockregister!$A$2:$L$2000,12,0),0)</f>
        <v>2760</v>
      </c>
      <c r="J440" s="3">
        <f>_xlfn.IFNA(VLOOKUP($A440,[3]stockregister!$A$1:$M$2000,12,0),0)-$I440</f>
        <v>0</v>
      </c>
      <c r="K440" s="3" t="s">
        <v>22</v>
      </c>
      <c r="L440" s="3" t="s">
        <v>23</v>
      </c>
      <c r="M440" s="3">
        <f>_xlfn.IFNA(VLOOKUP($A440,[2]stockregister!$A$2:$H$2000,8,0),0)</f>
        <v>3000</v>
      </c>
      <c r="N440" s="3">
        <f>_xlfn.IFNA(VLOOKUP($A440,[2]stockregister!$A$2:$H$2000,8,0),0)-$M440</f>
        <v>0</v>
      </c>
      <c r="O440" s="3" t="s">
        <v>1084</v>
      </c>
      <c r="P440" s="3" t="s">
        <v>1084</v>
      </c>
      <c r="Q440" s="3" t="s">
        <v>1085</v>
      </c>
      <c r="R440" s="3" t="s">
        <v>68</v>
      </c>
      <c r="S440" s="3" t="s">
        <v>88</v>
      </c>
    </row>
    <row r="441" spans="1:19">
      <c r="A441" s="3">
        <v>811</v>
      </c>
      <c r="B441" s="3" t="b">
        <f>ISNUMBER(MATCH(A441,[1]stockregister!$A$2:$A$2000,0))</f>
        <v>1</v>
      </c>
      <c r="C441" s="3" t="s">
        <v>467</v>
      </c>
      <c r="D441" s="3" t="str">
        <f>VLOOKUP($C441,[1]stockregister!$B$2:$B$2000,1,0)</f>
        <v>HENNESSY MASTER BLENDER'S  500ml</v>
      </c>
      <c r="E441" s="3" t="str">
        <f>IF(ISNA($D441),VLOOKUP($A441,[2]stockregister!$A$2:$B$2000,2,FALSE),"")</f>
        <v/>
      </c>
      <c r="F441" s="3" t="s">
        <v>21</v>
      </c>
      <c r="G441" s="3">
        <f>_xlfn.IFNA(VLOOKUP($A441,[3]stockregister!$A$2:$L$2000,11,0),0)</f>
        <v>47</v>
      </c>
      <c r="H441" s="3">
        <f>_xlfn.IFNA(VLOOKUP($A441,[3]stockregister!$A$2:$L$2000,11,0),0)-$G441</f>
        <v>0</v>
      </c>
      <c r="I441" s="3">
        <f>_xlfn.IFNA(VLOOKUP($A441,[3]stockregister!$A$2:$L$2000,12,0),0)</f>
        <v>782</v>
      </c>
      <c r="J441" s="3">
        <f>_xlfn.IFNA(VLOOKUP($A441,[3]stockregister!$A$1:$M$2000,12,0),0)-$I441</f>
        <v>0</v>
      </c>
      <c r="K441" s="3" t="s">
        <v>22</v>
      </c>
      <c r="L441" s="3" t="s">
        <v>23</v>
      </c>
      <c r="M441" s="3">
        <f>_xlfn.IFNA(VLOOKUP($A441,[2]stockregister!$A$2:$H$2000,8,0),0)</f>
        <v>850</v>
      </c>
      <c r="N441" s="3">
        <f>_xlfn.IFNA(VLOOKUP($A441,[2]stockregister!$A$2:$H$2000,8,0),0)-$M441</f>
        <v>0</v>
      </c>
      <c r="O441" s="3" t="s">
        <v>1086</v>
      </c>
      <c r="P441" s="3" t="s">
        <v>1086</v>
      </c>
      <c r="Q441" s="3" t="s">
        <v>545</v>
      </c>
      <c r="R441" s="3" t="s">
        <v>68</v>
      </c>
      <c r="S441" s="3" t="s">
        <v>940</v>
      </c>
    </row>
    <row r="442" spans="1:19">
      <c r="A442" s="3">
        <v>1867</v>
      </c>
      <c r="B442" s="3" t="b">
        <f>ISNUMBER(MATCH(A442,[1]stockregister!$A$2:$A$2000,0))</f>
        <v>1</v>
      </c>
      <c r="C442" s="3" t="s">
        <v>469</v>
      </c>
      <c r="D442" s="3" t="str">
        <f>VLOOKUP($C442,[1]stockregister!$B$2:$B$2000,1,0)</f>
        <v>MARTEL V.S  COGNAC 1LTR</v>
      </c>
      <c r="E442" s="3" t="str">
        <f>IF(ISNA($D442),VLOOKUP($A442,[2]stockregister!$A$2:$B$2000,2,FALSE),"")</f>
        <v/>
      </c>
      <c r="F442" s="3" t="s">
        <v>21</v>
      </c>
      <c r="G442" s="3">
        <f>_xlfn.IFNA(VLOOKUP($A442,[3]stockregister!$A$2:$L$2000,11,0),0)</f>
        <v>46</v>
      </c>
      <c r="H442" s="3">
        <f>_xlfn.IFNA(VLOOKUP($A442,[3]stockregister!$A$2:$L$2000,11,0),0)-$G442</f>
        <v>0</v>
      </c>
      <c r="I442" s="3">
        <f>_xlfn.IFNA(VLOOKUP($A442,[3]stockregister!$A$2:$L$2000,12,0),0)</f>
        <v>874</v>
      </c>
      <c r="J442" s="3">
        <f>_xlfn.IFNA(VLOOKUP($A442,[3]stockregister!$A$1:$M$2000,12,0),0)-$I442</f>
        <v>0</v>
      </c>
      <c r="K442" s="3" t="s">
        <v>22</v>
      </c>
      <c r="L442" s="3" t="s">
        <v>23</v>
      </c>
      <c r="M442" s="3">
        <f>_xlfn.IFNA(VLOOKUP($A442,[2]stockregister!$A$2:$H$2000,8,0),0)</f>
        <v>950</v>
      </c>
      <c r="N442" s="3">
        <f>_xlfn.IFNA(VLOOKUP($A442,[2]stockregister!$A$2:$H$2000,8,0),0)-$M442</f>
        <v>0</v>
      </c>
      <c r="O442" s="3" t="s">
        <v>1087</v>
      </c>
      <c r="P442" s="3" t="s">
        <v>1087</v>
      </c>
      <c r="Q442" s="3" t="s">
        <v>1088</v>
      </c>
      <c r="R442" s="3" t="s">
        <v>68</v>
      </c>
      <c r="S442" s="3" t="s">
        <v>169</v>
      </c>
    </row>
    <row r="443" spans="1:19">
      <c r="A443" s="3">
        <v>1607</v>
      </c>
      <c r="B443" s="3" t="b">
        <f>ISNUMBER(MATCH(A443,[1]stockregister!$A$2:$A$2000,0))</f>
        <v>1</v>
      </c>
      <c r="C443" s="3" t="s">
        <v>472</v>
      </c>
      <c r="D443" s="3" t="str">
        <f>VLOOKUP($C443,[1]stockregister!$B$2:$B$2000,1,0)</f>
        <v>FOUR COUSINS MARULA CREAM 500ML </v>
      </c>
      <c r="E443" s="3" t="str">
        <f>IF(ISNA($D443),VLOOKUP($A443,[2]stockregister!$A$2:$B$2000,2,FALSE),"")</f>
        <v/>
      </c>
      <c r="F443" s="3" t="s">
        <v>21</v>
      </c>
      <c r="G443" s="3">
        <f>_xlfn.IFNA(VLOOKUP($A443,[3]stockregister!$A$2:$L$2000,11,0),0)</f>
        <v>206</v>
      </c>
      <c r="H443" s="3">
        <f>_xlfn.IFNA(VLOOKUP($A443,[3]stockregister!$A$2:$L$2000,11,0),0)-$G443</f>
        <v>0</v>
      </c>
      <c r="I443" s="3">
        <f>_xlfn.IFNA(VLOOKUP($A443,[3]stockregister!$A$2:$L$2000,12,0),0)</f>
        <v>219.84</v>
      </c>
      <c r="J443" s="3">
        <f>_xlfn.IFNA(VLOOKUP($A443,[3]stockregister!$A$1:$M$2000,12,0),0)-$I443</f>
        <v>0</v>
      </c>
      <c r="K443" s="3" t="s">
        <v>22</v>
      </c>
      <c r="L443" s="3" t="s">
        <v>23</v>
      </c>
      <c r="M443" s="3">
        <f>_xlfn.IFNA(VLOOKUP($A443,[2]stockregister!$A$2:$H$2000,8,0),0)</f>
        <v>250</v>
      </c>
      <c r="N443" s="3">
        <f>_xlfn.IFNA(VLOOKUP($A443,[2]stockregister!$A$2:$H$2000,8,0),0)-$M443</f>
        <v>0</v>
      </c>
      <c r="O443" s="3" t="s">
        <v>1089</v>
      </c>
      <c r="P443" s="3" t="s">
        <v>1089</v>
      </c>
      <c r="Q443" s="3" t="s">
        <v>1090</v>
      </c>
      <c r="R443" s="3" t="s">
        <v>26</v>
      </c>
      <c r="S443" s="3" t="s">
        <v>791</v>
      </c>
    </row>
    <row r="444" spans="1:19">
      <c r="A444" s="3">
        <v>389</v>
      </c>
      <c r="B444" s="3" t="b">
        <f>ISNUMBER(MATCH(A444,[1]stockregister!$A$2:$A$2000,0))</f>
        <v>1</v>
      </c>
      <c r="C444" s="3" t="s">
        <v>475</v>
      </c>
      <c r="D444" s="3" t="str">
        <f>VLOOKUP($C444,[1]stockregister!$B$2:$B$2000,1,0)</f>
        <v>WHITLEY NEILL LEMON GRASS  GIN 750ML </v>
      </c>
      <c r="E444" s="3" t="str">
        <f>IF(ISNA($D444),VLOOKUP($A444,[2]stockregister!$A$2:$B$2000,2,FALSE),"")</f>
        <v/>
      </c>
      <c r="F444" s="3" t="s">
        <v>21</v>
      </c>
      <c r="G444" s="3">
        <f>_xlfn.IFNA(VLOOKUP($A444,[3]stockregister!$A$2:$L$2000,11,0),0)</f>
        <v>44</v>
      </c>
      <c r="H444" s="3">
        <f>_xlfn.IFNA(VLOOKUP($A444,[3]stockregister!$A$2:$L$2000,11,0),0)-$G444</f>
        <v>0</v>
      </c>
      <c r="I444" s="3">
        <f>_xlfn.IFNA(VLOOKUP($A444,[3]stockregister!$A$2:$L$2000,12,0),0)</f>
        <v>2116</v>
      </c>
      <c r="J444" s="3">
        <f>_xlfn.IFNA(VLOOKUP($A444,[3]stockregister!$A$1:$M$2000,12,0),0)-$I444</f>
        <v>0</v>
      </c>
      <c r="K444" s="3" t="s">
        <v>22</v>
      </c>
      <c r="L444" s="3" t="s">
        <v>23</v>
      </c>
      <c r="M444" s="3">
        <f>_xlfn.IFNA(VLOOKUP($A444,[2]stockregister!$A$2:$H$2000,8,0),0)</f>
        <v>2300</v>
      </c>
      <c r="N444" s="3">
        <f>_xlfn.IFNA(VLOOKUP($A444,[2]stockregister!$A$2:$H$2000,8,0),0)-$M444</f>
        <v>0</v>
      </c>
      <c r="O444" s="3" t="s">
        <v>1091</v>
      </c>
      <c r="P444" s="3" t="s">
        <v>1091</v>
      </c>
      <c r="Q444" s="3" t="s">
        <v>711</v>
      </c>
      <c r="R444" s="3" t="s">
        <v>537</v>
      </c>
      <c r="S444" s="3" t="s">
        <v>549</v>
      </c>
    </row>
    <row r="445" spans="1:18">
      <c r="A445" s="3">
        <v>2806</v>
      </c>
      <c r="B445" s="3" t="b">
        <f>ISNUMBER(MATCH(A445,[1]stockregister!$A$2:$A$2000,0))</f>
        <v>1</v>
      </c>
      <c r="C445" s="3" t="s">
        <v>477</v>
      </c>
      <c r="D445" s="3" t="str">
        <f>VLOOKUP($C445,[1]stockregister!$B$2:$B$2000,1,0)</f>
        <v>GILBEYS BERRY BRAMBLE COCKTAIL 750ML</v>
      </c>
      <c r="E445" s="3" t="str">
        <f>IF(ISNA($D445),VLOOKUP($A445,[2]stockregister!$A$2:$B$2000,2,FALSE),"")</f>
        <v/>
      </c>
      <c r="F445" s="3" t="s">
        <v>21</v>
      </c>
      <c r="G445" s="3">
        <f>_xlfn.IFNA(VLOOKUP($A445,[3]stockregister!$A$2:$L$2000,11,0),0)</f>
        <v>44</v>
      </c>
      <c r="H445" s="3">
        <f>_xlfn.IFNA(VLOOKUP($A445,[3]stockregister!$A$2:$L$2000,11,0),0)-$G445</f>
        <v>0</v>
      </c>
      <c r="I445" s="3">
        <f>_xlfn.IFNA(VLOOKUP($A445,[3]stockregister!$A$2:$L$2000,12,0),0)</f>
        <v>1388</v>
      </c>
      <c r="J445" s="3">
        <f>_xlfn.IFNA(VLOOKUP($A445,[3]stockregister!$A$1:$M$2000,12,0),0)-$I445</f>
        <v>0</v>
      </c>
      <c r="K445" s="3" t="s">
        <v>22</v>
      </c>
      <c r="L445" s="3" t="s">
        <v>23</v>
      </c>
      <c r="M445" s="3">
        <f>_xlfn.IFNA(VLOOKUP($A445,[2]stockregister!$A$2:$H$2000,8,0),0)</f>
        <v>1800</v>
      </c>
      <c r="N445" s="3">
        <f>_xlfn.IFNA(VLOOKUP($A445,[2]stockregister!$A$2:$H$2000,8,0),0)-$M445</f>
        <v>0</v>
      </c>
      <c r="O445" s="3" t="s">
        <v>1092</v>
      </c>
      <c r="P445" s="3" t="s">
        <v>1092</v>
      </c>
      <c r="Q445" s="3" t="s">
        <v>1014</v>
      </c>
      <c r="R445" s="3" t="s">
        <v>537</v>
      </c>
    </row>
    <row r="446" spans="1:19">
      <c r="A446" s="3">
        <v>405</v>
      </c>
      <c r="B446" s="3" t="b">
        <f>ISNUMBER(MATCH(A446,[1]stockregister!$A$2:$A$2000,0))</f>
        <v>1</v>
      </c>
      <c r="C446" s="3" t="s">
        <v>479</v>
      </c>
      <c r="D446" s="3" t="str">
        <f>VLOOKUP($C446,[1]stockregister!$B$2:$B$2000,1,0)</f>
        <v>WHITLEY NEILL RASPBERRY GIN 750ML </v>
      </c>
      <c r="E446" s="3" t="str">
        <f>IF(ISNA($D446),VLOOKUP($A446,[2]stockregister!$A$2:$B$2000,2,FALSE),"")</f>
        <v/>
      </c>
      <c r="F446" s="3" t="s">
        <v>21</v>
      </c>
      <c r="G446" s="3">
        <f>_xlfn.IFNA(VLOOKUP($A446,[3]stockregister!$A$2:$L$2000,11,0),0)</f>
        <v>43</v>
      </c>
      <c r="H446" s="3">
        <f>_xlfn.IFNA(VLOOKUP($A446,[3]stockregister!$A$2:$L$2000,11,0),0)-$G446</f>
        <v>0</v>
      </c>
      <c r="I446" s="3">
        <f>_xlfn.IFNA(VLOOKUP($A446,[3]stockregister!$A$2:$L$2000,12,0),0)</f>
        <v>782</v>
      </c>
      <c r="J446" s="3">
        <f>_xlfn.IFNA(VLOOKUP($A446,[3]stockregister!$A$1:$M$2000,12,0),0)-$I446</f>
        <v>0</v>
      </c>
      <c r="K446" s="3" t="s">
        <v>22</v>
      </c>
      <c r="L446" s="3" t="s">
        <v>23</v>
      </c>
      <c r="M446" s="3">
        <f>_xlfn.IFNA(VLOOKUP($A446,[2]stockregister!$A$2:$H$2000,8,0),0)</f>
        <v>850</v>
      </c>
      <c r="N446" s="3">
        <f>_xlfn.IFNA(VLOOKUP($A446,[2]stockregister!$A$2:$H$2000,8,0),0)-$M446</f>
        <v>0</v>
      </c>
      <c r="O446" s="3" t="s">
        <v>1093</v>
      </c>
      <c r="P446" s="3" t="s">
        <v>1093</v>
      </c>
      <c r="Q446" s="3" t="s">
        <v>1094</v>
      </c>
      <c r="R446" s="3" t="s">
        <v>68</v>
      </c>
      <c r="S446" s="3" t="s">
        <v>369</v>
      </c>
    </row>
    <row r="447" spans="1:18">
      <c r="A447" s="3">
        <v>2394</v>
      </c>
      <c r="B447" s="3" t="b">
        <f>ISNUMBER(MATCH(A447,[1]stockregister!$A$2:$A$2000,0))</f>
        <v>1</v>
      </c>
      <c r="C447" s="3" t="s">
        <v>482</v>
      </c>
      <c r="D447" s="3" t="str">
        <f>VLOOKUP($C447,[1]stockregister!$B$2:$B$2000,1,0)</f>
        <v>GREENALL WILDBERRY  1LTR</v>
      </c>
      <c r="E447" s="3" t="str">
        <f>IF(ISNA($D447),VLOOKUP($A447,[2]stockregister!$A$2:$B$2000,2,FALSE),"")</f>
        <v/>
      </c>
      <c r="F447" s="3" t="s">
        <v>21</v>
      </c>
      <c r="G447" s="3">
        <f>_xlfn.IFNA(VLOOKUP($A447,[3]stockregister!$A$2:$L$2000,11,0),0)</f>
        <v>42</v>
      </c>
      <c r="H447" s="3">
        <f>_xlfn.IFNA(VLOOKUP($A447,[3]stockregister!$A$2:$L$2000,11,0),0)-$G447</f>
        <v>0</v>
      </c>
      <c r="I447" s="3">
        <f>_xlfn.IFNA(VLOOKUP($A447,[3]stockregister!$A$2:$L$2000,12,0),0)</f>
        <v>1000</v>
      </c>
      <c r="J447" s="3">
        <f>_xlfn.IFNA(VLOOKUP($A447,[3]stockregister!$A$1:$M$2000,12,0),0)-$I447</f>
        <v>0</v>
      </c>
      <c r="K447" s="3" t="s">
        <v>22</v>
      </c>
      <c r="L447" s="3" t="s">
        <v>23</v>
      </c>
      <c r="M447" s="3">
        <f>_xlfn.IFNA(VLOOKUP($A447,[2]stockregister!$A$2:$H$2000,8,0),0)</f>
        <v>1100</v>
      </c>
      <c r="N447" s="3">
        <f>_xlfn.IFNA(VLOOKUP($A447,[2]stockregister!$A$2:$H$2000,8,0),0)-$M447</f>
        <v>0</v>
      </c>
      <c r="O447" s="3" t="s">
        <v>1095</v>
      </c>
      <c r="P447" s="3" t="s">
        <v>1095</v>
      </c>
      <c r="Q447" s="3" t="s">
        <v>1096</v>
      </c>
      <c r="R447" s="3" t="s">
        <v>1097</v>
      </c>
    </row>
    <row r="448" spans="1:19">
      <c r="A448" s="3">
        <v>1125</v>
      </c>
      <c r="B448" s="3" t="b">
        <f>ISNUMBER(MATCH(A448,[1]stockregister!$A$2:$A$2000,0))</f>
        <v>1</v>
      </c>
      <c r="C448" s="3" t="s">
        <v>486</v>
      </c>
      <c r="D448" s="3" t="str">
        <f>VLOOKUP($C448,[1]stockregister!$B$2:$B$2000,1,0)</f>
        <v>KO CLASSIC GIN 750ML </v>
      </c>
      <c r="E448" s="3" t="str">
        <f>IF(ISNA($D448),VLOOKUP($A448,[2]stockregister!$A$2:$B$2000,2,FALSE),"")</f>
        <v/>
      </c>
      <c r="F448" s="3" t="s">
        <v>21</v>
      </c>
      <c r="G448" s="3">
        <f>_xlfn.IFNA(VLOOKUP($A448,[3]stockregister!$A$2:$L$2000,11,0),0)</f>
        <v>42</v>
      </c>
      <c r="H448" s="3">
        <f>_xlfn.IFNA(VLOOKUP($A448,[3]stockregister!$A$2:$L$2000,11,0),0)-$G448</f>
        <v>0</v>
      </c>
      <c r="I448" s="3">
        <f>_xlfn.IFNA(VLOOKUP($A448,[3]stockregister!$A$2:$L$2000,12,0),0)</f>
        <v>7900</v>
      </c>
      <c r="J448" s="3">
        <f>_xlfn.IFNA(VLOOKUP($A448,[3]stockregister!$A$1:$M$2000,12,0),0)-$I448</f>
        <v>0</v>
      </c>
      <c r="K448" s="3" t="s">
        <v>22</v>
      </c>
      <c r="L448" s="3" t="s">
        <v>23</v>
      </c>
      <c r="M448" s="3">
        <f>_xlfn.IFNA(VLOOKUP($A448,[2]stockregister!$A$2:$H$2000,8,0),0)</f>
        <v>8200</v>
      </c>
      <c r="N448" s="3">
        <f>_xlfn.IFNA(VLOOKUP($A448,[2]stockregister!$A$2:$H$2000,8,0),0)-$M448</f>
        <v>0</v>
      </c>
      <c r="O448" s="3" t="s">
        <v>1098</v>
      </c>
      <c r="P448" s="3" t="s">
        <v>1098</v>
      </c>
      <c r="Q448" s="3" t="s">
        <v>687</v>
      </c>
      <c r="R448" s="3" t="s">
        <v>113</v>
      </c>
      <c r="S448" s="3" t="s">
        <v>114</v>
      </c>
    </row>
    <row r="449" spans="1:19">
      <c r="A449" s="3">
        <v>1260</v>
      </c>
      <c r="B449" s="3" t="b">
        <f>ISNUMBER(MATCH(A449,[1]stockregister!$A$2:$A$2000,0))</f>
        <v>1</v>
      </c>
      <c r="C449" s="3" t="s">
        <v>488</v>
      </c>
      <c r="D449" s="3" t="str">
        <f>VLOOKUP($C449,[1]stockregister!$B$2:$B$2000,1,0)</f>
        <v>IRISH  MIST 1LTR</v>
      </c>
      <c r="E449" s="3" t="str">
        <f>IF(ISNA($D449),VLOOKUP($A449,[2]stockregister!$A$2:$B$2000,2,FALSE),"")</f>
        <v/>
      </c>
      <c r="F449" s="3" t="s">
        <v>21</v>
      </c>
      <c r="G449" s="3">
        <f>_xlfn.IFNA(VLOOKUP($A449,[3]stockregister!$A$2:$L$2000,11,0),0)</f>
        <v>42</v>
      </c>
      <c r="H449" s="3">
        <f>_xlfn.IFNA(VLOOKUP($A449,[3]stockregister!$A$2:$L$2000,11,0),0)-$G449</f>
        <v>0</v>
      </c>
      <c r="I449" s="3">
        <f>_xlfn.IFNA(VLOOKUP($A449,[3]stockregister!$A$2:$L$2000,12,0),0)</f>
        <v>8280</v>
      </c>
      <c r="J449" s="3">
        <f>_xlfn.IFNA(VLOOKUP($A449,[3]stockregister!$A$1:$M$2000,12,0),0)-$I449</f>
        <v>0</v>
      </c>
      <c r="K449" s="3" t="s">
        <v>22</v>
      </c>
      <c r="L449" s="3" t="s">
        <v>23</v>
      </c>
      <c r="M449" s="3">
        <f>_xlfn.IFNA(VLOOKUP($A449,[2]stockregister!$A$2:$H$2000,8,0),0)</f>
        <v>9000</v>
      </c>
      <c r="N449" s="3">
        <f>_xlfn.IFNA(VLOOKUP($A449,[2]stockregister!$A$2:$H$2000,8,0),0)-$M449</f>
        <v>0</v>
      </c>
      <c r="O449" s="3" t="s">
        <v>1099</v>
      </c>
      <c r="P449" s="3" t="s">
        <v>1099</v>
      </c>
      <c r="Q449" s="3" t="s">
        <v>1100</v>
      </c>
      <c r="R449" s="3" t="s">
        <v>92</v>
      </c>
      <c r="S449" s="3" t="s">
        <v>1101</v>
      </c>
    </row>
    <row r="450" spans="1:19">
      <c r="A450" s="3">
        <v>1982</v>
      </c>
      <c r="B450" s="3" t="b">
        <f>ISNUMBER(MATCH(A450,[1]stockregister!$A$2:$A$2000,0))</f>
        <v>1</v>
      </c>
      <c r="C450" s="3" t="s">
        <v>490</v>
      </c>
      <c r="D450" s="3" t="str">
        <f>VLOOKUP($C450,[1]stockregister!$B$2:$B$2000,1,0)</f>
        <v>WHITLEY NEILL ORIGINAL  GIN 1LTR</v>
      </c>
      <c r="E450" s="3" t="str">
        <f>IF(ISNA($D450),VLOOKUP($A450,[2]stockregister!$A$2:$B$2000,2,FALSE),"")</f>
        <v/>
      </c>
      <c r="F450" s="3" t="s">
        <v>21</v>
      </c>
      <c r="G450" s="3">
        <f>_xlfn.IFNA(VLOOKUP($A450,[3]stockregister!$A$2:$L$2000,11,0),0)</f>
        <v>42</v>
      </c>
      <c r="H450" s="3">
        <f>_xlfn.IFNA(VLOOKUP($A450,[3]stockregister!$A$2:$L$2000,11,0),0)-$G450</f>
        <v>0</v>
      </c>
      <c r="I450" s="3">
        <f>_xlfn.IFNA(VLOOKUP($A450,[3]stockregister!$A$2:$L$2000,12,0),0)</f>
        <v>11040</v>
      </c>
      <c r="J450" s="3">
        <f>_xlfn.IFNA(VLOOKUP($A450,[3]stockregister!$A$1:$M$2000,12,0),0)-$I450</f>
        <v>0</v>
      </c>
      <c r="K450" s="3" t="s">
        <v>22</v>
      </c>
      <c r="L450" s="3" t="s">
        <v>23</v>
      </c>
      <c r="M450" s="3">
        <f>_xlfn.IFNA(VLOOKUP($A450,[2]stockregister!$A$2:$H$2000,8,0),0)</f>
        <v>14000</v>
      </c>
      <c r="N450" s="3">
        <f>_xlfn.IFNA(VLOOKUP($A450,[2]stockregister!$A$2:$H$2000,8,0),0)-$M450</f>
        <v>0</v>
      </c>
      <c r="O450" s="3" t="s">
        <v>1102</v>
      </c>
      <c r="P450" s="3" t="s">
        <v>1102</v>
      </c>
      <c r="Q450" s="3" t="s">
        <v>907</v>
      </c>
      <c r="R450" s="3" t="s">
        <v>92</v>
      </c>
      <c r="S450" s="3" t="s">
        <v>134</v>
      </c>
    </row>
    <row r="451" spans="1:20">
      <c r="A451" s="3">
        <v>1919</v>
      </c>
      <c r="B451" s="3" t="b">
        <f>ISNUMBER(MATCH(A451,[1]stockregister!$A$2:$A$2000,0))</f>
        <v>1</v>
      </c>
      <c r="C451" s="3" t="s">
        <v>492</v>
      </c>
      <c r="D451" s="3" t="str">
        <f>VLOOKUP($C451,[1]stockregister!$B$2:$B$2000,1,0)</f>
        <v>WHITLEY NEILL ORIGINAL  GIN 750ML </v>
      </c>
      <c r="E451" s="3" t="str">
        <f>IF(ISNA($D451),VLOOKUP($A451,[2]stockregister!$A$2:$B$2000,2,FALSE),"")</f>
        <v/>
      </c>
      <c r="F451" s="3" t="s">
        <v>21</v>
      </c>
      <c r="G451" s="3">
        <f>_xlfn.IFNA(VLOOKUP($A451,[3]stockregister!$A$2:$L$2000,11,0),0)</f>
        <v>42</v>
      </c>
      <c r="H451" s="3">
        <f>_xlfn.IFNA(VLOOKUP($A451,[3]stockregister!$A$2:$L$2000,11,0),0)-$G451</f>
        <v>0</v>
      </c>
      <c r="I451" s="3">
        <f>_xlfn.IFNA(VLOOKUP($A451,[3]stockregister!$A$2:$L$2000,12,0),0)</f>
        <v>5980</v>
      </c>
      <c r="J451" s="3">
        <f>_xlfn.IFNA(VLOOKUP($A451,[3]stockregister!$A$1:$M$2000,12,0),0)-$I451</f>
        <v>0</v>
      </c>
      <c r="K451" s="3" t="s">
        <v>22</v>
      </c>
      <c r="L451" s="3" t="s">
        <v>23</v>
      </c>
      <c r="M451" s="3">
        <f>_xlfn.IFNA(VLOOKUP($A451,[2]stockregister!$A$2:$H$2000,8,0),0)</f>
        <v>6500</v>
      </c>
      <c r="N451" s="3">
        <f>_xlfn.IFNA(VLOOKUP($A451,[2]stockregister!$A$2:$H$2000,8,0),0)-$M451</f>
        <v>0</v>
      </c>
      <c r="O451" s="3" t="s">
        <v>1103</v>
      </c>
      <c r="P451" s="3" t="s">
        <v>1103</v>
      </c>
      <c r="Q451" s="3" t="s">
        <v>1052</v>
      </c>
      <c r="R451" s="3" t="s">
        <v>92</v>
      </c>
      <c r="S451" s="3" t="s">
        <v>134</v>
      </c>
      <c r="T451" s="3">
        <v>10</v>
      </c>
    </row>
    <row r="452" spans="1:19">
      <c r="A452" s="3">
        <v>787</v>
      </c>
      <c r="B452" s="3" t="b">
        <f>ISNUMBER(MATCH(A452,[1]stockregister!$A$2:$A$2000,0))</f>
        <v>1</v>
      </c>
      <c r="C452" s="3" t="s">
        <v>495</v>
      </c>
      <c r="D452" s="3" t="str">
        <f>VLOOKUP($C452,[1]stockregister!$B$2:$B$2000,1,0)</f>
        <v>GINBERYS LONDON DRY GIN  700ML</v>
      </c>
      <c r="E452" s="3" t="str">
        <f>IF(ISNA($D452),VLOOKUP($A452,[2]stockregister!$A$2:$B$2000,2,FALSE),"")</f>
        <v/>
      </c>
      <c r="F452" s="3" t="s">
        <v>21</v>
      </c>
      <c r="G452" s="3">
        <f>_xlfn.IFNA(VLOOKUP($A452,[3]stockregister!$A$2:$L$2000,11,0),0)</f>
        <v>42</v>
      </c>
      <c r="H452" s="3">
        <f>_xlfn.IFNA(VLOOKUP($A452,[3]stockregister!$A$2:$L$2000,11,0),0)-$G452</f>
        <v>0</v>
      </c>
      <c r="I452" s="3">
        <f>_xlfn.IFNA(VLOOKUP($A452,[3]stockregister!$A$2:$L$2000,12,0),0)</f>
        <v>1660</v>
      </c>
      <c r="J452" s="3">
        <f>_xlfn.IFNA(VLOOKUP($A452,[3]stockregister!$A$1:$M$2000,12,0),0)-$I452</f>
        <v>0</v>
      </c>
      <c r="K452" s="3" t="s">
        <v>22</v>
      </c>
      <c r="L452" s="3" t="s">
        <v>23</v>
      </c>
      <c r="M452" s="3">
        <f>_xlfn.IFNA(VLOOKUP($A452,[2]stockregister!$A$2:$H$2000,8,0),0)</f>
        <v>1850</v>
      </c>
      <c r="N452" s="3">
        <f>_xlfn.IFNA(VLOOKUP($A452,[2]stockregister!$A$2:$H$2000,8,0),0)-$M452</f>
        <v>0</v>
      </c>
      <c r="O452" s="3" t="s">
        <v>1104</v>
      </c>
      <c r="P452" s="3" t="s">
        <v>1104</v>
      </c>
      <c r="Q452" s="3" t="s">
        <v>1082</v>
      </c>
      <c r="R452" s="3" t="s">
        <v>68</v>
      </c>
      <c r="S452" s="3" t="s">
        <v>940</v>
      </c>
    </row>
    <row r="453" spans="1:19">
      <c r="A453" s="3">
        <v>406</v>
      </c>
      <c r="B453" s="3" t="b">
        <f>ISNUMBER(MATCH(A453,[1]stockregister!$A$2:$A$2000,0))</f>
        <v>1</v>
      </c>
      <c r="C453" s="3" t="s">
        <v>498</v>
      </c>
      <c r="D453" s="3" t="str">
        <f>VLOOKUP($C453,[1]stockregister!$B$2:$B$2000,1,0)</f>
        <v>TANG SOUR  - APPLE 750ML</v>
      </c>
      <c r="E453" s="3" t="str">
        <f>IF(ISNA($D453),VLOOKUP($A453,[2]stockregister!$A$2:$B$2000,2,FALSE),"")</f>
        <v/>
      </c>
      <c r="F453" s="3" t="s">
        <v>21</v>
      </c>
      <c r="G453" s="3">
        <f>_xlfn.IFNA(VLOOKUP($A453,[3]stockregister!$A$2:$L$2000,11,0),0)</f>
        <v>42</v>
      </c>
      <c r="H453" s="3">
        <f>_xlfn.IFNA(VLOOKUP($A453,[3]stockregister!$A$2:$L$2000,11,0),0)-$G453</f>
        <v>0</v>
      </c>
      <c r="I453" s="3">
        <f>_xlfn.IFNA(VLOOKUP($A453,[3]stockregister!$A$2:$L$2000,12,0),0)</f>
        <v>782</v>
      </c>
      <c r="J453" s="3">
        <f>_xlfn.IFNA(VLOOKUP($A453,[3]stockregister!$A$1:$M$2000,12,0),0)-$I453</f>
        <v>0</v>
      </c>
      <c r="K453" s="3" t="s">
        <v>22</v>
      </c>
      <c r="L453" s="3" t="s">
        <v>23</v>
      </c>
      <c r="M453" s="3">
        <f>_xlfn.IFNA(VLOOKUP($A453,[2]stockregister!$A$2:$H$2000,8,0),0)</f>
        <v>850</v>
      </c>
      <c r="N453" s="3">
        <f>_xlfn.IFNA(VLOOKUP($A453,[2]stockregister!$A$2:$H$2000,8,0),0)-$M453</f>
        <v>0</v>
      </c>
      <c r="O453" s="3" t="s">
        <v>1105</v>
      </c>
      <c r="P453" s="3" t="s">
        <v>1105</v>
      </c>
      <c r="Q453" s="3" t="s">
        <v>1094</v>
      </c>
      <c r="R453" s="3" t="s">
        <v>68</v>
      </c>
      <c r="S453" s="3" t="s">
        <v>398</v>
      </c>
    </row>
    <row r="454" spans="1:19">
      <c r="A454" s="3">
        <v>315</v>
      </c>
      <c r="B454" s="3" t="b">
        <f>ISNUMBER(MATCH(A454,[1]stockregister!$A$2:$A$2000,0))</f>
        <v>1</v>
      </c>
      <c r="C454" s="3" t="s">
        <v>501</v>
      </c>
      <c r="D454" s="3" t="str">
        <f>VLOOKUP($C454,[1]stockregister!$B$2:$B$2000,1,0)</f>
        <v>JAGERMEISTER 1.75L</v>
      </c>
      <c r="E454" s="3" t="str">
        <f>IF(ISNA($D454),VLOOKUP($A454,[2]stockregister!$A$2:$B$2000,2,FALSE),"")</f>
        <v/>
      </c>
      <c r="F454" s="3" t="s">
        <v>21</v>
      </c>
      <c r="G454" s="3">
        <f>_xlfn.IFNA(VLOOKUP($A454,[3]stockregister!$A$2:$L$2000,11,0),0)</f>
        <v>41</v>
      </c>
      <c r="H454" s="3">
        <f>_xlfn.IFNA(VLOOKUP($A454,[3]stockregister!$A$2:$L$2000,11,0),0)-$G454</f>
        <v>0</v>
      </c>
      <c r="I454" s="3">
        <f>_xlfn.IFNA(VLOOKUP($A454,[3]stockregister!$A$2:$L$2000,12,0),0)</f>
        <v>1472</v>
      </c>
      <c r="J454" s="3">
        <f>_xlfn.IFNA(VLOOKUP($A454,[3]stockregister!$A$1:$M$2000,12,0),0)-$I454</f>
        <v>0</v>
      </c>
      <c r="K454" s="3" t="s">
        <v>22</v>
      </c>
      <c r="L454" s="3" t="s">
        <v>23</v>
      </c>
      <c r="M454" s="3">
        <f>_xlfn.IFNA(VLOOKUP($A454,[2]stockregister!$A$2:$H$2000,8,0),0)</f>
        <v>1600</v>
      </c>
      <c r="N454" s="3">
        <f>_xlfn.IFNA(VLOOKUP($A454,[2]stockregister!$A$2:$H$2000,8,0),0)-$M454</f>
        <v>0</v>
      </c>
      <c r="O454" s="3" t="s">
        <v>1106</v>
      </c>
      <c r="P454" s="3" t="s">
        <v>1106</v>
      </c>
      <c r="Q454" s="3" t="s">
        <v>641</v>
      </c>
      <c r="R454" s="3" t="s">
        <v>126</v>
      </c>
      <c r="S454" s="3" t="s">
        <v>1107</v>
      </c>
    </row>
    <row r="455" spans="1:19">
      <c r="A455" s="3">
        <v>2791</v>
      </c>
      <c r="B455" s="3" t="b">
        <f>ISNUMBER(MATCH(A455,[1]stockregister!$A$2:$A$2000,0))</f>
        <v>1</v>
      </c>
      <c r="C455" s="3" t="s">
        <v>503</v>
      </c>
      <c r="D455" s="3" t="str">
        <f>VLOOKUP($C455,[1]stockregister!$B$2:$B$2000,1,0)</f>
        <v>JAGERMEISTER WITH CORK  750ML </v>
      </c>
      <c r="E455" s="3" t="str">
        <f>IF(ISNA($D455),VLOOKUP($A455,[2]stockregister!$A$2:$B$2000,2,FALSE),"")</f>
        <v/>
      </c>
      <c r="F455" s="3" t="s">
        <v>21</v>
      </c>
      <c r="G455" s="3">
        <f>_xlfn.IFNA(VLOOKUP($A455,[3]stockregister!$A$2:$L$2000,11,0),0)</f>
        <v>0</v>
      </c>
      <c r="H455" s="3">
        <f>_xlfn.IFNA(VLOOKUP($A455,[3]stockregister!$A$2:$L$2000,11,0),0)-$G455</f>
        <v>0</v>
      </c>
      <c r="I455" s="3">
        <f>_xlfn.IFNA(VLOOKUP($A455,[3]stockregister!$A$2:$L$2000,12,0),0)</f>
        <v>1000</v>
      </c>
      <c r="J455" s="3">
        <f>_xlfn.IFNA(VLOOKUP($A455,[3]stockregister!$A$1:$M$2000,12,0),0)-$I455</f>
        <v>0</v>
      </c>
      <c r="K455" s="3" t="s">
        <v>22</v>
      </c>
      <c r="L455" s="3" t="s">
        <v>23</v>
      </c>
      <c r="M455" s="3">
        <f>_xlfn.IFNA(VLOOKUP($A455,[2]stockregister!$A$2:$H$2000,8,0),0)</f>
        <v>1400</v>
      </c>
      <c r="N455" s="3">
        <f>_xlfn.IFNA(VLOOKUP($A455,[2]stockregister!$A$2:$H$2000,8,0),0)-$M455</f>
        <v>0</v>
      </c>
      <c r="O455" s="3" t="s">
        <v>1108</v>
      </c>
      <c r="P455" s="3" t="s">
        <v>1108</v>
      </c>
      <c r="Q455" s="3" t="s">
        <v>112</v>
      </c>
      <c r="R455" s="3" t="s">
        <v>113</v>
      </c>
      <c r="S455" s="3" t="s">
        <v>114</v>
      </c>
    </row>
    <row r="456" spans="1:19">
      <c r="A456" s="3">
        <v>2202</v>
      </c>
      <c r="B456" s="3" t="b">
        <f>ISNUMBER(MATCH(A456,[1]stockregister!$A$2:$A$2000,0))</f>
        <v>1</v>
      </c>
      <c r="C456" s="3" t="s">
        <v>508</v>
      </c>
      <c r="D456" s="3" t="str">
        <f>VLOOKUP($C456,[1]stockregister!$B$2:$B$2000,1,0)</f>
        <v>CAPTAIN MORGAN DARK 750ML</v>
      </c>
      <c r="E456" s="3" t="str">
        <f>IF(ISNA($D456),VLOOKUP($A456,[2]stockregister!$A$2:$B$2000,2,FALSE),"")</f>
        <v/>
      </c>
      <c r="F456" s="3" t="s">
        <v>21</v>
      </c>
      <c r="G456" s="3">
        <f>_xlfn.IFNA(VLOOKUP($A456,[3]stockregister!$A$2:$L$2000,11,0),0)</f>
        <v>38</v>
      </c>
      <c r="H456" s="3">
        <f>_xlfn.IFNA(VLOOKUP($A456,[3]stockregister!$A$2:$L$2000,11,0),0)-$G456</f>
        <v>0</v>
      </c>
      <c r="I456" s="3">
        <f>_xlfn.IFNA(VLOOKUP($A456,[3]stockregister!$A$2:$L$2000,12,0),0)</f>
        <v>23000</v>
      </c>
      <c r="J456" s="3">
        <f>_xlfn.IFNA(VLOOKUP($A456,[3]stockregister!$A$1:$M$2000,12,0),0)-$I456</f>
        <v>0</v>
      </c>
      <c r="K456" s="3" t="s">
        <v>22</v>
      </c>
      <c r="L456" s="3" t="s">
        <v>23</v>
      </c>
      <c r="M456" s="3">
        <f>_xlfn.IFNA(VLOOKUP($A456,[2]stockregister!$A$2:$H$2000,8,0),0)</f>
        <v>23500</v>
      </c>
      <c r="N456" s="3">
        <f>_xlfn.IFNA(VLOOKUP($A456,[2]stockregister!$A$2:$H$2000,8,0),0)-$M456</f>
        <v>0</v>
      </c>
      <c r="O456" s="3" t="s">
        <v>1109</v>
      </c>
      <c r="P456" s="3" t="s">
        <v>1109</v>
      </c>
      <c r="Q456" s="3" t="s">
        <v>133</v>
      </c>
      <c r="R456" s="3" t="s">
        <v>92</v>
      </c>
      <c r="S456" s="3" t="s">
        <v>134</v>
      </c>
    </row>
    <row r="457" spans="1:18">
      <c r="A457" s="3">
        <v>2388</v>
      </c>
      <c r="B457" s="3" t="b">
        <f>ISNUMBER(MATCH(A457,[1]stockregister!$A$2:$A$2000,0))</f>
        <v>1</v>
      </c>
      <c r="C457" s="3" t="s">
        <v>511</v>
      </c>
      <c r="D457" s="3" t="str">
        <f>VLOOKUP($C457,[1]stockregister!$B$2:$B$2000,1,0)</f>
        <v>CAPTAIN MORGAN SPICED GOLD 750ML</v>
      </c>
      <c r="E457" s="3" t="str">
        <f>IF(ISNA($D457),VLOOKUP($A457,[2]stockregister!$A$2:$B$2000,2,FALSE),"")</f>
        <v/>
      </c>
      <c r="F457" s="3" t="s">
        <v>21</v>
      </c>
      <c r="G457" s="3">
        <f>_xlfn.IFNA(VLOOKUP($A457,[3]stockregister!$A$2:$L$2000,11,0),0)</f>
        <v>2</v>
      </c>
      <c r="H457" s="3">
        <f>_xlfn.IFNA(VLOOKUP($A457,[3]stockregister!$A$2:$L$2000,11,0),0)-$G457</f>
        <v>0</v>
      </c>
      <c r="I457" s="3">
        <f>_xlfn.IFNA(VLOOKUP($A457,[3]stockregister!$A$2:$L$2000,12,0),0)</f>
        <v>150</v>
      </c>
      <c r="J457" s="3">
        <f>_xlfn.IFNA(VLOOKUP($A457,[3]stockregister!$A$1:$M$2000,12,0),0)-$I457</f>
        <v>0</v>
      </c>
      <c r="K457" s="3" t="s">
        <v>22</v>
      </c>
      <c r="L457" s="3" t="s">
        <v>23</v>
      </c>
      <c r="M457" s="3">
        <f>_xlfn.IFNA(VLOOKUP($A457,[2]stockregister!$A$2:$H$2000,8,0),0)</f>
        <v>200</v>
      </c>
      <c r="N457" s="3">
        <f>_xlfn.IFNA(VLOOKUP($A457,[2]stockregister!$A$2:$H$2000,8,0),0)-$M457</f>
        <v>0</v>
      </c>
      <c r="O457" s="3" t="s">
        <v>1110</v>
      </c>
      <c r="P457" s="3" t="s">
        <v>1110</v>
      </c>
      <c r="Q457" s="3" t="s">
        <v>1111</v>
      </c>
      <c r="R457" s="3" t="s">
        <v>109</v>
      </c>
    </row>
    <row r="458" spans="1:18">
      <c r="A458" s="3">
        <v>1571</v>
      </c>
      <c r="B458" s="3" t="b">
        <f>ISNUMBER(MATCH(A458,[1]stockregister!$A$2:$A$2000,0))</f>
        <v>1</v>
      </c>
      <c r="C458" s="3" t="s">
        <v>514</v>
      </c>
      <c r="D458" s="3" t="str">
        <f>VLOOKUP($C458,[1]stockregister!$B$2:$B$2000,1,0)</f>
        <v>BACARDI LIMON 1 LITRE</v>
      </c>
      <c r="E458" s="3" t="str">
        <f>IF(ISNA($D458),VLOOKUP($A458,[2]stockregister!$A$2:$B$2000,2,FALSE),"")</f>
        <v/>
      </c>
      <c r="F458" s="3" t="s">
        <v>21</v>
      </c>
      <c r="G458" s="3">
        <f>_xlfn.IFNA(VLOOKUP($A458,[3]stockregister!$A$2:$L$2000,11,0),0)</f>
        <v>0</v>
      </c>
      <c r="H458" s="3">
        <f>_xlfn.IFNA(VLOOKUP($A458,[3]stockregister!$A$2:$L$2000,11,0),0)-$G458</f>
        <v>0</v>
      </c>
      <c r="I458" s="3">
        <f>_xlfn.IFNA(VLOOKUP($A458,[3]stockregister!$A$2:$L$2000,12,0),0)</f>
        <v>162.84</v>
      </c>
      <c r="J458" s="3">
        <f>_xlfn.IFNA(VLOOKUP($A458,[3]stockregister!$A$1:$M$2000,12,0),0)-$I458</f>
        <v>0</v>
      </c>
      <c r="K458" s="3" t="s">
        <v>22</v>
      </c>
      <c r="L458" s="3" t="s">
        <v>23</v>
      </c>
      <c r="M458" s="3">
        <f>_xlfn.IFNA(VLOOKUP($A458,[2]stockregister!$A$2:$H$2000,8,0),0)</f>
        <v>177</v>
      </c>
      <c r="N458" s="3">
        <f>_xlfn.IFNA(VLOOKUP($A458,[2]stockregister!$A$2:$H$2000,8,0),0)-$M458</f>
        <v>0</v>
      </c>
      <c r="O458" s="3" t="s">
        <v>1112</v>
      </c>
      <c r="P458" s="3" t="s">
        <v>1112</v>
      </c>
      <c r="Q458" s="3" t="s">
        <v>1113</v>
      </c>
      <c r="R458" s="3" t="s">
        <v>318</v>
      </c>
    </row>
    <row r="459" spans="1:19">
      <c r="A459" s="3">
        <v>2146</v>
      </c>
      <c r="B459" s="3" t="b">
        <f>ISNUMBER(MATCH(A459,[1]stockregister!$A$2:$A$2000,0))</f>
        <v>1</v>
      </c>
      <c r="C459" s="3" t="s">
        <v>516</v>
      </c>
      <c r="D459" s="3" t="str">
        <f>VLOOKUP($C459,[1]stockregister!$B$2:$B$2000,1,0)</f>
        <v>BACARDI CARTA BLANCA 700 ML</v>
      </c>
      <c r="E459" s="3" t="str">
        <f>IF(ISNA($D459),VLOOKUP($A459,[2]stockregister!$A$2:$B$2000,2,FALSE),"")</f>
        <v/>
      </c>
      <c r="F459" s="3" t="s">
        <v>21</v>
      </c>
      <c r="G459" s="3">
        <f>_xlfn.IFNA(VLOOKUP($A459,[3]stockregister!$A$2:$L$2000,11,0),0)</f>
        <v>38</v>
      </c>
      <c r="H459" s="3">
        <f>_xlfn.IFNA(VLOOKUP($A459,[3]stockregister!$A$2:$L$2000,11,0),0)-$G459</f>
        <v>0</v>
      </c>
      <c r="I459" s="3">
        <f>_xlfn.IFNA(VLOOKUP($A459,[3]stockregister!$A$2:$L$2000,12,0),0)</f>
        <v>1334</v>
      </c>
      <c r="J459" s="3">
        <f>_xlfn.IFNA(VLOOKUP($A459,[3]stockregister!$A$1:$M$2000,12,0),0)-$I459</f>
        <v>0</v>
      </c>
      <c r="K459" s="3" t="s">
        <v>22</v>
      </c>
      <c r="L459" s="3" t="s">
        <v>23</v>
      </c>
      <c r="M459" s="3">
        <f>_xlfn.IFNA(VLOOKUP($A459,[2]stockregister!$A$2:$H$2000,8,0),0)</f>
        <v>1450</v>
      </c>
      <c r="N459" s="3">
        <f>_xlfn.IFNA(VLOOKUP($A459,[2]stockregister!$A$2:$H$2000,8,0),0)-$M459</f>
        <v>0</v>
      </c>
      <c r="O459" s="3" t="s">
        <v>1114</v>
      </c>
      <c r="P459" s="3" t="s">
        <v>1114</v>
      </c>
      <c r="Q459" s="3" t="s">
        <v>606</v>
      </c>
      <c r="R459" s="3" t="s">
        <v>126</v>
      </c>
      <c r="S459" s="3" t="s">
        <v>359</v>
      </c>
    </row>
    <row r="460" spans="1:20">
      <c r="A460" s="3">
        <v>273</v>
      </c>
      <c r="B460" s="3" t="b">
        <f>ISNUMBER(MATCH(A460,[1]stockregister!$A$2:$A$2000,0))</f>
        <v>1</v>
      </c>
      <c r="C460" s="3" t="s">
        <v>520</v>
      </c>
      <c r="D460" s="3" t="str">
        <f>VLOOKUP($C460,[1]stockregister!$B$2:$B$2000,1,0)</f>
        <v>OLMECA ANEJO 750ML </v>
      </c>
      <c r="E460" s="3" t="str">
        <f>IF(ISNA($D460),VLOOKUP($A460,[2]stockregister!$A$2:$B$2000,2,FALSE),"")</f>
        <v/>
      </c>
      <c r="F460" s="3" t="s">
        <v>21</v>
      </c>
      <c r="G460" s="3">
        <f>_xlfn.IFNA(VLOOKUP($A460,[3]stockregister!$A$2:$L$2000,11,0),0)</f>
        <v>38</v>
      </c>
      <c r="H460" s="3">
        <f>_xlfn.IFNA(VLOOKUP($A460,[3]stockregister!$A$2:$L$2000,11,0),0)-$G460</f>
        <v>0</v>
      </c>
      <c r="I460" s="3">
        <f>_xlfn.IFNA(VLOOKUP($A460,[3]stockregister!$A$2:$L$2000,12,0),0)</f>
        <v>7550</v>
      </c>
      <c r="J460" s="3">
        <f>_xlfn.IFNA(VLOOKUP($A460,[3]stockregister!$A$1:$M$2000,12,0),0)-$I460</f>
        <v>0</v>
      </c>
      <c r="K460" s="3" t="s">
        <v>22</v>
      </c>
      <c r="L460" s="3" t="s">
        <v>23</v>
      </c>
      <c r="M460" s="3">
        <f>_xlfn.IFNA(VLOOKUP($A460,[2]stockregister!$A$2:$H$2000,8,0),0)</f>
        <v>7850</v>
      </c>
      <c r="N460" s="3">
        <f>_xlfn.IFNA(VLOOKUP($A460,[2]stockregister!$A$2:$H$2000,8,0),0)-$M460</f>
        <v>0</v>
      </c>
      <c r="O460" s="3" t="s">
        <v>1115</v>
      </c>
      <c r="P460" s="3" t="s">
        <v>1115</v>
      </c>
      <c r="Q460" s="3" t="s">
        <v>1116</v>
      </c>
      <c r="R460" s="3" t="s">
        <v>92</v>
      </c>
      <c r="S460" s="3" t="s">
        <v>134</v>
      </c>
      <c r="T460" s="3">
        <v>10</v>
      </c>
    </row>
    <row r="461" spans="1:19">
      <c r="A461" s="3">
        <v>1674</v>
      </c>
      <c r="B461" s="3" t="b">
        <f>ISNUMBER(MATCH(A461,[1]stockregister!$A$2:$A$2000,0))</f>
        <v>1</v>
      </c>
      <c r="C461" s="3" t="s">
        <v>523</v>
      </c>
      <c r="D461" s="3" t="str">
        <f>VLOOKUP($C461,[1]stockregister!$B$2:$B$2000,1,0)</f>
        <v>CLASE AZUL ANEJO 700ML </v>
      </c>
      <c r="E461" s="3" t="str">
        <f>IF(ISNA($D461),VLOOKUP($A461,[2]stockregister!$A$2:$B$2000,2,FALSE),"")</f>
        <v/>
      </c>
      <c r="F461" s="3" t="s">
        <v>21</v>
      </c>
      <c r="G461" s="3">
        <f>_xlfn.IFNA(VLOOKUP($A461,[3]stockregister!$A$2:$L$2000,11,0),0)</f>
        <v>37</v>
      </c>
      <c r="H461" s="3">
        <f>_xlfn.IFNA(VLOOKUP($A461,[3]stockregister!$A$2:$L$2000,11,0),0)-$G461</f>
        <v>0</v>
      </c>
      <c r="I461" s="3">
        <f>_xlfn.IFNA(VLOOKUP($A461,[3]stockregister!$A$2:$L$2000,12,0),0)</f>
        <v>1104</v>
      </c>
      <c r="J461" s="3">
        <f>_xlfn.IFNA(VLOOKUP($A461,[3]stockregister!$A$1:$M$2000,12,0),0)-$I461</f>
        <v>0</v>
      </c>
      <c r="K461" s="3" t="s">
        <v>22</v>
      </c>
      <c r="L461" s="3" t="s">
        <v>23</v>
      </c>
      <c r="M461" s="3">
        <f>_xlfn.IFNA(VLOOKUP($A461,[2]stockregister!$A$2:$H$2000,8,0),0)</f>
        <v>1200</v>
      </c>
      <c r="N461" s="3">
        <f>_xlfn.IFNA(VLOOKUP($A461,[2]stockregister!$A$2:$H$2000,8,0),0)-$M461</f>
        <v>0</v>
      </c>
      <c r="O461" s="3" t="s">
        <v>1117</v>
      </c>
      <c r="P461" s="3" t="s">
        <v>1117</v>
      </c>
      <c r="Q461" s="3" t="s">
        <v>522</v>
      </c>
      <c r="R461" s="3" t="s">
        <v>68</v>
      </c>
      <c r="S461" s="3" t="s">
        <v>940</v>
      </c>
    </row>
    <row r="462" spans="1:19">
      <c r="A462" s="3">
        <v>2663</v>
      </c>
      <c r="B462" s="3" t="b">
        <f>ISNUMBER(MATCH(A462,[1]stockregister!$A$2:$A$2000,0))</f>
        <v>1</v>
      </c>
      <c r="C462" s="3" t="s">
        <v>525</v>
      </c>
      <c r="D462" s="3" t="str">
        <f>VLOOKUP($C462,[1]stockregister!$B$2:$B$2000,1,0)</f>
        <v>WOOSH PEN 1800 PUFFS BLUEBERRY ICE</v>
      </c>
      <c r="E462" s="3" t="str">
        <f>IF(ISNA($D462),VLOOKUP($A462,[2]stockregister!$A$2:$B$2000,2,FALSE),"")</f>
        <v/>
      </c>
      <c r="F462" s="3" t="s">
        <v>21</v>
      </c>
      <c r="G462" s="3">
        <f>_xlfn.IFNA(VLOOKUP($A462,[3]stockregister!$A$2:$L$2000,11,0),0)</f>
        <v>37</v>
      </c>
      <c r="H462" s="3">
        <f>_xlfn.IFNA(VLOOKUP($A462,[3]stockregister!$A$2:$L$2000,11,0),0)-$G462</f>
        <v>0</v>
      </c>
      <c r="I462" s="3">
        <f>_xlfn.IFNA(VLOOKUP($A462,[3]stockregister!$A$2:$L$2000,12,0),0)</f>
        <v>680</v>
      </c>
      <c r="J462" s="3">
        <f>_xlfn.IFNA(VLOOKUP($A462,[3]stockregister!$A$1:$M$2000,12,0),0)-$I462</f>
        <v>0</v>
      </c>
      <c r="K462" s="3" t="s">
        <v>22</v>
      </c>
      <c r="L462" s="3" t="s">
        <v>23</v>
      </c>
      <c r="M462" s="3">
        <f>_xlfn.IFNA(VLOOKUP($A462,[2]stockregister!$A$2:$H$2000,8,0),0)</f>
        <v>1100</v>
      </c>
      <c r="N462" s="3">
        <f>_xlfn.IFNA(VLOOKUP($A462,[2]stockregister!$A$2:$H$2000,8,0),0)-$M462</f>
        <v>0</v>
      </c>
      <c r="O462" s="3" t="s">
        <v>1118</v>
      </c>
      <c r="P462" s="3" t="s">
        <v>1118</v>
      </c>
      <c r="Q462" s="3" t="s">
        <v>1119</v>
      </c>
      <c r="R462" s="3" t="s">
        <v>537</v>
      </c>
      <c r="S462" s="3" t="s">
        <v>546</v>
      </c>
    </row>
    <row r="463" spans="1:19">
      <c r="A463" s="3">
        <v>2165</v>
      </c>
      <c r="B463" s="3" t="b">
        <f>ISNUMBER(MATCH(A463,[1]stockregister!$A$2:$A$2000,0))</f>
        <v>1</v>
      </c>
      <c r="C463" s="3" t="s">
        <v>527</v>
      </c>
      <c r="D463" s="3" t="str">
        <f>VLOOKUP($C463,[1]stockregister!$B$2:$B$2000,1,0)</f>
        <v>MARTINI BIANCO 750ML</v>
      </c>
      <c r="E463" s="3" t="str">
        <f>IF(ISNA($D463),VLOOKUP($A463,[2]stockregister!$A$2:$B$2000,2,FALSE),"")</f>
        <v/>
      </c>
      <c r="F463" s="3" t="s">
        <v>21</v>
      </c>
      <c r="G463" s="3">
        <f>_xlfn.IFNA(VLOOKUP($A463,[3]stockregister!$A$2:$L$2000,11,0),0)</f>
        <v>36</v>
      </c>
      <c r="H463" s="3">
        <f>_xlfn.IFNA(VLOOKUP($A463,[3]stockregister!$A$2:$L$2000,11,0),0)-$G463</f>
        <v>0</v>
      </c>
      <c r="I463" s="3">
        <f>_xlfn.IFNA(VLOOKUP($A463,[3]stockregister!$A$2:$L$2000,12,0),0)</f>
        <v>1278</v>
      </c>
      <c r="J463" s="3">
        <f>_xlfn.IFNA(VLOOKUP($A463,[3]stockregister!$A$1:$M$2000,12,0),0)-$I463</f>
        <v>0</v>
      </c>
      <c r="K463" s="3" t="s">
        <v>22</v>
      </c>
      <c r="L463" s="3" t="s">
        <v>23</v>
      </c>
      <c r="M463" s="3">
        <f>_xlfn.IFNA(VLOOKUP($A463,[2]stockregister!$A$2:$H$2000,8,0),0)</f>
        <v>1400</v>
      </c>
      <c r="N463" s="3">
        <f>_xlfn.IFNA(VLOOKUP($A463,[2]stockregister!$A$2:$H$2000,8,0),0)-$M463</f>
        <v>0</v>
      </c>
      <c r="O463" s="3" t="s">
        <v>1120</v>
      </c>
      <c r="P463" s="3" t="s">
        <v>1120</v>
      </c>
      <c r="Q463" s="3" t="s">
        <v>811</v>
      </c>
      <c r="R463" s="3" t="s">
        <v>78</v>
      </c>
      <c r="S463" s="3" t="s">
        <v>720</v>
      </c>
    </row>
    <row r="464" spans="1:19">
      <c r="A464" s="3">
        <v>822</v>
      </c>
      <c r="B464" s="3" t="b">
        <f>ISNUMBER(MATCH(A464,[1]stockregister!$A$2:$A$2000,0))</f>
        <v>1</v>
      </c>
      <c r="C464" s="3" t="s">
        <v>529</v>
      </c>
      <c r="D464" s="3" t="str">
        <f>VLOOKUP($C464,[1]stockregister!$B$2:$B$2000,1,0)</f>
        <v>PETROVSKAIA CHOCOLATE VODKA LITRE</v>
      </c>
      <c r="E464" s="3" t="str">
        <f>IF(ISNA($D464),VLOOKUP($A464,[2]stockregister!$A$2:$B$2000,2,FALSE),"")</f>
        <v/>
      </c>
      <c r="F464" s="3" t="s">
        <v>21</v>
      </c>
      <c r="G464" s="3">
        <f>_xlfn.IFNA(VLOOKUP($A464,[3]stockregister!$A$2:$L$2000,11,0),0)</f>
        <v>36</v>
      </c>
      <c r="H464" s="3">
        <f>_xlfn.IFNA(VLOOKUP($A464,[3]stockregister!$A$2:$L$2000,11,0),0)-$G464</f>
        <v>0</v>
      </c>
      <c r="I464" s="3">
        <f>_xlfn.IFNA(VLOOKUP($A464,[3]stockregister!$A$2:$L$2000,12,0),0)</f>
        <v>1320</v>
      </c>
      <c r="J464" s="3">
        <f>_xlfn.IFNA(VLOOKUP($A464,[3]stockregister!$A$1:$M$2000,12,0),0)-$I464</f>
        <v>0</v>
      </c>
      <c r="K464" s="3" t="s">
        <v>22</v>
      </c>
      <c r="L464" s="3" t="s">
        <v>23</v>
      </c>
      <c r="M464" s="3">
        <f>_xlfn.IFNA(VLOOKUP($A464,[2]stockregister!$A$2:$H$2000,8,0),0)</f>
        <v>1425</v>
      </c>
      <c r="N464" s="3">
        <f>_xlfn.IFNA(VLOOKUP($A464,[2]stockregister!$A$2:$H$2000,8,0),0)-$M464</f>
        <v>0</v>
      </c>
      <c r="O464" s="3" t="s">
        <v>1121</v>
      </c>
      <c r="P464" s="3" t="s">
        <v>1121</v>
      </c>
      <c r="Q464" s="3" t="s">
        <v>1122</v>
      </c>
      <c r="R464" s="3" t="s">
        <v>78</v>
      </c>
      <c r="S464" s="3" t="s">
        <v>788</v>
      </c>
    </row>
    <row r="465" spans="1:18">
      <c r="A465" s="3">
        <v>2903</v>
      </c>
      <c r="B465" s="3" t="b">
        <f>ISNUMBER(MATCH(A465,[1]stockregister!$A$2:$A$2000,0))</f>
        <v>1</v>
      </c>
      <c r="C465" s="3" t="s">
        <v>532</v>
      </c>
      <c r="D465" s="3" t="str">
        <f>VLOOKUP($C465,[1]stockregister!$B$2:$B$2000,1,0)</f>
        <v>FLIRT VODKA LEMON  1LTR</v>
      </c>
      <c r="E465" s="3" t="str">
        <f>IF(ISNA($D465),VLOOKUP($A465,[2]stockregister!$A$2:$B$2000,2,FALSE),"")</f>
        <v/>
      </c>
      <c r="F465" s="3" t="s">
        <v>21</v>
      </c>
      <c r="G465" s="3">
        <f>_xlfn.IFNA(VLOOKUP($A465,[3]stockregister!$A$2:$L$2000,11,0),0)</f>
        <v>36</v>
      </c>
      <c r="H465" s="3">
        <f>_xlfn.IFNA(VLOOKUP($A465,[3]stockregister!$A$2:$L$2000,11,0),0)-$G465</f>
        <v>0</v>
      </c>
      <c r="I465" s="3">
        <f>_xlfn.IFNA(VLOOKUP($A465,[3]stockregister!$A$2:$L$2000,12,0),0)</f>
        <v>577.24</v>
      </c>
      <c r="J465" s="3">
        <f>_xlfn.IFNA(VLOOKUP($A465,[3]stockregister!$A$1:$M$2000,12,0),0)-$I465</f>
        <v>0</v>
      </c>
      <c r="K465" s="3" t="s">
        <v>22</v>
      </c>
      <c r="L465" s="3" t="s">
        <v>23</v>
      </c>
      <c r="M465" s="3">
        <f>_xlfn.IFNA(VLOOKUP($A465,[2]stockregister!$A$2:$H$2000,8,0),0)</f>
        <v>600</v>
      </c>
      <c r="N465" s="3">
        <f>_xlfn.IFNA(VLOOKUP($A465,[2]stockregister!$A$2:$H$2000,8,0),0)-$M465</f>
        <v>0</v>
      </c>
      <c r="O465" s="3" t="s">
        <v>1123</v>
      </c>
      <c r="P465" s="3" t="s">
        <v>1123</v>
      </c>
      <c r="Q465" s="3" t="s">
        <v>725</v>
      </c>
      <c r="R465" s="3" t="s">
        <v>78</v>
      </c>
    </row>
    <row r="466" spans="1:18">
      <c r="A466" s="3">
        <v>2866</v>
      </c>
      <c r="B466" s="3" t="b">
        <f>ISNUMBER(MATCH(A466,[1]stockregister!$A$2:$A$2000,0))</f>
        <v>1</v>
      </c>
      <c r="C466" s="3" t="s">
        <v>535</v>
      </c>
      <c r="D466" s="3" t="str">
        <f>VLOOKUP($C466,[1]stockregister!$B$2:$B$2000,1,0)</f>
        <v>FLIRT VODKA ORANGE  1LTR</v>
      </c>
      <c r="E466" s="3" t="str">
        <f>IF(ISNA($D466),VLOOKUP($A466,[2]stockregister!$A$2:$B$2000,2,FALSE),"")</f>
        <v/>
      </c>
      <c r="F466" s="3" t="s">
        <v>21</v>
      </c>
      <c r="G466" s="3">
        <f>_xlfn.IFNA(VLOOKUP($A466,[3]stockregister!$A$2:$L$2000,11,0),0)</f>
        <v>36</v>
      </c>
      <c r="H466" s="3">
        <f>_xlfn.IFNA(VLOOKUP($A466,[3]stockregister!$A$2:$L$2000,11,0),0)-$G466</f>
        <v>0</v>
      </c>
      <c r="I466" s="3">
        <f>_xlfn.IFNA(VLOOKUP($A466,[3]stockregister!$A$2:$L$2000,12,0),0)</f>
        <v>764.42</v>
      </c>
      <c r="J466" s="3">
        <f>_xlfn.IFNA(VLOOKUP($A466,[3]stockregister!$A$1:$M$2000,12,0),0)-$I466</f>
        <v>0</v>
      </c>
      <c r="K466" s="3" t="s">
        <v>22</v>
      </c>
      <c r="L466" s="3" t="s">
        <v>23</v>
      </c>
      <c r="M466" s="3">
        <f>_xlfn.IFNA(VLOOKUP($A466,[2]stockregister!$A$2:$H$2000,8,0),0)</f>
        <v>800</v>
      </c>
      <c r="N466" s="3">
        <f>_xlfn.IFNA(VLOOKUP($A466,[2]stockregister!$A$2:$H$2000,8,0),0)-$M466</f>
        <v>0</v>
      </c>
      <c r="O466" s="3" t="s">
        <v>1124</v>
      </c>
      <c r="P466" s="3" t="s">
        <v>1124</v>
      </c>
      <c r="Q466" s="3" t="s">
        <v>189</v>
      </c>
      <c r="R466" s="3" t="s">
        <v>126</v>
      </c>
    </row>
    <row r="467" spans="1:19">
      <c r="A467" s="3">
        <v>2574</v>
      </c>
      <c r="B467" s="3" t="b">
        <f>ISNUMBER(MATCH(A467,[1]stockregister!$A$2:$A$2000,0))</f>
        <v>1</v>
      </c>
      <c r="C467" s="3" t="s">
        <v>539</v>
      </c>
      <c r="D467" s="3" t="str">
        <f>VLOOKUP($C467,[1]stockregister!$B$2:$B$2000,1,0)</f>
        <v>PETROVSKAIA CRANBERRY VODKA LITRE</v>
      </c>
      <c r="E467" s="3" t="str">
        <f>IF(ISNA($D467),VLOOKUP($A467,[2]stockregister!$A$2:$B$2000,2,FALSE),"")</f>
        <v/>
      </c>
      <c r="F467" s="3" t="s">
        <v>21</v>
      </c>
      <c r="G467" s="3">
        <f>_xlfn.IFNA(VLOOKUP($A467,[3]stockregister!$A$2:$L$2000,11,0),0)</f>
        <v>36</v>
      </c>
      <c r="H467" s="3">
        <f>_xlfn.IFNA(VLOOKUP($A467,[3]stockregister!$A$2:$L$2000,11,0),0)-$G467</f>
        <v>0</v>
      </c>
      <c r="I467" s="3">
        <f>_xlfn.IFNA(VLOOKUP($A467,[3]stockregister!$A$2:$L$2000,12,0),0)</f>
        <v>5500</v>
      </c>
      <c r="J467" s="3">
        <f>_xlfn.IFNA(VLOOKUP($A467,[3]stockregister!$A$1:$M$2000,12,0),0)-$I467</f>
        <v>0</v>
      </c>
      <c r="K467" s="3" t="s">
        <v>22</v>
      </c>
      <c r="L467" s="3" t="s">
        <v>23</v>
      </c>
      <c r="M467" s="3">
        <f>_xlfn.IFNA(VLOOKUP($A467,[2]stockregister!$A$2:$H$2000,8,0),0)</f>
        <v>6500</v>
      </c>
      <c r="N467" s="3">
        <f>_xlfn.IFNA(VLOOKUP($A467,[2]stockregister!$A$2:$H$2000,8,0),0)-$M467</f>
        <v>0</v>
      </c>
      <c r="O467" s="3" t="s">
        <v>1125</v>
      </c>
      <c r="P467" s="3" t="s">
        <v>1125</v>
      </c>
      <c r="Q467" s="3" t="s">
        <v>732</v>
      </c>
      <c r="R467" s="3" t="s">
        <v>113</v>
      </c>
      <c r="S467" s="3" t="s">
        <v>114</v>
      </c>
    </row>
    <row r="468" spans="1:19">
      <c r="A468" s="3">
        <v>2489</v>
      </c>
      <c r="B468" s="3" t="b">
        <f>ISNUMBER(MATCH(A468,[1]stockregister!$A$2:$A$2000,0))</f>
        <v>1</v>
      </c>
      <c r="C468" s="3" t="s">
        <v>543</v>
      </c>
      <c r="D468" s="3" t="str">
        <f>VLOOKUP($C468,[1]stockregister!$B$2:$B$2000,1,0)</f>
        <v>PETROVSKAIA PLATIMUM VODKA LITRE</v>
      </c>
      <c r="E468" s="3" t="str">
        <f>IF(ISNA($D468),VLOOKUP($A468,[2]stockregister!$A$2:$B$2000,2,FALSE),"")</f>
        <v/>
      </c>
      <c r="F468" s="3" t="s">
        <v>21</v>
      </c>
      <c r="G468" s="3">
        <f>_xlfn.IFNA(VLOOKUP($A468,[3]stockregister!$A$2:$L$2000,11,0),0)</f>
        <v>36</v>
      </c>
      <c r="H468" s="3">
        <f>_xlfn.IFNA(VLOOKUP($A468,[3]stockregister!$A$2:$L$2000,11,0),0)-$G468</f>
        <v>0</v>
      </c>
      <c r="I468" s="3">
        <f>_xlfn.IFNA(VLOOKUP($A468,[3]stockregister!$A$2:$L$2000,12,0),0)</f>
        <v>2300</v>
      </c>
      <c r="J468" s="3">
        <f>_xlfn.IFNA(VLOOKUP($A468,[3]stockregister!$A$1:$M$2000,12,0),0)-$I468</f>
        <v>0</v>
      </c>
      <c r="K468" s="3" t="s">
        <v>22</v>
      </c>
      <c r="L468" s="3" t="s">
        <v>23</v>
      </c>
      <c r="M468" s="3">
        <f>_xlfn.IFNA(VLOOKUP($A468,[2]stockregister!$A$2:$H$2000,8,0),0)</f>
        <v>2500</v>
      </c>
      <c r="N468" s="3">
        <f>_xlfn.IFNA(VLOOKUP($A468,[2]stockregister!$A$2:$H$2000,8,0),0)-$M468</f>
        <v>0</v>
      </c>
      <c r="O468" s="3" t="s">
        <v>1126</v>
      </c>
      <c r="P468" s="3" t="s">
        <v>1126</v>
      </c>
      <c r="Q468" s="3" t="s">
        <v>362</v>
      </c>
      <c r="R468" s="3" t="s">
        <v>113</v>
      </c>
      <c r="S468" s="3" t="s">
        <v>114</v>
      </c>
    </row>
    <row r="469" spans="1:19">
      <c r="A469" s="3">
        <v>2821</v>
      </c>
      <c r="B469" s="3" t="b">
        <f>ISNUMBER(MATCH(A469,[1]stockregister!$A$2:$A$2000,0))</f>
        <v>1</v>
      </c>
      <c r="C469" s="3" t="s">
        <v>547</v>
      </c>
      <c r="D469" s="3" t="str">
        <f>VLOOKUP($C469,[1]stockregister!$B$2:$B$2000,1,0)</f>
        <v>KETEL ONE VODKA 750ML</v>
      </c>
      <c r="E469" s="3" t="str">
        <f>IF(ISNA($D469),VLOOKUP($A469,[2]stockregister!$A$2:$B$2000,2,FALSE),"")</f>
        <v/>
      </c>
      <c r="F469" s="3" t="s">
        <v>21</v>
      </c>
      <c r="G469" s="3">
        <f>_xlfn.IFNA(VLOOKUP($A469,[3]stockregister!$A$2:$L$2000,11,0),0)</f>
        <v>36</v>
      </c>
      <c r="H469" s="3">
        <f>_xlfn.IFNA(VLOOKUP($A469,[3]stockregister!$A$2:$L$2000,11,0),0)-$G469</f>
        <v>0</v>
      </c>
      <c r="I469" s="3">
        <f>_xlfn.IFNA(VLOOKUP($A469,[3]stockregister!$A$2:$L$2000,12,0),0)</f>
        <v>3800</v>
      </c>
      <c r="J469" s="3">
        <f>_xlfn.IFNA(VLOOKUP($A469,[3]stockregister!$A$1:$M$2000,12,0),0)-$I469</f>
        <v>0</v>
      </c>
      <c r="K469" s="3" t="s">
        <v>22</v>
      </c>
      <c r="L469" s="3" t="s">
        <v>23</v>
      </c>
      <c r="M469" s="3">
        <f>_xlfn.IFNA(VLOOKUP($A469,[2]stockregister!$A$2:$H$2000,8,0),0)</f>
        <v>4950</v>
      </c>
      <c r="N469" s="3">
        <f>_xlfn.IFNA(VLOOKUP($A469,[2]stockregister!$A$2:$H$2000,8,0),0)-$M469</f>
        <v>0</v>
      </c>
      <c r="O469" s="3" t="s">
        <v>1127</v>
      </c>
      <c r="P469" s="3" t="s">
        <v>1127</v>
      </c>
      <c r="Q469" s="3" t="s">
        <v>1128</v>
      </c>
      <c r="R469" s="3" t="s">
        <v>113</v>
      </c>
      <c r="S469" s="3" t="s">
        <v>114</v>
      </c>
    </row>
    <row r="470" spans="1:19">
      <c r="A470" s="3">
        <v>203</v>
      </c>
      <c r="B470" s="3" t="b">
        <f>ISNUMBER(MATCH(A470,[1]stockregister!$A$2:$A$2000,0))</f>
        <v>1</v>
      </c>
      <c r="C470" s="3" t="s">
        <v>550</v>
      </c>
      <c r="D470" s="3" t="str">
        <f>VLOOKUP($C470,[1]stockregister!$B$2:$B$2000,1,0)</f>
        <v>SIR EDWARDS WHISKY  700ML</v>
      </c>
      <c r="E470" s="3" t="str">
        <f>IF(ISNA($D470),VLOOKUP($A470,[2]stockregister!$A$2:$B$2000,2,FALSE),"")</f>
        <v/>
      </c>
      <c r="F470" s="3" t="s">
        <v>21</v>
      </c>
      <c r="G470" s="3">
        <f>_xlfn.IFNA(VLOOKUP($A470,[3]stockregister!$A$2:$L$2000,11,0),0)</f>
        <v>36</v>
      </c>
      <c r="H470" s="3">
        <f>_xlfn.IFNA(VLOOKUP($A470,[3]stockregister!$A$2:$L$2000,11,0),0)-$G470</f>
        <v>0</v>
      </c>
      <c r="I470" s="3">
        <f>_xlfn.IFNA(VLOOKUP($A470,[3]stockregister!$A$2:$L$2000,12,0),0)</f>
        <v>1196</v>
      </c>
      <c r="J470" s="3">
        <f>_xlfn.IFNA(VLOOKUP($A470,[3]stockregister!$A$1:$M$2000,12,0),0)-$I470</f>
        <v>0</v>
      </c>
      <c r="K470" s="3" t="s">
        <v>22</v>
      </c>
      <c r="L470" s="3" t="s">
        <v>23</v>
      </c>
      <c r="M470" s="3">
        <f>_xlfn.IFNA(VLOOKUP($A470,[2]stockregister!$A$2:$H$2000,8,0),0)</f>
        <v>1300</v>
      </c>
      <c r="N470" s="3">
        <f>_xlfn.IFNA(VLOOKUP($A470,[2]stockregister!$A$2:$H$2000,8,0),0)-$M470</f>
        <v>0</v>
      </c>
      <c r="O470" s="3" t="s">
        <v>1129</v>
      </c>
      <c r="P470" s="3" t="s">
        <v>1129</v>
      </c>
      <c r="Q470" s="3" t="s">
        <v>1130</v>
      </c>
      <c r="R470" s="3" t="s">
        <v>92</v>
      </c>
      <c r="S470" s="3" t="s">
        <v>1131</v>
      </c>
    </row>
    <row r="471" spans="1:19">
      <c r="A471" s="3">
        <v>1118</v>
      </c>
      <c r="B471" s="3" t="b">
        <f>ISNUMBER(MATCH(A471,[1]stockregister!$A$2:$A$2000,0))</f>
        <v>1</v>
      </c>
      <c r="C471" s="3" t="s">
        <v>552</v>
      </c>
      <c r="D471" s="3" t="str">
        <f>VLOOKUP($C471,[1]stockregister!$B$2:$B$2000,1,0)</f>
        <v>GRANT'S WITHOUT GLASS 750ML </v>
      </c>
      <c r="E471" s="3" t="str">
        <f>IF(ISNA($D471),VLOOKUP($A471,[2]stockregister!$A$2:$B$2000,2,FALSE),"")</f>
        <v/>
      </c>
      <c r="F471" s="3" t="s">
        <v>21</v>
      </c>
      <c r="G471" s="3">
        <f>_xlfn.IFNA(VLOOKUP($A471,[3]stockregister!$A$2:$L$2000,11,0),0)</f>
        <v>0</v>
      </c>
      <c r="H471" s="3">
        <f>_xlfn.IFNA(VLOOKUP($A471,[3]stockregister!$A$2:$L$2000,11,0),0)-$G471</f>
        <v>0</v>
      </c>
      <c r="I471" s="3">
        <f>_xlfn.IFNA(VLOOKUP($A471,[3]stockregister!$A$2:$L$2000,12,0),0)</f>
        <v>1750</v>
      </c>
      <c r="J471" s="3">
        <f>_xlfn.IFNA(VLOOKUP($A471,[3]stockregister!$A$1:$M$2000,12,0),0)-$I471</f>
        <v>0</v>
      </c>
      <c r="K471" s="3" t="s">
        <v>22</v>
      </c>
      <c r="L471" s="3" t="s">
        <v>23</v>
      </c>
      <c r="M471" s="3">
        <f>_xlfn.IFNA(VLOOKUP($A471,[2]stockregister!$A$2:$H$2000,8,0),0)</f>
        <v>1800</v>
      </c>
      <c r="N471" s="3">
        <f>_xlfn.IFNA(VLOOKUP($A471,[2]stockregister!$A$2:$H$2000,8,0),0)-$M471</f>
        <v>0</v>
      </c>
      <c r="O471" s="3" t="s">
        <v>1132</v>
      </c>
      <c r="P471" s="3" t="s">
        <v>1132</v>
      </c>
      <c r="Q471" s="3" t="s">
        <v>133</v>
      </c>
      <c r="R471" s="3" t="s">
        <v>92</v>
      </c>
      <c r="S471" s="3" t="s">
        <v>134</v>
      </c>
    </row>
    <row r="472" spans="1:19">
      <c r="A472" s="3">
        <v>2260</v>
      </c>
      <c r="B472" s="3" t="b">
        <f>ISNUMBER(MATCH(A472,[1]stockregister!$A$2:$A$2000,0))</f>
        <v>1</v>
      </c>
      <c r="C472" s="3" t="s">
        <v>556</v>
      </c>
      <c r="D472" s="3" t="str">
        <f>VLOOKUP($C472,[1]stockregister!$B$2:$B$2000,1,0)</f>
        <v>DALWHINNE 15YRS WHISKY 750ML </v>
      </c>
      <c r="E472" s="3" t="str">
        <f>IF(ISNA($D472),VLOOKUP($A472,[2]stockregister!$A$2:$B$2000,2,FALSE),"")</f>
        <v/>
      </c>
      <c r="F472" s="3" t="s">
        <v>21</v>
      </c>
      <c r="G472" s="3">
        <f>_xlfn.IFNA(VLOOKUP($A472,[3]stockregister!$A$2:$L$2000,11,0),0)</f>
        <v>36</v>
      </c>
      <c r="H472" s="3">
        <f>_xlfn.IFNA(VLOOKUP($A472,[3]stockregister!$A$2:$L$2000,11,0),0)-$G472</f>
        <v>0</v>
      </c>
      <c r="I472" s="3">
        <f>_xlfn.IFNA(VLOOKUP($A472,[3]stockregister!$A$2:$L$2000,12,0),0)</f>
        <v>2000</v>
      </c>
      <c r="J472" s="3">
        <f>_xlfn.IFNA(VLOOKUP($A472,[3]stockregister!$A$1:$M$2000,12,0),0)-$I472</f>
        <v>0</v>
      </c>
      <c r="K472" s="3" t="s">
        <v>22</v>
      </c>
      <c r="L472" s="3" t="s">
        <v>23</v>
      </c>
      <c r="M472" s="3">
        <f>_xlfn.IFNA(VLOOKUP($A472,[2]stockregister!$A$2:$H$2000,8,0),0)</f>
        <v>2100</v>
      </c>
      <c r="N472" s="3">
        <f>_xlfn.IFNA(VLOOKUP($A472,[2]stockregister!$A$2:$H$2000,8,0),0)-$M472</f>
        <v>0</v>
      </c>
      <c r="O472" s="3" t="s">
        <v>1133</v>
      </c>
      <c r="P472" s="3" t="s">
        <v>1133</v>
      </c>
      <c r="Q472" s="3" t="s">
        <v>1134</v>
      </c>
      <c r="R472" s="3" t="s">
        <v>68</v>
      </c>
      <c r="S472" s="3" t="s">
        <v>1135</v>
      </c>
    </row>
    <row r="473" spans="1:19">
      <c r="A473" s="3">
        <v>2233</v>
      </c>
      <c r="B473" s="3" t="b">
        <f>ISNUMBER(MATCH(A473,[1]stockregister!$A$2:$A$2000,0))</f>
        <v>1</v>
      </c>
      <c r="C473" s="3" t="s">
        <v>559</v>
      </c>
      <c r="D473" s="3" t="str">
        <f>VLOOKUP($C473,[1]stockregister!$B$2:$B$2000,1,0)</f>
        <v>THE GLENLIVET GEORGE SMITH 12 YO  750ML</v>
      </c>
      <c r="E473" s="3" t="str">
        <f>IF(ISNA($D473),VLOOKUP($A473,[2]stockregister!$A$2:$B$2000,2,FALSE),"")</f>
        <v/>
      </c>
      <c r="F473" s="3" t="s">
        <v>21</v>
      </c>
      <c r="G473" s="3">
        <f>_xlfn.IFNA(VLOOKUP($A473,[3]stockregister!$A$2:$L$2000,11,0),0)</f>
        <v>36</v>
      </c>
      <c r="H473" s="3">
        <f>_xlfn.IFNA(VLOOKUP($A473,[3]stockregister!$A$2:$L$2000,11,0),0)-$G473</f>
        <v>0</v>
      </c>
      <c r="I473" s="3">
        <f>_xlfn.IFNA(VLOOKUP($A473,[3]stockregister!$A$2:$L$2000,12,0),0)</f>
        <v>1200</v>
      </c>
      <c r="J473" s="3">
        <f>_xlfn.IFNA(VLOOKUP($A473,[3]stockregister!$A$1:$M$2000,12,0),0)-$I473</f>
        <v>0</v>
      </c>
      <c r="K473" s="3" t="s">
        <v>22</v>
      </c>
      <c r="L473" s="3" t="s">
        <v>23</v>
      </c>
      <c r="M473" s="3">
        <f>_xlfn.IFNA(VLOOKUP($A473,[2]stockregister!$A$2:$H$2000,8,0),0)</f>
        <v>1300</v>
      </c>
      <c r="N473" s="3">
        <f>_xlfn.IFNA(VLOOKUP($A473,[2]stockregister!$A$2:$H$2000,8,0),0)-$M473</f>
        <v>0</v>
      </c>
      <c r="O473" s="3" t="s">
        <v>1136</v>
      </c>
      <c r="P473" s="3" t="s">
        <v>1136</v>
      </c>
      <c r="Q473" s="3" t="s">
        <v>1137</v>
      </c>
      <c r="R473" s="3" t="s">
        <v>68</v>
      </c>
      <c r="S473" s="3" t="s">
        <v>1138</v>
      </c>
    </row>
    <row r="474" spans="1:19">
      <c r="A474" s="3">
        <v>2462</v>
      </c>
      <c r="B474" s="3" t="b">
        <f>ISNUMBER(MATCH(A474,[1]stockregister!$A$2:$A$2000,0))</f>
        <v>1</v>
      </c>
      <c r="C474" s="3" t="s">
        <v>561</v>
      </c>
      <c r="D474" s="3" t="str">
        <f>VLOOKUP($C474,[1]stockregister!$B$2:$B$2000,1,0)</f>
        <v>ABERLOUR 16 YRS  DOUBLE CASK WHISKY 700ML</v>
      </c>
      <c r="E474" s="3" t="str">
        <f>IF(ISNA($D474),VLOOKUP($A474,[2]stockregister!$A$2:$B$2000,2,FALSE),"")</f>
        <v/>
      </c>
      <c r="F474" s="3" t="s">
        <v>21</v>
      </c>
      <c r="G474" s="3">
        <f>_xlfn.IFNA(VLOOKUP($A474,[3]stockregister!$A$2:$L$2000,11,0),0)</f>
        <v>36</v>
      </c>
      <c r="H474" s="3">
        <f>_xlfn.IFNA(VLOOKUP($A474,[3]stockregister!$A$2:$L$2000,11,0),0)-$G474</f>
        <v>0</v>
      </c>
      <c r="I474" s="3">
        <f>_xlfn.IFNA(VLOOKUP($A474,[3]stockregister!$A$2:$L$2000,12,0),0)</f>
        <v>1430</v>
      </c>
      <c r="J474" s="3">
        <f>_xlfn.IFNA(VLOOKUP($A474,[3]stockregister!$A$1:$M$2000,12,0),0)-$I474</f>
        <v>0</v>
      </c>
      <c r="K474" s="3" t="s">
        <v>22</v>
      </c>
      <c r="L474" s="3" t="s">
        <v>23</v>
      </c>
      <c r="M474" s="3">
        <f>_xlfn.IFNA(VLOOKUP($A474,[2]stockregister!$A$2:$H$2000,8,0),0)</f>
        <v>1800</v>
      </c>
      <c r="N474" s="3">
        <f>_xlfn.IFNA(VLOOKUP($A474,[2]stockregister!$A$2:$H$2000,8,0),0)-$M474</f>
        <v>0</v>
      </c>
      <c r="O474" s="3" t="s">
        <v>1139</v>
      </c>
      <c r="P474" s="3" t="s">
        <v>1139</v>
      </c>
      <c r="Q474" s="3" t="s">
        <v>1140</v>
      </c>
      <c r="R474" s="3" t="s">
        <v>537</v>
      </c>
      <c r="S474" s="3" t="s">
        <v>1138</v>
      </c>
    </row>
    <row r="475" spans="1:19">
      <c r="A475" s="3">
        <v>2463</v>
      </c>
      <c r="B475" s="3" t="b">
        <f>ISNUMBER(MATCH(A475,[1]stockregister!$A$2:$A$2000,0))</f>
        <v>1</v>
      </c>
      <c r="C475" s="3" t="s">
        <v>564</v>
      </c>
      <c r="D475" s="3" t="str">
        <f>VLOOKUP($C475,[1]stockregister!$B$2:$B$2000,1,0)</f>
        <v>ROYAL CIRCLE HONEY 750ML  </v>
      </c>
      <c r="E475" s="3" t="str">
        <f>IF(ISNA($D475),VLOOKUP($A475,[2]stockregister!$A$2:$B$2000,2,FALSE),"")</f>
        <v/>
      </c>
      <c r="F475" s="3" t="s">
        <v>21</v>
      </c>
      <c r="G475" s="3">
        <f>_xlfn.IFNA(VLOOKUP($A475,[3]stockregister!$A$2:$L$2000,11,0),0)</f>
        <v>36</v>
      </c>
      <c r="H475" s="3">
        <f>_xlfn.IFNA(VLOOKUP($A475,[3]stockregister!$A$2:$L$2000,11,0),0)-$G475</f>
        <v>0</v>
      </c>
      <c r="I475" s="3">
        <f>_xlfn.IFNA(VLOOKUP($A475,[3]stockregister!$A$2:$L$2000,12,0),0)</f>
        <v>1300</v>
      </c>
      <c r="J475" s="3">
        <f>_xlfn.IFNA(VLOOKUP($A475,[3]stockregister!$A$1:$M$2000,12,0),0)-$I475</f>
        <v>0</v>
      </c>
      <c r="K475" s="3" t="s">
        <v>22</v>
      </c>
      <c r="L475" s="3" t="s">
        <v>23</v>
      </c>
      <c r="M475" s="3">
        <f>_xlfn.IFNA(VLOOKUP($A475,[2]stockregister!$A$2:$H$2000,8,0),0)</f>
        <v>1625</v>
      </c>
      <c r="N475" s="3">
        <f>_xlfn.IFNA(VLOOKUP($A475,[2]stockregister!$A$2:$H$2000,8,0),0)-$M475</f>
        <v>0</v>
      </c>
      <c r="O475" s="3" t="s">
        <v>1141</v>
      </c>
      <c r="P475" s="3" t="s">
        <v>1141</v>
      </c>
      <c r="Q475" s="3" t="s">
        <v>1140</v>
      </c>
      <c r="R475" s="3" t="s">
        <v>537</v>
      </c>
      <c r="S475" s="3" t="s">
        <v>1142</v>
      </c>
    </row>
    <row r="476" spans="1:19">
      <c r="A476" s="3">
        <v>1606</v>
      </c>
      <c r="B476" s="3" t="b">
        <f>ISNUMBER(MATCH(A476,[1]stockregister!$A$2:$A$2000,0))</f>
        <v>1</v>
      </c>
      <c r="C476" s="3" t="s">
        <v>567</v>
      </c>
      <c r="D476" s="3" t="str">
        <f>VLOOKUP($C476,[1]stockregister!$B$2:$B$2000,1,0)</f>
        <v>JAMESON WHISKY  4.5LTR</v>
      </c>
      <c r="E476" s="3" t="str">
        <f>IF(ISNA($D476),VLOOKUP($A476,[2]stockregister!$A$2:$B$2000,2,FALSE),"")</f>
        <v/>
      </c>
      <c r="F476" s="3" t="s">
        <v>21</v>
      </c>
      <c r="G476" s="3">
        <f>_xlfn.IFNA(VLOOKUP($A476,[3]stockregister!$A$2:$L$2000,11,0),0)</f>
        <v>36</v>
      </c>
      <c r="H476" s="3">
        <f>_xlfn.IFNA(VLOOKUP($A476,[3]stockregister!$A$2:$L$2000,11,0),0)-$G476</f>
        <v>0</v>
      </c>
      <c r="I476" s="3">
        <f>_xlfn.IFNA(VLOOKUP($A476,[3]stockregister!$A$2:$L$2000,12,0),0)</f>
        <v>874</v>
      </c>
      <c r="J476" s="3">
        <f>_xlfn.IFNA(VLOOKUP($A476,[3]stockregister!$A$1:$M$2000,12,0),0)-$I476</f>
        <v>0</v>
      </c>
      <c r="K476" s="3" t="s">
        <v>22</v>
      </c>
      <c r="L476" s="3" t="s">
        <v>23</v>
      </c>
      <c r="M476" s="3">
        <f>_xlfn.IFNA(VLOOKUP($A476,[2]stockregister!$A$2:$H$2000,8,0),0)</f>
        <v>950</v>
      </c>
      <c r="N476" s="3">
        <f>_xlfn.IFNA(VLOOKUP($A476,[2]stockregister!$A$2:$H$2000,8,0),0)-$M476</f>
        <v>0</v>
      </c>
      <c r="O476" s="3" t="s">
        <v>1143</v>
      </c>
      <c r="P476" s="3" t="s">
        <v>1143</v>
      </c>
      <c r="Q476" s="3" t="s">
        <v>1144</v>
      </c>
      <c r="R476" s="3" t="s">
        <v>68</v>
      </c>
      <c r="S476" s="3" t="s">
        <v>398</v>
      </c>
    </row>
    <row r="477" spans="1:19">
      <c r="A477" s="3">
        <v>297</v>
      </c>
      <c r="B477" s="3" t="b">
        <f>ISNUMBER(MATCH(A477,[1]stockregister!$A$2:$A$2000,0))</f>
        <v>1</v>
      </c>
      <c r="C477" s="3" t="s">
        <v>569</v>
      </c>
      <c r="D477" s="3" t="str">
        <f>VLOOKUP($C477,[1]stockregister!$B$2:$B$2000,1,0)</f>
        <v>HIGH COMMISSIONER  1LTR</v>
      </c>
      <c r="E477" s="3" t="str">
        <f>IF(ISNA($D477),VLOOKUP($A477,[2]stockregister!$A$2:$B$2000,2,FALSE),"")</f>
        <v/>
      </c>
      <c r="F477" s="3" t="s">
        <v>21</v>
      </c>
      <c r="G477" s="3">
        <f>_xlfn.IFNA(VLOOKUP($A477,[3]stockregister!$A$2:$L$2000,11,0),0)</f>
        <v>36</v>
      </c>
      <c r="H477" s="3">
        <f>_xlfn.IFNA(VLOOKUP($A477,[3]stockregister!$A$2:$L$2000,11,0),0)-$G477</f>
        <v>0</v>
      </c>
      <c r="I477" s="3">
        <f>_xlfn.IFNA(VLOOKUP($A477,[3]stockregister!$A$2:$L$2000,12,0),0)</f>
        <v>1380</v>
      </c>
      <c r="J477" s="3">
        <f>_xlfn.IFNA(VLOOKUP($A477,[3]stockregister!$A$1:$M$2000,12,0),0)-$I477</f>
        <v>0</v>
      </c>
      <c r="K477" s="3" t="s">
        <v>22</v>
      </c>
      <c r="L477" s="3" t="s">
        <v>23</v>
      </c>
      <c r="M477" s="3">
        <f>_xlfn.IFNA(VLOOKUP($A477,[2]stockregister!$A$2:$H$2000,8,0),0)</f>
        <v>1500</v>
      </c>
      <c r="N477" s="3">
        <f>_xlfn.IFNA(VLOOKUP($A477,[2]stockregister!$A$2:$H$2000,8,0),0)-$M477</f>
        <v>0</v>
      </c>
      <c r="O477" s="3" t="s">
        <v>1145</v>
      </c>
      <c r="P477" s="3" t="s">
        <v>1145</v>
      </c>
      <c r="Q477" s="3" t="s">
        <v>939</v>
      </c>
      <c r="R477" s="3" t="s">
        <v>68</v>
      </c>
      <c r="S477" s="3" t="s">
        <v>398</v>
      </c>
    </row>
    <row r="478" spans="1:19">
      <c r="A478" s="3">
        <v>197</v>
      </c>
      <c r="B478" s="3" t="b">
        <f>ISNUMBER(MATCH(A478,[1]stockregister!$A$2:$A$2000,0))</f>
        <v>1</v>
      </c>
      <c r="C478" s="3" t="s">
        <v>572</v>
      </c>
      <c r="D478" s="3" t="str">
        <f>VLOOKUP($C478,[1]stockregister!$B$2:$B$2000,1,0)</f>
        <v>VAT 69 1L</v>
      </c>
      <c r="E478" s="3" t="str">
        <f>IF(ISNA($D478),VLOOKUP($A478,[2]stockregister!$A$2:$B$2000,2,FALSE),"")</f>
        <v/>
      </c>
      <c r="F478" s="3" t="s">
        <v>21</v>
      </c>
      <c r="G478" s="3">
        <f>_xlfn.IFNA(VLOOKUP($A478,[3]stockregister!$A$2:$L$2000,11,0),0)</f>
        <v>36</v>
      </c>
      <c r="H478" s="3">
        <f>_xlfn.IFNA(VLOOKUP($A478,[3]stockregister!$A$2:$L$2000,11,0),0)-$G478</f>
        <v>0</v>
      </c>
      <c r="I478" s="3">
        <f>_xlfn.IFNA(VLOOKUP($A478,[3]stockregister!$A$2:$L$2000,12,0),0)</f>
        <v>1335</v>
      </c>
      <c r="J478" s="3">
        <f>_xlfn.IFNA(VLOOKUP($A478,[3]stockregister!$A$1:$M$2000,12,0),0)-$I478</f>
        <v>0</v>
      </c>
      <c r="K478" s="3" t="s">
        <v>22</v>
      </c>
      <c r="L478" s="3" t="s">
        <v>23</v>
      </c>
      <c r="M478" s="3">
        <f>_xlfn.IFNA(VLOOKUP($A478,[2]stockregister!$A$2:$H$2000,8,0),0)</f>
        <v>1700</v>
      </c>
      <c r="N478" s="3">
        <f>_xlfn.IFNA(VLOOKUP($A478,[2]stockregister!$A$2:$H$2000,8,0),0)-$M478</f>
        <v>0</v>
      </c>
      <c r="O478" s="3" t="s">
        <v>1146</v>
      </c>
      <c r="P478" s="3" t="s">
        <v>1146</v>
      </c>
      <c r="Q478" s="3" t="s">
        <v>1147</v>
      </c>
      <c r="R478" s="3" t="s">
        <v>68</v>
      </c>
      <c r="S478" s="3" t="s">
        <v>398</v>
      </c>
    </row>
    <row r="479" spans="1:19">
      <c r="A479" s="3">
        <v>2914</v>
      </c>
      <c r="B479" s="3" t="b">
        <f>ISNUMBER(MATCH(A479,[1]stockregister!$A$2:$A$2000,0))</f>
        <v>1</v>
      </c>
      <c r="C479" s="3" t="s">
        <v>575</v>
      </c>
      <c r="D479" s="3" t="str">
        <f>VLOOKUP($C479,[1]stockregister!$B$2:$B$2000,1,0)</f>
        <v>GLENFIDDICH 25YRS WHISKY 750ML </v>
      </c>
      <c r="E479" s="3" t="str">
        <f>IF(ISNA($D479),VLOOKUP($A479,[2]stockregister!$A$2:$B$2000,2,FALSE),"")</f>
        <v/>
      </c>
      <c r="F479" s="3" t="s">
        <v>21</v>
      </c>
      <c r="G479" s="3">
        <f>_xlfn.IFNA(VLOOKUP($A479,[3]stockregister!$A$2:$L$2000,11,0),0)</f>
        <v>30</v>
      </c>
      <c r="H479" s="3">
        <f>_xlfn.IFNA(VLOOKUP($A479,[3]stockregister!$A$2:$L$2000,11,0),0)-$G479</f>
        <v>0</v>
      </c>
      <c r="I479" s="3">
        <f>_xlfn.IFNA(VLOOKUP($A479,[3]stockregister!$A$2:$L$2000,12,0),0)</f>
        <v>1550</v>
      </c>
      <c r="J479" s="3">
        <f>_xlfn.IFNA(VLOOKUP($A479,[3]stockregister!$A$1:$M$2000,12,0),0)-$I479</f>
        <v>0</v>
      </c>
      <c r="K479" s="3" t="s">
        <v>22</v>
      </c>
      <c r="L479" s="3" t="s">
        <v>23</v>
      </c>
      <c r="M479" s="3">
        <f>_xlfn.IFNA(VLOOKUP($A479,[2]stockregister!$A$2:$H$2000,8,0),0)</f>
        <v>2000</v>
      </c>
      <c r="N479" s="3">
        <f>_xlfn.IFNA(VLOOKUP($A479,[2]stockregister!$A$2:$H$2000,8,0),0)-$M479</f>
        <v>0</v>
      </c>
      <c r="O479" s="3" t="s">
        <v>1148</v>
      </c>
      <c r="P479" s="3" t="s">
        <v>1148</v>
      </c>
      <c r="Q479" s="3" t="s">
        <v>1149</v>
      </c>
      <c r="R479" s="3" t="s">
        <v>537</v>
      </c>
      <c r="S479" s="3" t="s">
        <v>88</v>
      </c>
    </row>
    <row r="480" spans="1:19">
      <c r="A480" s="3">
        <v>399</v>
      </c>
      <c r="B480" s="3" t="b">
        <f>ISNUMBER(MATCH(A480,[1]stockregister!$A$2:$A$2000,0))</f>
        <v>1</v>
      </c>
      <c r="C480" s="3" t="s">
        <v>578</v>
      </c>
      <c r="D480" s="3" t="str">
        <f>VLOOKUP($C480,[1]stockregister!$B$2:$B$2000,1,0)</f>
        <v>GRANTS 12YRS WHISKY 750ML </v>
      </c>
      <c r="E480" s="3" t="str">
        <f>IF(ISNA($D480),VLOOKUP($A480,[2]stockregister!$A$2:$B$2000,2,FALSE),"")</f>
        <v/>
      </c>
      <c r="F480" s="3" t="s">
        <v>21</v>
      </c>
      <c r="G480" s="3">
        <f>_xlfn.IFNA(VLOOKUP($A480,[3]stockregister!$A$2:$L$2000,11,0),0)</f>
        <v>120</v>
      </c>
      <c r="H480" s="3">
        <f>_xlfn.IFNA(VLOOKUP($A480,[3]stockregister!$A$2:$L$2000,11,0),0)-$G480</f>
        <v>0</v>
      </c>
      <c r="I480" s="3">
        <f>_xlfn.IFNA(VLOOKUP($A480,[3]stockregister!$A$2:$L$2000,12,0),0)</f>
        <v>711.9</v>
      </c>
      <c r="J480" s="3">
        <f>_xlfn.IFNA(VLOOKUP($A480,[3]stockregister!$A$1:$M$2000,12,0),0)-$I480</f>
        <v>0</v>
      </c>
      <c r="K480" s="3" t="s">
        <v>22</v>
      </c>
      <c r="L480" s="3" t="s">
        <v>23</v>
      </c>
      <c r="M480" s="3">
        <f>_xlfn.IFNA(VLOOKUP($A480,[2]stockregister!$A$2:$H$2000,8,0),0)</f>
        <v>720</v>
      </c>
      <c r="N480" s="3">
        <f>_xlfn.IFNA(VLOOKUP($A480,[2]stockregister!$A$2:$H$2000,8,0),0)-$M480</f>
        <v>0</v>
      </c>
      <c r="O480" s="3" t="s">
        <v>1150</v>
      </c>
      <c r="P480" s="3" t="s">
        <v>1150</v>
      </c>
      <c r="Q480" s="3" t="s">
        <v>1151</v>
      </c>
      <c r="R480" s="3" t="s">
        <v>68</v>
      </c>
      <c r="S480" s="3" t="s">
        <v>88</v>
      </c>
    </row>
    <row r="481" spans="1:19">
      <c r="A481" s="3">
        <v>1906</v>
      </c>
      <c r="B481" s="3" t="b">
        <f>ISNUMBER(MATCH(A481,[1]stockregister!$A$2:$A$2000,0))</f>
        <v>1</v>
      </c>
      <c r="C481" s="3" t="s">
        <v>581</v>
      </c>
      <c r="D481" s="3" t="str">
        <f>VLOOKUP($C481,[1]stockregister!$B$2:$B$2000,1,0)</f>
        <v>HARRINGTON  WHISKY 750ML</v>
      </c>
      <c r="E481" s="3" t="str">
        <f>IF(ISNA($D481),VLOOKUP($A481,[2]stockregister!$A$2:$B$2000,2,FALSE),"")</f>
        <v/>
      </c>
      <c r="F481" s="3" t="s">
        <v>21</v>
      </c>
      <c r="G481" s="3">
        <f>_xlfn.IFNA(VLOOKUP($A481,[3]stockregister!$A$2:$L$2000,11,0),0)</f>
        <v>168</v>
      </c>
      <c r="H481" s="3">
        <f>_xlfn.IFNA(VLOOKUP($A481,[3]stockregister!$A$2:$L$2000,11,0),0)-$G481</f>
        <v>0</v>
      </c>
      <c r="I481" s="3">
        <f>_xlfn.IFNA(VLOOKUP($A481,[3]stockregister!$A$2:$L$2000,12,0),0)</f>
        <v>1288</v>
      </c>
      <c r="J481" s="3">
        <f>_xlfn.IFNA(VLOOKUP($A481,[3]stockregister!$A$1:$M$2000,12,0),0)-$I481</f>
        <v>0</v>
      </c>
      <c r="K481" s="3" t="s">
        <v>22</v>
      </c>
      <c r="L481" s="3" t="s">
        <v>23</v>
      </c>
      <c r="M481" s="3">
        <f>_xlfn.IFNA(VLOOKUP($A481,[2]stockregister!$A$2:$H$2000,8,0),0)</f>
        <v>1400</v>
      </c>
      <c r="N481" s="3">
        <f>_xlfn.IFNA(VLOOKUP($A481,[2]stockregister!$A$2:$H$2000,8,0),0)-$M481</f>
        <v>0</v>
      </c>
      <c r="O481" s="3" t="s">
        <v>1152</v>
      </c>
      <c r="P481" s="3" t="s">
        <v>1152</v>
      </c>
      <c r="Q481" s="3" t="s">
        <v>1153</v>
      </c>
      <c r="R481" s="3" t="s">
        <v>68</v>
      </c>
      <c r="S481" s="3" t="s">
        <v>88</v>
      </c>
    </row>
    <row r="482" spans="1:18">
      <c r="A482" s="3">
        <v>2573</v>
      </c>
      <c r="B482" s="3" t="b">
        <f>ISNUMBER(MATCH(A482,[1]stockregister!$A$2:$A$2000,0))</f>
        <v>1</v>
      </c>
      <c r="C482" s="3" t="s">
        <v>584</v>
      </c>
      <c r="D482" s="3" t="str">
        <f>VLOOKUP($C482,[1]stockregister!$B$2:$B$2000,1,0)</f>
        <v>JOHNNIE WALKER BLONDE  750ml</v>
      </c>
      <c r="E482" s="3" t="str">
        <f>IF(ISNA($D482),VLOOKUP($A482,[2]stockregister!$A$2:$B$2000,2,FALSE),"")</f>
        <v/>
      </c>
      <c r="F482" s="3" t="s">
        <v>21</v>
      </c>
      <c r="G482" s="3">
        <f>_xlfn.IFNA(VLOOKUP($A482,[3]stockregister!$A$2:$L$2000,11,0),0)</f>
        <v>36</v>
      </c>
      <c r="H482" s="3">
        <f>_xlfn.IFNA(VLOOKUP($A482,[3]stockregister!$A$2:$L$2000,11,0),0)-$G482</f>
        <v>0</v>
      </c>
      <c r="I482" s="3">
        <f>_xlfn.IFNA(VLOOKUP($A482,[3]stockregister!$A$2:$L$2000,12,0),0)</f>
        <v>800</v>
      </c>
      <c r="J482" s="3">
        <f>_xlfn.IFNA(VLOOKUP($A482,[3]stockregister!$A$1:$M$2000,12,0),0)-$I482</f>
        <v>0</v>
      </c>
      <c r="K482" s="3" t="s">
        <v>22</v>
      </c>
      <c r="L482" s="3" t="s">
        <v>23</v>
      </c>
      <c r="M482" s="3">
        <f>_xlfn.IFNA(VLOOKUP($A482,[2]stockregister!$A$2:$H$2000,8,0),0)</f>
        <v>1000</v>
      </c>
      <c r="N482" s="3">
        <f>_xlfn.IFNA(VLOOKUP($A482,[2]stockregister!$A$2:$H$2000,8,0),0)-$M482</f>
        <v>0</v>
      </c>
      <c r="O482" s="3" t="s">
        <v>1154</v>
      </c>
      <c r="P482" s="3" t="s">
        <v>1154</v>
      </c>
      <c r="Q482" s="3" t="s">
        <v>1155</v>
      </c>
      <c r="R482" s="3" t="s">
        <v>537</v>
      </c>
    </row>
    <row r="483" spans="1:18">
      <c r="A483" s="3">
        <v>2984</v>
      </c>
      <c r="B483" s="3" t="b">
        <f>ISNUMBER(MATCH(A483,[1]stockregister!$A$2:$A$2000,0))</f>
        <v>1</v>
      </c>
      <c r="C483" s="3" t="s">
        <v>586</v>
      </c>
      <c r="D483" s="3" t="str">
        <f>VLOOKUP($C483,[1]stockregister!$B$2:$B$2000,1,0)</f>
        <v>JOHNNIE WALKER  PLATINUM WHISKY 1LTR</v>
      </c>
      <c r="E483" s="3" t="str">
        <f>IF(ISNA($D483),VLOOKUP($A483,[2]stockregister!$A$2:$B$2000,2,FALSE),"")</f>
        <v/>
      </c>
      <c r="F483" s="3" t="s">
        <v>21</v>
      </c>
      <c r="G483" s="3">
        <f>_xlfn.IFNA(VLOOKUP($A483,[3]stockregister!$A$2:$L$2000,11,0),0)</f>
        <v>24</v>
      </c>
      <c r="H483" s="3">
        <f>_xlfn.IFNA(VLOOKUP($A483,[3]stockregister!$A$2:$L$2000,11,0),0)-$G483</f>
        <v>0</v>
      </c>
      <c r="I483" s="3">
        <f>_xlfn.IFNA(VLOOKUP($A483,[3]stockregister!$A$2:$L$2000,12,0),0)</f>
        <v>680</v>
      </c>
      <c r="J483" s="3">
        <f>_xlfn.IFNA(VLOOKUP($A483,[3]stockregister!$A$1:$M$2000,12,0),0)-$I483</f>
        <v>0</v>
      </c>
      <c r="K483" s="3" t="s">
        <v>22</v>
      </c>
      <c r="L483" s="3" t="s">
        <v>23</v>
      </c>
      <c r="M483" s="3">
        <f>_xlfn.IFNA(VLOOKUP($A483,[2]stockregister!$A$2:$H$2000,8,0),0)</f>
        <v>780</v>
      </c>
      <c r="N483" s="3">
        <f>_xlfn.IFNA(VLOOKUP($A483,[2]stockregister!$A$2:$H$2000,8,0),0)-$M483</f>
        <v>0</v>
      </c>
      <c r="O483" s="3" t="s">
        <v>1156</v>
      </c>
      <c r="P483" s="3" t="s">
        <v>1156</v>
      </c>
      <c r="Q483" s="3" t="s">
        <v>392</v>
      </c>
      <c r="R483" s="3" t="s">
        <v>109</v>
      </c>
    </row>
    <row r="484" spans="1:19">
      <c r="A484" s="3">
        <v>2966</v>
      </c>
      <c r="B484" s="3" t="b">
        <f>ISNUMBER(MATCH(A484,[1]stockregister!$A$2:$A$2000,0))</f>
        <v>1</v>
      </c>
      <c r="C484" s="3" t="s">
        <v>589</v>
      </c>
      <c r="D484" s="3" t="str">
        <f>VLOOKUP($C484,[1]stockregister!$B$2:$B$2000,1,0)</f>
        <v>SIR EDWARDS WHISKY  4.5LTR</v>
      </c>
      <c r="E484" s="3" t="str">
        <f>IF(ISNA($D484),VLOOKUP($A484,[2]stockregister!$A$2:$B$2000,2,FALSE),"")</f>
        <v/>
      </c>
      <c r="F484" s="3" t="s">
        <v>21</v>
      </c>
      <c r="G484" s="3">
        <f>_xlfn.IFNA(VLOOKUP($A484,[3]stockregister!$A$2:$L$2000,11,0),0)</f>
        <v>36</v>
      </c>
      <c r="H484" s="3">
        <f>_xlfn.IFNA(VLOOKUP($A484,[3]stockregister!$A$2:$L$2000,11,0),0)-$G484</f>
        <v>0</v>
      </c>
      <c r="I484" s="3">
        <f>_xlfn.IFNA(VLOOKUP($A484,[3]stockregister!$A$2:$L$2000,12,0),0)</f>
        <v>4500</v>
      </c>
      <c r="J484" s="3">
        <f>_xlfn.IFNA(VLOOKUP($A484,[3]stockregister!$A$1:$M$2000,12,0),0)-$I484</f>
        <v>0</v>
      </c>
      <c r="K484" s="3" t="s">
        <v>22</v>
      </c>
      <c r="L484" s="3" t="s">
        <v>23</v>
      </c>
      <c r="M484" s="3">
        <f>_xlfn.IFNA(VLOOKUP($A484,[2]stockregister!$A$2:$H$2000,8,0),0)</f>
        <v>5300</v>
      </c>
      <c r="N484" s="3">
        <f>_xlfn.IFNA(VLOOKUP($A484,[2]stockregister!$A$2:$H$2000,8,0),0)-$M484</f>
        <v>0</v>
      </c>
      <c r="O484" s="3" t="s">
        <v>1157</v>
      </c>
      <c r="P484" s="3" t="s">
        <v>1157</v>
      </c>
      <c r="Q484" s="3" t="s">
        <v>687</v>
      </c>
      <c r="R484" s="3" t="s">
        <v>92</v>
      </c>
      <c r="S484" s="3" t="s">
        <v>1158</v>
      </c>
    </row>
    <row r="485" spans="1:19">
      <c r="A485" s="3">
        <v>2979</v>
      </c>
      <c r="B485" s="3" t="b">
        <f>ISNUMBER(MATCH(A485,[1]stockregister!$A$2:$A$2000,0))</f>
        <v>1</v>
      </c>
      <c r="C485" s="3" t="s">
        <v>592</v>
      </c>
      <c r="D485" s="3" t="str">
        <f>VLOOKUP($C485,[1]stockregister!$B$2:$B$2000,1,0)</f>
        <v>TALISKER  NEIST POINT 700ml</v>
      </c>
      <c r="E485" s="3" t="str">
        <f>IF(ISNA($D485),VLOOKUP($A485,[2]stockregister!$A$2:$B$2000,2,FALSE),"")</f>
        <v/>
      </c>
      <c r="F485" s="3" t="s">
        <v>21</v>
      </c>
      <c r="G485" s="3">
        <f>_xlfn.IFNA(VLOOKUP($A485,[3]stockregister!$A$2:$L$2000,11,0),0)</f>
        <v>24</v>
      </c>
      <c r="H485" s="3">
        <f>_xlfn.IFNA(VLOOKUP($A485,[3]stockregister!$A$2:$L$2000,11,0),0)-$G485</f>
        <v>0</v>
      </c>
      <c r="I485" s="3">
        <f>_xlfn.IFNA(VLOOKUP($A485,[3]stockregister!$A$2:$L$2000,12,0),0)</f>
        <v>2000</v>
      </c>
      <c r="J485" s="3">
        <f>_xlfn.IFNA(VLOOKUP($A485,[3]stockregister!$A$1:$M$2000,12,0),0)-$I485</f>
        <v>0</v>
      </c>
      <c r="K485" s="3" t="s">
        <v>22</v>
      </c>
      <c r="L485" s="3" t="s">
        <v>23</v>
      </c>
      <c r="M485" s="3">
        <f>_xlfn.IFNA(VLOOKUP($A485,[2]stockregister!$A$2:$H$2000,8,0),0)</f>
        <v>2300</v>
      </c>
      <c r="N485" s="3">
        <f>_xlfn.IFNA(VLOOKUP($A485,[2]stockregister!$A$2:$H$2000,8,0),0)-$M485</f>
        <v>0</v>
      </c>
      <c r="O485" s="3" t="s">
        <v>1159</v>
      </c>
      <c r="P485" s="3" t="s">
        <v>1159</v>
      </c>
      <c r="Q485" s="3" t="s">
        <v>1160</v>
      </c>
      <c r="R485" s="3" t="s">
        <v>68</v>
      </c>
      <c r="S485" s="3" t="s">
        <v>1161</v>
      </c>
    </row>
    <row r="486" spans="1:18">
      <c r="A486" s="3">
        <v>189</v>
      </c>
      <c r="B486" s="3" t="b">
        <f>ISNUMBER(MATCH(A486,[1]stockregister!$A$2:$A$2000,0))</f>
        <v>1</v>
      </c>
      <c r="C486" s="3" t="s">
        <v>595</v>
      </c>
      <c r="D486" s="3" t="str">
        <f>VLOOKUP($C486,[1]stockregister!$B$2:$B$2000,1,0)</f>
        <v>LUC BELAIRE  RARE BRUT 750ML</v>
      </c>
      <c r="E486" s="3" t="str">
        <f>IF(ISNA($D486),VLOOKUP($A486,[2]stockregister!$A$2:$B$2000,2,FALSE),"")</f>
        <v/>
      </c>
      <c r="F486" s="3" t="s">
        <v>21</v>
      </c>
      <c r="G486" s="3">
        <f>_xlfn.IFNA(VLOOKUP($A486,[3]stockregister!$A$2:$L$2000,11,0),0)</f>
        <v>35</v>
      </c>
      <c r="H486" s="3">
        <f>_xlfn.IFNA(VLOOKUP($A486,[3]stockregister!$A$2:$L$2000,11,0),0)-$G486</f>
        <v>0</v>
      </c>
      <c r="I486" s="3">
        <f>_xlfn.IFNA(VLOOKUP($A486,[3]stockregister!$A$2:$L$2000,12,0),0)</f>
        <v>920</v>
      </c>
      <c r="J486" s="3">
        <f>_xlfn.IFNA(VLOOKUP($A486,[3]stockregister!$A$1:$M$2000,12,0),0)-$I486</f>
        <v>0</v>
      </c>
      <c r="K486" s="3" t="s">
        <v>22</v>
      </c>
      <c r="L486" s="3" t="s">
        <v>23</v>
      </c>
      <c r="M486" s="3">
        <f>_xlfn.IFNA(VLOOKUP($A486,[2]stockregister!$A$2:$H$2000,8,0),0)</f>
        <v>1000</v>
      </c>
      <c r="N486" s="3">
        <f>_xlfn.IFNA(VLOOKUP($A486,[2]stockregister!$A$2:$H$2000,8,0),0)-$M486</f>
        <v>0</v>
      </c>
      <c r="O486" s="3" t="s">
        <v>1162</v>
      </c>
      <c r="P486" s="3" t="s">
        <v>1162</v>
      </c>
      <c r="Q486" s="3" t="s">
        <v>278</v>
      </c>
      <c r="R486" s="3" t="s">
        <v>78</v>
      </c>
    </row>
    <row r="487" spans="1:19">
      <c r="A487" s="3">
        <v>1772</v>
      </c>
      <c r="B487" s="3" t="b">
        <f>ISNUMBER(MATCH(A487,[1]stockregister!$A$2:$A$2000,0))</f>
        <v>1</v>
      </c>
      <c r="C487" s="3" t="s">
        <v>597</v>
      </c>
      <c r="D487" s="3" t="str">
        <f>VLOOKUP($C487,[1]stockregister!$B$2:$B$2000,1,0)</f>
        <v>FRONTERA CAB  BLUSH 750ML</v>
      </c>
      <c r="E487" s="3" t="str">
        <f>IF(ISNA($D487),VLOOKUP($A487,[2]stockregister!$A$2:$B$2000,2,FALSE),"")</f>
        <v/>
      </c>
      <c r="F487" s="3" t="s">
        <v>21</v>
      </c>
      <c r="G487" s="3">
        <f>_xlfn.IFNA(VLOOKUP($A487,[3]stockregister!$A$2:$L$2000,11,0),0)</f>
        <v>35</v>
      </c>
      <c r="H487" s="3">
        <f>_xlfn.IFNA(VLOOKUP($A487,[3]stockregister!$A$2:$L$2000,11,0),0)-$G487</f>
        <v>0</v>
      </c>
      <c r="I487" s="3">
        <f>_xlfn.IFNA(VLOOKUP($A487,[3]stockregister!$A$2:$L$2000,12,0),0)</f>
        <v>1500</v>
      </c>
      <c r="J487" s="3">
        <f>_xlfn.IFNA(VLOOKUP($A487,[3]stockregister!$A$1:$M$2000,12,0),0)-$I487</f>
        <v>0</v>
      </c>
      <c r="K487" s="3" t="s">
        <v>22</v>
      </c>
      <c r="L487" s="3" t="s">
        <v>23</v>
      </c>
      <c r="M487" s="3">
        <f>_xlfn.IFNA(VLOOKUP($A487,[2]stockregister!$A$2:$H$2000,8,0),0)</f>
        <v>1700</v>
      </c>
      <c r="N487" s="3">
        <f>_xlfn.IFNA(VLOOKUP($A487,[2]stockregister!$A$2:$H$2000,8,0),0)-$M487</f>
        <v>0</v>
      </c>
      <c r="O487" s="3" t="s">
        <v>1163</v>
      </c>
      <c r="P487" s="3" t="s">
        <v>1163</v>
      </c>
      <c r="Q487" s="3" t="s">
        <v>1164</v>
      </c>
      <c r="R487" s="3" t="s">
        <v>113</v>
      </c>
      <c r="S487" s="3" t="s">
        <v>114</v>
      </c>
    </row>
    <row r="488" spans="1:19">
      <c r="A488" s="3">
        <v>2112</v>
      </c>
      <c r="B488" s="3" t="b">
        <f>ISNUMBER(MATCH(A488,[1]stockregister!$A$2:$A$2000,0))</f>
        <v>1</v>
      </c>
      <c r="C488" s="3" t="s">
        <v>599</v>
      </c>
      <c r="D488" s="3" t="str">
        <f>VLOOKUP($C488,[1]stockregister!$B$2:$B$2000,1,0)</f>
        <v>FRONTERA CAB SAUV  1.5LTR</v>
      </c>
      <c r="E488" s="3" t="str">
        <f>IF(ISNA($D488),VLOOKUP($A488,[2]stockregister!$A$2:$B$2000,2,FALSE),"")</f>
        <v/>
      </c>
      <c r="F488" s="3" t="s">
        <v>21</v>
      </c>
      <c r="G488" s="3">
        <f>_xlfn.IFNA(VLOOKUP($A488,[3]stockregister!$A$2:$L$2000,11,0),0)</f>
        <v>35</v>
      </c>
      <c r="H488" s="3">
        <f>_xlfn.IFNA(VLOOKUP($A488,[3]stockregister!$A$2:$L$2000,11,0),0)-$G488</f>
        <v>0</v>
      </c>
      <c r="I488" s="3">
        <f>_xlfn.IFNA(VLOOKUP($A488,[3]stockregister!$A$2:$L$2000,12,0),0)</f>
        <v>1380</v>
      </c>
      <c r="J488" s="3">
        <f>_xlfn.IFNA(VLOOKUP($A488,[3]stockregister!$A$1:$M$2000,12,0),0)-$I488</f>
        <v>0</v>
      </c>
      <c r="K488" s="3" t="s">
        <v>22</v>
      </c>
      <c r="L488" s="3" t="s">
        <v>23</v>
      </c>
      <c r="M488" s="3">
        <f>_xlfn.IFNA(VLOOKUP($A488,[2]stockregister!$A$2:$H$2000,8,0),0)</f>
        <v>1500</v>
      </c>
      <c r="N488" s="3">
        <f>_xlfn.IFNA(VLOOKUP($A488,[2]stockregister!$A$2:$H$2000,8,0),0)-$M488</f>
        <v>0</v>
      </c>
      <c r="O488" s="3" t="s">
        <v>1165</v>
      </c>
      <c r="P488" s="3" t="s">
        <v>1165</v>
      </c>
      <c r="Q488" s="3" t="s">
        <v>1166</v>
      </c>
      <c r="R488" s="3" t="s">
        <v>92</v>
      </c>
      <c r="S488" s="3" t="s">
        <v>134</v>
      </c>
    </row>
    <row r="489" spans="1:18">
      <c r="A489" s="3">
        <v>2579</v>
      </c>
      <c r="B489" s="3" t="b">
        <f>ISNUMBER(MATCH(A489,[1]stockregister!$A$2:$A$2000,0))</f>
        <v>1</v>
      </c>
      <c r="C489" s="3" t="s">
        <v>602</v>
      </c>
      <c r="D489" s="3" t="str">
        <f>VLOOKUP($C489,[1]stockregister!$B$2:$B$2000,1,0)</f>
        <v>ROCHE MAZET CAB SAUV  750ml </v>
      </c>
      <c r="E489" s="3" t="str">
        <f>IF(ISNA($D489),VLOOKUP($A489,[2]stockregister!$A$2:$B$2000,2,FALSE),"")</f>
        <v/>
      </c>
      <c r="F489" s="3" t="s">
        <v>21</v>
      </c>
      <c r="G489" s="3">
        <f>_xlfn.IFNA(VLOOKUP($A489,[3]stockregister!$A$2:$L$2000,11,0),0)</f>
        <v>34</v>
      </c>
      <c r="H489" s="3">
        <f>_xlfn.IFNA(VLOOKUP($A489,[3]stockregister!$A$2:$L$2000,11,0),0)-$G489</f>
        <v>0</v>
      </c>
      <c r="I489" s="3">
        <f>_xlfn.IFNA(VLOOKUP($A489,[3]stockregister!$A$2:$L$2000,12,0),0)</f>
        <v>750</v>
      </c>
      <c r="J489" s="3">
        <f>_xlfn.IFNA(VLOOKUP($A489,[3]stockregister!$A$1:$M$2000,12,0),0)-$I489</f>
        <v>0</v>
      </c>
      <c r="K489" s="3" t="s">
        <v>22</v>
      </c>
      <c r="L489" s="3" t="s">
        <v>23</v>
      </c>
      <c r="M489" s="3">
        <f>_xlfn.IFNA(VLOOKUP($A489,[2]stockregister!$A$2:$H$2000,8,0),0)</f>
        <v>900</v>
      </c>
      <c r="N489" s="3">
        <f>_xlfn.IFNA(VLOOKUP($A489,[2]stockregister!$A$2:$H$2000,8,0),0)-$M489</f>
        <v>0</v>
      </c>
      <c r="O489" s="3" t="s">
        <v>1167</v>
      </c>
      <c r="P489" s="3" t="s">
        <v>1167</v>
      </c>
      <c r="Q489" s="3" t="s">
        <v>1168</v>
      </c>
      <c r="R489" s="3" t="s">
        <v>318</v>
      </c>
    </row>
    <row r="490" spans="1:19">
      <c r="A490" s="3">
        <v>1484</v>
      </c>
      <c r="B490" s="3" t="b">
        <f>ISNUMBER(MATCH(A490,[1]stockregister!$A$2:$A$2000,0))</f>
        <v>1</v>
      </c>
      <c r="C490" s="3" t="s">
        <v>604</v>
      </c>
      <c r="D490" s="3" t="str">
        <f>VLOOKUP($C490,[1]stockregister!$B$2:$B$2000,1,0)</f>
        <v>ROCHE MAZET CHARDONNAY 750ML </v>
      </c>
      <c r="E490" s="3" t="str">
        <f>IF(ISNA($D490),VLOOKUP($A490,[2]stockregister!$A$2:$B$2000,2,FALSE),"")</f>
        <v/>
      </c>
      <c r="F490" s="3" t="s">
        <v>21</v>
      </c>
      <c r="G490" s="3">
        <f>_xlfn.IFNA(VLOOKUP($A490,[3]stockregister!$A$2:$L$2000,11,0),0)</f>
        <v>34</v>
      </c>
      <c r="H490" s="3">
        <f>_xlfn.IFNA(VLOOKUP($A490,[3]stockregister!$A$2:$L$2000,11,0),0)-$G490</f>
        <v>0</v>
      </c>
      <c r="I490" s="3">
        <f>_xlfn.IFNA(VLOOKUP($A490,[3]stockregister!$A$2:$L$2000,12,0),0)</f>
        <v>460</v>
      </c>
      <c r="J490" s="3">
        <f>_xlfn.IFNA(VLOOKUP($A490,[3]stockregister!$A$1:$M$2000,12,0),0)-$I490</f>
        <v>0</v>
      </c>
      <c r="K490" s="3" t="s">
        <v>22</v>
      </c>
      <c r="L490" s="3" t="s">
        <v>23</v>
      </c>
      <c r="M490" s="3">
        <f>_xlfn.IFNA(VLOOKUP($A490,[2]stockregister!$A$2:$H$2000,8,0),0)</f>
        <v>500</v>
      </c>
      <c r="N490" s="3">
        <f>_xlfn.IFNA(VLOOKUP($A490,[2]stockregister!$A$2:$H$2000,8,0),0)-$M490</f>
        <v>0</v>
      </c>
      <c r="O490" s="3" t="s">
        <v>1169</v>
      </c>
      <c r="P490" s="3" t="s">
        <v>1169</v>
      </c>
      <c r="Q490" s="3" t="s">
        <v>1170</v>
      </c>
      <c r="R490" s="3" t="s">
        <v>92</v>
      </c>
      <c r="S490" s="3" t="s">
        <v>1171</v>
      </c>
    </row>
    <row r="491" spans="1:19">
      <c r="A491" s="3">
        <v>1358</v>
      </c>
      <c r="B491" s="3" t="b">
        <f>ISNUMBER(MATCH(A491,[1]stockregister!$A$2:$A$2000,0))</f>
        <v>1</v>
      </c>
      <c r="C491" s="3" t="s">
        <v>608</v>
      </c>
      <c r="D491" s="3" t="str">
        <f>VLOOKUP($C491,[1]stockregister!$B$2:$B$2000,1,0)</f>
        <v>ROBERTSON  WINERY CHENIN BLANC 750ML</v>
      </c>
      <c r="E491" s="3" t="str">
        <f>IF(ISNA($D491),VLOOKUP($A491,[2]stockregister!$A$2:$B$2000,2,FALSE),"")</f>
        <v/>
      </c>
      <c r="F491" s="3" t="s">
        <v>21</v>
      </c>
      <c r="G491" s="3">
        <f>_xlfn.IFNA(VLOOKUP($A491,[3]stockregister!$A$2:$L$2000,11,0),0)</f>
        <v>33</v>
      </c>
      <c r="H491" s="3">
        <f>_xlfn.IFNA(VLOOKUP($A491,[3]stockregister!$A$2:$L$2000,11,0),0)-$G491</f>
        <v>0</v>
      </c>
      <c r="I491" s="3">
        <f>_xlfn.IFNA(VLOOKUP($A491,[3]stockregister!$A$2:$L$2000,12,0),0)</f>
        <v>800</v>
      </c>
      <c r="J491" s="3">
        <f>_xlfn.IFNA(VLOOKUP($A491,[3]stockregister!$A$1:$M$2000,12,0),0)-$I491</f>
        <v>0</v>
      </c>
      <c r="K491" s="3" t="s">
        <v>22</v>
      </c>
      <c r="L491" s="3" t="s">
        <v>23</v>
      </c>
      <c r="M491" s="3">
        <f>_xlfn.IFNA(VLOOKUP($A491,[2]stockregister!$A$2:$H$2000,8,0),0)</f>
        <v>1300</v>
      </c>
      <c r="N491" s="3">
        <f>_xlfn.IFNA(VLOOKUP($A491,[2]stockregister!$A$2:$H$2000,8,0),0)-$M491</f>
        <v>0</v>
      </c>
      <c r="O491" s="3" t="s">
        <v>1172</v>
      </c>
      <c r="P491" s="3" t="s">
        <v>1172</v>
      </c>
      <c r="Q491" s="3" t="s">
        <v>891</v>
      </c>
      <c r="R491" s="3" t="s">
        <v>68</v>
      </c>
      <c r="S491" s="3" t="s">
        <v>828</v>
      </c>
    </row>
    <row r="492" spans="1:19">
      <c r="A492" s="3">
        <v>94</v>
      </c>
      <c r="B492" s="3" t="b">
        <f>ISNUMBER(MATCH(A492,[1]stockregister!$A$2:$A$2000,0))</f>
        <v>1</v>
      </c>
      <c r="C492" s="3" t="s">
        <v>610</v>
      </c>
      <c r="D492" s="3" t="str">
        <f>VLOOKUP($C492,[1]stockregister!$B$2:$B$2000,1,0)</f>
        <v>NAMAQUA DRY RED  5LTR </v>
      </c>
      <c r="E492" s="3" t="str">
        <f>IF(ISNA($D492),VLOOKUP($A492,[2]stockregister!$A$2:$B$2000,2,FALSE),"")</f>
        <v/>
      </c>
      <c r="F492" s="3" t="s">
        <v>21</v>
      </c>
      <c r="G492" s="3">
        <f>_xlfn.IFNA(VLOOKUP($A492,[3]stockregister!$A$2:$L$2000,11,0),0)</f>
        <v>20</v>
      </c>
      <c r="H492" s="3">
        <f>_xlfn.IFNA(VLOOKUP($A492,[3]stockregister!$A$2:$L$2000,11,0),0)-$G492</f>
        <v>0</v>
      </c>
      <c r="I492" s="3">
        <f>_xlfn.IFNA(VLOOKUP($A492,[3]stockregister!$A$2:$L$2000,12,0),0)</f>
        <v>1748</v>
      </c>
      <c r="J492" s="3">
        <f>_xlfn.IFNA(VLOOKUP($A492,[3]stockregister!$A$1:$M$2000,12,0),0)-$I492</f>
        <v>0</v>
      </c>
      <c r="K492" s="3" t="s">
        <v>22</v>
      </c>
      <c r="L492" s="3" t="s">
        <v>23</v>
      </c>
      <c r="M492" s="3">
        <f>_xlfn.IFNA(VLOOKUP($A492,[2]stockregister!$A$2:$H$2000,8,0),0)</f>
        <v>1900</v>
      </c>
      <c r="N492" s="3">
        <f>_xlfn.IFNA(VLOOKUP($A492,[2]stockregister!$A$2:$H$2000,8,0),0)-$M492</f>
        <v>0</v>
      </c>
      <c r="O492" s="3" t="s">
        <v>1173</v>
      </c>
      <c r="P492" s="3" t="s">
        <v>1173</v>
      </c>
      <c r="Q492" s="3" t="s">
        <v>899</v>
      </c>
      <c r="R492" s="3" t="s">
        <v>577</v>
      </c>
      <c r="S492" s="3" t="s">
        <v>885</v>
      </c>
    </row>
    <row r="493" spans="1:19">
      <c r="A493" s="3">
        <v>1943</v>
      </c>
      <c r="B493" s="3" t="b">
        <f>ISNUMBER(MATCH(A493,[1]stockregister!$A$2:$A$2000,0))</f>
        <v>1</v>
      </c>
      <c r="C493" s="3" t="s">
        <v>614</v>
      </c>
      <c r="D493" s="3" t="str">
        <f>VLOOKUP($C493,[1]stockregister!$B$2:$B$2000,1,0)</f>
        <v> EXPRESSION MOJITO 750ML</v>
      </c>
      <c r="E493" s="3" t="str">
        <f>IF(ISNA($D493),VLOOKUP($A493,[2]stockregister!$A$2:$B$2000,2,FALSE),"")</f>
        <v/>
      </c>
      <c r="F493" s="3" t="s">
        <v>21</v>
      </c>
      <c r="G493" s="3">
        <f>_xlfn.IFNA(VLOOKUP($A493,[3]stockregister!$A$2:$L$2000,11,0),0)</f>
        <v>32</v>
      </c>
      <c r="H493" s="3">
        <f>_xlfn.IFNA(VLOOKUP($A493,[3]stockregister!$A$2:$L$2000,11,0),0)-$G493</f>
        <v>0</v>
      </c>
      <c r="I493" s="3">
        <f>_xlfn.IFNA(VLOOKUP($A493,[3]stockregister!$A$2:$L$2000,12,0),0)</f>
        <v>2208</v>
      </c>
      <c r="J493" s="3">
        <f>_xlfn.IFNA(VLOOKUP($A493,[3]stockregister!$A$1:$M$2000,12,0),0)-$I493</f>
        <v>0</v>
      </c>
      <c r="K493" s="3" t="s">
        <v>22</v>
      </c>
      <c r="L493" s="3" t="s">
        <v>23</v>
      </c>
      <c r="M493" s="3">
        <f>_xlfn.IFNA(VLOOKUP($A493,[2]stockregister!$A$2:$H$2000,8,0),0)</f>
        <v>2400</v>
      </c>
      <c r="N493" s="3">
        <f>_xlfn.IFNA(VLOOKUP($A493,[2]stockregister!$A$2:$H$2000,8,0),0)-$M493</f>
        <v>0</v>
      </c>
      <c r="O493" s="3" t="s">
        <v>1174</v>
      </c>
      <c r="P493" s="3" t="s">
        <v>1174</v>
      </c>
      <c r="Q493" s="3" t="s">
        <v>221</v>
      </c>
      <c r="R493" s="3" t="s">
        <v>78</v>
      </c>
      <c r="S493" s="3" t="s">
        <v>1175</v>
      </c>
    </row>
    <row r="494" spans="1:18">
      <c r="A494" s="3">
        <v>924</v>
      </c>
      <c r="B494" s="3" t="b">
        <f>ISNUMBER(MATCH(A494,[1]stockregister!$A$2:$A$2000,0))</f>
        <v>1</v>
      </c>
      <c r="C494" s="3" t="s">
        <v>618</v>
      </c>
      <c r="D494" s="3" t="str">
        <f>VLOOKUP($C494,[1]stockregister!$B$2:$B$2000,1,0)</f>
        <v>BIG OAK  RED 750ML</v>
      </c>
      <c r="E494" s="3" t="str">
        <f>IF(ISNA($D494),VLOOKUP($A494,[2]stockregister!$A$2:$B$2000,2,FALSE),"")</f>
        <v/>
      </c>
      <c r="F494" s="3" t="s">
        <v>21</v>
      </c>
      <c r="G494" s="3">
        <f>_xlfn.IFNA(VLOOKUP($A494,[3]stockregister!$A$2:$L$2000,11,0),0)</f>
        <v>31</v>
      </c>
      <c r="H494" s="3">
        <f>_xlfn.IFNA(VLOOKUP($A494,[3]stockregister!$A$2:$L$2000,11,0),0)-$G494</f>
        <v>0</v>
      </c>
      <c r="I494" s="3">
        <f>_xlfn.IFNA(VLOOKUP($A494,[3]stockregister!$A$2:$L$2000,12,0),0)</f>
        <v>3680</v>
      </c>
      <c r="J494" s="3">
        <f>_xlfn.IFNA(VLOOKUP($A494,[3]stockregister!$A$1:$M$2000,12,0),0)-$I494</f>
        <v>0</v>
      </c>
      <c r="K494" s="3" t="s">
        <v>22</v>
      </c>
      <c r="L494" s="3" t="s">
        <v>23</v>
      </c>
      <c r="M494" s="3">
        <f>_xlfn.IFNA(VLOOKUP($A494,[2]stockregister!$A$2:$H$2000,8,0),0)</f>
        <v>3800</v>
      </c>
      <c r="N494" s="3">
        <f>_xlfn.IFNA(VLOOKUP($A494,[2]stockregister!$A$2:$H$2000,8,0),0)-$M494</f>
        <v>0</v>
      </c>
      <c r="O494" s="3" t="s">
        <v>1176</v>
      </c>
      <c r="P494" s="3" t="s">
        <v>1176</v>
      </c>
      <c r="Q494" s="3" t="s">
        <v>563</v>
      </c>
      <c r="R494" s="3" t="s">
        <v>318</v>
      </c>
    </row>
    <row r="495" spans="1:19">
      <c r="A495" s="3">
        <v>1028</v>
      </c>
      <c r="B495" s="3" t="b">
        <f>ISNUMBER(MATCH(A495,[1]stockregister!$A$2:$A$2000,0))</f>
        <v>1</v>
      </c>
      <c r="C495" s="3" t="s">
        <v>619</v>
      </c>
      <c r="D495" s="3" t="str">
        <f>VLOOKUP($C495,[1]stockregister!$B$2:$B$2000,1,0)</f>
        <v>TOMMASI AMARONE DELLA VALPOLICELLA CLASSICO  750ML</v>
      </c>
      <c r="E495" s="3" t="str">
        <f>IF(ISNA($D495),VLOOKUP($A495,[2]stockregister!$A$2:$B$2000,2,FALSE),"")</f>
        <v/>
      </c>
      <c r="F495" s="3" t="s">
        <v>21</v>
      </c>
      <c r="G495" s="3">
        <f>_xlfn.IFNA(VLOOKUP($A495,[3]stockregister!$A$2:$L$2000,11,0),0)</f>
        <v>31</v>
      </c>
      <c r="H495" s="3">
        <f>_xlfn.IFNA(VLOOKUP($A495,[3]stockregister!$A$2:$L$2000,11,0),0)-$G495</f>
        <v>0</v>
      </c>
      <c r="I495" s="3">
        <f>_xlfn.IFNA(VLOOKUP($A495,[3]stockregister!$A$2:$L$2000,12,0),0)</f>
        <v>2944</v>
      </c>
      <c r="J495" s="3">
        <f>_xlfn.IFNA(VLOOKUP($A495,[3]stockregister!$A$1:$M$2000,12,0),0)-$I495</f>
        <v>0</v>
      </c>
      <c r="K495" s="3" t="s">
        <v>22</v>
      </c>
      <c r="L495" s="3" t="s">
        <v>23</v>
      </c>
      <c r="M495" s="3">
        <f>_xlfn.IFNA(VLOOKUP($A495,[2]stockregister!$A$2:$H$2000,8,0),0)</f>
        <v>3200</v>
      </c>
      <c r="N495" s="3">
        <f>_xlfn.IFNA(VLOOKUP($A495,[2]stockregister!$A$2:$H$2000,8,0),0)-$M495</f>
        <v>0</v>
      </c>
      <c r="O495" s="3" t="s">
        <v>1177</v>
      </c>
      <c r="P495" s="3" t="s">
        <v>1177</v>
      </c>
      <c r="Q495" s="3" t="s">
        <v>236</v>
      </c>
      <c r="R495" s="3" t="s">
        <v>92</v>
      </c>
      <c r="S495" s="3" t="s">
        <v>1178</v>
      </c>
    </row>
    <row r="496" spans="1:19">
      <c r="A496" s="3">
        <v>2662</v>
      </c>
      <c r="B496" s="3" t="b">
        <f>ISNUMBER(MATCH(A496,[1]stockregister!$A$2:$A$2000,0))</f>
        <v>1</v>
      </c>
      <c r="C496" s="3" t="s">
        <v>622</v>
      </c>
      <c r="D496" s="3" t="str">
        <f>VLOOKUP($C496,[1]stockregister!$B$2:$B$2000,1,0)</f>
        <v> BITOLA RED 750ML</v>
      </c>
      <c r="E496" s="3" t="str">
        <f>IF(ISNA($D496),VLOOKUP($A496,[2]stockregister!$A$2:$B$2000,2,FALSE),"")</f>
        <v/>
      </c>
      <c r="F496" s="3" t="s">
        <v>21</v>
      </c>
      <c r="G496" s="3">
        <f>_xlfn.IFNA(VLOOKUP($A496,[3]stockregister!$A$2:$L$2000,11,0),0)</f>
        <v>31</v>
      </c>
      <c r="H496" s="3">
        <f>_xlfn.IFNA(VLOOKUP($A496,[3]stockregister!$A$2:$L$2000,11,0),0)-$G496</f>
        <v>0</v>
      </c>
      <c r="I496" s="3">
        <f>_xlfn.IFNA(VLOOKUP($A496,[3]stockregister!$A$2:$L$2000,12,0),0)</f>
        <v>800</v>
      </c>
      <c r="J496" s="3">
        <f>_xlfn.IFNA(VLOOKUP($A496,[3]stockregister!$A$1:$M$2000,12,0),0)-$I496</f>
        <v>0</v>
      </c>
      <c r="K496" s="3" t="s">
        <v>22</v>
      </c>
      <c r="L496" s="3" t="s">
        <v>23</v>
      </c>
      <c r="M496" s="3">
        <f>_xlfn.IFNA(VLOOKUP($A496,[2]stockregister!$A$2:$H$2000,8,0),0)</f>
        <v>1000</v>
      </c>
      <c r="N496" s="3">
        <f>_xlfn.IFNA(VLOOKUP($A496,[2]stockregister!$A$2:$H$2000,8,0),0)-$M496</f>
        <v>0</v>
      </c>
      <c r="O496" s="3" t="s">
        <v>1179</v>
      </c>
      <c r="P496" s="3" t="s">
        <v>1179</v>
      </c>
      <c r="Q496" s="3" t="s">
        <v>1119</v>
      </c>
      <c r="R496" s="3" t="s">
        <v>537</v>
      </c>
      <c r="S496" s="3" t="s">
        <v>1180</v>
      </c>
    </row>
    <row r="497" spans="1:19">
      <c r="A497" s="3">
        <v>2490</v>
      </c>
      <c r="B497" s="3" t="b">
        <f>ISNUMBER(MATCH(A497,[1]stockregister!$A$2:$A$2000,0))</f>
        <v>1</v>
      </c>
      <c r="C497" s="3" t="s">
        <v>626</v>
      </c>
      <c r="D497" s="3" t="str">
        <f>VLOOKUP($C497,[1]stockregister!$B$2:$B$2000,1,0)</f>
        <v>FRONTERA SAUV BLANC  750ML</v>
      </c>
      <c r="E497" s="3" t="str">
        <f>IF(ISNA($D497),VLOOKUP($A497,[2]stockregister!$A$2:$B$2000,2,FALSE),"")</f>
        <v/>
      </c>
      <c r="F497" s="3" t="s">
        <v>21</v>
      </c>
      <c r="G497" s="3">
        <f>_xlfn.IFNA(VLOOKUP($A497,[3]stockregister!$A$2:$L$2000,11,0),0)</f>
        <v>31</v>
      </c>
      <c r="H497" s="3">
        <f>_xlfn.IFNA(VLOOKUP($A497,[3]stockregister!$A$2:$L$2000,11,0),0)-$G497</f>
        <v>0</v>
      </c>
      <c r="I497" s="3">
        <f>_xlfn.IFNA(VLOOKUP($A497,[3]stockregister!$A$2:$L$2000,12,0),0)</f>
        <v>1800</v>
      </c>
      <c r="J497" s="3">
        <f>_xlfn.IFNA(VLOOKUP($A497,[3]stockregister!$A$1:$M$2000,12,0),0)-$I497</f>
        <v>0</v>
      </c>
      <c r="K497" s="3" t="s">
        <v>22</v>
      </c>
      <c r="L497" s="3" t="s">
        <v>23</v>
      </c>
      <c r="M497" s="3">
        <f>_xlfn.IFNA(VLOOKUP($A497,[2]stockregister!$A$2:$H$2000,8,0),0)</f>
        <v>2300</v>
      </c>
      <c r="N497" s="3">
        <f>_xlfn.IFNA(VLOOKUP($A497,[2]stockregister!$A$2:$H$2000,8,0),0)-$M497</f>
        <v>0</v>
      </c>
      <c r="O497" s="3" t="s">
        <v>1181</v>
      </c>
      <c r="P497" s="3" t="s">
        <v>1181</v>
      </c>
      <c r="Q497" s="3" t="s">
        <v>1182</v>
      </c>
      <c r="R497" s="3" t="s">
        <v>537</v>
      </c>
      <c r="S497" s="3" t="s">
        <v>196</v>
      </c>
    </row>
    <row r="498" spans="1:19">
      <c r="A498" s="3">
        <v>671</v>
      </c>
      <c r="B498" s="3" t="b">
        <f>ISNUMBER(MATCH(A498,[1]stockregister!$A$2:$A$2000,0))</f>
        <v>1</v>
      </c>
      <c r="C498" s="3" t="s">
        <v>629</v>
      </c>
      <c r="D498" s="3" t="str">
        <f>VLOOKUP($C498,[1]stockregister!$B$2:$B$2000,1,0)</f>
        <v>BRUCE JACK  SAUV BLANC 2021 750ML</v>
      </c>
      <c r="E498" s="3" t="str">
        <f>IF(ISNA($D498),VLOOKUP($A498,[2]stockregister!$A$2:$B$2000,2,FALSE),"")</f>
        <v/>
      </c>
      <c r="F498" s="3" t="s">
        <v>21</v>
      </c>
      <c r="G498" s="3">
        <f>_xlfn.IFNA(VLOOKUP($A498,[3]stockregister!$A$2:$L$2000,11,0),0)</f>
        <v>31</v>
      </c>
      <c r="H498" s="3">
        <f>_xlfn.IFNA(VLOOKUP($A498,[3]stockregister!$A$2:$L$2000,11,0),0)-$G498</f>
        <v>0</v>
      </c>
      <c r="I498" s="3">
        <f>_xlfn.IFNA(VLOOKUP($A498,[3]stockregister!$A$2:$L$2000,12,0),0)</f>
        <v>1280</v>
      </c>
      <c r="J498" s="3">
        <f>_xlfn.IFNA(VLOOKUP($A498,[3]stockregister!$A$1:$M$2000,12,0),0)-$I498</f>
        <v>0</v>
      </c>
      <c r="K498" s="3" t="s">
        <v>22</v>
      </c>
      <c r="L498" s="3" t="s">
        <v>23</v>
      </c>
      <c r="M498" s="3">
        <f>_xlfn.IFNA(VLOOKUP($A498,[2]stockregister!$A$2:$H$2000,8,0),0)</f>
        <v>1400</v>
      </c>
      <c r="N498" s="3">
        <f>_xlfn.IFNA(VLOOKUP($A498,[2]stockregister!$A$2:$H$2000,8,0),0)-$M498</f>
        <v>0</v>
      </c>
      <c r="O498" s="3" t="s">
        <v>1183</v>
      </c>
      <c r="P498" s="3" t="s">
        <v>1183</v>
      </c>
      <c r="Q498" s="3" t="s">
        <v>925</v>
      </c>
      <c r="R498" s="3" t="s">
        <v>68</v>
      </c>
      <c r="S498" s="3" t="s">
        <v>69</v>
      </c>
    </row>
    <row r="499" spans="1:19">
      <c r="A499" s="3">
        <v>2809</v>
      </c>
      <c r="B499" s="3" t="b">
        <f>ISNUMBER(MATCH(A499,[1]stockregister!$A$2:$A$2000,0))</f>
        <v>1</v>
      </c>
      <c r="C499" s="3" t="s">
        <v>633</v>
      </c>
      <c r="D499" s="3" t="str">
        <f>VLOOKUP($C499,[1]stockregister!$B$2:$B$2000,1,0)</f>
        <v>KLEINE RUST  SAVIGNON BLANC 1.5LTR</v>
      </c>
      <c r="E499" s="3" t="str">
        <f>IF(ISNA($D499),VLOOKUP($A499,[2]stockregister!$A$2:$B$2000,2,FALSE),"")</f>
        <v/>
      </c>
      <c r="F499" s="3" t="s">
        <v>21</v>
      </c>
      <c r="G499" s="3">
        <f>_xlfn.IFNA(VLOOKUP($A499,[3]stockregister!$A$2:$L$2000,11,0),0)</f>
        <v>30</v>
      </c>
      <c r="H499" s="3">
        <f>_xlfn.IFNA(VLOOKUP($A499,[3]stockregister!$A$2:$L$2000,11,0),0)-$G499</f>
        <v>0</v>
      </c>
      <c r="I499" s="3">
        <f>_xlfn.IFNA(VLOOKUP($A499,[3]stockregister!$A$2:$L$2000,12,0),0)</f>
        <v>2383</v>
      </c>
      <c r="J499" s="3">
        <f>_xlfn.IFNA(VLOOKUP($A499,[3]stockregister!$A$1:$M$2000,12,0),0)-$I499</f>
        <v>0</v>
      </c>
      <c r="K499" s="3" t="s">
        <v>22</v>
      </c>
      <c r="L499" s="3" t="s">
        <v>23</v>
      </c>
      <c r="M499" s="3">
        <f>_xlfn.IFNA(VLOOKUP($A499,[2]stockregister!$A$2:$H$2000,8,0),0)</f>
        <v>3500</v>
      </c>
      <c r="N499" s="3">
        <f>_xlfn.IFNA(VLOOKUP($A499,[2]stockregister!$A$2:$H$2000,8,0),0)-$M499</f>
        <v>0</v>
      </c>
      <c r="O499" s="3" t="s">
        <v>1184</v>
      </c>
      <c r="P499" s="3" t="s">
        <v>1184</v>
      </c>
      <c r="Q499" s="3" t="s">
        <v>1185</v>
      </c>
      <c r="R499" s="3" t="s">
        <v>35</v>
      </c>
      <c r="S499" s="3" t="s">
        <v>36</v>
      </c>
    </row>
    <row r="500" spans="1:19">
      <c r="A500" s="3">
        <v>2099</v>
      </c>
      <c r="B500" s="3" t="b">
        <f>ISNUMBER(MATCH(A500,[1]stockregister!$A$2:$A$2000,0))</f>
        <v>1</v>
      </c>
      <c r="C500" s="3" t="s">
        <v>636</v>
      </c>
      <c r="D500" s="3" t="str">
        <f>VLOOKUP($C500,[1]stockregister!$B$2:$B$2000,1,0)</f>
        <v>MAISON CASTEL ICE  750ML</v>
      </c>
      <c r="E500" s="3" t="str">
        <f>IF(ISNA($D500),VLOOKUP($A500,[2]stockregister!$A$2:$B$2000,2,FALSE),"")</f>
        <v/>
      </c>
      <c r="F500" s="3" t="s">
        <v>21</v>
      </c>
      <c r="G500" s="3">
        <f>_xlfn.IFNA(VLOOKUP($A500,[3]stockregister!$A$2:$L$2000,11,0),0)</f>
        <v>30</v>
      </c>
      <c r="H500" s="3">
        <f>_xlfn.IFNA(VLOOKUP($A500,[3]stockregister!$A$2:$L$2000,11,0),0)-$G500</f>
        <v>0</v>
      </c>
      <c r="I500" s="3">
        <f>_xlfn.IFNA(VLOOKUP($A500,[3]stockregister!$A$2:$L$2000,12,0),0)</f>
        <v>2576</v>
      </c>
      <c r="J500" s="3">
        <f>_xlfn.IFNA(VLOOKUP($A500,[3]stockregister!$A$1:$M$2000,12,0),0)-$I500</f>
        <v>0</v>
      </c>
      <c r="K500" s="3" t="s">
        <v>22</v>
      </c>
      <c r="L500" s="3" t="s">
        <v>23</v>
      </c>
      <c r="M500" s="3">
        <f>_xlfn.IFNA(VLOOKUP($A500,[2]stockregister!$A$2:$H$2000,8,0),0)</f>
        <v>2800</v>
      </c>
      <c r="N500" s="3">
        <f>_xlfn.IFNA(VLOOKUP($A500,[2]stockregister!$A$2:$H$2000,8,0),0)-$M500</f>
        <v>0</v>
      </c>
      <c r="O500" s="3" t="s">
        <v>1186</v>
      </c>
      <c r="P500" s="3" t="s">
        <v>1186</v>
      </c>
      <c r="Q500" s="3" t="s">
        <v>1061</v>
      </c>
      <c r="R500" s="3" t="s">
        <v>78</v>
      </c>
      <c r="S500" s="3" t="s">
        <v>1187</v>
      </c>
    </row>
    <row r="501" spans="1:19">
      <c r="A501" s="3">
        <v>819</v>
      </c>
      <c r="B501" s="3" t="b">
        <f>ISNUMBER(MATCH(A501,[1]stockregister!$A$2:$A$2000,0))</f>
        <v>1</v>
      </c>
      <c r="C501" s="3" t="s">
        <v>639</v>
      </c>
      <c r="D501" s="3" t="str">
        <f>VLOOKUP($C501,[1]stockregister!$B$2:$B$2000,1,0)</f>
        <v>MAISON CASTEL ICE ROSE  750ML</v>
      </c>
      <c r="E501" s="3" t="str">
        <f>IF(ISNA($D501),VLOOKUP($A501,[2]stockregister!$A$2:$B$2000,2,FALSE),"")</f>
        <v/>
      </c>
      <c r="F501" s="3" t="s">
        <v>21</v>
      </c>
      <c r="G501" s="3">
        <f>_xlfn.IFNA(VLOOKUP($A501,[3]stockregister!$A$2:$L$2000,11,0),0)</f>
        <v>30</v>
      </c>
      <c r="H501" s="3">
        <f>_xlfn.IFNA(VLOOKUP($A501,[3]stockregister!$A$2:$L$2000,11,0),0)-$G501</f>
        <v>0</v>
      </c>
      <c r="I501" s="3">
        <f>_xlfn.IFNA(VLOOKUP($A501,[3]stockregister!$A$2:$L$2000,12,0),0)</f>
        <v>1320</v>
      </c>
      <c r="J501" s="3">
        <f>_xlfn.IFNA(VLOOKUP($A501,[3]stockregister!$A$1:$M$2000,12,0),0)-$I501</f>
        <v>0</v>
      </c>
      <c r="K501" s="3" t="s">
        <v>22</v>
      </c>
      <c r="L501" s="3" t="s">
        <v>23</v>
      </c>
      <c r="M501" s="3">
        <f>_xlfn.IFNA(VLOOKUP($A501,[2]stockregister!$A$2:$H$2000,8,0),0)</f>
        <v>1425</v>
      </c>
      <c r="N501" s="3">
        <f>_xlfn.IFNA(VLOOKUP($A501,[2]stockregister!$A$2:$H$2000,8,0),0)-$M501</f>
        <v>0</v>
      </c>
      <c r="O501" s="3" t="s">
        <v>1188</v>
      </c>
      <c r="P501" s="3" t="s">
        <v>1188</v>
      </c>
      <c r="Q501" s="3" t="s">
        <v>1122</v>
      </c>
      <c r="R501" s="3" t="s">
        <v>78</v>
      </c>
      <c r="S501" s="3" t="s">
        <v>720</v>
      </c>
    </row>
    <row r="502" spans="1:18">
      <c r="A502" s="3">
        <v>832</v>
      </c>
      <c r="B502" s="3" t="b">
        <f>ISNUMBER(MATCH(A502,[1]stockregister!$A$2:$A$2000,0))</f>
        <v>1</v>
      </c>
      <c r="C502" s="3" t="s">
        <v>643</v>
      </c>
      <c r="D502" s="3" t="str">
        <f>VLOOKUP($C502,[1]stockregister!$B$2:$B$2000,1,0)</f>
        <v>CASALDOMO CUVEE BRUT 750ML </v>
      </c>
      <c r="E502" s="3" t="str">
        <f>IF(ISNA($D502),VLOOKUP($A502,[2]stockregister!$A$2:$B$2000,2,FALSE),"")</f>
        <v/>
      </c>
      <c r="F502" s="3" t="s">
        <v>21</v>
      </c>
      <c r="G502" s="3">
        <f>_xlfn.IFNA(VLOOKUP($A502,[3]stockregister!$A$2:$L$2000,11,0),0)</f>
        <v>30</v>
      </c>
      <c r="H502" s="3">
        <f>_xlfn.IFNA(VLOOKUP($A502,[3]stockregister!$A$2:$L$2000,11,0),0)-$G502</f>
        <v>0</v>
      </c>
      <c r="I502" s="3">
        <f>_xlfn.IFNA(VLOOKUP($A502,[3]stockregister!$A$2:$L$2000,12,0),0)</f>
        <v>4600</v>
      </c>
      <c r="J502" s="3">
        <f>_xlfn.IFNA(VLOOKUP($A502,[3]stockregister!$A$1:$M$2000,12,0),0)-$I502</f>
        <v>0</v>
      </c>
      <c r="K502" s="3" t="s">
        <v>22</v>
      </c>
      <c r="L502" s="3" t="s">
        <v>23</v>
      </c>
      <c r="M502" s="3">
        <f>_xlfn.IFNA(VLOOKUP($A502,[2]stockregister!$A$2:$H$2000,8,0),0)</f>
        <v>5000</v>
      </c>
      <c r="N502" s="3">
        <f>_xlfn.IFNA(VLOOKUP($A502,[2]stockregister!$A$2:$H$2000,8,0),0)-$M502</f>
        <v>0</v>
      </c>
      <c r="O502" s="3" t="s">
        <v>1189</v>
      </c>
      <c r="P502" s="3" t="s">
        <v>1189</v>
      </c>
      <c r="Q502" s="3" t="s">
        <v>1190</v>
      </c>
      <c r="R502" s="3" t="s">
        <v>78</v>
      </c>
    </row>
    <row r="503" spans="1:20">
      <c r="A503" s="3">
        <v>2799</v>
      </c>
      <c r="B503" s="3" t="b">
        <f>ISNUMBER(MATCH(A503,[1]stockregister!$A$2:$A$2000,0))</f>
        <v>1</v>
      </c>
      <c r="C503" s="3" t="s">
        <v>645</v>
      </c>
      <c r="D503" s="3" t="str">
        <f>VLOOKUP($C503,[1]stockregister!$B$2:$B$2000,1,0)</f>
        <v>CHAMDOR RED  750ML</v>
      </c>
      <c r="E503" s="3" t="str">
        <f>IF(ISNA($D503),VLOOKUP($A503,[2]stockregister!$A$2:$B$2000,2,FALSE),"")</f>
        <v/>
      </c>
      <c r="F503" s="3" t="s">
        <v>21</v>
      </c>
      <c r="G503" s="3">
        <f>_xlfn.IFNA(VLOOKUP($A503,[3]stockregister!$A$2:$L$2000,11,0),0)</f>
        <v>30</v>
      </c>
      <c r="H503" s="3">
        <f>_xlfn.IFNA(VLOOKUP($A503,[3]stockregister!$A$2:$L$2000,11,0),0)-$G503</f>
        <v>0</v>
      </c>
      <c r="I503" s="3">
        <f>_xlfn.IFNA(VLOOKUP($A503,[3]stockregister!$A$2:$L$2000,12,0),0)</f>
        <v>4000</v>
      </c>
      <c r="J503" s="3">
        <f>_xlfn.IFNA(VLOOKUP($A503,[3]stockregister!$A$1:$M$2000,12,0),0)-$I503</f>
        <v>0</v>
      </c>
      <c r="K503" s="3" t="s">
        <v>22</v>
      </c>
      <c r="L503" s="3" t="s">
        <v>23</v>
      </c>
      <c r="M503" s="3">
        <f>_xlfn.IFNA(VLOOKUP($A503,[2]stockregister!$A$2:$H$2000,8,0),0)</f>
        <v>5500</v>
      </c>
      <c r="N503" s="3">
        <f>_xlfn.IFNA(VLOOKUP($A503,[2]stockregister!$A$2:$H$2000,8,0),0)-$M503</f>
        <v>0</v>
      </c>
      <c r="O503" s="3" t="s">
        <v>1191</v>
      </c>
      <c r="P503" s="3" t="s">
        <v>1191</v>
      </c>
      <c r="Q503" s="3" t="s">
        <v>1100</v>
      </c>
      <c r="R503" s="3" t="s">
        <v>113</v>
      </c>
      <c r="S503" s="3" t="s">
        <v>114</v>
      </c>
      <c r="T503" s="3">
        <v>10</v>
      </c>
    </row>
    <row r="504" spans="1:19">
      <c r="A504" s="3">
        <v>1369</v>
      </c>
      <c r="B504" s="3" t="b">
        <f>ISNUMBER(MATCH(A504,[1]stockregister!$A$2:$A$2000,0))</f>
        <v>1</v>
      </c>
      <c r="C504" s="3" t="s">
        <v>648</v>
      </c>
      <c r="D504" s="3" t="str">
        <f>VLOOKUP($C504,[1]stockregister!$B$2:$B$2000,1,0)</f>
        <v>SILK &amp;SPICE  750ML</v>
      </c>
      <c r="E504" s="3" t="str">
        <f>IF(ISNA($D504),VLOOKUP($A504,[2]stockregister!$A$2:$B$2000,2,FALSE),"")</f>
        <v/>
      </c>
      <c r="F504" s="3" t="s">
        <v>21</v>
      </c>
      <c r="G504" s="3">
        <f>_xlfn.IFNA(VLOOKUP($A504,[3]stockregister!$A$2:$L$2000,11,0),0)</f>
        <v>30</v>
      </c>
      <c r="H504" s="3">
        <f>_xlfn.IFNA(VLOOKUP($A504,[3]stockregister!$A$2:$L$2000,11,0),0)-$G504</f>
        <v>0</v>
      </c>
      <c r="I504" s="3">
        <f>_xlfn.IFNA(VLOOKUP($A504,[3]stockregister!$A$2:$L$2000,12,0),0)</f>
        <v>4140</v>
      </c>
      <c r="J504" s="3">
        <f>_xlfn.IFNA(VLOOKUP($A504,[3]stockregister!$A$1:$M$2000,12,0),0)-$I504</f>
        <v>0</v>
      </c>
      <c r="K504" s="3" t="s">
        <v>22</v>
      </c>
      <c r="L504" s="3" t="s">
        <v>23</v>
      </c>
      <c r="M504" s="3">
        <f>_xlfn.IFNA(VLOOKUP($A504,[2]stockregister!$A$2:$H$2000,8,0),0)</f>
        <v>4500</v>
      </c>
      <c r="N504" s="3">
        <f>_xlfn.IFNA(VLOOKUP($A504,[2]stockregister!$A$2:$H$2000,8,0),0)-$M504</f>
        <v>0</v>
      </c>
      <c r="O504" s="3" t="s">
        <v>1192</v>
      </c>
      <c r="P504" s="3" t="s">
        <v>1192</v>
      </c>
      <c r="Q504" s="3" t="s">
        <v>1035</v>
      </c>
      <c r="R504" s="3" t="s">
        <v>92</v>
      </c>
      <c r="S504" s="3" t="s">
        <v>1193</v>
      </c>
    </row>
    <row r="505" spans="1:20">
      <c r="A505" s="3">
        <v>841</v>
      </c>
      <c r="B505" s="3" t="b">
        <f>ISNUMBER(MATCH(A505,[1]stockregister!$A$2:$A$2000,0))</f>
        <v>1</v>
      </c>
      <c r="C505" s="3" t="s">
        <v>650</v>
      </c>
      <c r="D505" s="3" t="str">
        <f>VLOOKUP($C505,[1]stockregister!$B$2:$B$2000,1,0)</f>
        <v>VINUM IL ROSSO DABRUZZO ORGANIC 750ML</v>
      </c>
      <c r="E505" s="3" t="str">
        <f>IF(ISNA($D505),VLOOKUP($A505,[2]stockregister!$A$2:$B$2000,2,FALSE),"")</f>
        <v/>
      </c>
      <c r="F505" s="3" t="s">
        <v>21</v>
      </c>
      <c r="G505" s="3">
        <f>_xlfn.IFNA(VLOOKUP($A505,[3]stockregister!$A$2:$L$2000,11,0),0)</f>
        <v>30</v>
      </c>
      <c r="H505" s="3">
        <f>_xlfn.IFNA(VLOOKUP($A505,[3]stockregister!$A$2:$L$2000,11,0),0)-$G505</f>
        <v>0</v>
      </c>
      <c r="I505" s="3">
        <f>_xlfn.IFNA(VLOOKUP($A505,[3]stockregister!$A$2:$L$2000,12,0),0)</f>
        <v>12420</v>
      </c>
      <c r="J505" s="3">
        <f>_xlfn.IFNA(VLOOKUP($A505,[3]stockregister!$A$1:$M$2000,12,0),0)-$I505</f>
        <v>0</v>
      </c>
      <c r="K505" s="3" t="s">
        <v>22</v>
      </c>
      <c r="L505" s="3" t="s">
        <v>23</v>
      </c>
      <c r="M505" s="3">
        <f>_xlfn.IFNA(VLOOKUP($A505,[2]stockregister!$A$2:$H$2000,8,0),0)</f>
        <v>13500</v>
      </c>
      <c r="N505" s="3">
        <f>_xlfn.IFNA(VLOOKUP($A505,[2]stockregister!$A$2:$H$2000,8,0),0)-$M505</f>
        <v>0</v>
      </c>
      <c r="O505" s="3" t="s">
        <v>1194</v>
      </c>
      <c r="P505" s="3" t="s">
        <v>1194</v>
      </c>
      <c r="Q505" s="3" t="s">
        <v>365</v>
      </c>
      <c r="R505" s="3" t="s">
        <v>92</v>
      </c>
      <c r="S505" s="3" t="s">
        <v>134</v>
      </c>
      <c r="T505" s="3">
        <v>18</v>
      </c>
    </row>
    <row r="506" spans="1:19">
      <c r="A506" s="3">
        <v>2183</v>
      </c>
      <c r="B506" s="3" t="b">
        <f>ISNUMBER(MATCH(A506,[1]stockregister!$A$2:$A$2000,0))</f>
        <v>1</v>
      </c>
      <c r="C506" s="3" t="s">
        <v>1195</v>
      </c>
      <c r="D506" s="3" t="str">
        <f>VLOOKUP($C506,[1]stockregister!$B$2:$B$2000,1,0)</f>
        <v>MAISON CASTEL CHABLIS 2022 750ML</v>
      </c>
      <c r="E506" s="3" t="str">
        <f>IF(ISNA($D506),VLOOKUP($A506,[2]stockregister!$A$2:$B$2000,2,FALSE),"")</f>
        <v/>
      </c>
      <c r="F506" s="3" t="s">
        <v>21</v>
      </c>
      <c r="G506" s="3">
        <f>_xlfn.IFNA(VLOOKUP($A506,[3]stockregister!$A$2:$L$2000,11,0),0)</f>
        <v>30</v>
      </c>
      <c r="H506" s="3">
        <f>_xlfn.IFNA(VLOOKUP($A506,[3]stockregister!$A$2:$L$2000,11,0),0)-$G506</f>
        <v>0</v>
      </c>
      <c r="I506" s="3">
        <f>_xlfn.IFNA(VLOOKUP($A506,[3]stockregister!$A$2:$L$2000,12,0),0)</f>
        <v>1250</v>
      </c>
      <c r="J506" s="3">
        <f>_xlfn.IFNA(VLOOKUP($A506,[3]stockregister!$A$1:$M$2000,12,0),0)-$I506</f>
        <v>0</v>
      </c>
      <c r="K506" s="3" t="s">
        <v>22</v>
      </c>
      <c r="L506" s="3" t="s">
        <v>23</v>
      </c>
      <c r="M506" s="3">
        <f>_xlfn.IFNA(VLOOKUP($A506,[2]stockregister!$A$2:$H$2000,8,0),0)</f>
        <v>1300</v>
      </c>
      <c r="N506" s="3">
        <f>_xlfn.IFNA(VLOOKUP($A506,[2]stockregister!$A$2:$H$2000,8,0),0)-$M506</f>
        <v>0</v>
      </c>
      <c r="O506" s="3" t="s">
        <v>1196</v>
      </c>
      <c r="P506" s="3" t="s">
        <v>1196</v>
      </c>
      <c r="Q506" s="3" t="s">
        <v>1137</v>
      </c>
      <c r="R506" s="3" t="s">
        <v>68</v>
      </c>
      <c r="S506" s="3" t="s">
        <v>1197</v>
      </c>
    </row>
    <row r="507" spans="1:19">
      <c r="A507" s="3">
        <v>1454</v>
      </c>
      <c r="B507" s="3" t="b">
        <f>ISNUMBER(MATCH(A507,[1]stockregister!$A$2:$A$2000,0))</f>
        <v>1</v>
      </c>
      <c r="C507" s="3" t="s">
        <v>1198</v>
      </c>
      <c r="D507" s="3" t="str">
        <f>VLOOKUP($C507,[1]stockregister!$B$2:$B$2000,1,0)</f>
        <v>MOET &amp; CHANDON NECTAR IMPERIAL 750ml</v>
      </c>
      <c r="E507" s="3" t="str">
        <f>IF(ISNA($D507),VLOOKUP($A507,[2]stockregister!$A$2:$B$2000,2,FALSE),"")</f>
        <v/>
      </c>
      <c r="F507" s="3" t="s">
        <v>21</v>
      </c>
      <c r="G507" s="3">
        <f>_xlfn.IFNA(VLOOKUP($A507,[3]stockregister!$A$2:$L$2000,11,0),0)</f>
        <v>12</v>
      </c>
      <c r="H507" s="3">
        <f>_xlfn.IFNA(VLOOKUP($A507,[3]stockregister!$A$2:$L$2000,11,0),0)-$G507</f>
        <v>0</v>
      </c>
      <c r="I507" s="3">
        <f>_xlfn.IFNA(VLOOKUP($A507,[3]stockregister!$A$2:$L$2000,12,0),0)</f>
        <v>11500</v>
      </c>
      <c r="J507" s="3">
        <f>_xlfn.IFNA(VLOOKUP($A507,[3]stockregister!$A$1:$M$2000,12,0),0)-$I507</f>
        <v>0</v>
      </c>
      <c r="K507" s="3" t="s">
        <v>22</v>
      </c>
      <c r="L507" s="3" t="s">
        <v>23</v>
      </c>
      <c r="M507" s="3">
        <f>_xlfn.IFNA(VLOOKUP($A507,[2]stockregister!$A$2:$H$2000,8,0),0)</f>
        <v>12000</v>
      </c>
      <c r="N507" s="3">
        <f>_xlfn.IFNA(VLOOKUP($A507,[2]stockregister!$A$2:$H$2000,8,0),0)-$M507</f>
        <v>0</v>
      </c>
      <c r="O507" s="3" t="s">
        <v>1199</v>
      </c>
      <c r="P507" s="3" t="s">
        <v>1199</v>
      </c>
      <c r="Q507" s="3" t="s">
        <v>420</v>
      </c>
      <c r="R507" s="3" t="s">
        <v>68</v>
      </c>
      <c r="S507" s="3" t="s">
        <v>750</v>
      </c>
    </row>
    <row r="508" spans="1:19">
      <c r="A508" s="3">
        <v>2214</v>
      </c>
      <c r="B508" s="3" t="b">
        <f>ISNUMBER(MATCH(A508,[1]stockregister!$A$2:$A$2000,0))</f>
        <v>1</v>
      </c>
      <c r="C508" s="3" t="s">
        <v>1200</v>
      </c>
      <c r="D508" s="3" t="str">
        <f>VLOOKUP($C508,[1]stockregister!$B$2:$B$2000,1,0)</f>
        <v>CASA SOLIS CHARDONNAY 750ML</v>
      </c>
      <c r="E508" s="3" t="str">
        <f>IF(ISNA($D508),VLOOKUP($A508,[2]stockregister!$A$2:$B$2000,2,FALSE),"")</f>
        <v/>
      </c>
      <c r="F508" s="3" t="s">
        <v>21</v>
      </c>
      <c r="G508" s="3">
        <f>_xlfn.IFNA(VLOOKUP($A508,[3]stockregister!$A$2:$L$2000,11,0),0)</f>
        <v>30</v>
      </c>
      <c r="H508" s="3">
        <f>_xlfn.IFNA(VLOOKUP($A508,[3]stockregister!$A$2:$L$2000,11,0),0)-$G508</f>
        <v>0</v>
      </c>
      <c r="I508" s="3">
        <f>_xlfn.IFNA(VLOOKUP($A508,[3]stockregister!$A$2:$L$2000,12,0),0)</f>
        <v>800</v>
      </c>
      <c r="J508" s="3">
        <f>_xlfn.IFNA(VLOOKUP($A508,[3]stockregister!$A$1:$M$2000,12,0),0)-$I508</f>
        <v>0</v>
      </c>
      <c r="K508" s="3" t="s">
        <v>22</v>
      </c>
      <c r="L508" s="3" t="s">
        <v>23</v>
      </c>
      <c r="M508" s="3">
        <f>_xlfn.IFNA(VLOOKUP($A508,[2]stockregister!$A$2:$H$2000,8,0),0)</f>
        <v>850</v>
      </c>
      <c r="N508" s="3">
        <f>_xlfn.IFNA(VLOOKUP($A508,[2]stockregister!$A$2:$H$2000,8,0),0)-$M508</f>
        <v>0</v>
      </c>
      <c r="O508" s="3" t="s">
        <v>1201</v>
      </c>
      <c r="P508" s="3" t="s">
        <v>1201</v>
      </c>
      <c r="Q508" s="3" t="s">
        <v>1094</v>
      </c>
      <c r="R508" s="3" t="s">
        <v>68</v>
      </c>
      <c r="S508" s="3" t="s">
        <v>940</v>
      </c>
    </row>
    <row r="509" spans="1:19">
      <c r="A509" s="3">
        <v>414</v>
      </c>
      <c r="B509" s="3" t="b">
        <f>ISNUMBER(MATCH(A509,[1]stockregister!$A$2:$A$2000,0))</f>
        <v>1</v>
      </c>
      <c r="C509" s="3" t="s">
        <v>1202</v>
      </c>
      <c r="D509" s="3" t="str">
        <f>VLOOKUP($C509,[1]stockregister!$B$2:$B$2000,1,0)</f>
        <v>CATENA CHARDONNAY 750ML</v>
      </c>
      <c r="E509" s="3" t="str">
        <f>IF(ISNA($D509),VLOOKUP($A509,[2]stockregister!$A$2:$B$2000,2,FALSE),"")</f>
        <v/>
      </c>
      <c r="F509" s="3" t="s">
        <v>21</v>
      </c>
      <c r="G509" s="3">
        <f>_xlfn.IFNA(VLOOKUP($A509,[3]stockregister!$A$2:$L$2000,11,0),0)</f>
        <v>30</v>
      </c>
      <c r="H509" s="3">
        <f>_xlfn.IFNA(VLOOKUP($A509,[3]stockregister!$A$2:$L$2000,11,0),0)-$G509</f>
        <v>0</v>
      </c>
      <c r="I509" s="3">
        <f>_xlfn.IFNA(VLOOKUP($A509,[3]stockregister!$A$2:$L$2000,12,0),0)</f>
        <v>2392</v>
      </c>
      <c r="J509" s="3">
        <f>_xlfn.IFNA(VLOOKUP($A509,[3]stockregister!$A$1:$M$2000,12,0),0)-$I509</f>
        <v>0</v>
      </c>
      <c r="K509" s="3" t="s">
        <v>22</v>
      </c>
      <c r="L509" s="3" t="s">
        <v>23</v>
      </c>
      <c r="M509" s="3">
        <f>_xlfn.IFNA(VLOOKUP($A509,[2]stockregister!$A$2:$H$2000,8,0),0)</f>
        <v>2600</v>
      </c>
      <c r="N509" s="3">
        <f>_xlfn.IFNA(VLOOKUP($A509,[2]stockregister!$A$2:$H$2000,8,0),0)-$M509</f>
        <v>0</v>
      </c>
      <c r="O509" s="3" t="s">
        <v>1203</v>
      </c>
      <c r="P509" s="3" t="s">
        <v>1203</v>
      </c>
      <c r="Q509" s="3" t="s">
        <v>853</v>
      </c>
      <c r="R509" s="3" t="s">
        <v>68</v>
      </c>
      <c r="S509" s="3" t="s">
        <v>940</v>
      </c>
    </row>
    <row r="510" spans="1:19">
      <c r="A510" s="3">
        <v>2572</v>
      </c>
      <c r="B510" s="3" t="b">
        <f>ISNUMBER(MATCH(A510,[1]stockregister!$A$2:$A$2000,0))</f>
        <v>1</v>
      </c>
      <c r="C510" s="3" t="s">
        <v>343</v>
      </c>
      <c r="D510" s="3" t="str">
        <f>VLOOKUP($C510,[1]stockregister!$B$2:$B$2000,1,0)</f>
        <v>LIONS DRY WHITE  750ML</v>
      </c>
      <c r="E510" s="3" t="str">
        <f>IF(ISNA($D510),VLOOKUP($A510,[2]stockregister!$A$2:$B$2000,2,FALSE),"")</f>
        <v/>
      </c>
      <c r="F510" s="3" t="s">
        <v>21</v>
      </c>
      <c r="G510" s="3">
        <f>_xlfn.IFNA(VLOOKUP($A510,[3]stockregister!$A$2:$L$2000,11,0),0)</f>
        <v>30</v>
      </c>
      <c r="H510" s="3">
        <f>_xlfn.IFNA(VLOOKUP($A510,[3]stockregister!$A$2:$L$2000,11,0),0)-$G510</f>
        <v>0</v>
      </c>
      <c r="I510" s="3">
        <f>_xlfn.IFNA(VLOOKUP($A510,[3]stockregister!$A$2:$L$2000,12,0),0)</f>
        <v>750</v>
      </c>
      <c r="J510" s="3">
        <f>_xlfn.IFNA(VLOOKUP($A510,[3]stockregister!$A$1:$M$2000,12,0),0)-$I510</f>
        <v>0</v>
      </c>
      <c r="K510" s="3" t="s">
        <v>22</v>
      </c>
      <c r="L510" s="3" t="s">
        <v>23</v>
      </c>
      <c r="M510" s="3">
        <f>_xlfn.IFNA(VLOOKUP($A510,[2]stockregister!$A$2:$H$2000,8,0),0)</f>
        <v>850</v>
      </c>
      <c r="N510" s="3">
        <f>_xlfn.IFNA(VLOOKUP($A510,[2]stockregister!$A$2:$H$2000,8,0),0)-$M510</f>
        <v>0</v>
      </c>
      <c r="O510" s="3" t="s">
        <v>1204</v>
      </c>
      <c r="P510" s="3" t="s">
        <v>1204</v>
      </c>
      <c r="Q510" s="3" t="s">
        <v>1205</v>
      </c>
      <c r="R510" s="3" t="s">
        <v>537</v>
      </c>
      <c r="S510" s="3" t="s">
        <v>549</v>
      </c>
    </row>
    <row r="511" spans="1:19">
      <c r="A511" s="3">
        <v>1245</v>
      </c>
      <c r="B511" s="3" t="b">
        <f>ISNUMBER(MATCH(A511,[1]stockregister!$A$2:$A$2000,0))</f>
        <v>1</v>
      </c>
      <c r="C511" s="3" t="s">
        <v>346</v>
      </c>
      <c r="D511" s="3" t="str">
        <f>VLOOKUP($C511,[1]stockregister!$B$2:$B$2000,1,0)</f>
        <v>SWARTLAND  SYRAH 750ML</v>
      </c>
      <c r="E511" s="3" t="str">
        <f>IF(ISNA($D511),VLOOKUP($A511,[2]stockregister!$A$2:$B$2000,2,FALSE),"")</f>
        <v/>
      </c>
      <c r="F511" s="3" t="s">
        <v>21</v>
      </c>
      <c r="G511" s="3">
        <f>_xlfn.IFNA(VLOOKUP($A511,[3]stockregister!$A$2:$L$2000,11,0),0)</f>
        <v>36</v>
      </c>
      <c r="H511" s="3">
        <f>_xlfn.IFNA(VLOOKUP($A511,[3]stockregister!$A$2:$L$2000,11,0),0)-$G511</f>
        <v>0</v>
      </c>
      <c r="I511" s="3">
        <f>_xlfn.IFNA(VLOOKUP($A511,[3]stockregister!$A$2:$L$2000,12,0),0)</f>
        <v>1196</v>
      </c>
      <c r="J511" s="3">
        <f>_xlfn.IFNA(VLOOKUP($A511,[3]stockregister!$A$1:$M$2000,12,0),0)-$I511</f>
        <v>0</v>
      </c>
      <c r="K511" s="3" t="s">
        <v>22</v>
      </c>
      <c r="L511" s="3" t="s">
        <v>23</v>
      </c>
      <c r="M511" s="3">
        <f>_xlfn.IFNA(VLOOKUP($A511,[2]stockregister!$A$2:$H$2000,8,0),0)</f>
        <v>1200</v>
      </c>
      <c r="N511" s="3">
        <f>_xlfn.IFNA(VLOOKUP($A511,[2]stockregister!$A$2:$H$2000,8,0),0)-$M511</f>
        <v>0</v>
      </c>
      <c r="O511" s="3" t="s">
        <v>1206</v>
      </c>
      <c r="P511" s="3" t="s">
        <v>1206</v>
      </c>
      <c r="Q511" s="3" t="s">
        <v>1207</v>
      </c>
      <c r="R511" s="3" t="s">
        <v>68</v>
      </c>
      <c r="S511" s="3" t="s">
        <v>398</v>
      </c>
    </row>
    <row r="512" spans="1:19">
      <c r="A512" s="3">
        <v>2571</v>
      </c>
      <c r="B512" s="3" t="b">
        <f>ISNUMBER(MATCH(A512,[1]stockregister!$A$2:$A$2000,0))</f>
        <v>1</v>
      </c>
      <c r="C512" s="3" t="s">
        <v>349</v>
      </c>
      <c r="D512" s="3" t="str">
        <f>VLOOKUP($C512,[1]stockregister!$B$2:$B$2000,1,0)</f>
        <v>HENDRICKS ORBIUM GIN 700ML</v>
      </c>
      <c r="E512" s="3" t="str">
        <f>IF(ISNA($D512),VLOOKUP($A512,[2]stockregister!$A$2:$B$2000,2,FALSE),"")</f>
        <v/>
      </c>
      <c r="F512" s="3" t="s">
        <v>21</v>
      </c>
      <c r="G512" s="3">
        <f>_xlfn.IFNA(VLOOKUP($A512,[3]stockregister!$A$2:$L$2000,11,0),0)</f>
        <v>30</v>
      </c>
      <c r="H512" s="3">
        <f>_xlfn.IFNA(VLOOKUP($A512,[3]stockregister!$A$2:$L$2000,11,0),0)-$G512</f>
        <v>0</v>
      </c>
      <c r="I512" s="3">
        <f>_xlfn.IFNA(VLOOKUP($A512,[3]stockregister!$A$2:$L$2000,12,0),0)</f>
        <v>750</v>
      </c>
      <c r="J512" s="3">
        <f>_xlfn.IFNA(VLOOKUP($A512,[3]stockregister!$A$1:$M$2000,12,0),0)-$I512</f>
        <v>0</v>
      </c>
      <c r="K512" s="3" t="s">
        <v>22</v>
      </c>
      <c r="L512" s="3" t="s">
        <v>23</v>
      </c>
      <c r="M512" s="3">
        <f>_xlfn.IFNA(VLOOKUP($A512,[2]stockregister!$A$2:$H$2000,8,0),0)</f>
        <v>850</v>
      </c>
      <c r="N512" s="3">
        <f>_xlfn.IFNA(VLOOKUP($A512,[2]stockregister!$A$2:$H$2000,8,0),0)-$M512</f>
        <v>0</v>
      </c>
      <c r="O512" s="3">
        <v>0</v>
      </c>
      <c r="P512" s="3">
        <v>0</v>
      </c>
      <c r="Q512" s="3" t="s">
        <v>1205</v>
      </c>
      <c r="R512" s="3" t="s">
        <v>537</v>
      </c>
      <c r="S512" s="3" t="s">
        <v>69</v>
      </c>
    </row>
    <row r="513" spans="1:19">
      <c r="A513" s="3">
        <v>2377</v>
      </c>
      <c r="B513" s="3" t="b">
        <f>ISNUMBER(MATCH(A513,[1]stockregister!$A$2:$A$2000,0))</f>
        <v>1</v>
      </c>
      <c r="C513" s="3" t="s">
        <v>353</v>
      </c>
      <c r="D513" s="3" t="str">
        <f>VLOOKUP($C513,[1]stockregister!$B$2:$B$2000,1,0)</f>
        <v>BUSHMILL BLACK BUSH 750ML</v>
      </c>
      <c r="E513" s="3" t="str">
        <f>IF(ISNA($D513),VLOOKUP($A513,[2]stockregister!$A$2:$B$2000,2,FALSE),"")</f>
        <v/>
      </c>
      <c r="F513" s="3" t="s">
        <v>21</v>
      </c>
      <c r="G513" s="3">
        <f>_xlfn.IFNA(VLOOKUP($A513,[3]stockregister!$A$2:$L$2000,11,0),0)</f>
        <v>30</v>
      </c>
      <c r="H513" s="3">
        <f>_xlfn.IFNA(VLOOKUP($A513,[3]stockregister!$A$2:$L$2000,11,0),0)-$G513</f>
        <v>0</v>
      </c>
      <c r="I513" s="3">
        <f>_xlfn.IFNA(VLOOKUP($A513,[3]stockregister!$A$2:$L$2000,12,0),0)</f>
        <v>1050</v>
      </c>
      <c r="J513" s="3">
        <f>_xlfn.IFNA(VLOOKUP($A513,[3]stockregister!$A$1:$M$2000,12,0),0)-$I513</f>
        <v>0</v>
      </c>
      <c r="K513" s="3" t="s">
        <v>22</v>
      </c>
      <c r="L513" s="3" t="s">
        <v>23</v>
      </c>
      <c r="M513" s="3">
        <f>_xlfn.IFNA(VLOOKUP($A513,[2]stockregister!$A$2:$H$2000,8,0),0)</f>
        <v>1500</v>
      </c>
      <c r="N513" s="3">
        <f>_xlfn.IFNA(VLOOKUP($A513,[2]stockregister!$A$2:$H$2000,8,0),0)-$M513</f>
        <v>0</v>
      </c>
      <c r="O513" s="3" t="s">
        <v>1208</v>
      </c>
      <c r="P513" s="3" t="s">
        <v>1208</v>
      </c>
      <c r="Q513" s="3" t="s">
        <v>966</v>
      </c>
      <c r="R513" s="3" t="s">
        <v>537</v>
      </c>
      <c r="S513" s="3" t="s">
        <v>69</v>
      </c>
    </row>
    <row r="514" spans="1:19">
      <c r="A514" s="3">
        <v>1601</v>
      </c>
      <c r="B514" s="3" t="b">
        <f>ISNUMBER(MATCH(A514,[1]stockregister!$A$2:$A$2000,0))</f>
        <v>1</v>
      </c>
      <c r="C514" s="3" t="s">
        <v>356</v>
      </c>
      <c r="D514" s="3" t="str">
        <f>VLOOKUP($C514,[1]stockregister!$B$2:$B$2000,1,0)</f>
        <v>LEOPARDS LEAP CAB SAUV  MERLOT 750ML</v>
      </c>
      <c r="E514" s="3" t="str">
        <f>IF(ISNA($D514),VLOOKUP($A514,[2]stockregister!$A$2:$B$2000,2,FALSE),"")</f>
        <v/>
      </c>
      <c r="F514" s="3" t="s">
        <v>21</v>
      </c>
      <c r="G514" s="3">
        <f>_xlfn.IFNA(VLOOKUP($A514,[3]stockregister!$A$2:$L$2000,11,0),0)</f>
        <v>30</v>
      </c>
      <c r="H514" s="3">
        <f>_xlfn.IFNA(VLOOKUP($A514,[3]stockregister!$A$2:$L$2000,11,0),0)-$G514</f>
        <v>0</v>
      </c>
      <c r="I514" s="3">
        <f>_xlfn.IFNA(VLOOKUP($A514,[3]stockregister!$A$2:$L$2000,12,0),0)</f>
        <v>736</v>
      </c>
      <c r="J514" s="3">
        <f>_xlfn.IFNA(VLOOKUP($A514,[3]stockregister!$A$1:$M$2000,12,0),0)-$I514</f>
        <v>0</v>
      </c>
      <c r="K514" s="3" t="s">
        <v>22</v>
      </c>
      <c r="L514" s="3" t="s">
        <v>23</v>
      </c>
      <c r="M514" s="3">
        <f>_xlfn.IFNA(VLOOKUP($A514,[2]stockregister!$A$2:$H$2000,8,0),0)</f>
        <v>800</v>
      </c>
      <c r="N514" s="3">
        <f>_xlfn.IFNA(VLOOKUP($A514,[2]stockregister!$A$2:$H$2000,8,0),0)-$M514</f>
        <v>0</v>
      </c>
      <c r="O514" s="3" t="s">
        <v>1209</v>
      </c>
      <c r="P514" s="3" t="s">
        <v>1209</v>
      </c>
      <c r="Q514" s="3" t="s">
        <v>1210</v>
      </c>
      <c r="R514" s="3" t="s">
        <v>68</v>
      </c>
      <c r="S514" s="3" t="s">
        <v>69</v>
      </c>
    </row>
    <row r="515" spans="1:19">
      <c r="A515" s="3">
        <v>2586</v>
      </c>
      <c r="B515" s="3" t="b">
        <f>ISNUMBER(MATCH(A515,[1]stockregister!$A$2:$A$2000,0))</f>
        <v>1</v>
      </c>
      <c r="C515" s="3" t="s">
        <v>360</v>
      </c>
      <c r="D515" s="3" t="str">
        <f>VLOOKUP($C515,[1]stockregister!$B$2:$B$2000,1,0)</f>
        <v>WOOSH 9000 PUFFS BLUE RAZZ </v>
      </c>
      <c r="E515" s="3" t="str">
        <f>IF(ISNA($D515),VLOOKUP($A515,[2]stockregister!$A$2:$B$2000,2,FALSE),"")</f>
        <v/>
      </c>
      <c r="F515" s="3" t="s">
        <v>21</v>
      </c>
      <c r="G515" s="3">
        <f>_xlfn.IFNA(VLOOKUP($A515,[3]stockregister!$A$2:$L$2000,11,0),0)</f>
        <v>30</v>
      </c>
      <c r="H515" s="3">
        <f>_xlfn.IFNA(VLOOKUP($A515,[3]stockregister!$A$2:$L$2000,11,0),0)-$G515</f>
        <v>0</v>
      </c>
      <c r="I515" s="3">
        <f>_xlfn.IFNA(VLOOKUP($A515,[3]stockregister!$A$2:$L$2000,12,0),0)</f>
        <v>1200</v>
      </c>
      <c r="J515" s="3">
        <f>_xlfn.IFNA(VLOOKUP($A515,[3]stockregister!$A$1:$M$2000,12,0),0)-$I515</f>
        <v>0</v>
      </c>
      <c r="K515" s="3" t="s">
        <v>22</v>
      </c>
      <c r="L515" s="3" t="s">
        <v>23</v>
      </c>
      <c r="M515" s="3">
        <f>_xlfn.IFNA(VLOOKUP($A515,[2]stockregister!$A$2:$H$2000,8,0),0)</f>
        <v>1400</v>
      </c>
      <c r="N515" s="3">
        <f>_xlfn.IFNA(VLOOKUP($A515,[2]stockregister!$A$2:$H$2000,8,0),0)-$M515</f>
        <v>0</v>
      </c>
      <c r="O515" s="3" t="s">
        <v>1211</v>
      </c>
      <c r="P515" s="3" t="s">
        <v>1211</v>
      </c>
      <c r="Q515" s="3" t="s">
        <v>1212</v>
      </c>
      <c r="R515" s="3" t="s">
        <v>537</v>
      </c>
      <c r="S515" s="3" t="s">
        <v>157</v>
      </c>
    </row>
    <row r="516" spans="1:19">
      <c r="A516" s="3">
        <v>2985</v>
      </c>
      <c r="B516" s="3" t="b">
        <f>ISNUMBER(MATCH(A516,[1]stockregister!$A$2:$A$2000,0))</f>
        <v>1</v>
      </c>
      <c r="C516" s="3" t="s">
        <v>363</v>
      </c>
      <c r="D516" s="3" t="str">
        <f>VLOOKUP($C516,[1]stockregister!$B$2:$B$2000,1,0)</f>
        <v>INVERROCHE CLASSIC 750ML </v>
      </c>
      <c r="E516" s="3" t="str">
        <f>IF(ISNA($D516),VLOOKUP($A516,[2]stockregister!$A$2:$B$2000,2,FALSE),"")</f>
        <v/>
      </c>
      <c r="F516" s="3" t="s">
        <v>21</v>
      </c>
      <c r="G516" s="3">
        <f>_xlfn.IFNA(VLOOKUP($A516,[3]stockregister!$A$2:$L$2000,11,0),0)</f>
        <v>30</v>
      </c>
      <c r="H516" s="3">
        <f>_xlfn.IFNA(VLOOKUP($A516,[3]stockregister!$A$2:$L$2000,11,0),0)-$G516</f>
        <v>0</v>
      </c>
      <c r="I516" s="3">
        <f>_xlfn.IFNA(VLOOKUP($A516,[3]stockregister!$A$2:$L$2000,12,0),0)</f>
        <v>26000</v>
      </c>
      <c r="J516" s="3">
        <f>_xlfn.IFNA(VLOOKUP($A516,[3]stockregister!$A$1:$M$2000,12,0),0)-$I516</f>
        <v>0</v>
      </c>
      <c r="K516" s="3" t="s">
        <v>22</v>
      </c>
      <c r="L516" s="3" t="s">
        <v>23</v>
      </c>
      <c r="M516" s="3">
        <f>_xlfn.IFNA(VLOOKUP($A516,[2]stockregister!$A$2:$H$2000,8,0),0)</f>
        <v>42000</v>
      </c>
      <c r="N516" s="3">
        <f>_xlfn.IFNA(VLOOKUP($A516,[2]stockregister!$A$2:$H$2000,8,0),0)-$M516</f>
        <v>0</v>
      </c>
      <c r="O516" s="3" t="s">
        <v>1213</v>
      </c>
      <c r="P516" s="3" t="s">
        <v>1213</v>
      </c>
      <c r="Q516" s="3" t="s">
        <v>227</v>
      </c>
      <c r="R516" s="3" t="s">
        <v>102</v>
      </c>
      <c r="S516" s="3" t="s">
        <v>401</v>
      </c>
    </row>
    <row r="517" spans="1:19">
      <c r="A517" s="3">
        <v>1600</v>
      </c>
      <c r="B517" s="3" t="b">
        <f>ISNUMBER(MATCH(A517,[1]stockregister!$A$2:$A$2000,0))</f>
        <v>1</v>
      </c>
      <c r="C517" s="3" t="s">
        <v>366</v>
      </c>
      <c r="D517" s="3" t="str">
        <f>VLOOKUP($C517,[1]stockregister!$B$2:$B$2000,1,0)</f>
        <v>WHITLEY NEILL PROTEA &amp; HIBISCUS GIN 750ML </v>
      </c>
      <c r="E517" s="3" t="str">
        <f>IF(ISNA($D517),VLOOKUP($A517,[2]stockregister!$A$2:$B$2000,2,FALSE),"")</f>
        <v/>
      </c>
      <c r="F517" s="3" t="s">
        <v>21</v>
      </c>
      <c r="G517" s="3">
        <f>_xlfn.IFNA(VLOOKUP($A517,[3]stockregister!$A$2:$L$2000,11,0),0)</f>
        <v>30</v>
      </c>
      <c r="H517" s="3">
        <f>_xlfn.IFNA(VLOOKUP($A517,[3]stockregister!$A$2:$L$2000,11,0),0)-$G517</f>
        <v>0</v>
      </c>
      <c r="I517" s="3">
        <f>_xlfn.IFNA(VLOOKUP($A517,[3]stockregister!$A$2:$L$2000,12,0),0)</f>
        <v>736</v>
      </c>
      <c r="J517" s="3">
        <f>_xlfn.IFNA(VLOOKUP($A517,[3]stockregister!$A$1:$M$2000,12,0),0)-$I517</f>
        <v>0</v>
      </c>
      <c r="K517" s="3" t="s">
        <v>22</v>
      </c>
      <c r="L517" s="3" t="s">
        <v>23</v>
      </c>
      <c r="M517" s="3">
        <f>_xlfn.IFNA(VLOOKUP($A517,[2]stockregister!$A$2:$H$2000,8,0),0)</f>
        <v>800</v>
      </c>
      <c r="N517" s="3">
        <f>_xlfn.IFNA(VLOOKUP($A517,[2]stockregister!$A$2:$H$2000,8,0),0)-$M517</f>
        <v>0</v>
      </c>
      <c r="O517" s="3" t="s">
        <v>1214</v>
      </c>
      <c r="P517" s="3" t="s">
        <v>1214</v>
      </c>
      <c r="Q517" s="3" t="s">
        <v>1215</v>
      </c>
      <c r="R517" s="3" t="s">
        <v>68</v>
      </c>
      <c r="S517" s="3" t="s">
        <v>88</v>
      </c>
    </row>
    <row r="518" spans="1:18">
      <c r="A518" s="3">
        <v>21</v>
      </c>
      <c r="B518" s="3" t="b">
        <f>ISNUMBER(MATCH(A518,[1]stockregister!$A$2:$A$2000,0))</f>
        <v>1</v>
      </c>
      <c r="C518" s="3" t="s">
        <v>370</v>
      </c>
      <c r="D518" s="3" t="str">
        <f>VLOOKUP($C518,[1]stockregister!$B$2:$B$2000,1,0)</f>
        <v>GLENMORANGIE 18YRS WHISKY EXTREME  700ML</v>
      </c>
      <c r="E518" s="3" t="str">
        <f>IF(ISNA($D518),VLOOKUP($A518,[2]stockregister!$A$2:$B$2000,2,FALSE),"")</f>
        <v/>
      </c>
      <c r="F518" s="3" t="s">
        <v>21</v>
      </c>
      <c r="G518" s="3">
        <f>_xlfn.IFNA(VLOOKUP($A518,[3]stockregister!$A$2:$L$2000,11,0),0)</f>
        <v>28</v>
      </c>
      <c r="H518" s="3">
        <f>_xlfn.IFNA(VLOOKUP($A518,[3]stockregister!$A$2:$L$2000,11,0),0)-$G518</f>
        <v>0</v>
      </c>
      <c r="I518" s="3">
        <f>_xlfn.IFNA(VLOOKUP($A518,[3]stockregister!$A$2:$L$2000,12,0),0)</f>
        <v>1242</v>
      </c>
      <c r="J518" s="3">
        <f>_xlfn.IFNA(VLOOKUP($A518,[3]stockregister!$A$1:$M$2000,12,0),0)-$I518</f>
        <v>0</v>
      </c>
      <c r="K518" s="3" t="s">
        <v>22</v>
      </c>
      <c r="L518" s="3" t="s">
        <v>23</v>
      </c>
      <c r="M518" s="3">
        <f>_xlfn.IFNA(VLOOKUP($A518,[2]stockregister!$A$2:$H$2000,8,0),0)</f>
        <v>1350</v>
      </c>
      <c r="N518" s="3">
        <f>_xlfn.IFNA(VLOOKUP($A518,[2]stockregister!$A$2:$H$2000,8,0),0)-$M518</f>
        <v>0</v>
      </c>
      <c r="O518" s="3" t="s">
        <v>1216</v>
      </c>
      <c r="P518" s="3" t="s">
        <v>1216</v>
      </c>
      <c r="Q518" s="3" t="s">
        <v>811</v>
      </c>
      <c r="R518" s="3" t="s">
        <v>78</v>
      </c>
    </row>
    <row r="519" spans="1:19">
      <c r="A519" s="3">
        <v>1791</v>
      </c>
      <c r="B519" s="3" t="b">
        <f>ISNUMBER(MATCH(A519,[1]stockregister!$A$2:$A$2000,0))</f>
        <v>1</v>
      </c>
      <c r="C519" s="3" t="s">
        <v>374</v>
      </c>
      <c r="D519" s="3" t="str">
        <f>VLOOKUP($C519,[1]stockregister!$B$2:$B$2000,1,0)</f>
        <v>JOHNNIE WALKER BLUE LABEL GHOST &amp; RARE 750ML</v>
      </c>
      <c r="E519" s="3" t="str">
        <f>IF(ISNA($D519),VLOOKUP($A519,[2]stockregister!$A$2:$B$2000,2,FALSE),"")</f>
        <v/>
      </c>
      <c r="F519" s="3" t="s">
        <v>21</v>
      </c>
      <c r="G519" s="3">
        <f>_xlfn.IFNA(VLOOKUP($A519,[3]stockregister!$A$2:$L$2000,11,0),0)</f>
        <v>28</v>
      </c>
      <c r="H519" s="3">
        <f>_xlfn.IFNA(VLOOKUP($A519,[3]stockregister!$A$2:$L$2000,11,0),0)-$G519</f>
        <v>0</v>
      </c>
      <c r="I519" s="3">
        <f>_xlfn.IFNA(VLOOKUP($A519,[3]stockregister!$A$2:$L$2000,12,0),0)</f>
        <v>2024</v>
      </c>
      <c r="J519" s="3">
        <f>_xlfn.IFNA(VLOOKUP($A519,[3]stockregister!$A$1:$M$2000,12,0),0)-$I519</f>
        <v>0</v>
      </c>
      <c r="K519" s="3" t="s">
        <v>22</v>
      </c>
      <c r="L519" s="3" t="s">
        <v>23</v>
      </c>
      <c r="M519" s="3">
        <f>_xlfn.IFNA(VLOOKUP($A519,[2]stockregister!$A$2:$H$2000,8,0),0)</f>
        <v>2200</v>
      </c>
      <c r="N519" s="3">
        <f>_xlfn.IFNA(VLOOKUP($A519,[2]stockregister!$A$2:$H$2000,8,0),0)-$M519</f>
        <v>0</v>
      </c>
      <c r="O519" s="3" t="s">
        <v>1217</v>
      </c>
      <c r="P519" s="3" t="s">
        <v>1217</v>
      </c>
      <c r="Q519" s="3" t="s">
        <v>333</v>
      </c>
      <c r="R519" s="3" t="s">
        <v>73</v>
      </c>
      <c r="S519" s="3" t="s">
        <v>85</v>
      </c>
    </row>
    <row r="520" spans="1:20">
      <c r="A520" s="3">
        <v>608</v>
      </c>
      <c r="B520" s="3" t="b">
        <f>ISNUMBER(MATCH(A520,[1]stockregister!$A$2:$A$2000,0))</f>
        <v>1</v>
      </c>
      <c r="C520" s="3" t="s">
        <v>376</v>
      </c>
      <c r="D520" s="3" t="str">
        <f>VLOOKUP($C520,[1]stockregister!$B$2:$B$2000,1,0)</f>
        <v>LEOPARDS LEAP  CAB SAuv 750ML</v>
      </c>
      <c r="E520" s="3" t="str">
        <f>IF(ISNA($D520),VLOOKUP($A520,[2]stockregister!$A$2:$B$2000,2,FALSE),"")</f>
        <v/>
      </c>
      <c r="F520" s="3" t="s">
        <v>21</v>
      </c>
      <c r="G520" s="3">
        <f>_xlfn.IFNA(VLOOKUP($A520,[3]stockregister!$A$2:$L$2000,11,0),0)</f>
        <v>28</v>
      </c>
      <c r="H520" s="3">
        <f>_xlfn.IFNA(VLOOKUP($A520,[3]stockregister!$A$2:$L$2000,11,0),0)-$G520</f>
        <v>0</v>
      </c>
      <c r="I520" s="3">
        <f>_xlfn.IFNA(VLOOKUP($A520,[3]stockregister!$A$2:$L$2000,12,0),0)</f>
        <v>5520</v>
      </c>
      <c r="J520" s="3">
        <f>_xlfn.IFNA(VLOOKUP($A520,[3]stockregister!$A$1:$M$2000,12,0),0)-$I520</f>
        <v>0</v>
      </c>
      <c r="K520" s="3" t="s">
        <v>22</v>
      </c>
      <c r="L520" s="3" t="s">
        <v>23</v>
      </c>
      <c r="M520" s="3">
        <f>_xlfn.IFNA(VLOOKUP($A520,[2]stockregister!$A$2:$H$2000,8,0),0)</f>
        <v>6000</v>
      </c>
      <c r="N520" s="3">
        <f>_xlfn.IFNA(VLOOKUP($A520,[2]stockregister!$A$2:$H$2000,8,0),0)-$M520</f>
        <v>0</v>
      </c>
      <c r="O520" s="3" t="s">
        <v>1218</v>
      </c>
      <c r="P520" s="3" t="s">
        <v>1218</v>
      </c>
      <c r="Q520" s="3" t="s">
        <v>1219</v>
      </c>
      <c r="R520" s="3" t="s">
        <v>92</v>
      </c>
      <c r="S520" s="3" t="s">
        <v>134</v>
      </c>
      <c r="T520" s="3">
        <v>15</v>
      </c>
    </row>
    <row r="521" spans="1:19">
      <c r="A521" s="3">
        <v>1402</v>
      </c>
      <c r="B521" s="3" t="b">
        <f>ISNUMBER(MATCH(A521,[1]stockregister!$A$2:$A$2000,0))</f>
        <v>1</v>
      </c>
      <c r="C521" s="3" t="s">
        <v>377</v>
      </c>
      <c r="D521" s="3" t="str">
        <f>VLOOKUP($C521,[1]stockregister!$B$2:$B$2000,1,0)</f>
        <v>LAURENT- PERRIER ROSE CHAMPAGNE  750ML</v>
      </c>
      <c r="E521" s="3" t="str">
        <f>IF(ISNA($D521),VLOOKUP($A521,[2]stockregister!$A$2:$B$2000,2,FALSE),"")</f>
        <v/>
      </c>
      <c r="F521" s="3" t="s">
        <v>21</v>
      </c>
      <c r="G521" s="3">
        <f>_xlfn.IFNA(VLOOKUP($A521,[3]stockregister!$A$2:$L$2000,11,0),0)</f>
        <v>3</v>
      </c>
      <c r="H521" s="3">
        <f>_xlfn.IFNA(VLOOKUP($A521,[3]stockregister!$A$2:$L$2000,11,0),0)-$G521</f>
        <v>0</v>
      </c>
      <c r="I521" s="3">
        <f>_xlfn.IFNA(VLOOKUP($A521,[3]stockregister!$A$2:$L$2000,12,0),0)</f>
        <v>1350</v>
      </c>
      <c r="J521" s="3">
        <f>_xlfn.IFNA(VLOOKUP($A521,[3]stockregister!$A$1:$M$2000,12,0),0)-$I521</f>
        <v>0</v>
      </c>
      <c r="K521" s="3" t="s">
        <v>22</v>
      </c>
      <c r="L521" s="3" t="s">
        <v>23</v>
      </c>
      <c r="M521" s="3">
        <f>_xlfn.IFNA(VLOOKUP($A521,[2]stockregister!$A$2:$H$2000,8,0),0)</f>
        <v>1450</v>
      </c>
      <c r="N521" s="3">
        <f>_xlfn.IFNA(VLOOKUP($A521,[2]stockregister!$A$2:$H$2000,8,0),0)-$M521</f>
        <v>0</v>
      </c>
      <c r="O521" s="3" t="s">
        <v>1220</v>
      </c>
      <c r="P521" s="3" t="s">
        <v>1220</v>
      </c>
      <c r="Q521" s="3" t="s">
        <v>801</v>
      </c>
      <c r="R521" s="3" t="s">
        <v>802</v>
      </c>
      <c r="S521" s="3" t="s">
        <v>803</v>
      </c>
    </row>
    <row r="522" spans="1:19">
      <c r="A522" s="3">
        <v>2800</v>
      </c>
      <c r="B522" s="3" t="b">
        <f>ISNUMBER(MATCH(A522,[1]stockregister!$A$2:$A$2000,0))</f>
        <v>1</v>
      </c>
      <c r="C522" s="3" t="s">
        <v>380</v>
      </c>
      <c r="D522" s="3" t="str">
        <f>VLOOKUP($C522,[1]stockregister!$B$2:$B$2000,1,0)</f>
        <v>PENASOL MEDIUM SWEET WHITE 1L</v>
      </c>
      <c r="E522" s="3" t="str">
        <f>IF(ISNA($D522),VLOOKUP($A522,[2]stockregister!$A$2:$B$2000,2,FALSE),"")</f>
        <v/>
      </c>
      <c r="F522" s="3" t="s">
        <v>21</v>
      </c>
      <c r="G522" s="3">
        <f>_xlfn.IFNA(VLOOKUP($A522,[3]stockregister!$A$2:$L$2000,11,0),0)</f>
        <v>26</v>
      </c>
      <c r="H522" s="3">
        <f>_xlfn.IFNA(VLOOKUP($A522,[3]stockregister!$A$2:$L$2000,11,0),0)-$G522</f>
        <v>0</v>
      </c>
      <c r="I522" s="3">
        <f>_xlfn.IFNA(VLOOKUP($A522,[3]stockregister!$A$2:$L$2000,12,0),0)</f>
        <v>12916</v>
      </c>
      <c r="J522" s="3">
        <f>_xlfn.IFNA(VLOOKUP($A522,[3]stockregister!$A$1:$M$2000,12,0),0)-$I522</f>
        <v>0</v>
      </c>
      <c r="K522" s="3" t="s">
        <v>22</v>
      </c>
      <c r="L522" s="3" t="s">
        <v>23</v>
      </c>
      <c r="M522" s="3">
        <f>_xlfn.IFNA(VLOOKUP($A522,[2]stockregister!$A$2:$H$2000,8,0),0)</f>
        <v>24000</v>
      </c>
      <c r="N522" s="3">
        <f>_xlfn.IFNA(VLOOKUP($A522,[2]stockregister!$A$2:$H$2000,8,0),0)-$M522</f>
        <v>0</v>
      </c>
      <c r="O522" s="3" t="s">
        <v>1221</v>
      </c>
      <c r="P522" s="3" t="s">
        <v>1221</v>
      </c>
      <c r="Q522" s="3" t="s">
        <v>101</v>
      </c>
      <c r="R522" s="3" t="s">
        <v>102</v>
      </c>
      <c r="S522" s="3" t="s">
        <v>1222</v>
      </c>
    </row>
    <row r="523" spans="1:19">
      <c r="A523" s="3">
        <v>966</v>
      </c>
      <c r="B523" s="3" t="b">
        <f>ISNUMBER(MATCH(A523,[1]stockregister!$A$2:$A$2000,0))</f>
        <v>1</v>
      </c>
      <c r="C523" s="3" t="s">
        <v>383</v>
      </c>
      <c r="D523" s="3" t="str">
        <f>VLOOKUP($C523,[1]stockregister!$B$2:$B$2000,1,0)</f>
        <v>JP AZEITAO RED 750ML </v>
      </c>
      <c r="E523" s="3" t="str">
        <f>IF(ISNA($D523),VLOOKUP($A523,[2]stockregister!$A$2:$B$2000,2,FALSE),"")</f>
        <v/>
      </c>
      <c r="F523" s="3" t="s">
        <v>21</v>
      </c>
      <c r="G523" s="3">
        <f>_xlfn.IFNA(VLOOKUP($A523,[3]stockregister!$A$2:$L$2000,11,0),0)</f>
        <v>26</v>
      </c>
      <c r="H523" s="3">
        <f>_xlfn.IFNA(VLOOKUP($A523,[3]stockregister!$A$2:$L$2000,11,0),0)-$G523</f>
        <v>0</v>
      </c>
      <c r="I523" s="3">
        <f>_xlfn.IFNA(VLOOKUP($A523,[3]stockregister!$A$2:$L$2000,12,0),0)</f>
        <v>31000</v>
      </c>
      <c r="J523" s="3">
        <f>_xlfn.IFNA(VLOOKUP($A523,[3]stockregister!$A$1:$M$2000,12,0),0)-$I523</f>
        <v>0</v>
      </c>
      <c r="K523" s="3" t="s">
        <v>22</v>
      </c>
      <c r="L523" s="3" t="s">
        <v>23</v>
      </c>
      <c r="M523" s="3">
        <f>_xlfn.IFNA(VLOOKUP($A523,[2]stockregister!$A$2:$H$2000,8,0),0)</f>
        <v>34000</v>
      </c>
      <c r="N523" s="3">
        <f>_xlfn.IFNA(VLOOKUP($A523,[2]stockregister!$A$2:$H$2000,8,0),0)-$M523</f>
        <v>0</v>
      </c>
      <c r="O523" s="3" t="s">
        <v>1223</v>
      </c>
      <c r="P523" s="3" t="s">
        <v>1223</v>
      </c>
      <c r="Q523" s="3" t="s">
        <v>227</v>
      </c>
      <c r="R523" s="3" t="s">
        <v>102</v>
      </c>
      <c r="S523" s="3" t="s">
        <v>401</v>
      </c>
    </row>
    <row r="524" spans="1:19">
      <c r="A524" s="3">
        <v>1376</v>
      </c>
      <c r="B524" s="3" t="b">
        <f>ISNUMBER(MATCH(A524,[1]stockregister!$A$2:$A$2000,0))</f>
        <v>1</v>
      </c>
      <c r="C524" s="3" t="s">
        <v>386</v>
      </c>
      <c r="D524" s="3" t="str">
        <f>VLOOKUP($C524,[1]stockregister!$B$2:$B$2000,1,0)</f>
        <v>JP AZEITAO WHITE 750ML </v>
      </c>
      <c r="E524" s="3" t="str">
        <f>IF(ISNA($D524),VLOOKUP($A524,[2]stockregister!$A$2:$B$2000,2,FALSE),"")</f>
        <v/>
      </c>
      <c r="F524" s="3" t="s">
        <v>21</v>
      </c>
      <c r="G524" s="3">
        <f>_xlfn.IFNA(VLOOKUP($A524,[3]stockregister!$A$2:$L$2000,11,0),0)</f>
        <v>26</v>
      </c>
      <c r="H524" s="3">
        <f>_xlfn.IFNA(VLOOKUP($A524,[3]stockregister!$A$2:$L$2000,11,0),0)-$G524</f>
        <v>0</v>
      </c>
      <c r="I524" s="3">
        <f>_xlfn.IFNA(VLOOKUP($A524,[3]stockregister!$A$2:$L$2000,12,0),0)</f>
        <v>2485</v>
      </c>
      <c r="J524" s="3">
        <f>_xlfn.IFNA(VLOOKUP($A524,[3]stockregister!$A$1:$M$2000,12,0),0)-$I524</f>
        <v>0</v>
      </c>
      <c r="K524" s="3" t="s">
        <v>22</v>
      </c>
      <c r="L524" s="3" t="s">
        <v>23</v>
      </c>
      <c r="M524" s="3">
        <f>_xlfn.IFNA(VLOOKUP($A524,[2]stockregister!$A$2:$H$2000,8,0),0)</f>
        <v>3900</v>
      </c>
      <c r="N524" s="3">
        <f>_xlfn.IFNA(VLOOKUP($A524,[2]stockregister!$A$2:$H$2000,8,0),0)-$M524</f>
        <v>0</v>
      </c>
      <c r="O524" s="3" t="s">
        <v>1224</v>
      </c>
      <c r="P524" s="3" t="s">
        <v>1224</v>
      </c>
      <c r="Q524" s="3" t="s">
        <v>1225</v>
      </c>
      <c r="R524" s="3" t="s">
        <v>78</v>
      </c>
      <c r="S524" s="3" t="s">
        <v>1226</v>
      </c>
    </row>
    <row r="525" spans="1:20">
      <c r="A525" s="3">
        <v>461</v>
      </c>
      <c r="B525" s="3" t="b">
        <f>ISNUMBER(MATCH(A525,[1]stockregister!$A$2:$A$2000,0))</f>
        <v>1</v>
      </c>
      <c r="C525" s="3" t="s">
        <v>387</v>
      </c>
      <c r="D525" s="3" t="str">
        <f>VLOOKUP($C525,[1]stockregister!$B$2:$B$2000,1,0)</f>
        <v>BOWMORE 12YRS WHISKY 700ML </v>
      </c>
      <c r="E525" s="3" t="str">
        <f>IF(ISNA($D525),VLOOKUP($A525,[2]stockregister!$A$2:$B$2000,2,FALSE),"")</f>
        <v/>
      </c>
      <c r="F525" s="3" t="s">
        <v>21</v>
      </c>
      <c r="G525" s="3">
        <f>_xlfn.IFNA(VLOOKUP($A525,[3]stockregister!$A$2:$L$2000,11,0),0)</f>
        <v>26</v>
      </c>
      <c r="H525" s="3">
        <f>_xlfn.IFNA(VLOOKUP($A525,[3]stockregister!$A$2:$L$2000,11,0),0)-$G525</f>
        <v>0</v>
      </c>
      <c r="I525" s="3">
        <f>_xlfn.IFNA(VLOOKUP($A525,[3]stockregister!$A$2:$L$2000,12,0),0)</f>
        <v>4784</v>
      </c>
      <c r="J525" s="3">
        <f>_xlfn.IFNA(VLOOKUP($A525,[3]stockregister!$A$1:$M$2000,12,0),0)-$I525</f>
        <v>0</v>
      </c>
      <c r="K525" s="3" t="s">
        <v>22</v>
      </c>
      <c r="L525" s="3" t="s">
        <v>23</v>
      </c>
      <c r="M525" s="3">
        <f>_xlfn.IFNA(VLOOKUP($A525,[2]stockregister!$A$2:$H$2000,8,0),0)</f>
        <v>5200</v>
      </c>
      <c r="N525" s="3">
        <f>_xlfn.IFNA(VLOOKUP($A525,[2]stockregister!$A$2:$H$2000,8,0),0)-$M525</f>
        <v>0</v>
      </c>
      <c r="O525" s="3" t="s">
        <v>1227</v>
      </c>
      <c r="P525" s="3" t="s">
        <v>1227</v>
      </c>
      <c r="Q525" s="3" t="s">
        <v>895</v>
      </c>
      <c r="R525" s="3" t="s">
        <v>92</v>
      </c>
      <c r="S525" s="3" t="s">
        <v>134</v>
      </c>
      <c r="T525" s="3">
        <v>13</v>
      </c>
    </row>
    <row r="526" spans="1:19">
      <c r="A526" s="3">
        <v>2596</v>
      </c>
      <c r="B526" s="3" t="b">
        <f>ISNUMBER(MATCH(A526,[1]stockregister!$A$2:$A$2000,0))</f>
        <v>1</v>
      </c>
      <c r="C526" s="3" t="s">
        <v>390</v>
      </c>
      <c r="D526" s="3" t="str">
        <f>VLOOKUP($C526,[1]stockregister!$B$2:$B$2000,1,0)</f>
        <v>BACARDI SUPERIOR  350ML</v>
      </c>
      <c r="E526" s="3" t="str">
        <f>IF(ISNA($D526),VLOOKUP($A526,[2]stockregister!$A$2:$B$2000,2,FALSE),"")</f>
        <v/>
      </c>
      <c r="F526" s="3" t="s">
        <v>21</v>
      </c>
      <c r="G526" s="3">
        <f>_xlfn.IFNA(VLOOKUP($A526,[3]stockregister!$A$2:$L$2000,11,0),0)</f>
        <v>26</v>
      </c>
      <c r="H526" s="3">
        <f>_xlfn.IFNA(VLOOKUP($A526,[3]stockregister!$A$2:$L$2000,11,0),0)-$G526</f>
        <v>0</v>
      </c>
      <c r="I526" s="3">
        <f>_xlfn.IFNA(VLOOKUP($A526,[3]stockregister!$A$2:$L$2000,12,0),0)</f>
        <v>1250</v>
      </c>
      <c r="J526" s="3">
        <f>_xlfn.IFNA(VLOOKUP($A526,[3]stockregister!$A$1:$M$2000,12,0),0)-$I526</f>
        <v>0</v>
      </c>
      <c r="K526" s="3" t="s">
        <v>22</v>
      </c>
      <c r="L526" s="3" t="s">
        <v>23</v>
      </c>
      <c r="M526" s="3">
        <f>_xlfn.IFNA(VLOOKUP($A526,[2]stockregister!$A$2:$H$2000,8,0),0)</f>
        <v>1500</v>
      </c>
      <c r="N526" s="3">
        <f>_xlfn.IFNA(VLOOKUP($A526,[2]stockregister!$A$2:$H$2000,8,0),0)-$M526</f>
        <v>0</v>
      </c>
      <c r="O526" s="3" t="s">
        <v>1228</v>
      </c>
      <c r="P526" s="3" t="s">
        <v>1228</v>
      </c>
      <c r="Q526" s="3" t="s">
        <v>1229</v>
      </c>
      <c r="R526" s="3" t="s">
        <v>537</v>
      </c>
      <c r="S526" s="3" t="s">
        <v>206</v>
      </c>
    </row>
    <row r="527" spans="1:19">
      <c r="A527" s="3">
        <v>2054</v>
      </c>
      <c r="B527" s="3" t="b">
        <f>ISNUMBER(MATCH(A527,[1]stockregister!$A$2:$A$2000,0))</f>
        <v>1</v>
      </c>
      <c r="C527" s="3" t="s">
        <v>394</v>
      </c>
      <c r="D527" s="3" t="str">
        <f>VLOOKUP($C527,[1]stockregister!$B$2:$B$2000,1,0)</f>
        <v>WOOSH 9000 PUFFS COLA LIME</v>
      </c>
      <c r="E527" s="3" t="str">
        <f>IF(ISNA($D527),VLOOKUP($A527,[2]stockregister!$A$2:$B$2000,2,FALSE),"")</f>
        <v/>
      </c>
      <c r="F527" s="3" t="s">
        <v>21</v>
      </c>
      <c r="G527" s="3">
        <f>_xlfn.IFNA(VLOOKUP($A527,[3]stockregister!$A$2:$L$2000,11,0),0)</f>
        <v>26</v>
      </c>
      <c r="H527" s="3">
        <f>_xlfn.IFNA(VLOOKUP($A527,[3]stockregister!$A$2:$L$2000,11,0),0)-$G527</f>
        <v>0</v>
      </c>
      <c r="I527" s="3">
        <f>_xlfn.IFNA(VLOOKUP($A527,[3]stockregister!$A$2:$L$2000,12,0),0)</f>
        <v>700</v>
      </c>
      <c r="J527" s="3">
        <f>_xlfn.IFNA(VLOOKUP($A527,[3]stockregister!$A$1:$M$2000,12,0),0)-$I527</f>
        <v>0</v>
      </c>
      <c r="K527" s="3" t="s">
        <v>22</v>
      </c>
      <c r="L527" s="3" t="s">
        <v>23</v>
      </c>
      <c r="M527" s="3">
        <f>_xlfn.IFNA(VLOOKUP($A527,[2]stockregister!$A$2:$H$2000,8,0),0)</f>
        <v>930</v>
      </c>
      <c r="N527" s="3">
        <f>_xlfn.IFNA(VLOOKUP($A527,[2]stockregister!$A$2:$H$2000,8,0),0)-$M527</f>
        <v>0</v>
      </c>
      <c r="O527" s="3" t="s">
        <v>1230</v>
      </c>
      <c r="P527" s="3" t="s">
        <v>1230</v>
      </c>
      <c r="Q527" s="3" t="s">
        <v>451</v>
      </c>
      <c r="R527" s="3" t="s">
        <v>68</v>
      </c>
      <c r="S527" s="3" t="s">
        <v>69</v>
      </c>
    </row>
    <row r="528" spans="1:19">
      <c r="A528" s="3">
        <v>1659</v>
      </c>
      <c r="B528" s="3" t="b">
        <f>ISNUMBER(MATCH(A528,[1]stockregister!$A$2:$A$2000,0))</f>
        <v>1</v>
      </c>
      <c r="C528" s="3" t="s">
        <v>396</v>
      </c>
      <c r="D528" s="3" t="str">
        <f>VLOOKUP($C528,[1]stockregister!$B$2:$B$2000,1,0)</f>
        <v>MARTINI  BIANCO 1LTR</v>
      </c>
      <c r="E528" s="3" t="str">
        <f>IF(ISNA($D528),VLOOKUP($A528,[2]stockregister!$A$2:$B$2000,2,FALSE),"")</f>
        <v/>
      </c>
      <c r="F528" s="3" t="s">
        <v>21</v>
      </c>
      <c r="G528" s="3">
        <f>_xlfn.IFNA(VLOOKUP($A528,[3]stockregister!$A$2:$L$2000,11,0),0)</f>
        <v>24</v>
      </c>
      <c r="H528" s="3">
        <f>_xlfn.IFNA(VLOOKUP($A528,[3]stockregister!$A$2:$L$2000,11,0),0)-$G528</f>
        <v>0</v>
      </c>
      <c r="I528" s="3">
        <f>_xlfn.IFNA(VLOOKUP($A528,[3]stockregister!$A$2:$L$2000,12,0),0)</f>
        <v>27600</v>
      </c>
      <c r="J528" s="3">
        <f>_xlfn.IFNA(VLOOKUP($A528,[3]stockregister!$A$1:$M$2000,12,0),0)-$I528</f>
        <v>0</v>
      </c>
      <c r="K528" s="3" t="s">
        <v>22</v>
      </c>
      <c r="L528" s="3" t="s">
        <v>23</v>
      </c>
      <c r="M528" s="3">
        <f>_xlfn.IFNA(VLOOKUP($A528,[2]stockregister!$A$2:$H$2000,8,0),0)</f>
        <v>33000</v>
      </c>
      <c r="N528" s="3">
        <f>_xlfn.IFNA(VLOOKUP($A528,[2]stockregister!$A$2:$H$2000,8,0),0)-$M528</f>
        <v>0</v>
      </c>
      <c r="O528" s="3" t="s">
        <v>807</v>
      </c>
      <c r="P528" s="3" t="s">
        <v>807</v>
      </c>
      <c r="Q528" s="3" t="s">
        <v>426</v>
      </c>
      <c r="R528" s="3" t="s">
        <v>102</v>
      </c>
      <c r="S528" s="3" t="s">
        <v>401</v>
      </c>
    </row>
    <row r="529" spans="1:19">
      <c r="A529" s="3">
        <v>317</v>
      </c>
      <c r="B529" s="3" t="b">
        <f>ISNUMBER(MATCH(A529,[1]stockregister!$A$2:$A$2000,0))</f>
        <v>1</v>
      </c>
      <c r="C529" s="3" t="s">
        <v>399</v>
      </c>
      <c r="D529" s="3" t="str">
        <f>VLOOKUP($C529,[1]stockregister!$B$2:$B$2000,1,0)</f>
        <v>JACK DANIELS SINATRA  1LTR</v>
      </c>
      <c r="E529" s="3" t="str">
        <f>IF(ISNA($D529),VLOOKUP($A529,[2]stockregister!$A$2:$B$2000,2,FALSE),"")</f>
        <v/>
      </c>
      <c r="F529" s="3" t="s">
        <v>21</v>
      </c>
      <c r="G529" s="3">
        <f>_xlfn.IFNA(VLOOKUP($A529,[3]stockregister!$A$2:$L$2000,11,0),0)</f>
        <v>25</v>
      </c>
      <c r="H529" s="3">
        <f>_xlfn.IFNA(VLOOKUP($A529,[3]stockregister!$A$2:$L$2000,11,0),0)-$G529</f>
        <v>0</v>
      </c>
      <c r="I529" s="3">
        <f>_xlfn.IFNA(VLOOKUP($A529,[3]stockregister!$A$2:$L$2000,12,0),0)</f>
        <v>1472</v>
      </c>
      <c r="J529" s="3">
        <f>_xlfn.IFNA(VLOOKUP($A529,[3]stockregister!$A$1:$M$2000,12,0),0)-$I529</f>
        <v>0</v>
      </c>
      <c r="K529" s="3" t="s">
        <v>22</v>
      </c>
      <c r="L529" s="3" t="s">
        <v>23</v>
      </c>
      <c r="M529" s="3">
        <f>_xlfn.IFNA(VLOOKUP($A529,[2]stockregister!$A$2:$H$2000,8,0),0)</f>
        <v>1600</v>
      </c>
      <c r="N529" s="3">
        <f>_xlfn.IFNA(VLOOKUP($A529,[2]stockregister!$A$2:$H$2000,8,0),0)-$M529</f>
        <v>0</v>
      </c>
      <c r="O529" s="3" t="s">
        <v>1231</v>
      </c>
      <c r="P529" s="3" t="s">
        <v>1231</v>
      </c>
      <c r="Q529" s="3" t="s">
        <v>641</v>
      </c>
      <c r="R529" s="3" t="s">
        <v>126</v>
      </c>
      <c r="S529" s="3" t="s">
        <v>708</v>
      </c>
    </row>
    <row r="530" spans="1:19">
      <c r="A530" s="3">
        <v>1676</v>
      </c>
      <c r="B530" s="3" t="b">
        <f>ISNUMBER(MATCH(A530,[1]stockregister!$A$2:$A$2000,0))</f>
        <v>1</v>
      </c>
      <c r="C530" s="3" t="s">
        <v>402</v>
      </c>
      <c r="D530" s="3" t="str">
        <f>VLOOKUP($C530,[1]stockregister!$B$2:$B$2000,1,0)</f>
        <v>SIX  DOGS KAROO 750ML</v>
      </c>
      <c r="E530" s="3" t="str">
        <f>IF(ISNA($D530),VLOOKUP($A530,[2]stockregister!$A$2:$B$2000,2,FALSE),"")</f>
        <v/>
      </c>
      <c r="F530" s="3" t="s">
        <v>21</v>
      </c>
      <c r="G530" s="3">
        <f>_xlfn.IFNA(VLOOKUP($A530,[3]stockregister!$A$2:$L$2000,11,0),0)</f>
        <v>25</v>
      </c>
      <c r="H530" s="3">
        <f>_xlfn.IFNA(VLOOKUP($A530,[3]stockregister!$A$2:$L$2000,11,0),0)-$G530</f>
        <v>0</v>
      </c>
      <c r="I530" s="3">
        <f>_xlfn.IFNA(VLOOKUP($A530,[3]stockregister!$A$2:$L$2000,12,0),0)</f>
        <v>1104</v>
      </c>
      <c r="J530" s="3">
        <f>_xlfn.IFNA(VLOOKUP($A530,[3]stockregister!$A$1:$M$2000,12,0),0)-$I530</f>
        <v>0</v>
      </c>
      <c r="K530" s="3" t="s">
        <v>22</v>
      </c>
      <c r="L530" s="3" t="s">
        <v>23</v>
      </c>
      <c r="M530" s="3">
        <f>_xlfn.IFNA(VLOOKUP($A530,[2]stockregister!$A$2:$H$2000,8,0),0)</f>
        <v>1200</v>
      </c>
      <c r="N530" s="3">
        <f>_xlfn.IFNA(VLOOKUP($A530,[2]stockregister!$A$2:$H$2000,8,0),0)-$M530</f>
        <v>0</v>
      </c>
      <c r="O530" s="3" t="s">
        <v>1232</v>
      </c>
      <c r="P530" s="3" t="s">
        <v>1232</v>
      </c>
      <c r="Q530" s="3" t="s">
        <v>522</v>
      </c>
      <c r="R530" s="3" t="s">
        <v>68</v>
      </c>
      <c r="S530" s="3" t="s">
        <v>206</v>
      </c>
    </row>
    <row r="531" spans="1:19">
      <c r="A531" s="3">
        <v>119</v>
      </c>
      <c r="B531" s="3" t="b">
        <f>ISNUMBER(MATCH(A531,[1]stockregister!$A$2:$A$2000,0))</f>
        <v>1</v>
      </c>
      <c r="C531" s="3" t="s">
        <v>404</v>
      </c>
      <c r="D531" s="3" t="str">
        <f>VLOOKUP($C531,[1]stockregister!$B$2:$B$2000,1,0)</f>
        <v>AUCHENTOSHAN AMERICAN  OAK 700ML</v>
      </c>
      <c r="E531" s="3" t="str">
        <f>IF(ISNA($D531),VLOOKUP($A531,[2]stockregister!$A$2:$B$2000,2,FALSE),"")</f>
        <v/>
      </c>
      <c r="F531" s="3" t="s">
        <v>21</v>
      </c>
      <c r="G531" s="3">
        <f>_xlfn.IFNA(VLOOKUP($A531,[3]stockregister!$A$2:$L$2000,11,0),0)</f>
        <v>25</v>
      </c>
      <c r="H531" s="3">
        <f>_xlfn.IFNA(VLOOKUP($A531,[3]stockregister!$A$2:$L$2000,11,0),0)-$G531</f>
        <v>0</v>
      </c>
      <c r="I531" s="3">
        <f>_xlfn.IFNA(VLOOKUP($A531,[3]stockregister!$A$2:$L$2000,12,0),0)</f>
        <v>1550</v>
      </c>
      <c r="J531" s="3">
        <f>_xlfn.IFNA(VLOOKUP($A531,[3]stockregister!$A$1:$M$2000,12,0),0)-$I531</f>
        <v>0</v>
      </c>
      <c r="K531" s="3" t="s">
        <v>22</v>
      </c>
      <c r="L531" s="3" t="s">
        <v>23</v>
      </c>
      <c r="M531" s="3">
        <f>_xlfn.IFNA(VLOOKUP($A531,[2]stockregister!$A$2:$H$2000,8,0),0)</f>
        <v>1630</v>
      </c>
      <c r="N531" s="3">
        <f>_xlfn.IFNA(VLOOKUP($A531,[2]stockregister!$A$2:$H$2000,8,0),0)-$M531</f>
        <v>0</v>
      </c>
      <c r="O531" s="3" t="s">
        <v>1233</v>
      </c>
      <c r="P531" s="3" t="s">
        <v>1233</v>
      </c>
      <c r="Q531" s="3" t="s">
        <v>1029</v>
      </c>
      <c r="R531" s="3" t="s">
        <v>68</v>
      </c>
      <c r="S531" s="3" t="s">
        <v>206</v>
      </c>
    </row>
    <row r="532" spans="1:19">
      <c r="A532" s="3">
        <v>1765</v>
      </c>
      <c r="B532" s="3" t="b">
        <f>ISNUMBER(MATCH(A532,[1]stockregister!$A$2:$A$2000,0))</f>
        <v>1</v>
      </c>
      <c r="C532" s="3" t="s">
        <v>407</v>
      </c>
      <c r="D532" s="3" t="str">
        <f>VLOOKUP($C532,[1]stockregister!$B$2:$B$2000,1,0)</f>
        <v>TALISKER  PORT RUIGHE WHISKY 700ML</v>
      </c>
      <c r="E532" s="3" t="str">
        <f>IF(ISNA($D532),VLOOKUP($A532,[2]stockregister!$A$2:$B$2000,2,FALSE),"")</f>
        <v/>
      </c>
      <c r="F532" s="3" t="s">
        <v>21</v>
      </c>
      <c r="G532" s="3">
        <f>_xlfn.IFNA(VLOOKUP($A532,[3]stockregister!$A$2:$L$2000,11,0),0)</f>
        <v>264</v>
      </c>
      <c r="H532" s="3">
        <f>_xlfn.IFNA(VLOOKUP($A532,[3]stockregister!$A$2:$L$2000,11,0),0)-$G532</f>
        <v>0</v>
      </c>
      <c r="I532" s="3">
        <f>_xlfn.IFNA(VLOOKUP($A532,[3]stockregister!$A$2:$L$2000,12,0),0)</f>
        <v>245</v>
      </c>
      <c r="J532" s="3">
        <f>_xlfn.IFNA(VLOOKUP($A532,[3]stockregister!$A$1:$M$2000,12,0),0)-$I532</f>
        <v>0</v>
      </c>
      <c r="K532" s="3" t="s">
        <v>22</v>
      </c>
      <c r="L532" s="3" t="s">
        <v>23</v>
      </c>
      <c r="M532" s="3">
        <f>_xlfn.IFNA(VLOOKUP($A532,[2]stockregister!$A$2:$H$2000,8,0),0)</f>
        <v>246</v>
      </c>
      <c r="N532" s="3">
        <f>_xlfn.IFNA(VLOOKUP($A532,[2]stockregister!$A$2:$H$2000,8,0),0)-$M532</f>
        <v>0</v>
      </c>
      <c r="O532" s="3" t="s">
        <v>1234</v>
      </c>
      <c r="P532" s="3" t="s">
        <v>1234</v>
      </c>
      <c r="Q532" s="3" t="s">
        <v>175</v>
      </c>
      <c r="R532" s="3" t="s">
        <v>97</v>
      </c>
      <c r="S532" s="3" t="s">
        <v>393</v>
      </c>
    </row>
    <row r="533" spans="1:19">
      <c r="A533" s="3">
        <v>2167</v>
      </c>
      <c r="B533" s="3" t="b">
        <f>ISNUMBER(MATCH(A533,[1]stockregister!$A$2:$A$2000,0))</f>
        <v>1</v>
      </c>
      <c r="C533" s="3" t="s">
        <v>409</v>
      </c>
      <c r="D533" s="3" t="str">
        <f>VLOOKUP($C533,[1]stockregister!$B$2:$B$2000,1,0)</f>
        <v>HAUTE CABRIERE CHARDONNAY  PINOT 750ML750ML</v>
      </c>
      <c r="E533" s="3" t="str">
        <f>IF(ISNA($D533),VLOOKUP($A533,[2]stockregister!$A$2:$B$2000,2,FALSE),"")</f>
        <v/>
      </c>
      <c r="F533" s="3" t="s">
        <v>21</v>
      </c>
      <c r="G533" s="3">
        <f>_xlfn.IFNA(VLOOKUP($A533,[3]stockregister!$A$2:$L$2000,11,0),0)</f>
        <v>0</v>
      </c>
      <c r="H533" s="3">
        <f>_xlfn.IFNA(VLOOKUP($A533,[3]stockregister!$A$2:$L$2000,11,0),0)-$G533</f>
        <v>0</v>
      </c>
      <c r="I533" s="3">
        <f>_xlfn.IFNA(VLOOKUP($A533,[3]stockregister!$A$2:$L$2000,12,0),0)</f>
        <v>203</v>
      </c>
      <c r="J533" s="3">
        <f>_xlfn.IFNA(VLOOKUP($A533,[3]stockregister!$A$1:$M$2000,12,0),0)-$I533</f>
        <v>0</v>
      </c>
      <c r="K533" s="3" t="s">
        <v>22</v>
      </c>
      <c r="L533" s="3" t="s">
        <v>23</v>
      </c>
      <c r="M533" s="3">
        <f>_xlfn.IFNA(VLOOKUP($A533,[2]stockregister!$A$2:$H$2000,8,0),0)</f>
        <v>220</v>
      </c>
      <c r="N533" s="3">
        <f>_xlfn.IFNA(VLOOKUP($A533,[2]stockregister!$A$2:$H$2000,8,0),0)-$M533</f>
        <v>0</v>
      </c>
      <c r="O533" s="3" t="s">
        <v>1235</v>
      </c>
      <c r="P533" s="3" t="s">
        <v>1235</v>
      </c>
      <c r="Q533" s="3" t="s">
        <v>811</v>
      </c>
      <c r="R533" s="3" t="s">
        <v>26</v>
      </c>
      <c r="S533" s="3" t="s">
        <v>130</v>
      </c>
    </row>
    <row r="534" spans="1:19">
      <c r="A534" s="3">
        <v>2828</v>
      </c>
      <c r="B534" s="3" t="b">
        <f>ISNUMBER(MATCH(A534,[1]stockregister!$A$2:$A$2000,0))</f>
        <v>1</v>
      </c>
      <c r="C534" s="3" t="s">
        <v>411</v>
      </c>
      <c r="D534" s="3" t="str">
        <f>VLOOKUP($C534,[1]stockregister!$B$2:$B$2000,1,0)</f>
        <v>WAVE DANCER SWT WHITE  700ML</v>
      </c>
      <c r="E534" s="3" t="str">
        <f>IF(ISNA($D534),VLOOKUP($A534,[2]stockregister!$A$2:$B$2000,2,FALSE),"")</f>
        <v/>
      </c>
      <c r="F534" s="3" t="s">
        <v>21</v>
      </c>
      <c r="G534" s="3">
        <f>_xlfn.IFNA(VLOOKUP($A534,[3]stockregister!$A$2:$L$2000,11,0),0)</f>
        <v>72</v>
      </c>
      <c r="H534" s="3">
        <f>_xlfn.IFNA(VLOOKUP($A534,[3]stockregister!$A$2:$L$2000,11,0),0)-$G534</f>
        <v>0</v>
      </c>
      <c r="I534" s="3">
        <f>_xlfn.IFNA(VLOOKUP($A534,[3]stockregister!$A$2:$L$2000,12,0),0)</f>
        <v>133.33</v>
      </c>
      <c r="J534" s="3">
        <f>_xlfn.IFNA(VLOOKUP($A534,[3]stockregister!$A$1:$M$2000,12,0),0)-$I534</f>
        <v>0</v>
      </c>
      <c r="K534" s="3" t="s">
        <v>22</v>
      </c>
      <c r="L534" s="3" t="s">
        <v>23</v>
      </c>
      <c r="M534" s="3">
        <f>_xlfn.IFNA(VLOOKUP($A534,[2]stockregister!$A$2:$H$2000,8,0),0)</f>
        <v>139.99</v>
      </c>
      <c r="N534" s="3">
        <f>_xlfn.IFNA(VLOOKUP($A534,[2]stockregister!$A$2:$H$2000,8,0),0)-$M534</f>
        <v>0</v>
      </c>
      <c r="O534" s="3" t="s">
        <v>1236</v>
      </c>
      <c r="P534" s="3" t="s">
        <v>1236</v>
      </c>
      <c r="Q534" s="3" t="s">
        <v>790</v>
      </c>
      <c r="R534" s="3" t="s">
        <v>216</v>
      </c>
      <c r="S534" s="3" t="s">
        <v>791</v>
      </c>
    </row>
    <row r="535" spans="1:19">
      <c r="A535" s="3">
        <v>2638</v>
      </c>
      <c r="B535" s="3" t="b">
        <f>ISNUMBER(MATCH(A535,[1]stockregister!$A$2:$A$2000,0))</f>
        <v>1</v>
      </c>
      <c r="C535" s="3" t="s">
        <v>413</v>
      </c>
      <c r="D535" s="3" t="str">
        <f>VLOOKUP($C535,[1]stockregister!$B$2:$B$2000,1,0)</f>
        <v>WHITLEY NEILL LEMON GRASS  GIN 1LTR</v>
      </c>
      <c r="E535" s="3" t="str">
        <f>IF(ISNA($D535),VLOOKUP($A535,[2]stockregister!$A$2:$B$2000,2,FALSE),"")</f>
        <v/>
      </c>
      <c r="F535" s="3" t="s">
        <v>21</v>
      </c>
      <c r="G535" s="3">
        <f>_xlfn.IFNA(VLOOKUP($A535,[3]stockregister!$A$2:$L$2000,11,0),0)</f>
        <v>0</v>
      </c>
      <c r="H535" s="3">
        <f>_xlfn.IFNA(VLOOKUP($A535,[3]stockregister!$A$2:$L$2000,11,0),0)-$G535</f>
        <v>0</v>
      </c>
      <c r="I535" s="3">
        <f>_xlfn.IFNA(VLOOKUP($A535,[3]stockregister!$A$2:$L$2000,12,0),0)</f>
        <v>65.83</v>
      </c>
      <c r="J535" s="3">
        <f>_xlfn.IFNA(VLOOKUP($A535,[3]stockregister!$A$1:$M$2000,12,0),0)-$I535</f>
        <v>0</v>
      </c>
      <c r="K535" s="3" t="s">
        <v>22</v>
      </c>
      <c r="L535" s="3" t="s">
        <v>23</v>
      </c>
      <c r="M535" s="3">
        <f>_xlfn.IFNA(VLOOKUP($A535,[2]stockregister!$A$2:$H$2000,8,0),0)</f>
        <v>80</v>
      </c>
      <c r="N535" s="3">
        <f>_xlfn.IFNA(VLOOKUP($A535,[2]stockregister!$A$2:$H$2000,8,0),0)-$M535</f>
        <v>0</v>
      </c>
      <c r="O535" s="3" t="s">
        <v>1237</v>
      </c>
      <c r="P535" s="3" t="s">
        <v>1237</v>
      </c>
      <c r="Q535" s="3" t="s">
        <v>1059</v>
      </c>
      <c r="R535" s="3" t="s">
        <v>26</v>
      </c>
      <c r="S535" s="3" t="s">
        <v>27</v>
      </c>
    </row>
    <row r="536" spans="1:18">
      <c r="A536" s="3">
        <v>685</v>
      </c>
      <c r="B536" s="3" t="b">
        <f>ISNUMBER(MATCH(A536,[1]stockregister!$A$2:$A$2000,0))</f>
        <v>1</v>
      </c>
      <c r="C536" s="3" t="s">
        <v>416</v>
      </c>
      <c r="D536" s="3" t="str">
        <f>VLOOKUP($C536,[1]stockregister!$B$2:$B$2000,1,0)</f>
        <v>MAISON CASTEL CUVEE ROSEE  750ML</v>
      </c>
      <c r="E536" s="3" t="str">
        <f>IF(ISNA($D536),VLOOKUP($A536,[2]stockregister!$A$2:$B$2000,2,FALSE),"")</f>
        <v/>
      </c>
      <c r="F536" s="3" t="s">
        <v>21</v>
      </c>
      <c r="G536" s="3">
        <f>_xlfn.IFNA(VLOOKUP($A536,[3]stockregister!$A$2:$L$2000,11,0),0)</f>
        <v>24</v>
      </c>
      <c r="H536" s="3">
        <f>_xlfn.IFNA(VLOOKUP($A536,[3]stockregister!$A$2:$L$2000,11,0),0)-$G536</f>
        <v>0</v>
      </c>
      <c r="I536" s="3">
        <f>_xlfn.IFNA(VLOOKUP($A536,[3]stockregister!$A$2:$L$2000,12,0),0)</f>
        <v>2500</v>
      </c>
      <c r="J536" s="3">
        <f>_xlfn.IFNA(VLOOKUP($A536,[3]stockregister!$A$1:$M$2000,12,0),0)-$I536</f>
        <v>0</v>
      </c>
      <c r="K536" s="3" t="s">
        <v>22</v>
      </c>
      <c r="L536" s="3" t="s">
        <v>23</v>
      </c>
      <c r="M536" s="3">
        <f>_xlfn.IFNA(VLOOKUP($A536,[2]stockregister!$A$2:$H$2000,8,0),0)</f>
        <v>2900</v>
      </c>
      <c r="N536" s="3">
        <f>_xlfn.IFNA(VLOOKUP($A536,[2]stockregister!$A$2:$H$2000,8,0),0)-$M536</f>
        <v>0</v>
      </c>
      <c r="O536" s="3" t="s">
        <v>1238</v>
      </c>
      <c r="P536" s="3" t="s">
        <v>1238</v>
      </c>
      <c r="Q536" s="3" t="s">
        <v>1239</v>
      </c>
      <c r="R536" s="3" t="s">
        <v>373</v>
      </c>
    </row>
    <row r="537" spans="1:18">
      <c r="A537" s="3">
        <v>1215</v>
      </c>
      <c r="B537" s="3" t="b">
        <f>ISNUMBER(MATCH(A537,[1]stockregister!$A$2:$A$2000,0))</f>
        <v>1</v>
      </c>
      <c r="C537" s="3" t="s">
        <v>418</v>
      </c>
      <c r="D537" s="3" t="str">
        <f>VLOOKUP($C537,[1]stockregister!$B$2:$B$2000,1,0)</f>
        <v>ANGOVE  MCLAREN VALE SHIRAZ 2016 750ML</v>
      </c>
      <c r="E537" s="3" t="str">
        <f>IF(ISNA($D537),VLOOKUP($A537,[2]stockregister!$A$2:$B$2000,2,FALSE),"")</f>
        <v/>
      </c>
      <c r="F537" s="3" t="s">
        <v>21</v>
      </c>
      <c r="G537" s="3">
        <f>_xlfn.IFNA(VLOOKUP($A537,[3]stockregister!$A$2:$L$2000,11,0),0)</f>
        <v>24</v>
      </c>
      <c r="H537" s="3">
        <f>_xlfn.IFNA(VLOOKUP($A537,[3]stockregister!$A$2:$L$2000,11,0),0)-$G537</f>
        <v>0</v>
      </c>
      <c r="I537" s="3">
        <f>_xlfn.IFNA(VLOOKUP($A537,[3]stockregister!$A$2:$L$2000,12,0),0)</f>
        <v>1800</v>
      </c>
      <c r="J537" s="3">
        <f>_xlfn.IFNA(VLOOKUP($A537,[3]stockregister!$A$1:$M$2000,12,0),0)-$I537</f>
        <v>0</v>
      </c>
      <c r="K537" s="3" t="s">
        <v>22</v>
      </c>
      <c r="L537" s="3" t="s">
        <v>23</v>
      </c>
      <c r="M537" s="3">
        <f>_xlfn.IFNA(VLOOKUP($A537,[2]stockregister!$A$2:$H$2000,8,0),0)</f>
        <v>2000</v>
      </c>
      <c r="N537" s="3">
        <f>_xlfn.IFNA(VLOOKUP($A537,[2]stockregister!$A$2:$H$2000,8,0),0)-$M537</f>
        <v>0</v>
      </c>
      <c r="O537" s="3" t="s">
        <v>1240</v>
      </c>
      <c r="P537" s="3" t="s">
        <v>1240</v>
      </c>
      <c r="Q537" s="3" t="s">
        <v>1241</v>
      </c>
      <c r="R537" s="3" t="s">
        <v>109</v>
      </c>
    </row>
    <row r="538" spans="1:18">
      <c r="A538" s="3">
        <v>2060</v>
      </c>
      <c r="B538" s="3" t="b">
        <f>ISNUMBER(MATCH(A538,[1]stockregister!$A$2:$A$2000,0))</f>
        <v>1</v>
      </c>
      <c r="C538" s="3" t="s">
        <v>422</v>
      </c>
      <c r="D538" s="3" t="str">
        <f>VLOOKUP($C538,[1]stockregister!$B$2:$B$2000,1,0)</f>
        <v>WOOSH PEN 1800 PUFFS COLA LIME </v>
      </c>
      <c r="E538" s="3" t="str">
        <f>IF(ISNA($D538),VLOOKUP($A538,[2]stockregister!$A$2:$B$2000,2,FALSE),"")</f>
        <v/>
      </c>
      <c r="F538" s="3" t="s">
        <v>21</v>
      </c>
      <c r="G538" s="3">
        <f>_xlfn.IFNA(VLOOKUP($A538,[3]stockregister!$A$2:$L$2000,11,0),0)</f>
        <v>960</v>
      </c>
      <c r="H538" s="3">
        <f>_xlfn.IFNA(VLOOKUP($A538,[3]stockregister!$A$2:$L$2000,11,0),0)-$G538</f>
        <v>0</v>
      </c>
      <c r="I538" s="3">
        <f>_xlfn.IFNA(VLOOKUP($A538,[3]stockregister!$A$2:$L$2000,12,0),0)</f>
        <v>422.399979</v>
      </c>
      <c r="J538" s="3">
        <f>_xlfn.IFNA(VLOOKUP($A538,[3]stockregister!$A$1:$M$2000,12,0),0)-$I538</f>
        <v>0</v>
      </c>
      <c r="K538" s="3" t="s">
        <v>22</v>
      </c>
      <c r="L538" s="3" t="s">
        <v>23</v>
      </c>
      <c r="M538" s="3">
        <f>_xlfn.IFNA(VLOOKUP($A538,[2]stockregister!$A$2:$H$2000,8,0),0)</f>
        <v>430</v>
      </c>
      <c r="N538" s="3">
        <f>_xlfn.IFNA(VLOOKUP($A538,[2]stockregister!$A$2:$H$2000,8,0),0)-$M538</f>
        <v>0</v>
      </c>
      <c r="O538" s="3" t="s">
        <v>1242</v>
      </c>
      <c r="P538" s="3" t="s">
        <v>1242</v>
      </c>
      <c r="Q538" s="3" t="s">
        <v>755</v>
      </c>
      <c r="R538" s="3" t="s">
        <v>109</v>
      </c>
    </row>
    <row r="539" spans="1:19">
      <c r="A539" s="3">
        <v>2261</v>
      </c>
      <c r="B539" s="3" t="b">
        <f>ISNUMBER(MATCH(A539,[1]stockregister!$A$2:$A$2000,0))</f>
        <v>1</v>
      </c>
      <c r="C539" s="3" t="s">
        <v>424</v>
      </c>
      <c r="D539" s="3" t="str">
        <f>VLOOKUP($C539,[1]stockregister!$B$2:$B$2000,1,0)</f>
        <v>WOOSH 9000 PUFFS WATERMELON ICE </v>
      </c>
      <c r="E539" s="3" t="str">
        <f>IF(ISNA($D539),VLOOKUP($A539,[2]stockregister!$A$2:$B$2000,2,FALSE),"")</f>
        <v/>
      </c>
      <c r="F539" s="3" t="s">
        <v>21</v>
      </c>
      <c r="G539" s="3">
        <f>_xlfn.IFNA(VLOOKUP($A539,[3]stockregister!$A$2:$L$2000,11,0),0)</f>
        <v>24</v>
      </c>
      <c r="H539" s="3">
        <f>_xlfn.IFNA(VLOOKUP($A539,[3]stockregister!$A$2:$L$2000,11,0),0)-$G539</f>
        <v>0</v>
      </c>
      <c r="I539" s="3">
        <f>_xlfn.IFNA(VLOOKUP($A539,[3]stockregister!$A$2:$L$2000,12,0),0)</f>
        <v>2000</v>
      </c>
      <c r="J539" s="3">
        <f>_xlfn.IFNA(VLOOKUP($A539,[3]stockregister!$A$1:$M$2000,12,0),0)-$I539</f>
        <v>0</v>
      </c>
      <c r="K539" s="3" t="s">
        <v>22</v>
      </c>
      <c r="L539" s="3" t="s">
        <v>23</v>
      </c>
      <c r="M539" s="3">
        <f>_xlfn.IFNA(VLOOKUP($A539,[2]stockregister!$A$2:$H$2000,8,0),0)</f>
        <v>2100</v>
      </c>
      <c r="N539" s="3">
        <f>_xlfn.IFNA(VLOOKUP($A539,[2]stockregister!$A$2:$H$2000,8,0),0)-$M539</f>
        <v>0</v>
      </c>
      <c r="O539" s="3" t="s">
        <v>1243</v>
      </c>
      <c r="P539" s="3" t="s">
        <v>1243</v>
      </c>
      <c r="Q539" s="3" t="s">
        <v>1244</v>
      </c>
      <c r="R539" s="3" t="s">
        <v>78</v>
      </c>
      <c r="S539" s="3" t="s">
        <v>1187</v>
      </c>
    </row>
    <row r="540" spans="1:19">
      <c r="A540" s="3">
        <v>242</v>
      </c>
      <c r="B540" s="3" t="b">
        <f>ISNUMBER(MATCH(A540,[1]stockregister!$A$2:$A$2000,0))</f>
        <v>1</v>
      </c>
      <c r="C540" s="3" t="s">
        <v>427</v>
      </c>
      <c r="D540" s="3" t="str">
        <f>VLOOKUP($C540,[1]stockregister!$B$2:$B$2000,1,0)</f>
        <v>FRONTERA CAB SAUV  750ML</v>
      </c>
      <c r="E540" s="3" t="str">
        <f>IF(ISNA($D540),VLOOKUP($A540,[2]stockregister!$A$2:$B$2000,2,FALSE),"")</f>
        <v/>
      </c>
      <c r="F540" s="3" t="s">
        <v>21</v>
      </c>
      <c r="G540" s="3">
        <f>_xlfn.IFNA(VLOOKUP($A540,[3]stockregister!$A$2:$L$2000,11,0),0)</f>
        <v>24</v>
      </c>
      <c r="H540" s="3">
        <f>_xlfn.IFNA(VLOOKUP($A540,[3]stockregister!$A$2:$L$2000,11,0),0)-$G540</f>
        <v>0</v>
      </c>
      <c r="I540" s="3">
        <f>_xlfn.IFNA(VLOOKUP($A540,[3]stockregister!$A$2:$L$2000,12,0),0)</f>
        <v>3312</v>
      </c>
      <c r="J540" s="3">
        <f>_xlfn.IFNA(VLOOKUP($A540,[3]stockregister!$A$1:$M$2000,12,0),0)-$I540</f>
        <v>0</v>
      </c>
      <c r="K540" s="3" t="s">
        <v>22</v>
      </c>
      <c r="L540" s="3" t="s">
        <v>23</v>
      </c>
      <c r="M540" s="3">
        <f>_xlfn.IFNA(VLOOKUP($A540,[2]stockregister!$A$2:$H$2000,8,0),0)</f>
        <v>3600</v>
      </c>
      <c r="N540" s="3">
        <f>_xlfn.IFNA(VLOOKUP($A540,[2]stockregister!$A$2:$H$2000,8,0),0)-$M540</f>
        <v>0</v>
      </c>
      <c r="O540" s="3" t="s">
        <v>1245</v>
      </c>
      <c r="P540" s="3" t="s">
        <v>1245</v>
      </c>
      <c r="Q540" s="3" t="s">
        <v>1246</v>
      </c>
      <c r="R540" s="3" t="s">
        <v>78</v>
      </c>
      <c r="S540" s="3" t="s">
        <v>1247</v>
      </c>
    </row>
    <row r="541" spans="1:19">
      <c r="A541" s="3">
        <v>2169</v>
      </c>
      <c r="B541" s="3" t="b">
        <f>ISNUMBER(MATCH(A541,[1]stockregister!$A$2:$A$2000,0))</f>
        <v>1</v>
      </c>
      <c r="C541" s="3" t="s">
        <v>429</v>
      </c>
      <c r="D541" s="3" t="str">
        <f>VLOOKUP($C541,[1]stockregister!$B$2:$B$2000,1,0)</f>
        <v>WOOSH 9000 PUFFS SUN KISSED GRAPE</v>
      </c>
      <c r="E541" s="3" t="str">
        <f>IF(ISNA($D541),VLOOKUP($A541,[2]stockregister!$A$2:$B$2000,2,FALSE),"")</f>
        <v/>
      </c>
      <c r="F541" s="3" t="s">
        <v>21</v>
      </c>
      <c r="G541" s="3">
        <f>_xlfn.IFNA(VLOOKUP($A541,[3]stockregister!$A$2:$L$2000,11,0),0)</f>
        <v>24</v>
      </c>
      <c r="H541" s="3">
        <f>_xlfn.IFNA(VLOOKUP($A541,[3]stockregister!$A$2:$L$2000,11,0),0)-$G541</f>
        <v>0</v>
      </c>
      <c r="I541" s="3">
        <f>_xlfn.IFNA(VLOOKUP($A541,[3]stockregister!$A$2:$L$2000,12,0),0)</f>
        <v>540</v>
      </c>
      <c r="J541" s="3">
        <f>_xlfn.IFNA(VLOOKUP($A541,[3]stockregister!$A$1:$M$2000,12,0),0)-$I541</f>
        <v>0</v>
      </c>
      <c r="K541" s="3" t="s">
        <v>22</v>
      </c>
      <c r="L541" s="3" t="s">
        <v>23</v>
      </c>
      <c r="M541" s="3">
        <f>_xlfn.IFNA(VLOOKUP($A541,[2]stockregister!$A$2:$H$2000,8,0),0)</f>
        <v>550</v>
      </c>
      <c r="N541" s="3">
        <f>_xlfn.IFNA(VLOOKUP($A541,[2]stockregister!$A$2:$H$2000,8,0),0)-$M541</f>
        <v>0</v>
      </c>
      <c r="O541" s="3" t="s">
        <v>1248</v>
      </c>
      <c r="P541" s="3" t="s">
        <v>1248</v>
      </c>
      <c r="Q541" s="3" t="s">
        <v>811</v>
      </c>
      <c r="R541" s="3" t="s">
        <v>78</v>
      </c>
      <c r="S541" s="3" t="s">
        <v>1249</v>
      </c>
    </row>
    <row r="542" spans="1:18">
      <c r="A542" s="3">
        <v>956</v>
      </c>
      <c r="B542" s="3" t="b">
        <f>ISNUMBER(MATCH(A542,[1]stockregister!$A$2:$A$2000,0))</f>
        <v>1</v>
      </c>
      <c r="C542" s="3" t="s">
        <v>431</v>
      </c>
      <c r="D542" s="3" t="str">
        <f>VLOOKUP($C542,[1]stockregister!$B$2:$B$2000,1,0)</f>
        <v>JOHNNIE WALKER RED LABEL  1LTR</v>
      </c>
      <c r="E542" s="3" t="str">
        <f>IF(ISNA($D542),VLOOKUP($A542,[2]stockregister!$A$2:$B$2000,2,FALSE),"")</f>
        <v/>
      </c>
      <c r="F542" s="3" t="s">
        <v>21</v>
      </c>
      <c r="G542" s="3">
        <f>_xlfn.IFNA(VLOOKUP($A542,[3]stockregister!$A$2:$L$2000,11,0),0)</f>
        <v>24</v>
      </c>
      <c r="H542" s="3">
        <f>_xlfn.IFNA(VLOOKUP($A542,[3]stockregister!$A$2:$L$2000,11,0),0)-$G542</f>
        <v>0</v>
      </c>
      <c r="I542" s="3">
        <f>_xlfn.IFNA(VLOOKUP($A542,[3]stockregister!$A$2:$L$2000,12,0),0)</f>
        <v>5300</v>
      </c>
      <c r="J542" s="3">
        <f>_xlfn.IFNA(VLOOKUP($A542,[3]stockregister!$A$1:$M$2000,12,0),0)-$I542</f>
        <v>0</v>
      </c>
      <c r="K542" s="3" t="s">
        <v>22</v>
      </c>
      <c r="L542" s="3" t="s">
        <v>23</v>
      </c>
      <c r="M542" s="3">
        <f>_xlfn.IFNA(VLOOKUP($A542,[2]stockregister!$A$2:$H$2000,8,0),0)</f>
        <v>5400</v>
      </c>
      <c r="N542" s="3">
        <f>_xlfn.IFNA(VLOOKUP($A542,[2]stockregister!$A$2:$H$2000,8,0),0)-$M542</f>
        <v>0</v>
      </c>
      <c r="O542" s="3" t="s">
        <v>1250</v>
      </c>
      <c r="P542" s="3" t="s">
        <v>1250</v>
      </c>
      <c r="Q542" s="3" t="s">
        <v>979</v>
      </c>
      <c r="R542" s="3" t="s">
        <v>78</v>
      </c>
    </row>
    <row r="543" spans="1:18">
      <c r="A543" s="3">
        <v>243</v>
      </c>
      <c r="B543" s="3" t="b">
        <f>ISNUMBER(MATCH(A543,[1]stockregister!$A$2:$A$2000,0))</f>
        <v>1</v>
      </c>
      <c r="C543" s="3" t="s">
        <v>434</v>
      </c>
      <c r="D543" s="3" t="str">
        <f>VLOOKUP($C543,[1]stockregister!$B$2:$B$2000,1,0)</f>
        <v>STARCHASER  750ML</v>
      </c>
      <c r="E543" s="3" t="str">
        <f>IF(ISNA($D543),VLOOKUP($A543,[2]stockregister!$A$2:$B$2000,2,FALSE),"")</f>
        <v/>
      </c>
      <c r="F543" s="3" t="s">
        <v>21</v>
      </c>
      <c r="G543" s="3">
        <f>_xlfn.IFNA(VLOOKUP($A543,[3]stockregister!$A$2:$L$2000,11,0),0)</f>
        <v>24</v>
      </c>
      <c r="H543" s="3">
        <f>_xlfn.IFNA(VLOOKUP($A543,[3]stockregister!$A$2:$L$2000,11,0),0)-$G543</f>
        <v>0</v>
      </c>
      <c r="I543" s="3">
        <f>_xlfn.IFNA(VLOOKUP($A543,[3]stockregister!$A$2:$L$2000,12,0),0)</f>
        <v>3864</v>
      </c>
      <c r="J543" s="3">
        <f>_xlfn.IFNA(VLOOKUP($A543,[3]stockregister!$A$1:$M$2000,12,0),0)-$I543</f>
        <v>0</v>
      </c>
      <c r="K543" s="3" t="s">
        <v>22</v>
      </c>
      <c r="L543" s="3" t="s">
        <v>23</v>
      </c>
      <c r="M543" s="3">
        <f>_xlfn.IFNA(VLOOKUP($A543,[2]stockregister!$A$2:$H$2000,8,0),0)</f>
        <v>4200</v>
      </c>
      <c r="N543" s="3">
        <f>_xlfn.IFNA(VLOOKUP($A543,[2]stockregister!$A$2:$H$2000,8,0),0)-$M543</f>
        <v>0</v>
      </c>
      <c r="O543" s="3" t="s">
        <v>1251</v>
      </c>
      <c r="P543" s="3" t="s">
        <v>1251</v>
      </c>
      <c r="Q543" s="3" t="s">
        <v>1252</v>
      </c>
      <c r="R543" s="3" t="s">
        <v>78</v>
      </c>
    </row>
    <row r="544" spans="1:19">
      <c r="A544" s="3">
        <v>1932</v>
      </c>
      <c r="B544" s="3" t="b">
        <f>ISNUMBER(MATCH(A544,[1]stockregister!$A$2:$A$2000,0))</f>
        <v>1</v>
      </c>
      <c r="C544" s="3" t="s">
        <v>436</v>
      </c>
      <c r="D544" s="3" t="str">
        <f>VLOOKUP($C544,[1]stockregister!$B$2:$B$2000,1,0)</f>
        <v>ROOIBERG WINERY RED MUSCADEL  750ML</v>
      </c>
      <c r="E544" s="3" t="str">
        <f>IF(ISNA($D544),VLOOKUP($A544,[2]stockregister!$A$2:$B$2000,2,FALSE),"")</f>
        <v/>
      </c>
      <c r="F544" s="3" t="s">
        <v>21</v>
      </c>
      <c r="G544" s="3">
        <f>_xlfn.IFNA(VLOOKUP($A544,[3]stockregister!$A$2:$L$2000,11,0),0)</f>
        <v>24</v>
      </c>
      <c r="H544" s="3">
        <f>_xlfn.IFNA(VLOOKUP($A544,[3]stockregister!$A$2:$L$2000,11,0),0)-$G544</f>
        <v>0</v>
      </c>
      <c r="I544" s="3">
        <f>_xlfn.IFNA(VLOOKUP($A544,[3]stockregister!$A$2:$L$2000,12,0),0)</f>
        <v>2100</v>
      </c>
      <c r="J544" s="3">
        <f>_xlfn.IFNA(VLOOKUP($A544,[3]stockregister!$A$1:$M$2000,12,0),0)-$I544</f>
        <v>0</v>
      </c>
      <c r="K544" s="3" t="s">
        <v>22</v>
      </c>
      <c r="L544" s="3" t="s">
        <v>23</v>
      </c>
      <c r="M544" s="3">
        <f>_xlfn.IFNA(VLOOKUP($A544,[2]stockregister!$A$2:$H$2000,8,0),0)</f>
        <v>2300</v>
      </c>
      <c r="N544" s="3">
        <f>_xlfn.IFNA(VLOOKUP($A544,[2]stockregister!$A$2:$H$2000,8,0),0)-$M544</f>
        <v>0</v>
      </c>
      <c r="O544" s="3" t="s">
        <v>1253</v>
      </c>
      <c r="P544" s="3" t="s">
        <v>1253</v>
      </c>
      <c r="Q544" s="3" t="s">
        <v>1254</v>
      </c>
      <c r="R544" s="3" t="s">
        <v>126</v>
      </c>
      <c r="S544" s="3" t="s">
        <v>1255</v>
      </c>
    </row>
    <row r="545" spans="1:18">
      <c r="A545" s="3">
        <v>2452</v>
      </c>
      <c r="B545" s="3" t="b">
        <f>ISNUMBER(MATCH(A545,[1]stockregister!$A$2:$A$2000,0))</f>
        <v>1</v>
      </c>
      <c r="C545" s="3" t="s">
        <v>439</v>
      </c>
      <c r="D545" s="3" t="str">
        <f>VLOOKUP($C545,[1]stockregister!$B$2:$B$2000,1,0)</f>
        <v>ROSSO BIANCO NOBILE ALLA VANIGLIA 750ML</v>
      </c>
      <c r="E545" s="3" t="str">
        <f>IF(ISNA($D545),VLOOKUP($A545,[2]stockregister!$A$2:$B$2000,2,FALSE),"")</f>
        <v/>
      </c>
      <c r="F545" s="3" t="s">
        <v>21</v>
      </c>
      <c r="G545" s="3">
        <f>_xlfn.IFNA(VLOOKUP($A545,[3]stockregister!$A$2:$L$2000,11,0),0)</f>
        <v>72</v>
      </c>
      <c r="H545" s="3">
        <f>_xlfn.IFNA(VLOOKUP($A545,[3]stockregister!$A$2:$L$2000,11,0),0)-$G545</f>
        <v>0</v>
      </c>
      <c r="I545" s="3">
        <f>_xlfn.IFNA(VLOOKUP($A545,[3]stockregister!$A$2:$L$2000,12,0),0)</f>
        <v>543</v>
      </c>
      <c r="J545" s="3">
        <f>_xlfn.IFNA(VLOOKUP($A545,[3]stockregister!$A$1:$M$2000,12,0),0)-$I545</f>
        <v>0</v>
      </c>
      <c r="K545" s="3" t="s">
        <v>22</v>
      </c>
      <c r="L545" s="3" t="s">
        <v>23</v>
      </c>
      <c r="M545" s="3">
        <f>_xlfn.IFNA(VLOOKUP($A545,[2]stockregister!$A$2:$H$2000,8,0),0)</f>
        <v>560</v>
      </c>
      <c r="N545" s="3">
        <f>_xlfn.IFNA(VLOOKUP($A545,[2]stockregister!$A$2:$H$2000,8,0),0)-$M545</f>
        <v>0</v>
      </c>
      <c r="O545" s="3" t="s">
        <v>1256</v>
      </c>
      <c r="P545" s="3" t="s">
        <v>1256</v>
      </c>
      <c r="Q545" s="3" t="s">
        <v>574</v>
      </c>
      <c r="R545" s="3" t="s">
        <v>466</v>
      </c>
    </row>
    <row r="546" spans="1:19">
      <c r="A546" s="3">
        <v>481</v>
      </c>
      <c r="B546" s="3" t="b">
        <f>ISNUMBER(MATCH(A546,[1]stockregister!$A$2:$A$2000,0))</f>
        <v>1</v>
      </c>
      <c r="C546" s="3" t="s">
        <v>442</v>
      </c>
      <c r="D546" s="3" t="str">
        <f>VLOOKUP($C546,[1]stockregister!$B$2:$B$2000,1,0)</f>
        <v>MANYATTA  MANGO &amp; GINGER 330ML</v>
      </c>
      <c r="E546" s="3" t="str">
        <f>IF(ISNA($D546),VLOOKUP($A546,[2]stockregister!$A$2:$B$2000,2,FALSE),"")</f>
        <v/>
      </c>
      <c r="F546" s="3" t="s">
        <v>21</v>
      </c>
      <c r="G546" s="3">
        <f>_xlfn.IFNA(VLOOKUP($A546,[3]stockregister!$A$2:$L$2000,11,0),0)</f>
        <v>24</v>
      </c>
      <c r="H546" s="3">
        <f>_xlfn.IFNA(VLOOKUP($A546,[3]stockregister!$A$2:$L$2000,11,0),0)-$G546</f>
        <v>0</v>
      </c>
      <c r="I546" s="3">
        <f>_xlfn.IFNA(VLOOKUP($A546,[3]stockregister!$A$2:$L$2000,12,0),0)</f>
        <v>4048</v>
      </c>
      <c r="J546" s="3">
        <f>_xlfn.IFNA(VLOOKUP($A546,[3]stockregister!$A$1:$M$2000,12,0),0)-$I546</f>
        <v>0</v>
      </c>
      <c r="K546" s="3" t="s">
        <v>22</v>
      </c>
      <c r="L546" s="3" t="s">
        <v>23</v>
      </c>
      <c r="M546" s="3">
        <f>_xlfn.IFNA(VLOOKUP($A546,[2]stockregister!$A$2:$H$2000,8,0),0)</f>
        <v>4400</v>
      </c>
      <c r="N546" s="3">
        <f>_xlfn.IFNA(VLOOKUP($A546,[2]stockregister!$A$2:$H$2000,8,0),0)-$M546</f>
        <v>0</v>
      </c>
      <c r="O546" s="3" t="s">
        <v>1257</v>
      </c>
      <c r="P546" s="3" t="s">
        <v>1257</v>
      </c>
      <c r="Q546" s="3" t="s">
        <v>655</v>
      </c>
      <c r="R546" s="3" t="s">
        <v>318</v>
      </c>
      <c r="S546" s="3" t="s">
        <v>601</v>
      </c>
    </row>
    <row r="547" spans="1:18">
      <c r="A547" s="3">
        <v>2409</v>
      </c>
      <c r="B547" s="3" t="b">
        <f>ISNUMBER(MATCH(A547,[1]stockregister!$A$2:$A$2000,0))</f>
        <v>1</v>
      </c>
      <c r="C547" s="3" t="s">
        <v>445</v>
      </c>
      <c r="D547" s="3" t="str">
        <f>VLOOKUP($C547,[1]stockregister!$B$2:$B$2000,1,0)</f>
        <v>KO LIME AND GINGER 330 ML CAN </v>
      </c>
      <c r="E547" s="3" t="str">
        <f>IF(ISNA($D547),VLOOKUP($A547,[2]stockregister!$A$2:$B$2000,2,FALSE),"")</f>
        <v/>
      </c>
      <c r="F547" s="3" t="s">
        <v>21</v>
      </c>
      <c r="G547" s="3">
        <f>_xlfn.IFNA(VLOOKUP($A547,[3]stockregister!$A$2:$L$2000,11,0),0)</f>
        <v>24</v>
      </c>
      <c r="H547" s="3">
        <f>_xlfn.IFNA(VLOOKUP($A547,[3]stockregister!$A$2:$L$2000,11,0),0)-$G547</f>
        <v>0</v>
      </c>
      <c r="I547" s="3">
        <f>_xlfn.IFNA(VLOOKUP($A547,[3]stockregister!$A$2:$L$2000,12,0),0)</f>
        <v>500</v>
      </c>
      <c r="J547" s="3">
        <f>_xlfn.IFNA(VLOOKUP($A547,[3]stockregister!$A$1:$M$2000,12,0),0)-$I547</f>
        <v>0</v>
      </c>
      <c r="K547" s="3" t="s">
        <v>22</v>
      </c>
      <c r="L547" s="3" t="s">
        <v>23</v>
      </c>
      <c r="M547" s="3">
        <f>_xlfn.IFNA(VLOOKUP($A547,[2]stockregister!$A$2:$H$2000,8,0),0)</f>
        <v>700</v>
      </c>
      <c r="N547" s="3">
        <f>_xlfn.IFNA(VLOOKUP($A547,[2]stockregister!$A$2:$H$2000,8,0),0)-$M547</f>
        <v>0</v>
      </c>
      <c r="O547" s="3" t="s">
        <v>1258</v>
      </c>
      <c r="P547" s="3" t="s">
        <v>1258</v>
      </c>
      <c r="Q547" s="3" t="s">
        <v>1259</v>
      </c>
      <c r="R547" s="3" t="s">
        <v>318</v>
      </c>
    </row>
    <row r="548" spans="1:19">
      <c r="A548" s="3">
        <v>2370</v>
      </c>
      <c r="B548" s="3" t="b">
        <f>ISNUMBER(MATCH(A548,[1]stockregister!$A$2:$A$2000,0))</f>
        <v>1</v>
      </c>
      <c r="C548" s="3" t="s">
        <v>449</v>
      </c>
      <c r="D548" s="3" t="str">
        <f>VLOOKUP($C548,[1]stockregister!$B$2:$B$2000,1,0)</f>
        <v>KO  DRY CIDER 500ML</v>
      </c>
      <c r="E548" s="3" t="str">
        <f>IF(ISNA($D548),VLOOKUP($A548,[2]stockregister!$A$2:$B$2000,2,FALSE),"")</f>
        <v/>
      </c>
      <c r="F548" s="3" t="s">
        <v>21</v>
      </c>
      <c r="G548" s="3">
        <f>_xlfn.IFNA(VLOOKUP($A548,[3]stockregister!$A$2:$L$2000,11,0),0)</f>
        <v>24</v>
      </c>
      <c r="H548" s="3">
        <f>_xlfn.IFNA(VLOOKUP($A548,[3]stockregister!$A$2:$L$2000,11,0),0)-$G548</f>
        <v>0</v>
      </c>
      <c r="I548" s="3">
        <f>_xlfn.IFNA(VLOOKUP($A548,[3]stockregister!$A$2:$L$2000,12,0),0)</f>
        <v>7200</v>
      </c>
      <c r="J548" s="3">
        <f>_xlfn.IFNA(VLOOKUP($A548,[3]stockregister!$A$1:$M$2000,12,0),0)-$I548</f>
        <v>0</v>
      </c>
      <c r="K548" s="3" t="s">
        <v>22</v>
      </c>
      <c r="L548" s="3" t="s">
        <v>23</v>
      </c>
      <c r="M548" s="3">
        <f>_xlfn.IFNA(VLOOKUP($A548,[2]stockregister!$A$2:$H$2000,8,0),0)</f>
        <v>8500</v>
      </c>
      <c r="N548" s="3">
        <f>_xlfn.IFNA(VLOOKUP($A548,[2]stockregister!$A$2:$H$2000,8,0),0)-$M548</f>
        <v>0</v>
      </c>
      <c r="O548" s="3" t="s">
        <v>1260</v>
      </c>
      <c r="P548" s="3" t="s">
        <v>1260</v>
      </c>
      <c r="Q548" s="3" t="s">
        <v>1100</v>
      </c>
      <c r="R548" s="3" t="s">
        <v>113</v>
      </c>
      <c r="S548" s="3" t="s">
        <v>114</v>
      </c>
    </row>
    <row r="549" spans="1:20">
      <c r="A549" s="3">
        <v>2802</v>
      </c>
      <c r="B549" s="3" t="b">
        <f>ISNUMBER(MATCH(A549,[1]stockregister!$A$2:$A$2000,0))</f>
        <v>1</v>
      </c>
      <c r="C549" s="3" t="s">
        <v>452</v>
      </c>
      <c r="D549" s="3" t="str">
        <f>VLOOKUP($C549,[1]stockregister!$B$2:$B$2000,1,0)</f>
        <v>RED BULL ENERGY DRINK 250ML</v>
      </c>
      <c r="E549" s="3" t="str">
        <f>IF(ISNA($D549),VLOOKUP($A549,[2]stockregister!$A$2:$B$2000,2,FALSE),"")</f>
        <v/>
      </c>
      <c r="F549" s="3" t="s">
        <v>21</v>
      </c>
      <c r="G549" s="3">
        <f>_xlfn.IFNA(VLOOKUP($A549,[3]stockregister!$A$2:$L$2000,11,0),0)</f>
        <v>24</v>
      </c>
      <c r="H549" s="3">
        <f>_xlfn.IFNA(VLOOKUP($A549,[3]stockregister!$A$2:$L$2000,11,0),0)-$G549</f>
        <v>0</v>
      </c>
      <c r="I549" s="3">
        <f>_xlfn.IFNA(VLOOKUP($A549,[3]stockregister!$A$2:$L$2000,12,0),0)</f>
        <v>7010</v>
      </c>
      <c r="J549" s="3">
        <f>_xlfn.IFNA(VLOOKUP($A549,[3]stockregister!$A$1:$M$2000,12,0),0)-$I549</f>
        <v>0</v>
      </c>
      <c r="K549" s="3" t="s">
        <v>22</v>
      </c>
      <c r="L549" s="3" t="s">
        <v>23</v>
      </c>
      <c r="M549" s="3">
        <f>_xlfn.IFNA(VLOOKUP($A549,[2]stockregister!$A$2:$H$2000,8,0),0)</f>
        <v>9000</v>
      </c>
      <c r="N549" s="3">
        <f>_xlfn.IFNA(VLOOKUP($A549,[2]stockregister!$A$2:$H$2000,8,0),0)-$M549</f>
        <v>0</v>
      </c>
      <c r="O549" s="3" t="s">
        <v>1261</v>
      </c>
      <c r="P549" s="3" t="s">
        <v>1261</v>
      </c>
      <c r="Q549" s="3" t="s">
        <v>433</v>
      </c>
      <c r="R549" s="3" t="s">
        <v>113</v>
      </c>
      <c r="S549" s="3" t="s">
        <v>114</v>
      </c>
      <c r="T549" s="3">
        <v>18</v>
      </c>
    </row>
    <row r="550" spans="1:19">
      <c r="A550" s="3">
        <v>75</v>
      </c>
      <c r="B550" s="3" t="b">
        <f>ISNUMBER(MATCH(A550,[1]stockregister!$A$2:$A$2000,0))</f>
        <v>1</v>
      </c>
      <c r="C550" s="3" t="s">
        <v>454</v>
      </c>
      <c r="D550" s="3" t="str">
        <f>VLOOKUP($C550,[1]stockregister!$B$2:$B$2000,1,0)</f>
        <v>FANTA  BLACKCURRANT 1.25L</v>
      </c>
      <c r="E550" s="3" t="str">
        <f>IF(ISNA($D550),VLOOKUP($A550,[2]stockregister!$A$2:$B$2000,2,FALSE),"")</f>
        <v/>
      </c>
      <c r="F550" s="3" t="s">
        <v>21</v>
      </c>
      <c r="G550" s="3">
        <f>_xlfn.IFNA(VLOOKUP($A550,[3]stockregister!$A$2:$L$2000,11,0),0)</f>
        <v>0</v>
      </c>
      <c r="H550" s="3">
        <f>_xlfn.IFNA(VLOOKUP($A550,[3]stockregister!$A$2:$L$2000,11,0),0)-$G550</f>
        <v>0</v>
      </c>
      <c r="I550" s="3">
        <f>_xlfn.IFNA(VLOOKUP($A550,[3]stockregister!$A$2:$L$2000,12,0),0)</f>
        <v>900</v>
      </c>
      <c r="J550" s="3">
        <f>_xlfn.IFNA(VLOOKUP($A550,[3]stockregister!$A$1:$M$2000,12,0),0)-$I550</f>
        <v>0</v>
      </c>
      <c r="K550" s="3" t="s">
        <v>22</v>
      </c>
      <c r="L550" s="3" t="s">
        <v>23</v>
      </c>
      <c r="M550" s="3">
        <f>_xlfn.IFNA(VLOOKUP($A550,[2]stockregister!$A$2:$H$2000,8,0),0)</f>
        <v>1100</v>
      </c>
      <c r="N550" s="3">
        <f>_xlfn.IFNA(VLOOKUP($A550,[2]stockregister!$A$2:$H$2000,8,0),0)-$M550</f>
        <v>0</v>
      </c>
      <c r="O550" s="3" t="s">
        <v>1262</v>
      </c>
      <c r="P550" s="3" t="s">
        <v>1262</v>
      </c>
      <c r="Q550" s="3" t="s">
        <v>1263</v>
      </c>
      <c r="R550" s="3" t="s">
        <v>92</v>
      </c>
      <c r="S550" s="3" t="s">
        <v>252</v>
      </c>
    </row>
    <row r="551" spans="1:19">
      <c r="A551" s="3">
        <v>1853</v>
      </c>
      <c r="B551" s="3" t="b">
        <f>ISNUMBER(MATCH(A551,[1]stockregister!$A$2:$A$2000,0))</f>
        <v>1</v>
      </c>
      <c r="C551" s="3" t="s">
        <v>458</v>
      </c>
      <c r="D551" s="3" t="str">
        <f>VLOOKUP($C551,[1]stockregister!$B$2:$B$2000,1,0)</f>
        <v>FANTA BLACKCURRANT 2L</v>
      </c>
      <c r="E551" s="3" t="str">
        <f>IF(ISNA($D551),VLOOKUP($A551,[2]stockregister!$A$2:$B$2000,2,FALSE),"")</f>
        <v/>
      </c>
      <c r="F551" s="3" t="s">
        <v>21</v>
      </c>
      <c r="G551" s="3">
        <f>_xlfn.IFNA(VLOOKUP($A551,[3]stockregister!$A$2:$L$2000,11,0),0)</f>
        <v>24</v>
      </c>
      <c r="H551" s="3">
        <f>_xlfn.IFNA(VLOOKUP($A551,[3]stockregister!$A$2:$L$2000,11,0),0)-$G551</f>
        <v>0</v>
      </c>
      <c r="I551" s="3">
        <f>_xlfn.IFNA(VLOOKUP($A551,[3]stockregister!$A$2:$L$2000,12,0),0)</f>
        <v>1600</v>
      </c>
      <c r="J551" s="3">
        <f>_xlfn.IFNA(VLOOKUP($A551,[3]stockregister!$A$1:$M$2000,12,0),0)-$I551</f>
        <v>0</v>
      </c>
      <c r="K551" s="3" t="s">
        <v>22</v>
      </c>
      <c r="L551" s="3" t="s">
        <v>23</v>
      </c>
      <c r="M551" s="3">
        <f>_xlfn.IFNA(VLOOKUP($A551,[2]stockregister!$A$2:$H$2000,8,0),0)</f>
        <v>1800</v>
      </c>
      <c r="N551" s="3">
        <f>_xlfn.IFNA(VLOOKUP($A551,[2]stockregister!$A$2:$H$2000,8,0),0)-$M551</f>
        <v>0</v>
      </c>
      <c r="O551" s="3" t="s">
        <v>1264</v>
      </c>
      <c r="P551" s="3" t="s">
        <v>1264</v>
      </c>
      <c r="Q551" s="3" t="s">
        <v>1265</v>
      </c>
      <c r="R551" s="3" t="s">
        <v>92</v>
      </c>
      <c r="S551" s="3" t="s">
        <v>1131</v>
      </c>
    </row>
    <row r="552" spans="1:19">
      <c r="A552" s="3">
        <v>2110</v>
      </c>
      <c r="B552" s="3" t="b">
        <f>ISNUMBER(MATCH(A552,[1]stockregister!$A$2:$A$2000,0))</f>
        <v>1</v>
      </c>
      <c r="C552" s="3" t="s">
        <v>460</v>
      </c>
      <c r="D552" s="3" t="str">
        <f>VLOOKUP($C552,[1]stockregister!$B$2:$B$2000,1,0)</f>
        <v>FANTA BLACKCURRANT 500ML</v>
      </c>
      <c r="E552" s="3" t="str">
        <f>IF(ISNA($D552),VLOOKUP($A552,[2]stockregister!$A$2:$B$2000,2,FALSE),"")</f>
        <v/>
      </c>
      <c r="F552" s="3" t="s">
        <v>21</v>
      </c>
      <c r="G552" s="3">
        <f>_xlfn.IFNA(VLOOKUP($A552,[3]stockregister!$A$2:$L$2000,11,0),0)</f>
        <v>24</v>
      </c>
      <c r="H552" s="3">
        <f>_xlfn.IFNA(VLOOKUP($A552,[3]stockregister!$A$2:$L$2000,11,0),0)-$G552</f>
        <v>0</v>
      </c>
      <c r="I552" s="3">
        <f>_xlfn.IFNA(VLOOKUP($A552,[3]stockregister!$A$2:$L$2000,12,0),0)</f>
        <v>2300</v>
      </c>
      <c r="J552" s="3">
        <f>_xlfn.IFNA(VLOOKUP($A552,[3]stockregister!$A$1:$M$2000,12,0),0)-$I552</f>
        <v>0</v>
      </c>
      <c r="K552" s="3" t="s">
        <v>22</v>
      </c>
      <c r="L552" s="3" t="s">
        <v>23</v>
      </c>
      <c r="M552" s="3">
        <f>_xlfn.IFNA(VLOOKUP($A552,[2]stockregister!$A$2:$H$2000,8,0),0)</f>
        <v>2500</v>
      </c>
      <c r="N552" s="3">
        <f>_xlfn.IFNA(VLOOKUP($A552,[2]stockregister!$A$2:$H$2000,8,0),0)-$M552</f>
        <v>0</v>
      </c>
      <c r="O552" s="3" t="s">
        <v>1266</v>
      </c>
      <c r="P552" s="3" t="s">
        <v>1266</v>
      </c>
      <c r="Q552" s="3" t="s">
        <v>1267</v>
      </c>
      <c r="R552" s="3" t="s">
        <v>92</v>
      </c>
      <c r="S552" s="3" t="s">
        <v>1131</v>
      </c>
    </row>
    <row r="553" spans="1:19">
      <c r="A553" s="3">
        <v>2252</v>
      </c>
      <c r="B553" s="3" t="b">
        <f>ISNUMBER(MATCH(A553,[1]stockregister!$A$2:$A$2000,0))</f>
        <v>1</v>
      </c>
      <c r="C553" s="3" t="s">
        <v>1268</v>
      </c>
      <c r="D553" s="3" t="str">
        <f>VLOOKUP($C553,[1]stockregister!$B$2:$B$2000,1,0)</f>
        <v>THE FAMOUS GROUSE SMOKY BLACK 1LTR</v>
      </c>
      <c r="E553" s="3" t="str">
        <f>IF(ISNA($D553),VLOOKUP($A553,[2]stockregister!$A$2:$B$2000,2,FALSE),"")</f>
        <v/>
      </c>
      <c r="F553" s="3" t="s">
        <v>21</v>
      </c>
      <c r="G553" s="3">
        <f>_xlfn.IFNA(VLOOKUP($A553,[3]stockregister!$A$2:$L$2000,11,0),0)</f>
        <v>24</v>
      </c>
      <c r="H553" s="3">
        <f>_xlfn.IFNA(VLOOKUP($A553,[3]stockregister!$A$2:$L$2000,11,0),0)-$G553</f>
        <v>0</v>
      </c>
      <c r="I553" s="3">
        <f>_xlfn.IFNA(VLOOKUP($A553,[3]stockregister!$A$2:$L$2000,12,0),0)</f>
        <v>2400</v>
      </c>
      <c r="J553" s="3">
        <f>_xlfn.IFNA(VLOOKUP($A553,[3]stockregister!$A$1:$M$2000,12,0),0)-$I553</f>
        <v>0</v>
      </c>
      <c r="K553" s="3" t="s">
        <v>22</v>
      </c>
      <c r="L553" s="3" t="s">
        <v>23</v>
      </c>
      <c r="M553" s="3">
        <f>_xlfn.IFNA(VLOOKUP($A553,[2]stockregister!$A$2:$H$2000,8,0),0)</f>
        <v>2600</v>
      </c>
      <c r="N553" s="3">
        <f>_xlfn.IFNA(VLOOKUP($A553,[2]stockregister!$A$2:$H$2000,8,0),0)-$M553</f>
        <v>0</v>
      </c>
      <c r="O553" s="3" t="s">
        <v>1269</v>
      </c>
      <c r="P553" s="3" t="s">
        <v>1269</v>
      </c>
      <c r="Q553" s="3" t="s">
        <v>362</v>
      </c>
      <c r="R553" s="3" t="s">
        <v>92</v>
      </c>
      <c r="S553" s="3" t="s">
        <v>284</v>
      </c>
    </row>
    <row r="554" spans="1:19">
      <c r="A554" s="3">
        <v>1976</v>
      </c>
      <c r="B554" s="3" t="b">
        <f>ISNUMBER(MATCH(A554,[1]stockregister!$A$2:$A$2000,0))</f>
        <v>1</v>
      </c>
      <c r="C554" s="3" t="s">
        <v>1270</v>
      </c>
      <c r="D554" s="3" t="str">
        <f>VLOOKUP($C554,[1]stockregister!$B$2:$B$2000,1,0)</f>
        <v>THE GLENLIVET FOUNDERS RESERVE WHISKY 700ML</v>
      </c>
      <c r="E554" s="3" t="str">
        <f>IF(ISNA($D554),VLOOKUP($A554,[2]stockregister!$A$2:$B$2000,2,FALSE),"")</f>
        <v/>
      </c>
      <c r="F554" s="3" t="s">
        <v>21</v>
      </c>
      <c r="G554" s="3">
        <f>_xlfn.IFNA(VLOOKUP($A554,[3]stockregister!$A$2:$L$2000,11,0),0)</f>
        <v>24</v>
      </c>
      <c r="H554" s="3">
        <f>_xlfn.IFNA(VLOOKUP($A554,[3]stockregister!$A$2:$L$2000,11,0),0)-$G554</f>
        <v>0</v>
      </c>
      <c r="I554" s="3">
        <f>_xlfn.IFNA(VLOOKUP($A554,[3]stockregister!$A$2:$L$2000,12,0),0)</f>
        <v>4600</v>
      </c>
      <c r="J554" s="3">
        <f>_xlfn.IFNA(VLOOKUP($A554,[3]stockregister!$A$1:$M$2000,12,0),0)-$I554</f>
        <v>0</v>
      </c>
      <c r="K554" s="3" t="s">
        <v>22</v>
      </c>
      <c r="L554" s="3" t="s">
        <v>23</v>
      </c>
      <c r="M554" s="3">
        <f>_xlfn.IFNA(VLOOKUP($A554,[2]stockregister!$A$2:$H$2000,8,0),0)</f>
        <v>5000</v>
      </c>
      <c r="N554" s="3">
        <f>_xlfn.IFNA(VLOOKUP($A554,[2]stockregister!$A$2:$H$2000,8,0),0)-$M554</f>
        <v>0</v>
      </c>
      <c r="O554" s="3" t="s">
        <v>1271</v>
      </c>
      <c r="P554" s="3" t="s">
        <v>1271</v>
      </c>
      <c r="Q554" s="3" t="s">
        <v>628</v>
      </c>
      <c r="R554" s="3" t="s">
        <v>92</v>
      </c>
      <c r="S554" s="3" t="s">
        <v>134</v>
      </c>
    </row>
    <row r="555" spans="1:19">
      <c r="A555" s="3">
        <v>1210</v>
      </c>
      <c r="B555" s="3" t="b">
        <f>ISNUMBER(MATCH(A555,[1]stockregister!$A$2:$A$2000,0))</f>
        <v>1</v>
      </c>
      <c r="C555" s="3" t="s">
        <v>1272</v>
      </c>
      <c r="D555" s="3" t="str">
        <f>VLOOKUP($C555,[1]stockregister!$B$2:$B$2000,1,0)</f>
        <v>KING ROBERT WHISKY 1LTR</v>
      </c>
      <c r="E555" s="3" t="str">
        <f>IF(ISNA($D555),VLOOKUP($A555,[2]stockregister!$A$2:$B$2000,2,FALSE),"")</f>
        <v/>
      </c>
      <c r="F555" s="3" t="s">
        <v>21</v>
      </c>
      <c r="G555" s="3">
        <f>_xlfn.IFNA(VLOOKUP($A555,[3]stockregister!$A$2:$L$2000,11,0),0)</f>
        <v>24</v>
      </c>
      <c r="H555" s="3">
        <f>_xlfn.IFNA(VLOOKUP($A555,[3]stockregister!$A$2:$L$2000,11,0),0)-$G555</f>
        <v>0</v>
      </c>
      <c r="I555" s="3">
        <f>_xlfn.IFNA(VLOOKUP($A555,[3]stockregister!$A$2:$L$2000,12,0),0)</f>
        <v>1288</v>
      </c>
      <c r="J555" s="3">
        <f>_xlfn.IFNA(VLOOKUP($A555,[3]stockregister!$A$1:$M$2000,12,0),0)-$I555</f>
        <v>0</v>
      </c>
      <c r="K555" s="3" t="s">
        <v>22</v>
      </c>
      <c r="L555" s="3" t="s">
        <v>23</v>
      </c>
      <c r="M555" s="3">
        <f>_xlfn.IFNA(VLOOKUP($A555,[2]stockregister!$A$2:$H$2000,8,0),0)</f>
        <v>1400</v>
      </c>
      <c r="N555" s="3">
        <f>_xlfn.IFNA(VLOOKUP($A555,[2]stockregister!$A$2:$H$2000,8,0),0)-$M555</f>
        <v>0</v>
      </c>
      <c r="O555" s="3" t="s">
        <v>1273</v>
      </c>
      <c r="P555" s="3" t="s">
        <v>1273</v>
      </c>
      <c r="Q555" s="3" t="s">
        <v>1274</v>
      </c>
      <c r="R555" s="3" t="s">
        <v>92</v>
      </c>
      <c r="S555" s="3" t="s">
        <v>134</v>
      </c>
    </row>
    <row r="556" spans="1:19">
      <c r="A556" s="3">
        <v>1116</v>
      </c>
      <c r="B556" s="3" t="b">
        <f>ISNUMBER(MATCH(A556,[1]stockregister!$A$2:$A$2000,0))</f>
        <v>1</v>
      </c>
      <c r="C556" s="3" t="s">
        <v>1275</v>
      </c>
      <c r="D556" s="3" t="str">
        <f>VLOOKUP($C556,[1]stockregister!$B$2:$B$2000,1,0)</f>
        <v>JOHNNIE WALKER ISLAND GREEN WHISKY 1LTR</v>
      </c>
      <c r="E556" s="3" t="str">
        <f>IF(ISNA($D556),VLOOKUP($A556,[2]stockregister!$A$2:$B$2000,2,FALSE),"")</f>
        <v/>
      </c>
      <c r="F556" s="3" t="s">
        <v>21</v>
      </c>
      <c r="G556" s="3">
        <f>_xlfn.IFNA(VLOOKUP($A556,[3]stockregister!$A$2:$L$2000,11,0),0)</f>
        <v>18</v>
      </c>
      <c r="H556" s="3">
        <f>_xlfn.IFNA(VLOOKUP($A556,[3]stockregister!$A$2:$L$2000,11,0),0)-$G556</f>
        <v>0</v>
      </c>
      <c r="I556" s="3">
        <f>_xlfn.IFNA(VLOOKUP($A556,[3]stockregister!$A$2:$L$2000,12,0),0)</f>
        <v>6164</v>
      </c>
      <c r="J556" s="3">
        <f>_xlfn.IFNA(VLOOKUP($A556,[3]stockregister!$A$1:$M$2000,12,0),0)-$I556</f>
        <v>0</v>
      </c>
      <c r="K556" s="3" t="s">
        <v>22</v>
      </c>
      <c r="L556" s="3" t="s">
        <v>23</v>
      </c>
      <c r="M556" s="3">
        <f>_xlfn.IFNA(VLOOKUP($A556,[2]stockregister!$A$2:$H$2000,8,0),0)</f>
        <v>8000</v>
      </c>
      <c r="N556" s="3">
        <f>_xlfn.IFNA(VLOOKUP($A556,[2]stockregister!$A$2:$H$2000,8,0),0)-$M556</f>
        <v>0</v>
      </c>
      <c r="O556" s="3" t="s">
        <v>1276</v>
      </c>
      <c r="P556" s="3" t="s">
        <v>1276</v>
      </c>
      <c r="Q556" s="3" t="s">
        <v>133</v>
      </c>
      <c r="R556" s="3" t="s">
        <v>92</v>
      </c>
      <c r="S556" s="3" t="s">
        <v>134</v>
      </c>
    </row>
    <row r="557" spans="1:19">
      <c r="A557" s="3">
        <v>1251</v>
      </c>
      <c r="B557" s="3" t="b">
        <f>ISNUMBER(MATCH(A557,[1]stockregister!$A$2:$A$2000,0))</f>
        <v>1</v>
      </c>
      <c r="C557" s="3" t="s">
        <v>1277</v>
      </c>
      <c r="D557" s="3" t="str">
        <f>VLOOKUP($C557,[1]stockregister!$B$2:$B$2000,1,0)</f>
        <v>LAGAVULIN ISLAY SINGLE MALT 16YRS 750ML</v>
      </c>
      <c r="E557" s="3" t="str">
        <f>IF(ISNA($D557),VLOOKUP($A557,[2]stockregister!$A$2:$B$2000,2,FALSE),"")</f>
        <v/>
      </c>
      <c r="F557" s="3" t="s">
        <v>21</v>
      </c>
      <c r="G557" s="3">
        <f>_xlfn.IFNA(VLOOKUP($A557,[3]stockregister!$A$2:$L$2000,11,0),0)</f>
        <v>24</v>
      </c>
      <c r="H557" s="3">
        <f>_xlfn.IFNA(VLOOKUP($A557,[3]stockregister!$A$2:$L$2000,11,0),0)-$G557</f>
        <v>0</v>
      </c>
      <c r="I557" s="3">
        <f>_xlfn.IFNA(VLOOKUP($A557,[3]stockregister!$A$2:$L$2000,12,0),0)</f>
        <v>15640</v>
      </c>
      <c r="J557" s="3">
        <f>_xlfn.IFNA(VLOOKUP($A557,[3]stockregister!$A$1:$M$2000,12,0),0)-$I557</f>
        <v>0</v>
      </c>
      <c r="K557" s="3" t="s">
        <v>22</v>
      </c>
      <c r="L557" s="3" t="s">
        <v>23</v>
      </c>
      <c r="M557" s="3">
        <f>_xlfn.IFNA(VLOOKUP($A557,[2]stockregister!$A$2:$H$2000,8,0),0)</f>
        <v>17000</v>
      </c>
      <c r="N557" s="3">
        <f>_xlfn.IFNA(VLOOKUP($A557,[2]stockregister!$A$2:$H$2000,8,0),0)-$M557</f>
        <v>0</v>
      </c>
      <c r="O557" s="3" t="s">
        <v>1278</v>
      </c>
      <c r="P557" s="3" t="s">
        <v>1278</v>
      </c>
      <c r="Q557" s="3" t="s">
        <v>1279</v>
      </c>
      <c r="R557" s="3" t="s">
        <v>92</v>
      </c>
      <c r="S557" s="3" t="s">
        <v>1280</v>
      </c>
    </row>
    <row r="558" spans="1:19">
      <c r="A558" s="3">
        <v>2172</v>
      </c>
      <c r="B558" s="3" t="b">
        <f>ISNUMBER(MATCH(A558,[1]stockregister!$A$2:$A$2000,0))</f>
        <v>1</v>
      </c>
      <c r="C558" s="3" t="s">
        <v>1281</v>
      </c>
      <c r="D558" s="3" t="str">
        <f>VLOOKUP($C558,[1]stockregister!$B$2:$B$2000,1,0)</f>
        <v>ABERLOUR SPEYSIDE SINGLE MALT 12YRS 700ML</v>
      </c>
      <c r="E558" s="3" t="str">
        <f>IF(ISNA($D558),VLOOKUP($A558,[2]stockregister!$A$2:$B$2000,2,FALSE),"")</f>
        <v/>
      </c>
      <c r="F558" s="3" t="s">
        <v>21</v>
      </c>
      <c r="G558" s="3">
        <f>_xlfn.IFNA(VLOOKUP($A558,[3]stockregister!$A$2:$L$2000,11,0),0)</f>
        <v>24</v>
      </c>
      <c r="H558" s="3">
        <f>_xlfn.IFNA(VLOOKUP($A558,[3]stockregister!$A$2:$L$2000,11,0),0)-$G558</f>
        <v>0</v>
      </c>
      <c r="I558" s="3">
        <f>_xlfn.IFNA(VLOOKUP($A558,[3]stockregister!$A$2:$L$2000,12,0),0)</f>
        <v>6700</v>
      </c>
      <c r="J558" s="3">
        <f>_xlfn.IFNA(VLOOKUP($A558,[3]stockregister!$A$1:$M$2000,12,0),0)-$I558</f>
        <v>0</v>
      </c>
      <c r="K558" s="3" t="s">
        <v>22</v>
      </c>
      <c r="L558" s="3" t="s">
        <v>23</v>
      </c>
      <c r="M558" s="3">
        <f>_xlfn.IFNA(VLOOKUP($A558,[2]stockregister!$A$2:$H$2000,8,0),0)</f>
        <v>6800</v>
      </c>
      <c r="N558" s="3">
        <f>_xlfn.IFNA(VLOOKUP($A558,[2]stockregister!$A$2:$H$2000,8,0),0)-$M558</f>
        <v>0</v>
      </c>
      <c r="O558" s="3" t="s">
        <v>1282</v>
      </c>
      <c r="P558" s="3" t="s">
        <v>1282</v>
      </c>
      <c r="Q558" s="3" t="s">
        <v>1283</v>
      </c>
      <c r="R558" s="3" t="s">
        <v>92</v>
      </c>
      <c r="S558" s="3" t="s">
        <v>1280</v>
      </c>
    </row>
    <row r="559" spans="1:20">
      <c r="A559" s="3">
        <v>383</v>
      </c>
      <c r="B559" s="3" t="b">
        <f>ISNUMBER(MATCH(A559,[1]stockregister!$A$2:$A$2000,0))</f>
        <v>1</v>
      </c>
      <c r="C559" s="3" t="s">
        <v>1284</v>
      </c>
      <c r="D559" s="3" t="str">
        <f>VLOOKUP($C559,[1]stockregister!$B$2:$B$2000,1,0)</f>
        <v>CARDHU 12YRS 750ML</v>
      </c>
      <c r="E559" s="3" t="str">
        <f>IF(ISNA($D559),VLOOKUP($A559,[2]stockregister!$A$2:$B$2000,2,FALSE),"")</f>
        <v/>
      </c>
      <c r="F559" s="3" t="s">
        <v>21</v>
      </c>
      <c r="G559" s="3">
        <f>_xlfn.IFNA(VLOOKUP($A559,[3]stockregister!$A$2:$L$2000,11,0),0)</f>
        <v>24</v>
      </c>
      <c r="H559" s="3">
        <f>_xlfn.IFNA(VLOOKUP($A559,[3]stockregister!$A$2:$L$2000,11,0),0)-$G559</f>
        <v>0</v>
      </c>
      <c r="I559" s="3">
        <f>_xlfn.IFNA(VLOOKUP($A559,[3]stockregister!$A$2:$L$2000,12,0),0)</f>
        <v>4900</v>
      </c>
      <c r="J559" s="3">
        <f>_xlfn.IFNA(VLOOKUP($A559,[3]stockregister!$A$1:$M$2000,12,0),0)-$I559</f>
        <v>0</v>
      </c>
      <c r="K559" s="3" t="s">
        <v>22</v>
      </c>
      <c r="L559" s="3" t="s">
        <v>23</v>
      </c>
      <c r="M559" s="3">
        <f>_xlfn.IFNA(VLOOKUP($A559,[2]stockregister!$A$2:$H$2000,8,0),0)</f>
        <v>5400</v>
      </c>
      <c r="N559" s="3">
        <f>_xlfn.IFNA(VLOOKUP($A559,[2]stockregister!$A$2:$H$2000,8,0),0)-$M559</f>
        <v>0</v>
      </c>
      <c r="O559" s="3" t="s">
        <v>1285</v>
      </c>
      <c r="P559" s="3" t="s">
        <v>1285</v>
      </c>
      <c r="Q559" s="3" t="s">
        <v>1128</v>
      </c>
      <c r="R559" s="3" t="s">
        <v>92</v>
      </c>
      <c r="S559" s="3" t="s">
        <v>1280</v>
      </c>
      <c r="T559" s="3">
        <v>12</v>
      </c>
    </row>
    <row r="560" spans="1:19">
      <c r="A560" s="3">
        <v>2830</v>
      </c>
      <c r="B560" s="3" t="b">
        <f>ISNUMBER(MATCH(A560,[1]stockregister!$A$2:$A$2000,0))</f>
        <v>1</v>
      </c>
      <c r="C560" s="3" t="s">
        <v>1286</v>
      </c>
      <c r="D560" s="3" t="str">
        <f>VLOOKUP($C560,[1]stockregister!$B$2:$B$2000,1,0)</f>
        <v>UNDURRAGA CAB SAUV 750ML</v>
      </c>
      <c r="E560" s="3" t="str">
        <f>IF(ISNA($D560),VLOOKUP($A560,[2]stockregister!$A$2:$B$2000,2,FALSE),"")</f>
        <v/>
      </c>
      <c r="F560" s="3" t="s">
        <v>21</v>
      </c>
      <c r="G560" s="3">
        <f>_xlfn.IFNA(VLOOKUP($A560,[3]stockregister!$A$2:$L$2000,11,0),0)</f>
        <v>24</v>
      </c>
      <c r="H560" s="3">
        <f>_xlfn.IFNA(VLOOKUP($A560,[3]stockregister!$A$2:$L$2000,11,0),0)-$G560</f>
        <v>0</v>
      </c>
      <c r="I560" s="3">
        <f>_xlfn.IFNA(VLOOKUP($A560,[3]stockregister!$A$2:$L$2000,12,0),0)</f>
        <v>1100</v>
      </c>
      <c r="J560" s="3">
        <f>_xlfn.IFNA(VLOOKUP($A560,[3]stockregister!$A$1:$M$2000,12,0),0)-$I560</f>
        <v>0</v>
      </c>
      <c r="K560" s="3" t="s">
        <v>22</v>
      </c>
      <c r="L560" s="3" t="s">
        <v>23</v>
      </c>
      <c r="M560" s="3">
        <f>_xlfn.IFNA(VLOOKUP($A560,[2]stockregister!$A$2:$H$2000,8,0),0)</f>
        <v>1155</v>
      </c>
      <c r="N560" s="3">
        <f>_xlfn.IFNA(VLOOKUP($A560,[2]stockregister!$A$2:$H$2000,8,0),0)-$M560</f>
        <v>0</v>
      </c>
      <c r="O560" s="3" t="s">
        <v>1287</v>
      </c>
      <c r="P560" s="3" t="s">
        <v>1287</v>
      </c>
      <c r="Q560" s="3" t="s">
        <v>1288</v>
      </c>
      <c r="R560" s="3" t="s">
        <v>537</v>
      </c>
      <c r="S560" s="3" t="s">
        <v>206</v>
      </c>
    </row>
    <row r="561" spans="1:19">
      <c r="A561" s="3">
        <v>2444</v>
      </c>
      <c r="B561" s="3" t="b">
        <f>ISNUMBER(MATCH(A561,[1]stockregister!$A$2:$A$2000,0))</f>
        <v>1</v>
      </c>
      <c r="C561" s="3" t="s">
        <v>1289</v>
      </c>
      <c r="D561" s="3" t="str">
        <f>VLOOKUP($C561,[1]stockregister!$B$2:$B$2000,1,0)</f>
        <v>TWO OCEANS CAB SAUV MERLOT 750ML</v>
      </c>
      <c r="E561" s="3" t="str">
        <f>IF(ISNA($D561),VLOOKUP($A561,[2]stockregister!$A$2:$B$2000,2,FALSE),"")</f>
        <v/>
      </c>
      <c r="F561" s="3" t="s">
        <v>21</v>
      </c>
      <c r="G561" s="3">
        <f>_xlfn.IFNA(VLOOKUP($A561,[3]stockregister!$A$2:$L$2000,11,0),0)</f>
        <v>24</v>
      </c>
      <c r="H561" s="3">
        <f>_xlfn.IFNA(VLOOKUP($A561,[3]stockregister!$A$2:$L$2000,11,0),0)-$G561</f>
        <v>0</v>
      </c>
      <c r="I561" s="3">
        <f>_xlfn.IFNA(VLOOKUP($A561,[3]stockregister!$A$2:$L$2000,12,0),0)</f>
        <v>1104</v>
      </c>
      <c r="J561" s="3">
        <f>_xlfn.IFNA(VLOOKUP($A561,[3]stockregister!$A$1:$M$2000,12,0),0)-$I561</f>
        <v>0</v>
      </c>
      <c r="K561" s="3" t="s">
        <v>22</v>
      </c>
      <c r="L561" s="3" t="s">
        <v>23</v>
      </c>
      <c r="M561" s="3">
        <f>_xlfn.IFNA(VLOOKUP($A561,[2]stockregister!$A$2:$H$2000,8,0),0)</f>
        <v>1200</v>
      </c>
      <c r="N561" s="3">
        <f>_xlfn.IFNA(VLOOKUP($A561,[2]stockregister!$A$2:$H$2000,8,0),0)-$M561</f>
        <v>0</v>
      </c>
      <c r="O561" s="3" t="s">
        <v>1290</v>
      </c>
      <c r="P561" s="3" t="s">
        <v>1290</v>
      </c>
      <c r="Q561" s="3" t="s">
        <v>1291</v>
      </c>
      <c r="R561" s="3" t="s">
        <v>68</v>
      </c>
      <c r="S561" s="3" t="s">
        <v>206</v>
      </c>
    </row>
    <row r="562" spans="1:19">
      <c r="A562" s="3">
        <v>2464</v>
      </c>
      <c r="B562" s="3" t="b">
        <f>ISNUMBER(MATCH(A562,[1]stockregister!$A$2:$A$2000,0))</f>
        <v>1</v>
      </c>
      <c r="C562" s="3" t="s">
        <v>1292</v>
      </c>
      <c r="D562" s="3" t="str">
        <f>VLOOKUP($C562,[1]stockregister!$B$2:$B$2000,1,0)</f>
        <v>B&amp;G CAB SAV IGP PAYS DOC 750ML</v>
      </c>
      <c r="E562" s="3" t="str">
        <f>IF(ISNA($D562),VLOOKUP($A562,[2]stockregister!$A$2:$B$2000,2,FALSE),"")</f>
        <v/>
      </c>
      <c r="F562" s="3" t="s">
        <v>21</v>
      </c>
      <c r="G562" s="3">
        <f>_xlfn.IFNA(VLOOKUP($A562,[3]stockregister!$A$2:$L$2000,11,0),0)</f>
        <v>24</v>
      </c>
      <c r="H562" s="3">
        <f>_xlfn.IFNA(VLOOKUP($A562,[3]stockregister!$A$2:$L$2000,11,0),0)-$G562</f>
        <v>0</v>
      </c>
      <c r="I562" s="3">
        <f>_xlfn.IFNA(VLOOKUP($A562,[3]stockregister!$A$2:$L$2000,12,0),0)</f>
        <v>970</v>
      </c>
      <c r="J562" s="3">
        <f>_xlfn.IFNA(VLOOKUP($A562,[3]stockregister!$A$1:$M$2000,12,0),0)-$I562</f>
        <v>0</v>
      </c>
      <c r="K562" s="3" t="s">
        <v>22</v>
      </c>
      <c r="L562" s="3" t="s">
        <v>23</v>
      </c>
      <c r="M562" s="3">
        <f>_xlfn.IFNA(VLOOKUP($A562,[2]stockregister!$A$2:$H$2000,8,0),0)</f>
        <v>1220</v>
      </c>
      <c r="N562" s="3">
        <f>_xlfn.IFNA(VLOOKUP($A562,[2]stockregister!$A$2:$H$2000,8,0),0)-$M562</f>
        <v>0</v>
      </c>
      <c r="O562" s="3" t="s">
        <v>1293</v>
      </c>
      <c r="P562" s="3" t="s">
        <v>1293</v>
      </c>
      <c r="Q562" s="3" t="s">
        <v>1140</v>
      </c>
      <c r="R562" s="3" t="s">
        <v>537</v>
      </c>
      <c r="S562" s="3" t="s">
        <v>206</v>
      </c>
    </row>
    <row r="563" spans="1:19">
      <c r="A563" s="3">
        <v>2076</v>
      </c>
      <c r="B563" s="3" t="b">
        <f>ISNUMBER(MATCH(A563,[1]stockregister!$A$2:$A$2000,0))</f>
        <v>1</v>
      </c>
      <c r="C563" s="3" t="s">
        <v>1294</v>
      </c>
      <c r="D563" s="3" t="str">
        <f>VLOOKUP($C563,[1]stockregister!$B$2:$B$2000,1,0)</f>
        <v>WELMOED CHARDONNAY 750ML</v>
      </c>
      <c r="E563" s="3" t="str">
        <f>IF(ISNA($D563),VLOOKUP($A563,[2]stockregister!$A$2:$B$2000,2,FALSE),"")</f>
        <v/>
      </c>
      <c r="F563" s="3" t="s">
        <v>21</v>
      </c>
      <c r="G563" s="3">
        <f>_xlfn.IFNA(VLOOKUP($A563,[3]stockregister!$A$2:$L$2000,11,0),0)</f>
        <v>24</v>
      </c>
      <c r="H563" s="3">
        <f>_xlfn.IFNA(VLOOKUP($A563,[3]stockregister!$A$2:$L$2000,11,0),0)-$G563</f>
        <v>0</v>
      </c>
      <c r="I563" s="3">
        <f>_xlfn.IFNA(VLOOKUP($A563,[3]stockregister!$A$2:$L$2000,12,0),0)</f>
        <v>1200</v>
      </c>
      <c r="J563" s="3">
        <f>_xlfn.IFNA(VLOOKUP($A563,[3]stockregister!$A$1:$M$2000,12,0),0)-$I563</f>
        <v>0</v>
      </c>
      <c r="K563" s="3" t="s">
        <v>22</v>
      </c>
      <c r="L563" s="3" t="s">
        <v>23</v>
      </c>
      <c r="M563" s="3">
        <f>_xlfn.IFNA(VLOOKUP($A563,[2]stockregister!$A$2:$H$2000,8,0),0)</f>
        <v>1320</v>
      </c>
      <c r="N563" s="3">
        <f>_xlfn.IFNA(VLOOKUP($A563,[2]stockregister!$A$2:$H$2000,8,0),0)-$M563</f>
        <v>0</v>
      </c>
      <c r="O563" s="3" t="s">
        <v>1295</v>
      </c>
      <c r="P563" s="3" t="s">
        <v>1295</v>
      </c>
      <c r="Q563" s="3" t="s">
        <v>1296</v>
      </c>
      <c r="R563" s="3" t="s">
        <v>68</v>
      </c>
      <c r="S563" s="3" t="s">
        <v>940</v>
      </c>
    </row>
    <row r="564" spans="1:19">
      <c r="A564" s="3">
        <v>132</v>
      </c>
      <c r="B564" s="3" t="b">
        <f>ISNUMBER(MATCH(A564,[1]stockregister!$A$2:$A$2000,0))</f>
        <v>1</v>
      </c>
      <c r="C564" s="3" t="s">
        <v>1297</v>
      </c>
      <c r="D564" s="3" t="str">
        <f>VLOOKUP($C564,[1]stockregister!$B$2:$B$2000,1,0)</f>
        <v>AUSTRALIAN BUSH CHARDONNAY 750ML</v>
      </c>
      <c r="E564" s="3" t="str">
        <f>IF(ISNA($D564),VLOOKUP($A564,[2]stockregister!$A$2:$B$2000,2,FALSE),"")</f>
        <v/>
      </c>
      <c r="F564" s="3" t="s">
        <v>21</v>
      </c>
      <c r="G564" s="3">
        <f>_xlfn.IFNA(VLOOKUP($A564,[3]stockregister!$A$2:$L$2000,11,0),0)</f>
        <v>24</v>
      </c>
      <c r="H564" s="3">
        <f>_xlfn.IFNA(VLOOKUP($A564,[3]stockregister!$A$2:$L$2000,11,0),0)-$G564</f>
        <v>0</v>
      </c>
      <c r="I564" s="3">
        <f>_xlfn.IFNA(VLOOKUP($A564,[3]stockregister!$A$2:$L$2000,12,0),0)</f>
        <v>920</v>
      </c>
      <c r="J564" s="3">
        <f>_xlfn.IFNA(VLOOKUP($A564,[3]stockregister!$A$1:$M$2000,12,0),0)-$I564</f>
        <v>0</v>
      </c>
      <c r="K564" s="3" t="s">
        <v>22</v>
      </c>
      <c r="L564" s="3" t="s">
        <v>23</v>
      </c>
      <c r="M564" s="3">
        <f>_xlfn.IFNA(VLOOKUP($A564,[2]stockregister!$A$2:$H$2000,8,0),0)</f>
        <v>1000</v>
      </c>
      <c r="N564" s="3">
        <f>_xlfn.IFNA(VLOOKUP($A564,[2]stockregister!$A$2:$H$2000,8,0),0)-$M564</f>
        <v>0</v>
      </c>
      <c r="O564" s="3" t="s">
        <v>1298</v>
      </c>
      <c r="P564" s="3" t="s">
        <v>1298</v>
      </c>
      <c r="Q564" s="3" t="s">
        <v>1299</v>
      </c>
      <c r="R564" s="3" t="s">
        <v>68</v>
      </c>
      <c r="S564" s="3" t="s">
        <v>940</v>
      </c>
    </row>
    <row r="565" spans="1:19">
      <c r="A565" s="3">
        <v>2507</v>
      </c>
      <c r="B565" s="3" t="b">
        <f>ISNUMBER(MATCH(A565,[1]stockregister!$A$2:$A$2000,0))</f>
        <v>1</v>
      </c>
      <c r="C565" s="3" t="s">
        <v>1300</v>
      </c>
      <c r="D565" s="3" t="str">
        <f>VLOOKUP($C565,[1]stockregister!$B$2:$B$2000,1,0)</f>
        <v>LEOPARDS LEAP CHENIN BLANC750ML</v>
      </c>
      <c r="E565" s="3" t="str">
        <f>IF(ISNA($D565),VLOOKUP($A565,[2]stockregister!$A$2:$B$2000,2,FALSE),"")</f>
        <v/>
      </c>
      <c r="F565" s="3" t="s">
        <v>21</v>
      </c>
      <c r="G565" s="3">
        <f>_xlfn.IFNA(VLOOKUP($A565,[3]stockregister!$A$2:$L$2000,11,0),0)</f>
        <v>24</v>
      </c>
      <c r="H565" s="3">
        <f>_xlfn.IFNA(VLOOKUP($A565,[3]stockregister!$A$2:$L$2000,11,0),0)-$G565</f>
        <v>0</v>
      </c>
      <c r="I565" s="3">
        <f>_xlfn.IFNA(VLOOKUP($A565,[3]stockregister!$A$2:$L$2000,12,0),0)</f>
        <v>1420</v>
      </c>
      <c r="J565" s="3">
        <f>_xlfn.IFNA(VLOOKUP($A565,[3]stockregister!$A$1:$M$2000,12,0),0)-$I565</f>
        <v>0</v>
      </c>
      <c r="K565" s="3" t="s">
        <v>22</v>
      </c>
      <c r="L565" s="3" t="s">
        <v>23</v>
      </c>
      <c r="M565" s="3">
        <f>_xlfn.IFNA(VLOOKUP($A565,[2]stockregister!$A$2:$H$2000,8,0),0)</f>
        <v>1550</v>
      </c>
      <c r="N565" s="3">
        <f>_xlfn.IFNA(VLOOKUP($A565,[2]stockregister!$A$2:$H$2000,8,0),0)-$M565</f>
        <v>0</v>
      </c>
      <c r="O565" s="3" t="s">
        <v>1301</v>
      </c>
      <c r="P565" s="3" t="s">
        <v>1301</v>
      </c>
      <c r="Q565" s="3" t="s">
        <v>1302</v>
      </c>
      <c r="R565" s="3" t="s">
        <v>537</v>
      </c>
      <c r="S565" s="3" t="s">
        <v>1303</v>
      </c>
    </row>
    <row r="566" spans="1:19">
      <c r="A566" s="3">
        <v>2228</v>
      </c>
      <c r="B566" s="3" t="b">
        <f>ISNUMBER(MATCH(A566,[1]stockregister!$A$2:$A$2000,0))</f>
        <v>1</v>
      </c>
      <c r="C566" s="3" t="s">
        <v>1304</v>
      </c>
      <c r="D566" s="3" t="str">
        <f>VLOOKUP($C566,[1]stockregister!$B$2:$B$2000,1,0)</f>
        <v>LA CAPRA CHENIN BLANC 750ML</v>
      </c>
      <c r="E566" s="3" t="str">
        <f>IF(ISNA($D566),VLOOKUP($A566,[2]stockregister!$A$2:$B$2000,2,FALSE),"")</f>
        <v/>
      </c>
      <c r="F566" s="3" t="s">
        <v>21</v>
      </c>
      <c r="G566" s="3">
        <f>_xlfn.IFNA(VLOOKUP($A566,[3]stockregister!$A$2:$L$2000,11,0),0)</f>
        <v>24</v>
      </c>
      <c r="H566" s="3">
        <f>_xlfn.IFNA(VLOOKUP($A566,[3]stockregister!$A$2:$L$2000,11,0),0)-$G566</f>
        <v>0</v>
      </c>
      <c r="I566" s="3">
        <f>_xlfn.IFNA(VLOOKUP($A566,[3]stockregister!$A$2:$L$2000,12,0),0)</f>
        <v>1100</v>
      </c>
      <c r="J566" s="3">
        <f>_xlfn.IFNA(VLOOKUP($A566,[3]stockregister!$A$1:$M$2000,12,0),0)-$I566</f>
        <v>0</v>
      </c>
      <c r="K566" s="3" t="s">
        <v>22</v>
      </c>
      <c r="L566" s="3" t="s">
        <v>23</v>
      </c>
      <c r="M566" s="3">
        <f>_xlfn.IFNA(VLOOKUP($A566,[2]stockregister!$A$2:$H$2000,8,0),0)</f>
        <v>1200</v>
      </c>
      <c r="N566" s="3">
        <f>_xlfn.IFNA(VLOOKUP($A566,[2]stockregister!$A$2:$H$2000,8,0),0)-$M566</f>
        <v>0</v>
      </c>
      <c r="O566" s="3" t="s">
        <v>1305</v>
      </c>
      <c r="P566" s="3" t="s">
        <v>1305</v>
      </c>
      <c r="Q566" s="3" t="s">
        <v>1306</v>
      </c>
      <c r="R566" s="3" t="s">
        <v>68</v>
      </c>
      <c r="S566" s="3" t="s">
        <v>1303</v>
      </c>
    </row>
    <row r="567" spans="1:19">
      <c r="A567" s="3">
        <v>110</v>
      </c>
      <c r="B567" s="3" t="b">
        <f>ISNUMBER(MATCH(A567,[1]stockregister!$A$2:$A$2000,0))</f>
        <v>1</v>
      </c>
      <c r="C567" s="3" t="s">
        <v>1307</v>
      </c>
      <c r="D567" s="3" t="str">
        <f>VLOOKUP($C567,[1]stockregister!$B$2:$B$2000,1,0)</f>
        <v>ARGENTO ORGANIC MALBEC 750ml</v>
      </c>
      <c r="E567" s="3" t="str">
        <f>IF(ISNA($D567),VLOOKUP($A567,[2]stockregister!$A$2:$B$2000,2,FALSE),"")</f>
        <v/>
      </c>
      <c r="F567" s="3" t="s">
        <v>21</v>
      </c>
      <c r="G567" s="3">
        <f>_xlfn.IFNA(VLOOKUP($A567,[3]stockregister!$A$2:$L$2000,11,0),0)</f>
        <v>24</v>
      </c>
      <c r="H567" s="3">
        <f>_xlfn.IFNA(VLOOKUP($A567,[3]stockregister!$A$2:$L$2000,11,0),0)-$G567</f>
        <v>0</v>
      </c>
      <c r="I567" s="3">
        <f>_xlfn.IFNA(VLOOKUP($A567,[3]stockregister!$A$2:$L$2000,12,0),0)</f>
        <v>1564</v>
      </c>
      <c r="J567" s="3">
        <f>_xlfn.IFNA(VLOOKUP($A567,[3]stockregister!$A$1:$M$2000,12,0),0)-$I567</f>
        <v>0</v>
      </c>
      <c r="K567" s="3" t="s">
        <v>22</v>
      </c>
      <c r="L567" s="3" t="s">
        <v>23</v>
      </c>
      <c r="M567" s="3">
        <f>_xlfn.IFNA(VLOOKUP($A567,[2]stockregister!$A$2:$H$2000,8,0),0)</f>
        <v>1700</v>
      </c>
      <c r="N567" s="3">
        <f>_xlfn.IFNA(VLOOKUP($A567,[2]stockregister!$A$2:$H$2000,8,0),0)-$M567</f>
        <v>0</v>
      </c>
      <c r="O567" s="3" t="s">
        <v>1308</v>
      </c>
      <c r="P567" s="3" t="s">
        <v>1308</v>
      </c>
      <c r="Q567" s="3" t="s">
        <v>1309</v>
      </c>
      <c r="R567" s="3" t="s">
        <v>68</v>
      </c>
      <c r="S567" s="3" t="s">
        <v>1310</v>
      </c>
    </row>
    <row r="568" spans="1:19">
      <c r="A568" s="3">
        <v>2436</v>
      </c>
      <c r="B568" s="3" t="b">
        <f>ISNUMBER(MATCH(A568,[1]stockregister!$A$2:$A$2000,0))</f>
        <v>1</v>
      </c>
      <c r="C568" s="3" t="s">
        <v>1311</v>
      </c>
      <c r="D568" s="3" t="str">
        <f>VLOOKUP($C568,[1]stockregister!$B$2:$B$2000,1,0)</f>
        <v>UNDURRAGA MERLOT</v>
      </c>
      <c r="E568" s="3" t="str">
        <f>IF(ISNA($D568),VLOOKUP($A568,[2]stockregister!$A$2:$B$2000,2,FALSE),"")</f>
        <v/>
      </c>
      <c r="F568" s="3" t="s">
        <v>21</v>
      </c>
      <c r="G568" s="3">
        <f>_xlfn.IFNA(VLOOKUP($A568,[3]stockregister!$A$2:$L$2000,11,0),0)</f>
        <v>24</v>
      </c>
      <c r="H568" s="3">
        <f>_xlfn.IFNA(VLOOKUP($A568,[3]stockregister!$A$2:$L$2000,11,0),0)-$G568</f>
        <v>0</v>
      </c>
      <c r="I568" s="3">
        <f>_xlfn.IFNA(VLOOKUP($A568,[3]stockregister!$A$2:$L$2000,12,0),0)</f>
        <v>1287.6</v>
      </c>
      <c r="J568" s="3">
        <f>_xlfn.IFNA(VLOOKUP($A568,[3]stockregister!$A$1:$M$2000,12,0),0)-$I568</f>
        <v>0</v>
      </c>
      <c r="K568" s="3" t="s">
        <v>22</v>
      </c>
      <c r="L568" s="3" t="s">
        <v>23</v>
      </c>
      <c r="M568" s="3">
        <f>_xlfn.IFNA(VLOOKUP($A568,[2]stockregister!$A$2:$H$2000,8,0),0)</f>
        <v>1390</v>
      </c>
      <c r="N568" s="3">
        <f>_xlfn.IFNA(VLOOKUP($A568,[2]stockregister!$A$2:$H$2000,8,0),0)-$M568</f>
        <v>0</v>
      </c>
      <c r="O568" s="3" t="s">
        <v>1312</v>
      </c>
      <c r="P568" s="3" t="s">
        <v>1312</v>
      </c>
      <c r="Q568" s="3" t="s">
        <v>1288</v>
      </c>
      <c r="R568" s="3" t="s">
        <v>537</v>
      </c>
      <c r="S568" s="3" t="s">
        <v>369</v>
      </c>
    </row>
    <row r="569" spans="1:19">
      <c r="A569" s="3">
        <v>290</v>
      </c>
      <c r="B569" s="3" t="b">
        <f>ISNUMBER(MATCH(A569,[1]stockregister!$A$2:$A$2000,0))</f>
        <v>1</v>
      </c>
      <c r="C569" s="3" t="s">
        <v>1313</v>
      </c>
      <c r="D569" s="3" t="str">
        <f>VLOOKUP($C569,[1]stockregister!$B$2:$B$2000,1,0)</f>
        <v>BRUCE JACK MERLOT 750ML</v>
      </c>
      <c r="E569" s="3" t="str">
        <f>IF(ISNA($D569),VLOOKUP($A569,[2]stockregister!$A$2:$B$2000,2,FALSE),"")</f>
        <v/>
      </c>
      <c r="F569" s="3" t="s">
        <v>21</v>
      </c>
      <c r="G569" s="3">
        <f>_xlfn.IFNA(VLOOKUP($A569,[3]stockregister!$A$2:$L$2000,11,0),0)</f>
        <v>24</v>
      </c>
      <c r="H569" s="3">
        <f>_xlfn.IFNA(VLOOKUP($A569,[3]stockregister!$A$2:$L$2000,11,0),0)-$G569</f>
        <v>0</v>
      </c>
      <c r="I569" s="3">
        <f>_xlfn.IFNA(VLOOKUP($A569,[3]stockregister!$A$2:$L$2000,12,0),0)</f>
        <v>1380</v>
      </c>
      <c r="J569" s="3">
        <f>_xlfn.IFNA(VLOOKUP($A569,[3]stockregister!$A$1:$M$2000,12,0),0)-$I569</f>
        <v>0</v>
      </c>
      <c r="K569" s="3" t="s">
        <v>22</v>
      </c>
      <c r="L569" s="3" t="s">
        <v>23</v>
      </c>
      <c r="M569" s="3">
        <f>_xlfn.IFNA(VLOOKUP($A569,[2]stockregister!$A$2:$H$2000,8,0),0)</f>
        <v>1500</v>
      </c>
      <c r="N569" s="3">
        <f>_xlfn.IFNA(VLOOKUP($A569,[2]stockregister!$A$2:$H$2000,8,0),0)-$M569</f>
        <v>0</v>
      </c>
      <c r="O569" s="3" t="s">
        <v>1314</v>
      </c>
      <c r="P569" s="3" t="s">
        <v>1314</v>
      </c>
      <c r="Q569" s="3" t="s">
        <v>939</v>
      </c>
      <c r="R569" s="3" t="s">
        <v>68</v>
      </c>
      <c r="S569" s="3" t="s">
        <v>369</v>
      </c>
    </row>
    <row r="570" spans="1:19">
      <c r="A570" s="3">
        <v>96</v>
      </c>
      <c r="B570" s="3" t="b">
        <f>ISNUMBER(MATCH(A570,[1]stockregister!$A$2:$A$2000,0))</f>
        <v>1</v>
      </c>
      <c r="C570" s="3" t="s">
        <v>1315</v>
      </c>
      <c r="D570" s="3" t="str">
        <f>VLOOKUP($C570,[1]stockregister!$B$2:$B$2000,1,0)</f>
        <v>ANDRE MOSCATO 750ML</v>
      </c>
      <c r="E570" s="3" t="str">
        <f>IF(ISNA($D570),VLOOKUP($A570,[2]stockregister!$A$2:$B$2000,2,FALSE),"")</f>
        <v/>
      </c>
      <c r="F570" s="3" t="s">
        <v>21</v>
      </c>
      <c r="G570" s="3">
        <f>_xlfn.IFNA(VLOOKUP($A570,[3]stockregister!$A$2:$L$2000,11,0),0)</f>
        <v>24</v>
      </c>
      <c r="H570" s="3">
        <f>_xlfn.IFNA(VLOOKUP($A570,[3]stockregister!$A$2:$L$2000,11,0),0)-$G570</f>
        <v>0</v>
      </c>
      <c r="I570" s="3">
        <f>_xlfn.IFNA(VLOOKUP($A570,[3]stockregister!$A$2:$L$2000,12,0),0)</f>
        <v>1380</v>
      </c>
      <c r="J570" s="3">
        <f>_xlfn.IFNA(VLOOKUP($A570,[3]stockregister!$A$1:$M$2000,12,0),0)-$I570</f>
        <v>0</v>
      </c>
      <c r="K570" s="3" t="s">
        <v>22</v>
      </c>
      <c r="L570" s="3" t="s">
        <v>23</v>
      </c>
      <c r="M570" s="3">
        <f>_xlfn.IFNA(VLOOKUP($A570,[2]stockregister!$A$2:$H$2000,8,0),0)</f>
        <v>1500</v>
      </c>
      <c r="N570" s="3">
        <f>_xlfn.IFNA(VLOOKUP($A570,[2]stockregister!$A$2:$H$2000,8,0),0)-$M570</f>
        <v>0</v>
      </c>
      <c r="O570" s="3" t="s">
        <v>1316</v>
      </c>
      <c r="P570" s="3" t="s">
        <v>1316</v>
      </c>
      <c r="Q570" s="3" t="s">
        <v>968</v>
      </c>
      <c r="R570" s="3" t="s">
        <v>68</v>
      </c>
      <c r="S570" s="3" t="s">
        <v>969</v>
      </c>
    </row>
    <row r="571" spans="1:19">
      <c r="A571" s="3">
        <v>2509</v>
      </c>
      <c r="B571" s="3" t="b">
        <f>ISNUMBER(MATCH(A571,[1]stockregister!$A$2:$A$2000,0))</f>
        <v>1</v>
      </c>
      <c r="C571" s="3" t="s">
        <v>1317</v>
      </c>
      <c r="D571" s="3" t="str">
        <f>VLOOKUP($C571,[1]stockregister!$B$2:$B$2000,1,0)</f>
        <v>LEOPARDS LEAP CHARDONNAY PINOT NOIR 750ML</v>
      </c>
      <c r="E571" s="3" t="str">
        <f>IF(ISNA($D571),VLOOKUP($A571,[2]stockregister!$A$2:$B$2000,2,FALSE),"")</f>
        <v/>
      </c>
      <c r="F571" s="3" t="s">
        <v>21</v>
      </c>
      <c r="G571" s="3">
        <f>_xlfn.IFNA(VLOOKUP($A571,[3]stockregister!$A$2:$L$2000,11,0),0)</f>
        <v>24</v>
      </c>
      <c r="H571" s="3">
        <f>_xlfn.IFNA(VLOOKUP($A571,[3]stockregister!$A$2:$L$2000,11,0),0)-$G571</f>
        <v>0</v>
      </c>
      <c r="I571" s="3">
        <f>_xlfn.IFNA(VLOOKUP($A571,[3]stockregister!$A$2:$L$2000,12,0),0)</f>
        <v>1420</v>
      </c>
      <c r="J571" s="3">
        <f>_xlfn.IFNA(VLOOKUP($A571,[3]stockregister!$A$1:$M$2000,12,0),0)-$I571</f>
        <v>0</v>
      </c>
      <c r="K571" s="3" t="s">
        <v>22</v>
      </c>
      <c r="L571" s="3" t="s">
        <v>23</v>
      </c>
      <c r="M571" s="3">
        <f>_xlfn.IFNA(VLOOKUP($A571,[2]stockregister!$A$2:$H$2000,8,0),0)</f>
        <v>1550</v>
      </c>
      <c r="N571" s="3">
        <f>_xlfn.IFNA(VLOOKUP($A571,[2]stockregister!$A$2:$H$2000,8,0),0)-$M571</f>
        <v>0</v>
      </c>
      <c r="O571" s="3" t="s">
        <v>1318</v>
      </c>
      <c r="P571" s="3" t="s">
        <v>1318</v>
      </c>
      <c r="Q571" s="3" t="s">
        <v>1302</v>
      </c>
      <c r="R571" s="3" t="s">
        <v>537</v>
      </c>
      <c r="S571" s="3" t="s">
        <v>1041</v>
      </c>
    </row>
    <row r="572" spans="1:19">
      <c r="A572" s="3">
        <v>2585</v>
      </c>
      <c r="B572" s="3" t="b">
        <f>ISNUMBER(MATCH(A572,[1]stockregister!$A$2:$A$2000,0))</f>
        <v>1</v>
      </c>
      <c r="C572" s="3" t="s">
        <v>1319</v>
      </c>
      <c r="D572" s="3" t="str">
        <f>VLOOKUP($C572,[1]stockregister!$B$2:$B$2000,1,0)</f>
        <v>TONS DE DUORUM RED 750ML</v>
      </c>
      <c r="E572" s="3" t="str">
        <f>IF(ISNA($D572),VLOOKUP($A572,[2]stockregister!$A$2:$B$2000,2,FALSE),"")</f>
        <v/>
      </c>
      <c r="F572" s="3" t="s">
        <v>21</v>
      </c>
      <c r="G572" s="3">
        <f>_xlfn.IFNA(VLOOKUP($A572,[3]stockregister!$A$2:$L$2000,11,0),0)</f>
        <v>24</v>
      </c>
      <c r="H572" s="3">
        <f>_xlfn.IFNA(VLOOKUP($A572,[3]stockregister!$A$2:$L$2000,11,0),0)-$G572</f>
        <v>0</v>
      </c>
      <c r="I572" s="3">
        <f>_xlfn.IFNA(VLOOKUP($A572,[3]stockregister!$A$2:$L$2000,12,0),0)</f>
        <v>1200</v>
      </c>
      <c r="J572" s="3">
        <f>_xlfn.IFNA(VLOOKUP($A572,[3]stockregister!$A$1:$M$2000,12,0),0)-$I572</f>
        <v>0</v>
      </c>
      <c r="K572" s="3" t="s">
        <v>22</v>
      </c>
      <c r="L572" s="3" t="s">
        <v>23</v>
      </c>
      <c r="M572" s="3">
        <f>_xlfn.IFNA(VLOOKUP($A572,[2]stockregister!$A$2:$H$2000,8,0),0)</f>
        <v>1400</v>
      </c>
      <c r="N572" s="3">
        <f>_xlfn.IFNA(VLOOKUP($A572,[2]stockregister!$A$2:$H$2000,8,0),0)-$M572</f>
        <v>0</v>
      </c>
      <c r="O572" s="3" t="s">
        <v>1320</v>
      </c>
      <c r="P572" s="3" t="s">
        <v>1320</v>
      </c>
      <c r="Q572" s="3" t="s">
        <v>1212</v>
      </c>
      <c r="R572" s="3" t="s">
        <v>537</v>
      </c>
      <c r="S572" s="3" t="s">
        <v>169</v>
      </c>
    </row>
    <row r="573" spans="1:19">
      <c r="A573" s="3">
        <v>1250</v>
      </c>
      <c r="B573" s="3" t="b">
        <f>ISNUMBER(MATCH(A573,[1]stockregister!$A$2:$A$2000,0))</f>
        <v>1</v>
      </c>
      <c r="C573" s="3" t="s">
        <v>1321</v>
      </c>
      <c r="D573" s="3" t="str">
        <f>VLOOKUP($C573,[1]stockregister!$B$2:$B$2000,1,0)</f>
        <v>LA MAUQUELINE 750ML</v>
      </c>
      <c r="E573" s="3" t="str">
        <f>IF(ISNA($D573),VLOOKUP($A573,[2]stockregister!$A$2:$B$2000,2,FALSE),"")</f>
        <v/>
      </c>
      <c r="F573" s="3" t="s">
        <v>21</v>
      </c>
      <c r="G573" s="3">
        <f>_xlfn.IFNA(VLOOKUP($A573,[3]stockregister!$A$2:$L$2000,11,0),0)</f>
        <v>24</v>
      </c>
      <c r="H573" s="3">
        <f>_xlfn.IFNA(VLOOKUP($A573,[3]stockregister!$A$2:$L$2000,11,0),0)-$G573</f>
        <v>0</v>
      </c>
      <c r="I573" s="3">
        <f>_xlfn.IFNA(VLOOKUP($A573,[3]stockregister!$A$2:$L$2000,12,0),0)</f>
        <v>2200</v>
      </c>
      <c r="J573" s="3">
        <f>_xlfn.IFNA(VLOOKUP($A573,[3]stockregister!$A$1:$M$2000,12,0),0)-$I573</f>
        <v>0</v>
      </c>
      <c r="K573" s="3" t="s">
        <v>22</v>
      </c>
      <c r="L573" s="3" t="s">
        <v>23</v>
      </c>
      <c r="M573" s="3">
        <f>_xlfn.IFNA(VLOOKUP($A573,[2]stockregister!$A$2:$H$2000,8,0),0)</f>
        <v>2490</v>
      </c>
      <c r="N573" s="3">
        <f>_xlfn.IFNA(VLOOKUP($A573,[2]stockregister!$A$2:$H$2000,8,0),0)-$M573</f>
        <v>0</v>
      </c>
      <c r="O573" s="3" t="s">
        <v>1322</v>
      </c>
      <c r="P573" s="3" t="s">
        <v>1322</v>
      </c>
      <c r="Q573" s="3" t="s">
        <v>1323</v>
      </c>
      <c r="R573" s="3" t="s">
        <v>68</v>
      </c>
      <c r="S573" s="3" t="s">
        <v>169</v>
      </c>
    </row>
    <row r="574" spans="1:19">
      <c r="A574" s="3">
        <v>2082</v>
      </c>
      <c r="B574" s="3" t="b">
        <f>ISNUMBER(MATCH(A574,[1]stockregister!$A$2:$A$2000,0))</f>
        <v>1</v>
      </c>
      <c r="C574" s="3" t="s">
        <v>1324</v>
      </c>
      <c r="D574" s="3" t="str">
        <f>VLOOKUP($C574,[1]stockregister!$B$2:$B$2000,1,0)</f>
        <v>WELMOED SHIRAZ 750ML</v>
      </c>
      <c r="E574" s="3" t="str">
        <f>IF(ISNA($D574),VLOOKUP($A574,[2]stockregister!$A$2:$B$2000,2,FALSE),"")</f>
        <v/>
      </c>
      <c r="F574" s="3" t="s">
        <v>21</v>
      </c>
      <c r="G574" s="3">
        <f>_xlfn.IFNA(VLOOKUP($A574,[3]stockregister!$A$2:$L$2000,11,0),0)</f>
        <v>24</v>
      </c>
      <c r="H574" s="3">
        <f>_xlfn.IFNA(VLOOKUP($A574,[3]stockregister!$A$2:$L$2000,11,0),0)-$G574</f>
        <v>0</v>
      </c>
      <c r="I574" s="3">
        <f>_xlfn.IFNA(VLOOKUP($A574,[3]stockregister!$A$2:$L$2000,12,0),0)</f>
        <v>1104</v>
      </c>
      <c r="J574" s="3">
        <f>_xlfn.IFNA(VLOOKUP($A574,[3]stockregister!$A$1:$M$2000,12,0),0)-$I574</f>
        <v>0</v>
      </c>
      <c r="K574" s="3" t="s">
        <v>22</v>
      </c>
      <c r="L574" s="3" t="s">
        <v>23</v>
      </c>
      <c r="M574" s="3">
        <f>_xlfn.IFNA(VLOOKUP($A574,[2]stockregister!$A$2:$H$2000,8,0),0)</f>
        <v>1200</v>
      </c>
      <c r="N574" s="3">
        <f>_xlfn.IFNA(VLOOKUP($A574,[2]stockregister!$A$2:$H$2000,8,0),0)-$M574</f>
        <v>0</v>
      </c>
      <c r="O574" s="3" t="s">
        <v>1325</v>
      </c>
      <c r="P574" s="3" t="s">
        <v>1325</v>
      </c>
      <c r="Q574" s="3" t="s">
        <v>1296</v>
      </c>
      <c r="R574" s="3" t="s">
        <v>68</v>
      </c>
      <c r="S574" s="3" t="s">
        <v>876</v>
      </c>
    </row>
    <row r="575" spans="1:19">
      <c r="A575" s="3">
        <v>1147</v>
      </c>
      <c r="B575" s="3" t="b">
        <f>ISNUMBER(MATCH(A575,[1]stockregister!$A$2:$A$2000,0))</f>
        <v>1</v>
      </c>
      <c r="C575" s="3" t="s">
        <v>1326</v>
      </c>
      <c r="D575" s="3" t="str">
        <f>VLOOKUP($C575,[1]stockregister!$B$2:$B$2000,1,0)</f>
        <v>JP CHENET ORIGINAL BRUT-SPARKLING 750ML</v>
      </c>
      <c r="E575" s="3" t="str">
        <f>IF(ISNA($D575),VLOOKUP($A575,[2]stockregister!$A$2:$B$2000,2,FALSE),"")</f>
        <v/>
      </c>
      <c r="F575" s="3" t="s">
        <v>21</v>
      </c>
      <c r="G575" s="3">
        <f>_xlfn.IFNA(VLOOKUP($A575,[3]stockregister!$A$2:$L$2000,11,0),0)</f>
        <v>24</v>
      </c>
      <c r="H575" s="3">
        <f>_xlfn.IFNA(VLOOKUP($A575,[3]stockregister!$A$2:$L$2000,11,0),0)-$G575</f>
        <v>0</v>
      </c>
      <c r="I575" s="3">
        <f>_xlfn.IFNA(VLOOKUP($A575,[3]stockregister!$A$2:$L$2000,12,0),0)</f>
        <v>874</v>
      </c>
      <c r="J575" s="3">
        <f>_xlfn.IFNA(VLOOKUP($A575,[3]stockregister!$A$1:$M$2000,12,0),0)-$I575</f>
        <v>0</v>
      </c>
      <c r="K575" s="3" t="s">
        <v>22</v>
      </c>
      <c r="L575" s="3" t="s">
        <v>23</v>
      </c>
      <c r="M575" s="3">
        <f>_xlfn.IFNA(VLOOKUP($A575,[2]stockregister!$A$2:$H$2000,8,0),0)</f>
        <v>950</v>
      </c>
      <c r="N575" s="3">
        <f>_xlfn.IFNA(VLOOKUP($A575,[2]stockregister!$A$2:$H$2000,8,0),0)-$M575</f>
        <v>0</v>
      </c>
      <c r="O575" s="3" t="s">
        <v>1327</v>
      </c>
      <c r="P575" s="3" t="s">
        <v>1327</v>
      </c>
      <c r="Q575" s="3" t="s">
        <v>1328</v>
      </c>
      <c r="R575" s="3" t="s">
        <v>68</v>
      </c>
      <c r="S575" s="3" t="s">
        <v>828</v>
      </c>
    </row>
    <row r="576" spans="1:19">
      <c r="A576" s="3">
        <v>2660</v>
      </c>
      <c r="B576" s="3" t="b">
        <f>ISNUMBER(MATCH(A576,[1]stockregister!$A$2:$A$2000,0))</f>
        <v>1</v>
      </c>
      <c r="C576" s="3" t="s">
        <v>1329</v>
      </c>
      <c r="D576" s="3" t="str">
        <f>VLOOKUP($C576,[1]stockregister!$B$2:$B$2000,1,0)</f>
        <v>CANDY FLOSS SWEET RED WINE 750ML</v>
      </c>
      <c r="E576" s="3" t="str">
        <f>IF(ISNA($D576),VLOOKUP($A576,[2]stockregister!$A$2:$B$2000,2,FALSE),"")</f>
        <v/>
      </c>
      <c r="F576" s="3" t="s">
        <v>21</v>
      </c>
      <c r="G576" s="3">
        <f>_xlfn.IFNA(VLOOKUP($A576,[3]stockregister!$A$2:$L$2000,11,0),0)</f>
        <v>24</v>
      </c>
      <c r="H576" s="3">
        <f>_xlfn.IFNA(VLOOKUP($A576,[3]stockregister!$A$2:$L$2000,11,0),0)-$G576</f>
        <v>0</v>
      </c>
      <c r="I576" s="3">
        <f>_xlfn.IFNA(VLOOKUP($A576,[3]stockregister!$A$2:$L$2000,12,0),0)</f>
        <v>850</v>
      </c>
      <c r="J576" s="3">
        <f>_xlfn.IFNA(VLOOKUP($A576,[3]stockregister!$A$1:$M$2000,12,0),0)-$I576</f>
        <v>0</v>
      </c>
      <c r="K576" s="3" t="s">
        <v>22</v>
      </c>
      <c r="L576" s="3" t="s">
        <v>23</v>
      </c>
      <c r="M576" s="3">
        <f>_xlfn.IFNA(VLOOKUP($A576,[2]stockregister!$A$2:$H$2000,8,0),0)</f>
        <v>950</v>
      </c>
      <c r="N576" s="3">
        <f>_xlfn.IFNA(VLOOKUP($A576,[2]stockregister!$A$2:$H$2000,8,0),0)-$M576</f>
        <v>0</v>
      </c>
      <c r="O576" s="3" t="s">
        <v>1330</v>
      </c>
      <c r="P576" s="3" t="s">
        <v>1330</v>
      </c>
      <c r="Q576" s="3" t="s">
        <v>842</v>
      </c>
      <c r="R576" s="3" t="s">
        <v>537</v>
      </c>
      <c r="S576" s="3" t="s">
        <v>88</v>
      </c>
    </row>
    <row r="577" spans="1:19">
      <c r="A577" s="3">
        <v>597</v>
      </c>
      <c r="B577" s="3" t="b">
        <f>ISNUMBER(MATCH(A577,[1]stockregister!$A$2:$A$2000,0))</f>
        <v>1</v>
      </c>
      <c r="C577" s="3" t="s">
        <v>1331</v>
      </c>
      <c r="D577" s="3" t="str">
        <f>VLOOKUP($C577,[1]stockregister!$B$2:$B$2000,1,0)</f>
        <v>DELUSH SWEET ROSE 750ML</v>
      </c>
      <c r="E577" s="3" t="str">
        <f>IF(ISNA($D577),VLOOKUP($A577,[2]stockregister!$A$2:$B$2000,2,FALSE),"")</f>
        <v/>
      </c>
      <c r="F577" s="3" t="s">
        <v>21</v>
      </c>
      <c r="G577" s="3">
        <f>_xlfn.IFNA(VLOOKUP($A577,[3]stockregister!$A$2:$L$2000,11,0),0)</f>
        <v>24</v>
      </c>
      <c r="H577" s="3">
        <f>_xlfn.IFNA(VLOOKUP($A577,[3]stockregister!$A$2:$L$2000,11,0),0)-$G577</f>
        <v>0</v>
      </c>
      <c r="I577" s="3">
        <f>_xlfn.IFNA(VLOOKUP($A577,[3]stockregister!$A$2:$L$2000,12,0),0)</f>
        <v>672</v>
      </c>
      <c r="J577" s="3">
        <f>_xlfn.IFNA(VLOOKUP($A577,[3]stockregister!$A$1:$M$2000,12,0),0)-$I577</f>
        <v>0</v>
      </c>
      <c r="K577" s="3" t="s">
        <v>22</v>
      </c>
      <c r="L577" s="3" t="s">
        <v>23</v>
      </c>
      <c r="M577" s="3">
        <f>_xlfn.IFNA(VLOOKUP($A577,[2]stockregister!$A$2:$H$2000,8,0),0)</f>
        <v>850</v>
      </c>
      <c r="N577" s="3">
        <f>_xlfn.IFNA(VLOOKUP($A577,[2]stockregister!$A$2:$H$2000,8,0),0)-$M577</f>
        <v>0</v>
      </c>
      <c r="O577" s="3" t="s">
        <v>1332</v>
      </c>
      <c r="P577" s="3" t="s">
        <v>1332</v>
      </c>
      <c r="Q577" s="3" t="s">
        <v>345</v>
      </c>
      <c r="R577" s="3" t="s">
        <v>68</v>
      </c>
      <c r="S577" s="3" t="s">
        <v>196</v>
      </c>
    </row>
    <row r="578" spans="1:19">
      <c r="A578" s="3">
        <v>1625</v>
      </c>
      <c r="B578" s="3" t="b">
        <f>ISNUMBER(MATCH(A578,[1]stockregister!$A$2:$A$2000,0))</f>
        <v>1</v>
      </c>
      <c r="C578" s="3" t="s">
        <v>1333</v>
      </c>
      <c r="D578" s="3" t="str">
        <f>VLOOKUP($C578,[1]stockregister!$B$2:$B$2000,1,0)</f>
        <v>PIERRE MARCEL SWEET WHITE 750ML</v>
      </c>
      <c r="E578" s="3" t="str">
        <f>IF(ISNA($D578),VLOOKUP($A578,[2]stockregister!$A$2:$B$2000,2,FALSE),"")</f>
        <v/>
      </c>
      <c r="F578" s="3" t="s">
        <v>21</v>
      </c>
      <c r="G578" s="3">
        <f>_xlfn.IFNA(VLOOKUP($A578,[3]stockregister!$A$2:$L$2000,11,0),0)</f>
        <v>156</v>
      </c>
      <c r="H578" s="3">
        <f>_xlfn.IFNA(VLOOKUP($A578,[3]stockregister!$A$2:$L$2000,11,0),0)-$G578</f>
        <v>0</v>
      </c>
      <c r="I578" s="3">
        <f>_xlfn.IFNA(VLOOKUP($A578,[3]stockregister!$A$2:$L$2000,12,0),0)</f>
        <v>1100</v>
      </c>
      <c r="J578" s="3">
        <f>_xlfn.IFNA(VLOOKUP($A578,[3]stockregister!$A$1:$M$2000,12,0),0)-$I578</f>
        <v>0</v>
      </c>
      <c r="K578" s="3" t="s">
        <v>22</v>
      </c>
      <c r="L578" s="3" t="s">
        <v>23</v>
      </c>
      <c r="M578" s="3">
        <f>_xlfn.IFNA(VLOOKUP($A578,[2]stockregister!$A$2:$H$2000,8,0),0)</f>
        <v>1200</v>
      </c>
      <c r="N578" s="3">
        <f>_xlfn.IFNA(VLOOKUP($A578,[2]stockregister!$A$2:$H$2000,8,0),0)-$M578</f>
        <v>0</v>
      </c>
      <c r="O578" s="3" t="s">
        <v>1334</v>
      </c>
      <c r="P578" s="3" t="s">
        <v>1334</v>
      </c>
      <c r="Q578" s="3" t="s">
        <v>737</v>
      </c>
      <c r="R578" s="3" t="s">
        <v>68</v>
      </c>
      <c r="S578" s="3" t="s">
        <v>69</v>
      </c>
    </row>
    <row r="579" spans="1:19">
      <c r="A579" s="3">
        <v>400</v>
      </c>
      <c r="B579" s="3" t="b">
        <f>ISNUMBER(MATCH(A579,[1]stockregister!$A$2:$A$2000,0))</f>
        <v>1</v>
      </c>
      <c r="C579" s="3" t="s">
        <v>1335</v>
      </c>
      <c r="D579" s="3" t="str">
        <f>VLOOKUP($C579,[1]stockregister!$B$2:$B$2000,1,0)</f>
        <v>CASA BUENA SWEET WHITE 1LTR</v>
      </c>
      <c r="E579" s="3" t="str">
        <f>IF(ISNA($D579),VLOOKUP($A579,[2]stockregister!$A$2:$B$2000,2,FALSE),"")</f>
        <v/>
      </c>
      <c r="F579" s="3" t="s">
        <v>21</v>
      </c>
      <c r="G579" s="3">
        <f>_xlfn.IFNA(VLOOKUP($A579,[3]stockregister!$A$2:$L$2000,11,0),0)</f>
        <v>120</v>
      </c>
      <c r="H579" s="3">
        <f>_xlfn.IFNA(VLOOKUP($A579,[3]stockregister!$A$2:$L$2000,11,0),0)-$G579</f>
        <v>0</v>
      </c>
      <c r="I579" s="3">
        <f>_xlfn.IFNA(VLOOKUP($A579,[3]stockregister!$A$2:$L$2000,12,0),0)</f>
        <v>711.9</v>
      </c>
      <c r="J579" s="3">
        <f>_xlfn.IFNA(VLOOKUP($A579,[3]stockregister!$A$1:$M$2000,12,0),0)-$I579</f>
        <v>0</v>
      </c>
      <c r="K579" s="3" t="s">
        <v>22</v>
      </c>
      <c r="L579" s="3" t="s">
        <v>23</v>
      </c>
      <c r="M579" s="3">
        <f>_xlfn.IFNA(VLOOKUP($A579,[2]stockregister!$A$2:$H$2000,8,0),0)</f>
        <v>720</v>
      </c>
      <c r="N579" s="3">
        <f>_xlfn.IFNA(VLOOKUP($A579,[2]stockregister!$A$2:$H$2000,8,0),0)-$M579</f>
        <v>0</v>
      </c>
      <c r="O579" s="3" t="s">
        <v>1336</v>
      </c>
      <c r="P579" s="3" t="s">
        <v>1336</v>
      </c>
      <c r="Q579" s="3" t="s">
        <v>1151</v>
      </c>
      <c r="R579" s="3" t="s">
        <v>68</v>
      </c>
      <c r="S579" s="3" t="s">
        <v>69</v>
      </c>
    </row>
    <row r="580" spans="1:19">
      <c r="A580" s="3">
        <v>2708</v>
      </c>
      <c r="B580" s="3" t="b">
        <f>ISNUMBER(MATCH(A580,[1]stockregister!$A$2:$A$2000,0))</f>
        <v>1</v>
      </c>
      <c r="C580" s="3" t="s">
        <v>1337</v>
      </c>
      <c r="D580" s="3" t="str">
        <f>VLOOKUP($C580,[1]stockregister!$B$2:$B$2000,1,0)</f>
        <v>TERRA LINDA SYRAH RED 750ML</v>
      </c>
      <c r="E580" s="3" t="str">
        <f>IF(ISNA($D580),VLOOKUP($A580,[2]stockregister!$A$2:$B$2000,2,FALSE),"")</f>
        <v/>
      </c>
      <c r="F580" s="3" t="s">
        <v>21</v>
      </c>
      <c r="G580" s="3">
        <f>_xlfn.IFNA(VLOOKUP($A580,[3]stockregister!$A$2:$L$2000,11,0),0)</f>
        <v>54</v>
      </c>
      <c r="H580" s="3">
        <f>_xlfn.IFNA(VLOOKUP($A580,[3]stockregister!$A$2:$L$2000,11,0),0)-$G580</f>
        <v>0</v>
      </c>
      <c r="I580" s="3">
        <f>_xlfn.IFNA(VLOOKUP($A580,[3]stockregister!$A$2:$L$2000,12,0),0)</f>
        <v>1550</v>
      </c>
      <c r="J580" s="3">
        <f>_xlfn.IFNA(VLOOKUP($A580,[3]stockregister!$A$1:$M$2000,12,0),0)-$I580</f>
        <v>0</v>
      </c>
      <c r="K580" s="3" t="s">
        <v>22</v>
      </c>
      <c r="L580" s="3" t="s">
        <v>23</v>
      </c>
      <c r="M580" s="3">
        <f>_xlfn.IFNA(VLOOKUP($A580,[2]stockregister!$A$2:$H$2000,8,0),0)</f>
        <v>2000</v>
      </c>
      <c r="N580" s="3">
        <f>_xlfn.IFNA(VLOOKUP($A580,[2]stockregister!$A$2:$H$2000,8,0),0)-$M580</f>
        <v>0</v>
      </c>
      <c r="O580" s="3" t="s">
        <v>1338</v>
      </c>
      <c r="P580" s="3" t="s">
        <v>1338</v>
      </c>
      <c r="Q580" s="3" t="s">
        <v>1149</v>
      </c>
      <c r="R580" s="3" t="s">
        <v>537</v>
      </c>
      <c r="S580" s="3" t="s">
        <v>892</v>
      </c>
    </row>
    <row r="581" spans="1:19">
      <c r="A581" s="3">
        <v>2250</v>
      </c>
      <c r="B581" s="3" t="b">
        <f>ISNUMBER(MATCH(A581,[1]stockregister!$A$2:$A$2000,0))</f>
        <v>1</v>
      </c>
      <c r="C581" s="3" t="s">
        <v>346</v>
      </c>
      <c r="D581" s="3" t="str">
        <f>VLOOKUP($C581,[1]stockregister!$B$2:$B$2000,1,0)</f>
        <v>SWARTLAND  SYRAH 750ML</v>
      </c>
      <c r="E581" s="3" t="str">
        <f>IF(ISNA($D581),VLOOKUP($A581,[2]stockregister!$A$2:$B$2000,2,FALSE),"")</f>
        <v/>
      </c>
      <c r="F581" s="3" t="s">
        <v>21</v>
      </c>
      <c r="G581" s="3">
        <f>_xlfn.IFNA(VLOOKUP($A581,[3]stockregister!$A$2:$L$2000,11,0),0)</f>
        <v>24</v>
      </c>
      <c r="H581" s="3">
        <f>_xlfn.IFNA(VLOOKUP($A581,[3]stockregister!$A$2:$L$2000,11,0),0)-$G581</f>
        <v>0</v>
      </c>
      <c r="I581" s="3">
        <f>_xlfn.IFNA(VLOOKUP($A581,[3]stockregister!$A$2:$L$2000,12,0),0)</f>
        <v>1200</v>
      </c>
      <c r="J581" s="3">
        <f>_xlfn.IFNA(VLOOKUP($A581,[3]stockregister!$A$1:$M$2000,12,0),0)-$I581</f>
        <v>0</v>
      </c>
      <c r="K581" s="3" t="s">
        <v>22</v>
      </c>
      <c r="L581" s="3" t="s">
        <v>23</v>
      </c>
      <c r="M581" s="3">
        <f>_xlfn.IFNA(VLOOKUP($A581,[2]stockregister!$A$2:$H$2000,8,0),0)</f>
        <v>1300</v>
      </c>
      <c r="N581" s="3">
        <f>_xlfn.IFNA(VLOOKUP($A581,[2]stockregister!$A$2:$H$2000,8,0),0)-$M581</f>
        <v>0</v>
      </c>
      <c r="O581" s="3" t="s">
        <v>1339</v>
      </c>
      <c r="P581" s="3" t="s">
        <v>1339</v>
      </c>
      <c r="Q581" s="3" t="s">
        <v>1340</v>
      </c>
      <c r="R581" s="3" t="s">
        <v>68</v>
      </c>
      <c r="S581" s="3" t="s">
        <v>892</v>
      </c>
    </row>
    <row r="582" spans="1:19">
      <c r="A582" s="3">
        <v>2972</v>
      </c>
      <c r="B582" s="3" t="b">
        <f>ISNUMBER(MATCH(A582,[1]stockregister!$A$2:$A$2000,0))</f>
        <v>1</v>
      </c>
      <c r="C582" s="3" t="s">
        <v>349</v>
      </c>
      <c r="D582" s="3" t="str">
        <f>VLOOKUP($C582,[1]stockregister!$B$2:$B$2000,1,0)</f>
        <v>HENDRICKS ORBIUM GIN 700ML</v>
      </c>
      <c r="E582" s="3" t="str">
        <f>IF(ISNA($D582),VLOOKUP($A582,[2]stockregister!$A$2:$B$2000,2,FALSE),"")</f>
        <v/>
      </c>
      <c r="F582" s="3" t="s">
        <v>21</v>
      </c>
      <c r="G582" s="3">
        <f>_xlfn.IFNA(VLOOKUP($A582,[3]stockregister!$A$2:$L$2000,11,0),0)</f>
        <v>24</v>
      </c>
      <c r="H582" s="3">
        <f>_xlfn.IFNA(VLOOKUP($A582,[3]stockregister!$A$2:$L$2000,11,0),0)-$G582</f>
        <v>0</v>
      </c>
      <c r="I582" s="3">
        <f>_xlfn.IFNA(VLOOKUP($A582,[3]stockregister!$A$2:$L$2000,12,0),0)</f>
        <v>12500</v>
      </c>
      <c r="J582" s="3">
        <f>_xlfn.IFNA(VLOOKUP($A582,[3]stockregister!$A$1:$M$2000,12,0),0)-$I582</f>
        <v>0</v>
      </c>
      <c r="K582" s="3" t="s">
        <v>22</v>
      </c>
      <c r="L582" s="3" t="s">
        <v>23</v>
      </c>
      <c r="M582" s="3">
        <f>_xlfn.IFNA(VLOOKUP($A582,[2]stockregister!$A$2:$H$2000,8,0),0)</f>
        <v>15000</v>
      </c>
      <c r="N582" s="3">
        <f>_xlfn.IFNA(VLOOKUP($A582,[2]stockregister!$A$2:$H$2000,8,0),0)-$M582</f>
        <v>0</v>
      </c>
      <c r="O582" s="3" t="s">
        <v>1341</v>
      </c>
      <c r="P582" s="3" t="s">
        <v>1341</v>
      </c>
      <c r="Q582" s="3" t="s">
        <v>1342</v>
      </c>
      <c r="R582" s="3" t="s">
        <v>68</v>
      </c>
      <c r="S582" s="3" t="s">
        <v>555</v>
      </c>
    </row>
    <row r="583" spans="1:19">
      <c r="A583" s="3">
        <v>2975</v>
      </c>
      <c r="B583" s="3" t="b">
        <f>ISNUMBER(MATCH(A583,[1]stockregister!$A$2:$A$2000,0))</f>
        <v>1</v>
      </c>
      <c r="C583" s="3" t="s">
        <v>353</v>
      </c>
      <c r="D583" s="3" t="str">
        <f>VLOOKUP($C583,[1]stockregister!$B$2:$B$2000,1,0)</f>
        <v>BUSHMILL BLACK BUSH 750ML</v>
      </c>
      <c r="E583" s="3" t="str">
        <f>IF(ISNA($D583),VLOOKUP($A583,[2]stockregister!$A$2:$B$2000,2,FALSE),"")</f>
        <v/>
      </c>
      <c r="F583" s="3" t="s">
        <v>21</v>
      </c>
      <c r="G583" s="3">
        <f>_xlfn.IFNA(VLOOKUP($A583,[3]stockregister!$A$2:$L$2000,11,0),0)</f>
        <v>24</v>
      </c>
      <c r="H583" s="3">
        <f>_xlfn.IFNA(VLOOKUP($A583,[3]stockregister!$A$2:$L$2000,11,0),0)-$G583</f>
        <v>0</v>
      </c>
      <c r="I583" s="3">
        <f>_xlfn.IFNA(VLOOKUP($A583,[3]stockregister!$A$2:$L$2000,12,0),0)</f>
        <v>1500</v>
      </c>
      <c r="J583" s="3">
        <f>_xlfn.IFNA(VLOOKUP($A583,[3]stockregister!$A$1:$M$2000,12,0),0)-$I583</f>
        <v>0</v>
      </c>
      <c r="K583" s="3" t="s">
        <v>22</v>
      </c>
      <c r="L583" s="3" t="s">
        <v>23</v>
      </c>
      <c r="M583" s="3">
        <f>_xlfn.IFNA(VLOOKUP($A583,[2]stockregister!$A$2:$H$2000,8,0),0)</f>
        <v>1800</v>
      </c>
      <c r="N583" s="3">
        <f>_xlfn.IFNA(VLOOKUP($A583,[2]stockregister!$A$2:$H$2000,8,0),0)-$M583</f>
        <v>0</v>
      </c>
      <c r="O583" s="3" t="s">
        <v>1343</v>
      </c>
      <c r="P583" s="3" t="s">
        <v>1343</v>
      </c>
      <c r="Q583" s="3" t="s">
        <v>956</v>
      </c>
      <c r="R583" s="3" t="s">
        <v>156</v>
      </c>
      <c r="S583" s="3" t="s">
        <v>1344</v>
      </c>
    </row>
    <row r="584" spans="1:18">
      <c r="A584" s="3">
        <v>2977</v>
      </c>
      <c r="B584" s="3" t="b">
        <f>ISNUMBER(MATCH(A584,[1]stockregister!$A$2:$A$2000,0))</f>
        <v>1</v>
      </c>
      <c r="C584" s="3" t="s">
        <v>356</v>
      </c>
      <c r="D584" s="3" t="str">
        <f>VLOOKUP($C584,[1]stockregister!$B$2:$B$2000,1,0)</f>
        <v>LEOPARDS LEAP CAB SAUV  MERLOT 750ML</v>
      </c>
      <c r="E584" s="3" t="str">
        <f>IF(ISNA($D584),VLOOKUP($A584,[2]stockregister!$A$2:$B$2000,2,FALSE),"")</f>
        <v/>
      </c>
      <c r="F584" s="3" t="s">
        <v>21</v>
      </c>
      <c r="G584" s="3">
        <f>_xlfn.IFNA(VLOOKUP($A584,[3]stockregister!$A$2:$L$2000,11,0),0)</f>
        <v>24</v>
      </c>
      <c r="H584" s="3">
        <f>_xlfn.IFNA(VLOOKUP($A584,[3]stockregister!$A$2:$L$2000,11,0),0)-$G584</f>
        <v>0</v>
      </c>
      <c r="I584" s="3">
        <f>_xlfn.IFNA(VLOOKUP($A584,[3]stockregister!$A$2:$L$2000,12,0),0)</f>
        <v>7500</v>
      </c>
      <c r="J584" s="3">
        <f>_xlfn.IFNA(VLOOKUP($A584,[3]stockregister!$A$1:$M$2000,12,0),0)-$I584</f>
        <v>0</v>
      </c>
      <c r="K584" s="3" t="s">
        <v>22</v>
      </c>
      <c r="L584" s="3" t="s">
        <v>23</v>
      </c>
      <c r="M584" s="3">
        <f>_xlfn.IFNA(VLOOKUP($A584,[2]stockregister!$A$2:$H$2000,8,0),0)</f>
        <v>8300</v>
      </c>
      <c r="N584" s="3">
        <f>_xlfn.IFNA(VLOOKUP($A584,[2]stockregister!$A$2:$H$2000,8,0),0)-$M584</f>
        <v>0</v>
      </c>
      <c r="O584" s="3" t="s">
        <v>1345</v>
      </c>
      <c r="P584" s="3" t="s">
        <v>1345</v>
      </c>
      <c r="Q584" s="3" t="s">
        <v>307</v>
      </c>
      <c r="R584" s="3" t="s">
        <v>92</v>
      </c>
    </row>
    <row r="585" spans="1:20">
      <c r="A585" s="3">
        <v>454</v>
      </c>
      <c r="B585" s="3" t="b">
        <f>ISNUMBER(MATCH(A585,[1]stockregister!$A$2:$A$2000,0))</f>
        <v>1</v>
      </c>
      <c r="C585" s="3" t="s">
        <v>360</v>
      </c>
      <c r="D585" s="3" t="str">
        <f>VLOOKUP($C585,[1]stockregister!$B$2:$B$2000,1,0)</f>
        <v>WOOSH 9000 PUFFS BLUE RAZZ </v>
      </c>
      <c r="E585" s="3" t="str">
        <f>IF(ISNA($D585),VLOOKUP($A585,[2]stockregister!$A$2:$B$2000,2,FALSE),"")</f>
        <v/>
      </c>
      <c r="F585" s="3" t="s">
        <v>21</v>
      </c>
      <c r="G585" s="3">
        <f>_xlfn.IFNA(VLOOKUP($A585,[3]stockregister!$A$2:$L$2000,11,0),0)</f>
        <v>23</v>
      </c>
      <c r="H585" s="3">
        <f>_xlfn.IFNA(VLOOKUP($A585,[3]stockregister!$A$2:$L$2000,11,0),0)-$G585</f>
        <v>0</v>
      </c>
      <c r="I585" s="3">
        <f>_xlfn.IFNA(VLOOKUP($A585,[3]stockregister!$A$2:$L$2000,12,0),0)</f>
        <v>20000</v>
      </c>
      <c r="J585" s="3">
        <f>_xlfn.IFNA(VLOOKUP($A585,[3]stockregister!$A$1:$M$2000,12,0),0)-$I585</f>
        <v>0</v>
      </c>
      <c r="K585" s="3" t="s">
        <v>22</v>
      </c>
      <c r="L585" s="3" t="s">
        <v>23</v>
      </c>
      <c r="M585" s="3">
        <f>_xlfn.IFNA(VLOOKUP($A585,[2]stockregister!$A$2:$H$2000,8,0),0)</f>
        <v>21500</v>
      </c>
      <c r="N585" s="3">
        <f>_xlfn.IFNA(VLOOKUP($A585,[2]stockregister!$A$2:$H$2000,8,0),0)-$M585</f>
        <v>0</v>
      </c>
      <c r="O585" s="3" t="s">
        <v>1346</v>
      </c>
      <c r="P585" s="3" t="s">
        <v>1346</v>
      </c>
      <c r="Q585" s="3" t="s">
        <v>164</v>
      </c>
      <c r="R585" s="3" t="s">
        <v>92</v>
      </c>
      <c r="S585" s="3" t="s">
        <v>134</v>
      </c>
      <c r="T585" s="3">
        <v>12</v>
      </c>
    </row>
    <row r="586" spans="1:19">
      <c r="A586" s="3">
        <v>807</v>
      </c>
      <c r="B586" s="3" t="b">
        <f>ISNUMBER(MATCH(A586,[1]stockregister!$A$2:$A$2000,0))</f>
        <v>1</v>
      </c>
      <c r="C586" s="3" t="s">
        <v>363</v>
      </c>
      <c r="D586" s="3" t="str">
        <f>VLOOKUP($C586,[1]stockregister!$B$2:$B$2000,1,0)</f>
        <v>INVERROCHE CLASSIC 750ML </v>
      </c>
      <c r="E586" s="3" t="str">
        <f>IF(ISNA($D586),VLOOKUP($A586,[2]stockregister!$A$2:$B$2000,2,FALSE),"")</f>
        <v/>
      </c>
      <c r="F586" s="3" t="s">
        <v>21</v>
      </c>
      <c r="G586" s="3">
        <f>_xlfn.IFNA(VLOOKUP($A586,[3]stockregister!$A$2:$L$2000,11,0),0)</f>
        <v>23</v>
      </c>
      <c r="H586" s="3">
        <f>_xlfn.IFNA(VLOOKUP($A586,[3]stockregister!$A$2:$L$2000,11,0),0)-$G586</f>
        <v>0</v>
      </c>
      <c r="I586" s="3">
        <f>_xlfn.IFNA(VLOOKUP($A586,[3]stockregister!$A$2:$L$2000,12,0),0)</f>
        <v>1380</v>
      </c>
      <c r="J586" s="3">
        <f>_xlfn.IFNA(VLOOKUP($A586,[3]stockregister!$A$1:$M$2000,12,0),0)-$I586</f>
        <v>0</v>
      </c>
      <c r="K586" s="3" t="s">
        <v>22</v>
      </c>
      <c r="L586" s="3" t="s">
        <v>23</v>
      </c>
      <c r="M586" s="3">
        <f>_xlfn.IFNA(VLOOKUP($A586,[2]stockregister!$A$2:$H$2000,8,0),0)</f>
        <v>1500</v>
      </c>
      <c r="N586" s="3">
        <f>_xlfn.IFNA(VLOOKUP($A586,[2]stockregister!$A$2:$H$2000,8,0),0)-$M586</f>
        <v>0</v>
      </c>
      <c r="O586" s="3" t="s">
        <v>1347</v>
      </c>
      <c r="P586" s="3" t="s">
        <v>1347</v>
      </c>
      <c r="Q586" s="3" t="s">
        <v>545</v>
      </c>
      <c r="R586" s="3" t="s">
        <v>68</v>
      </c>
      <c r="S586" s="3" t="s">
        <v>369</v>
      </c>
    </row>
    <row r="587" spans="1:18">
      <c r="A587" s="3">
        <v>955</v>
      </c>
      <c r="B587" s="3" t="b">
        <f>ISNUMBER(MATCH(A587,[1]stockregister!$A$2:$A$2000,0))</f>
        <v>1</v>
      </c>
      <c r="C587" s="3" t="s">
        <v>366</v>
      </c>
      <c r="D587" s="3" t="str">
        <f>VLOOKUP($C587,[1]stockregister!$B$2:$B$2000,1,0)</f>
        <v>WHITLEY NEILL PROTEA &amp; HIBISCUS GIN 750ML </v>
      </c>
      <c r="E587" s="3" t="str">
        <f>IF(ISNA($D587),VLOOKUP($A587,[2]stockregister!$A$2:$B$2000,2,FALSE),"")</f>
        <v/>
      </c>
      <c r="F587" s="3" t="s">
        <v>21</v>
      </c>
      <c r="G587" s="3">
        <f>_xlfn.IFNA(VLOOKUP($A587,[3]stockregister!$A$2:$L$2000,11,0),0)</f>
        <v>22</v>
      </c>
      <c r="H587" s="3">
        <f>_xlfn.IFNA(VLOOKUP($A587,[3]stockregister!$A$2:$L$2000,11,0),0)-$G587</f>
        <v>0</v>
      </c>
      <c r="I587" s="3">
        <f>_xlfn.IFNA(VLOOKUP($A587,[3]stockregister!$A$2:$L$2000,12,0),0)</f>
        <v>1932</v>
      </c>
      <c r="J587" s="3">
        <f>_xlfn.IFNA(VLOOKUP($A587,[3]stockregister!$A$1:$M$2000,12,0),0)-$I587</f>
        <v>0</v>
      </c>
      <c r="K587" s="3" t="s">
        <v>22</v>
      </c>
      <c r="L587" s="3" t="s">
        <v>23</v>
      </c>
      <c r="M587" s="3">
        <f>_xlfn.IFNA(VLOOKUP($A587,[2]stockregister!$A$2:$H$2000,8,0),0)</f>
        <v>2100</v>
      </c>
      <c r="N587" s="3">
        <f>_xlfn.IFNA(VLOOKUP($A587,[2]stockregister!$A$2:$H$2000,8,0),0)-$M587</f>
        <v>0</v>
      </c>
      <c r="O587" s="3" t="s">
        <v>1348</v>
      </c>
      <c r="P587" s="3" t="s">
        <v>1348</v>
      </c>
      <c r="Q587" s="3" t="s">
        <v>979</v>
      </c>
      <c r="R587" s="3" t="s">
        <v>78</v>
      </c>
    </row>
    <row r="588" spans="1:18">
      <c r="A588" s="3">
        <v>2460</v>
      </c>
      <c r="B588" s="3" t="b">
        <f>ISNUMBER(MATCH(A588,[1]stockregister!$A$2:$A$2000,0))</f>
        <v>1</v>
      </c>
      <c r="C588" s="3" t="s">
        <v>370</v>
      </c>
      <c r="D588" s="3" t="str">
        <f>VLOOKUP($C588,[1]stockregister!$B$2:$B$2000,1,0)</f>
        <v>GLENMORANGIE 18YRS WHISKY EXTREME  700ML</v>
      </c>
      <c r="E588" s="3" t="str">
        <f>IF(ISNA($D588),VLOOKUP($A588,[2]stockregister!$A$2:$B$2000,2,FALSE),"")</f>
        <v/>
      </c>
      <c r="F588" s="3" t="s">
        <v>21</v>
      </c>
      <c r="G588" s="3">
        <f>_xlfn.IFNA(VLOOKUP($A588,[3]stockregister!$A$2:$L$2000,11,0),0)</f>
        <v>22</v>
      </c>
      <c r="H588" s="3">
        <f>_xlfn.IFNA(VLOOKUP($A588,[3]stockregister!$A$2:$L$2000,11,0),0)-$G588</f>
        <v>0</v>
      </c>
      <c r="I588" s="3">
        <f>_xlfn.IFNA(VLOOKUP($A588,[3]stockregister!$A$2:$L$2000,12,0),0)</f>
        <v>2923</v>
      </c>
      <c r="J588" s="3">
        <f>_xlfn.IFNA(VLOOKUP($A588,[3]stockregister!$A$1:$M$2000,12,0),0)-$I588</f>
        <v>0</v>
      </c>
      <c r="K588" s="3" t="s">
        <v>22</v>
      </c>
      <c r="L588" s="3" t="s">
        <v>23</v>
      </c>
      <c r="M588" s="3">
        <f>_xlfn.IFNA(VLOOKUP($A588,[2]stockregister!$A$2:$H$2000,8,0),0)</f>
        <v>3650</v>
      </c>
      <c r="N588" s="3">
        <f>_xlfn.IFNA(VLOOKUP($A588,[2]stockregister!$A$2:$H$2000,8,0),0)-$M588</f>
        <v>0</v>
      </c>
      <c r="O588" s="3" t="s">
        <v>1349</v>
      </c>
      <c r="P588" s="3" t="s">
        <v>1349</v>
      </c>
      <c r="Q588" s="3" t="s">
        <v>1140</v>
      </c>
      <c r="R588" s="3" t="s">
        <v>537</v>
      </c>
    </row>
    <row r="589" spans="1:19">
      <c r="A589" s="3">
        <v>964</v>
      </c>
      <c r="B589" s="3" t="b">
        <f>ISNUMBER(MATCH(A589,[1]stockregister!$A$2:$A$2000,0))</f>
        <v>1</v>
      </c>
      <c r="C589" s="3" t="s">
        <v>374</v>
      </c>
      <c r="D589" s="3" t="str">
        <f>VLOOKUP($C589,[1]stockregister!$B$2:$B$2000,1,0)</f>
        <v>JOHNNIE WALKER BLUE LABEL GHOST &amp; RARE 750ML</v>
      </c>
      <c r="E589" s="3" t="str">
        <f>IF(ISNA($D589),VLOOKUP($A589,[2]stockregister!$A$2:$B$2000,2,FALSE),"")</f>
        <v/>
      </c>
      <c r="F589" s="3" t="s">
        <v>21</v>
      </c>
      <c r="G589" s="3">
        <f>_xlfn.IFNA(VLOOKUP($A589,[3]stockregister!$A$2:$L$2000,11,0),0)</f>
        <v>12</v>
      </c>
      <c r="H589" s="3">
        <f>_xlfn.IFNA(VLOOKUP($A589,[3]stockregister!$A$2:$L$2000,11,0),0)-$G589</f>
        <v>0</v>
      </c>
      <c r="I589" s="3">
        <f>_xlfn.IFNA(VLOOKUP($A589,[3]stockregister!$A$2:$L$2000,12,0),0)</f>
        <v>4300</v>
      </c>
      <c r="J589" s="3">
        <f>_xlfn.IFNA(VLOOKUP($A589,[3]stockregister!$A$1:$M$2000,12,0),0)-$I589</f>
        <v>0</v>
      </c>
      <c r="K589" s="3" t="s">
        <v>22</v>
      </c>
      <c r="L589" s="3" t="s">
        <v>23</v>
      </c>
      <c r="M589" s="3">
        <f>_xlfn.IFNA(VLOOKUP($A589,[2]stockregister!$A$2:$H$2000,8,0),0)</f>
        <v>4500</v>
      </c>
      <c r="N589" s="3">
        <f>_xlfn.IFNA(VLOOKUP($A589,[2]stockregister!$A$2:$H$2000,8,0),0)-$M589</f>
        <v>0</v>
      </c>
      <c r="O589" s="3" t="s">
        <v>1350</v>
      </c>
      <c r="P589" s="3" t="s">
        <v>1350</v>
      </c>
      <c r="Q589" s="3" t="s">
        <v>1351</v>
      </c>
      <c r="R589" s="3" t="s">
        <v>102</v>
      </c>
      <c r="S589" s="3" t="s">
        <v>36</v>
      </c>
    </row>
    <row r="590" spans="1:18">
      <c r="A590" s="3">
        <v>763</v>
      </c>
      <c r="B590" s="3" t="b">
        <f>ISNUMBER(MATCH(A590,[1]stockregister!$A$2:$A$2000,0))</f>
        <v>1</v>
      </c>
      <c r="C590" s="3" t="s">
        <v>376</v>
      </c>
      <c r="D590" s="3" t="str">
        <f>VLOOKUP($C590,[1]stockregister!$B$2:$B$2000,1,0)</f>
        <v>LEOPARDS LEAP  CAB SAuv 750ML</v>
      </c>
      <c r="E590" s="3" t="str">
        <f>IF(ISNA($D590),VLOOKUP($A590,[2]stockregister!$A$2:$B$2000,2,FALSE),"")</f>
        <v/>
      </c>
      <c r="F590" s="3" t="s">
        <v>21</v>
      </c>
      <c r="G590" s="3">
        <f>_xlfn.IFNA(VLOOKUP($A590,[3]stockregister!$A$2:$L$2000,11,0),0)</f>
        <v>21</v>
      </c>
      <c r="H590" s="3">
        <f>_xlfn.IFNA(VLOOKUP($A590,[3]stockregister!$A$2:$L$2000,11,0),0)-$G590</f>
        <v>0</v>
      </c>
      <c r="I590" s="3">
        <f>_xlfn.IFNA(VLOOKUP($A590,[3]stockregister!$A$2:$L$2000,12,0),0)</f>
        <v>3496</v>
      </c>
      <c r="J590" s="3">
        <f>_xlfn.IFNA(VLOOKUP($A590,[3]stockregister!$A$1:$M$2000,12,0),0)-$I590</f>
        <v>0</v>
      </c>
      <c r="K590" s="3" t="s">
        <v>22</v>
      </c>
      <c r="L590" s="3" t="s">
        <v>23</v>
      </c>
      <c r="M590" s="3">
        <f>_xlfn.IFNA(VLOOKUP($A590,[2]stockregister!$A$2:$H$2000,8,0),0)</f>
        <v>3800</v>
      </c>
      <c r="N590" s="3">
        <f>_xlfn.IFNA(VLOOKUP($A590,[2]stockregister!$A$2:$H$2000,8,0),0)-$M590</f>
        <v>0</v>
      </c>
      <c r="O590" s="3" t="s">
        <v>1352</v>
      </c>
      <c r="P590" s="3" t="s">
        <v>1352</v>
      </c>
      <c r="Q590" s="3" t="s">
        <v>1353</v>
      </c>
      <c r="R590" s="3" t="s">
        <v>78</v>
      </c>
    </row>
    <row r="591" spans="1:19">
      <c r="A591" s="3">
        <v>1368</v>
      </c>
      <c r="B591" s="3" t="b">
        <f>ISNUMBER(MATCH(A591,[1]stockregister!$A$2:$A$2000,0))</f>
        <v>1</v>
      </c>
      <c r="C591" s="3" t="s">
        <v>377</v>
      </c>
      <c r="D591" s="3" t="str">
        <f>VLOOKUP($C591,[1]stockregister!$B$2:$B$2000,1,0)</f>
        <v>LAURENT- PERRIER ROSE CHAMPAGNE  750ML</v>
      </c>
      <c r="E591" s="3" t="str">
        <f>IF(ISNA($D591),VLOOKUP($A591,[2]stockregister!$A$2:$B$2000,2,FALSE),"")</f>
        <v/>
      </c>
      <c r="F591" s="3" t="s">
        <v>21</v>
      </c>
      <c r="G591" s="3">
        <f>_xlfn.IFNA(VLOOKUP($A591,[3]stockregister!$A$2:$L$2000,11,0),0)</f>
        <v>21</v>
      </c>
      <c r="H591" s="3">
        <f>_xlfn.IFNA(VLOOKUP($A591,[3]stockregister!$A$2:$L$2000,11,0),0)-$G591</f>
        <v>0</v>
      </c>
      <c r="I591" s="3">
        <f>_xlfn.IFNA(VLOOKUP($A591,[3]stockregister!$A$2:$L$2000,12,0),0)</f>
        <v>3680</v>
      </c>
      <c r="J591" s="3">
        <f>_xlfn.IFNA(VLOOKUP($A591,[3]stockregister!$A$1:$M$2000,12,0),0)-$I591</f>
        <v>0</v>
      </c>
      <c r="K591" s="3" t="s">
        <v>22</v>
      </c>
      <c r="L591" s="3" t="s">
        <v>23</v>
      </c>
      <c r="M591" s="3">
        <f>_xlfn.IFNA(VLOOKUP($A591,[2]stockregister!$A$2:$H$2000,8,0),0)</f>
        <v>4000</v>
      </c>
      <c r="N591" s="3">
        <f>_xlfn.IFNA(VLOOKUP($A591,[2]stockregister!$A$2:$H$2000,8,0),0)-$M591</f>
        <v>0</v>
      </c>
      <c r="O591" s="3" t="s">
        <v>1354</v>
      </c>
      <c r="P591" s="3" t="s">
        <v>1354</v>
      </c>
      <c r="Q591" s="3" t="s">
        <v>1035</v>
      </c>
      <c r="R591" s="3" t="s">
        <v>92</v>
      </c>
      <c r="S591" s="3" t="s">
        <v>134</v>
      </c>
    </row>
    <row r="592" spans="1:19">
      <c r="A592" s="3">
        <v>674</v>
      </c>
      <c r="B592" s="3" t="b">
        <f>ISNUMBER(MATCH(A592,[1]stockregister!$A$2:$A$2000,0))</f>
        <v>1</v>
      </c>
      <c r="C592" s="3" t="s">
        <v>380</v>
      </c>
      <c r="D592" s="3" t="str">
        <f>VLOOKUP($C592,[1]stockregister!$B$2:$B$2000,1,0)</f>
        <v>PENASOL MEDIUM SWEET WHITE 1L</v>
      </c>
      <c r="E592" s="3" t="str">
        <f>IF(ISNA($D592),VLOOKUP($A592,[2]stockregister!$A$2:$B$2000,2,FALSE),"")</f>
        <v/>
      </c>
      <c r="F592" s="3" t="s">
        <v>21</v>
      </c>
      <c r="G592" s="3">
        <f>_xlfn.IFNA(VLOOKUP($A592,[3]stockregister!$A$2:$L$2000,11,0),0)</f>
        <v>21</v>
      </c>
      <c r="H592" s="3">
        <f>_xlfn.IFNA(VLOOKUP($A592,[3]stockregister!$A$2:$L$2000,11,0),0)-$G592</f>
        <v>0</v>
      </c>
      <c r="I592" s="3">
        <f>_xlfn.IFNA(VLOOKUP($A592,[3]stockregister!$A$2:$L$2000,12,0),0)</f>
        <v>1656</v>
      </c>
      <c r="J592" s="3">
        <f>_xlfn.IFNA(VLOOKUP($A592,[3]stockregister!$A$1:$M$2000,12,0),0)-$I592</f>
        <v>0</v>
      </c>
      <c r="K592" s="3" t="s">
        <v>22</v>
      </c>
      <c r="L592" s="3" t="s">
        <v>23</v>
      </c>
      <c r="M592" s="3">
        <f>_xlfn.IFNA(VLOOKUP($A592,[2]stockregister!$A$2:$H$2000,8,0),0)</f>
        <v>1800</v>
      </c>
      <c r="N592" s="3">
        <f>_xlfn.IFNA(VLOOKUP($A592,[2]stockregister!$A$2:$H$2000,8,0),0)-$M592</f>
        <v>0</v>
      </c>
      <c r="O592" s="3" t="s">
        <v>1355</v>
      </c>
      <c r="P592" s="3" t="s">
        <v>1355</v>
      </c>
      <c r="Q592" s="3" t="s">
        <v>1356</v>
      </c>
      <c r="R592" s="3" t="s">
        <v>68</v>
      </c>
      <c r="S592" s="3" t="s">
        <v>1357</v>
      </c>
    </row>
    <row r="593" spans="1:19">
      <c r="A593" s="3">
        <v>2928</v>
      </c>
      <c r="B593" s="3" t="b">
        <f>ISNUMBER(MATCH(A593,[1]stockregister!$A$2:$A$2000,0))</f>
        <v>1</v>
      </c>
      <c r="C593" s="3" t="s">
        <v>383</v>
      </c>
      <c r="D593" s="3" t="str">
        <f>VLOOKUP($C593,[1]stockregister!$B$2:$B$2000,1,0)</f>
        <v>JP AZEITAO RED 750ML </v>
      </c>
      <c r="E593" s="3" t="str">
        <f>IF(ISNA($D593),VLOOKUP($A593,[2]stockregister!$A$2:$B$2000,2,FALSE),"")</f>
        <v/>
      </c>
      <c r="F593" s="3" t="s">
        <v>21</v>
      </c>
      <c r="G593" s="3">
        <f>_xlfn.IFNA(VLOOKUP($A593,[3]stockregister!$A$2:$L$2000,11,0),0)</f>
        <v>15</v>
      </c>
      <c r="H593" s="3">
        <f>_xlfn.IFNA(VLOOKUP($A593,[3]stockregister!$A$2:$L$2000,11,0),0)-$G593</f>
        <v>0</v>
      </c>
      <c r="I593" s="3">
        <f>_xlfn.IFNA(VLOOKUP($A593,[3]stockregister!$A$2:$L$2000,12,0),0)</f>
        <v>1900</v>
      </c>
      <c r="J593" s="3">
        <f>_xlfn.IFNA(VLOOKUP($A593,[3]stockregister!$A$1:$M$2000,12,0),0)-$I593</f>
        <v>0</v>
      </c>
      <c r="K593" s="3" t="s">
        <v>22</v>
      </c>
      <c r="L593" s="3" t="s">
        <v>23</v>
      </c>
      <c r="M593" s="3">
        <f>_xlfn.IFNA(VLOOKUP($A593,[2]stockregister!$A$2:$H$2000,8,0),0)</f>
        <v>2100</v>
      </c>
      <c r="N593" s="3">
        <f>_xlfn.IFNA(VLOOKUP($A593,[2]stockregister!$A$2:$H$2000,8,0),0)-$M593</f>
        <v>0</v>
      </c>
      <c r="O593" s="3" t="s">
        <v>1358</v>
      </c>
      <c r="P593" s="3" t="s">
        <v>1358</v>
      </c>
      <c r="Q593" s="3" t="s">
        <v>882</v>
      </c>
      <c r="R593" s="3" t="s">
        <v>39</v>
      </c>
      <c r="S593" s="3" t="s">
        <v>1359</v>
      </c>
    </row>
    <row r="594" spans="1:19">
      <c r="A594" s="3">
        <v>2892</v>
      </c>
      <c r="B594" s="3" t="b">
        <f>ISNUMBER(MATCH(A594,[1]stockregister!$A$2:$A$2000,0))</f>
        <v>1</v>
      </c>
      <c r="C594" s="3" t="s">
        <v>386</v>
      </c>
      <c r="D594" s="3" t="str">
        <f>VLOOKUP($C594,[1]stockregister!$B$2:$B$2000,1,0)</f>
        <v>JP AZEITAO WHITE 750ML </v>
      </c>
      <c r="E594" s="3" t="str">
        <f>IF(ISNA($D594),VLOOKUP($A594,[2]stockregister!$A$2:$B$2000,2,FALSE),"")</f>
        <v/>
      </c>
      <c r="F594" s="3" t="s">
        <v>21</v>
      </c>
      <c r="G594" s="3">
        <f>_xlfn.IFNA(VLOOKUP($A594,[3]stockregister!$A$2:$L$2000,11,0),0)</f>
        <v>20</v>
      </c>
      <c r="H594" s="3">
        <f>_xlfn.IFNA(VLOOKUP($A594,[3]stockregister!$A$2:$L$2000,11,0),0)-$G594</f>
        <v>0</v>
      </c>
      <c r="I594" s="3">
        <f>_xlfn.IFNA(VLOOKUP($A594,[3]stockregister!$A$2:$L$2000,12,0),0)</f>
        <v>700</v>
      </c>
      <c r="J594" s="3">
        <f>_xlfn.IFNA(VLOOKUP($A594,[3]stockregister!$A$1:$M$2000,12,0),0)-$I594</f>
        <v>0</v>
      </c>
      <c r="K594" s="3" t="s">
        <v>22</v>
      </c>
      <c r="L594" s="3" t="s">
        <v>23</v>
      </c>
      <c r="M594" s="3">
        <f>_xlfn.IFNA(VLOOKUP($A594,[2]stockregister!$A$2:$H$2000,8,0),0)</f>
        <v>800</v>
      </c>
      <c r="N594" s="3">
        <f>_xlfn.IFNA(VLOOKUP($A594,[2]stockregister!$A$2:$H$2000,8,0),0)-$M594</f>
        <v>0</v>
      </c>
      <c r="O594" s="3" t="s">
        <v>1360</v>
      </c>
      <c r="P594" s="3" t="s">
        <v>1360</v>
      </c>
      <c r="Q594" s="3">
        <v>0</v>
      </c>
      <c r="R594" s="3" t="s">
        <v>39</v>
      </c>
      <c r="S594" s="3" t="s">
        <v>1361</v>
      </c>
    </row>
    <row r="595" spans="1:19">
      <c r="A595" s="3">
        <v>1975</v>
      </c>
      <c r="B595" s="3" t="b">
        <f>ISNUMBER(MATCH(A595,[1]stockregister!$A$2:$A$2000,0))</f>
        <v>1</v>
      </c>
      <c r="C595" s="3" t="s">
        <v>1362</v>
      </c>
      <c r="D595" s="3" t="str">
        <f>VLOOKUP($C595,[1]stockregister!$B$2:$B$2000,1,0)</f>
        <v>THE GLENLIVET FOUNDERS RESERVE 1LTR</v>
      </c>
      <c r="E595" s="3" t="str">
        <f>IF(ISNA($D595),VLOOKUP($A595,[2]stockregister!$A$2:$B$2000,2,FALSE),"")</f>
        <v/>
      </c>
      <c r="F595" s="3" t="s">
        <v>21</v>
      </c>
      <c r="G595" s="3">
        <f>_xlfn.IFNA(VLOOKUP($A595,[3]stockregister!$A$2:$L$2000,11,0),0)</f>
        <v>20</v>
      </c>
      <c r="H595" s="3">
        <f>_xlfn.IFNA(VLOOKUP($A595,[3]stockregister!$A$2:$L$2000,11,0),0)-$G595</f>
        <v>0</v>
      </c>
      <c r="I595" s="3">
        <f>_xlfn.IFNA(VLOOKUP($A595,[3]stockregister!$A$2:$L$2000,12,0),0)</f>
        <v>5244</v>
      </c>
      <c r="J595" s="3">
        <f>_xlfn.IFNA(VLOOKUP($A595,[3]stockregister!$A$1:$M$2000,12,0),0)-$I595</f>
        <v>0</v>
      </c>
      <c r="K595" s="3" t="s">
        <v>22</v>
      </c>
      <c r="L595" s="3" t="s">
        <v>23</v>
      </c>
      <c r="M595" s="3">
        <f>_xlfn.IFNA(VLOOKUP($A595,[2]stockregister!$A$2:$H$2000,8,0),0)</f>
        <v>5600</v>
      </c>
      <c r="N595" s="3">
        <f>_xlfn.IFNA(VLOOKUP($A595,[2]stockregister!$A$2:$H$2000,8,0),0)-$M595</f>
        <v>0</v>
      </c>
      <c r="O595" s="3" t="s">
        <v>1363</v>
      </c>
      <c r="P595" s="3" t="s">
        <v>1363</v>
      </c>
      <c r="Q595" s="3" t="s">
        <v>628</v>
      </c>
      <c r="R595" s="3" t="s">
        <v>92</v>
      </c>
      <c r="S595" s="3" t="s">
        <v>134</v>
      </c>
    </row>
    <row r="596" spans="1:19">
      <c r="A596" s="3">
        <v>1098</v>
      </c>
      <c r="B596" s="3" t="b">
        <f>ISNUMBER(MATCH(A596,[1]stockregister!$A$2:$A$2000,0))</f>
        <v>1</v>
      </c>
      <c r="C596" s="3" t="s">
        <v>1364</v>
      </c>
      <c r="D596" s="3" t="str">
        <f>VLOOKUP($C596,[1]stockregister!$B$2:$B$2000,1,0)</f>
        <v>JOHNNIE WALKER A SONG OF FIRE 1LTR</v>
      </c>
      <c r="E596" s="3" t="str">
        <f>IF(ISNA($D596),VLOOKUP($A596,[2]stockregister!$A$2:$B$2000,2,FALSE),"")</f>
        <v/>
      </c>
      <c r="F596" s="3" t="s">
        <v>21</v>
      </c>
      <c r="G596" s="3">
        <f>_xlfn.IFNA(VLOOKUP($A596,[3]stockregister!$A$2:$L$2000,11,0),0)</f>
        <v>19</v>
      </c>
      <c r="H596" s="3">
        <f>_xlfn.IFNA(VLOOKUP($A596,[3]stockregister!$A$2:$L$2000,11,0),0)-$G596</f>
        <v>0</v>
      </c>
      <c r="I596" s="3">
        <f>_xlfn.IFNA(VLOOKUP($A596,[3]stockregister!$A$2:$L$2000,12,0),0)</f>
        <v>4140</v>
      </c>
      <c r="J596" s="3">
        <f>_xlfn.IFNA(VLOOKUP($A596,[3]stockregister!$A$1:$M$2000,12,0),0)-$I596</f>
        <v>0</v>
      </c>
      <c r="K596" s="3" t="s">
        <v>22</v>
      </c>
      <c r="L596" s="3" t="s">
        <v>23</v>
      </c>
      <c r="M596" s="3">
        <f>_xlfn.IFNA(VLOOKUP($A596,[2]stockregister!$A$2:$H$2000,8,0),0)</f>
        <v>4500</v>
      </c>
      <c r="N596" s="3">
        <f>_xlfn.IFNA(VLOOKUP($A596,[2]stockregister!$A$2:$H$2000,8,0),0)-$M596</f>
        <v>0</v>
      </c>
      <c r="O596" s="3" t="s">
        <v>1365</v>
      </c>
      <c r="P596" s="3" t="s">
        <v>1365</v>
      </c>
      <c r="Q596" s="3" t="s">
        <v>133</v>
      </c>
      <c r="R596" s="3" t="s">
        <v>92</v>
      </c>
      <c r="S596" s="3" t="s">
        <v>134</v>
      </c>
    </row>
    <row r="597" spans="1:19">
      <c r="A597" s="3">
        <v>1512</v>
      </c>
      <c r="B597" s="3" t="b">
        <f>ISNUMBER(MATCH(A597,[1]stockregister!$A$2:$A$2000,0))</f>
        <v>1</v>
      </c>
      <c r="C597" s="3" t="s">
        <v>1366</v>
      </c>
      <c r="D597" s="3" t="str">
        <f>VLOOKUP($C597,[1]stockregister!$B$2:$B$2000,1,0)</f>
        <v>NEDERBURG - CHARDONNAY 750ML</v>
      </c>
      <c r="E597" s="3" t="str">
        <f>IF(ISNA($D597),VLOOKUP($A597,[2]stockregister!$A$2:$B$2000,2,FALSE),"")</f>
        <v/>
      </c>
      <c r="F597" s="3" t="s">
        <v>21</v>
      </c>
      <c r="G597" s="3">
        <f>_xlfn.IFNA(VLOOKUP($A597,[3]stockregister!$A$2:$L$2000,11,0),0)</f>
        <v>13</v>
      </c>
      <c r="H597" s="3">
        <f>_xlfn.IFNA(VLOOKUP($A597,[3]stockregister!$A$2:$L$2000,11,0),0)-$G597</f>
        <v>0</v>
      </c>
      <c r="I597" s="3">
        <f>_xlfn.IFNA(VLOOKUP($A597,[3]stockregister!$A$2:$L$2000,12,0),0)</f>
        <v>1250</v>
      </c>
      <c r="J597" s="3">
        <f>_xlfn.IFNA(VLOOKUP($A597,[3]stockregister!$A$1:$M$2000,12,0),0)-$I597</f>
        <v>0</v>
      </c>
      <c r="K597" s="3" t="s">
        <v>22</v>
      </c>
      <c r="L597" s="3" t="s">
        <v>23</v>
      </c>
      <c r="M597" s="3">
        <f>_xlfn.IFNA(VLOOKUP($A597,[2]stockregister!$A$2:$H$2000,8,0),0)</f>
        <v>1450</v>
      </c>
      <c r="N597" s="3">
        <f>_xlfn.IFNA(VLOOKUP($A597,[2]stockregister!$A$2:$H$2000,8,0),0)-$M597</f>
        <v>0</v>
      </c>
      <c r="O597" s="3" t="s">
        <v>1367</v>
      </c>
      <c r="P597" s="3" t="s">
        <v>1367</v>
      </c>
      <c r="Q597" s="3" t="s">
        <v>205</v>
      </c>
      <c r="R597" s="3" t="s">
        <v>68</v>
      </c>
      <c r="S597" s="3" t="s">
        <v>940</v>
      </c>
    </row>
    <row r="598" spans="1:19">
      <c r="A598" s="3">
        <v>291</v>
      </c>
      <c r="B598" s="3" t="b">
        <f>ISNUMBER(MATCH(A598,[1]stockregister!$A$2:$A$2000,0))</f>
        <v>1</v>
      </c>
      <c r="C598" s="3" t="s">
        <v>1368</v>
      </c>
      <c r="D598" s="3" t="str">
        <f>VLOOKUP($C598,[1]stockregister!$B$2:$B$2000,1,0)</f>
        <v>BRUCE JACK PINOTAGE MALBEC 750ML</v>
      </c>
      <c r="E598" s="3" t="str">
        <f>IF(ISNA($D598),VLOOKUP($A598,[2]stockregister!$A$2:$B$2000,2,FALSE),"")</f>
        <v/>
      </c>
      <c r="F598" s="3" t="s">
        <v>21</v>
      </c>
      <c r="G598" s="3">
        <f>_xlfn.IFNA(VLOOKUP($A598,[3]stockregister!$A$2:$L$2000,11,0),0)</f>
        <v>19</v>
      </c>
      <c r="H598" s="3">
        <f>_xlfn.IFNA(VLOOKUP($A598,[3]stockregister!$A$2:$L$2000,11,0),0)-$G598</f>
        <v>0</v>
      </c>
      <c r="I598" s="3">
        <f>_xlfn.IFNA(VLOOKUP($A598,[3]stockregister!$A$2:$L$2000,12,0),0)</f>
        <v>1380</v>
      </c>
      <c r="J598" s="3">
        <f>_xlfn.IFNA(VLOOKUP($A598,[3]stockregister!$A$1:$M$2000,12,0),0)-$I598</f>
        <v>0</v>
      </c>
      <c r="K598" s="3" t="s">
        <v>22</v>
      </c>
      <c r="L598" s="3" t="s">
        <v>23</v>
      </c>
      <c r="M598" s="3">
        <f>_xlfn.IFNA(VLOOKUP($A598,[2]stockregister!$A$2:$H$2000,8,0),0)</f>
        <v>1500</v>
      </c>
      <c r="N598" s="3">
        <f>_xlfn.IFNA(VLOOKUP($A598,[2]stockregister!$A$2:$H$2000,8,0),0)-$M598</f>
        <v>0</v>
      </c>
      <c r="O598" s="3" t="s">
        <v>1369</v>
      </c>
      <c r="P598" s="3" t="s">
        <v>1369</v>
      </c>
      <c r="Q598" s="3" t="s">
        <v>939</v>
      </c>
      <c r="R598" s="3" t="s">
        <v>68</v>
      </c>
      <c r="S598" s="3" t="s">
        <v>1310</v>
      </c>
    </row>
    <row r="599" spans="1:19">
      <c r="A599" s="3">
        <v>2664</v>
      </c>
      <c r="B599" s="3" t="b">
        <f>ISNUMBER(MATCH(A599,[1]stockregister!$A$2:$A$2000,0))</f>
        <v>1</v>
      </c>
      <c r="C599" s="3" t="s">
        <v>1370</v>
      </c>
      <c r="D599" s="3" t="str">
        <f>VLOOKUP($C599,[1]stockregister!$B$2:$B$2000,1,0)</f>
        <v>CH VALAC RED 750ML</v>
      </c>
      <c r="E599" s="3" t="str">
        <f>IF(ISNA($D599),VLOOKUP($A599,[2]stockregister!$A$2:$B$2000,2,FALSE),"")</f>
        <v/>
      </c>
      <c r="F599" s="3" t="s">
        <v>21</v>
      </c>
      <c r="G599" s="3">
        <f>_xlfn.IFNA(VLOOKUP($A599,[3]stockregister!$A$2:$L$2000,11,0),0)</f>
        <v>19</v>
      </c>
      <c r="H599" s="3">
        <f>_xlfn.IFNA(VLOOKUP($A599,[3]stockregister!$A$2:$L$2000,11,0),0)-$G599</f>
        <v>0</v>
      </c>
      <c r="I599" s="3">
        <f>_xlfn.IFNA(VLOOKUP($A599,[3]stockregister!$A$2:$L$2000,12,0),0)</f>
        <v>800</v>
      </c>
      <c r="J599" s="3">
        <f>_xlfn.IFNA(VLOOKUP($A599,[3]stockregister!$A$1:$M$2000,12,0),0)-$I599</f>
        <v>0</v>
      </c>
      <c r="K599" s="3" t="s">
        <v>22</v>
      </c>
      <c r="L599" s="3" t="s">
        <v>23</v>
      </c>
      <c r="M599" s="3">
        <f>_xlfn.IFNA(VLOOKUP($A599,[2]stockregister!$A$2:$H$2000,8,0),0)</f>
        <v>1100</v>
      </c>
      <c r="N599" s="3">
        <f>_xlfn.IFNA(VLOOKUP($A599,[2]stockregister!$A$2:$H$2000,8,0),0)-$M599</f>
        <v>0</v>
      </c>
      <c r="O599" s="3" t="s">
        <v>1371</v>
      </c>
      <c r="P599" s="3" t="s">
        <v>1371</v>
      </c>
      <c r="Q599" s="3" t="s">
        <v>1119</v>
      </c>
      <c r="R599" s="3" t="s">
        <v>537</v>
      </c>
      <c r="S599" s="3" t="s">
        <v>1180</v>
      </c>
    </row>
    <row r="600" spans="1:19">
      <c r="A600" s="3">
        <v>2491</v>
      </c>
      <c r="B600" s="3" t="b">
        <f>ISNUMBER(MATCH(A600,[1]stockregister!$A$2:$A$2000,0))</f>
        <v>1</v>
      </c>
      <c r="C600" s="3" t="s">
        <v>1372</v>
      </c>
      <c r="D600" s="3" t="str">
        <f>VLOOKUP($C600,[1]stockregister!$B$2:$B$2000,1,0)</f>
        <v>LA CAPRA SAUV BLANC 750ML</v>
      </c>
      <c r="E600" s="3" t="str">
        <f>IF(ISNA($D600),VLOOKUP($A600,[2]stockregister!$A$2:$B$2000,2,FALSE),"")</f>
        <v/>
      </c>
      <c r="F600" s="3" t="s">
        <v>21</v>
      </c>
      <c r="G600" s="3">
        <f>_xlfn.IFNA(VLOOKUP($A600,[3]stockregister!$A$2:$L$2000,11,0),0)</f>
        <v>19</v>
      </c>
      <c r="H600" s="3">
        <f>_xlfn.IFNA(VLOOKUP($A600,[3]stockregister!$A$2:$L$2000,11,0),0)-$G600</f>
        <v>0</v>
      </c>
      <c r="I600" s="3">
        <f>_xlfn.IFNA(VLOOKUP($A600,[3]stockregister!$A$2:$L$2000,12,0),0)</f>
        <v>1000</v>
      </c>
      <c r="J600" s="3">
        <f>_xlfn.IFNA(VLOOKUP($A600,[3]stockregister!$A$1:$M$2000,12,0),0)-$I600</f>
        <v>0</v>
      </c>
      <c r="K600" s="3" t="s">
        <v>22</v>
      </c>
      <c r="L600" s="3" t="s">
        <v>23</v>
      </c>
      <c r="M600" s="3">
        <f>_xlfn.IFNA(VLOOKUP($A600,[2]stockregister!$A$2:$H$2000,8,0),0)</f>
        <v>1200</v>
      </c>
      <c r="N600" s="3">
        <f>_xlfn.IFNA(VLOOKUP($A600,[2]stockregister!$A$2:$H$2000,8,0),0)-$M600</f>
        <v>0</v>
      </c>
      <c r="O600" s="3" t="s">
        <v>1373</v>
      </c>
      <c r="P600" s="3" t="s">
        <v>1373</v>
      </c>
      <c r="Q600" s="3" t="s">
        <v>1306</v>
      </c>
      <c r="R600" s="3" t="s">
        <v>537</v>
      </c>
      <c r="S600" s="3" t="s">
        <v>398</v>
      </c>
    </row>
    <row r="601" spans="1:19">
      <c r="A601" s="3">
        <v>2931</v>
      </c>
      <c r="B601" s="3" t="b">
        <f>ISNUMBER(MATCH(A601,[1]stockregister!$A$2:$A$2000,0))</f>
        <v>1</v>
      </c>
      <c r="C601" s="3" t="s">
        <v>1374</v>
      </c>
      <c r="D601" s="3" t="str">
        <f>VLOOKUP($C601,[1]stockregister!$B$2:$B$2000,1,0)</f>
        <v>EROS KIT COOL MINT</v>
      </c>
      <c r="E601" s="3" t="str">
        <f>IF(ISNA($D601),VLOOKUP($A601,[2]stockregister!$A$2:$B$2000,2,FALSE),"")</f>
        <v/>
      </c>
      <c r="F601" s="3" t="s">
        <v>21</v>
      </c>
      <c r="G601" s="3">
        <f>_xlfn.IFNA(VLOOKUP($A601,[3]stockregister!$A$2:$L$2000,11,0),0)</f>
        <v>14</v>
      </c>
      <c r="H601" s="3">
        <f>_xlfn.IFNA(VLOOKUP($A601,[3]stockregister!$A$2:$L$2000,11,0),0)-$G601</f>
        <v>0</v>
      </c>
      <c r="I601" s="3">
        <f>_xlfn.IFNA(VLOOKUP($A601,[3]stockregister!$A$2:$L$2000,12,0),0)</f>
        <v>1900</v>
      </c>
      <c r="J601" s="3">
        <f>_xlfn.IFNA(VLOOKUP($A601,[3]stockregister!$A$1:$M$2000,12,0),0)-$I601</f>
        <v>0</v>
      </c>
      <c r="K601" s="3" t="s">
        <v>22</v>
      </c>
      <c r="L601" s="3" t="s">
        <v>23</v>
      </c>
      <c r="M601" s="3">
        <f>_xlfn.IFNA(VLOOKUP($A601,[2]stockregister!$A$2:$H$2000,8,0),0)</f>
        <v>2100</v>
      </c>
      <c r="N601" s="3">
        <f>_xlfn.IFNA(VLOOKUP($A601,[2]stockregister!$A$2:$H$2000,8,0),0)-$M601</f>
        <v>0</v>
      </c>
      <c r="O601" s="3" t="s">
        <v>1375</v>
      </c>
      <c r="P601" s="3" t="s">
        <v>1375</v>
      </c>
      <c r="Q601" s="3" t="s">
        <v>882</v>
      </c>
      <c r="R601" s="3" t="s">
        <v>39</v>
      </c>
      <c r="S601" s="3" t="s">
        <v>1376</v>
      </c>
    </row>
    <row r="602" spans="1:20">
      <c r="A602" s="3">
        <v>1234</v>
      </c>
      <c r="B602" s="3" t="b">
        <f>ISNUMBER(MATCH(A602,[1]stockregister!$A$2:$A$2000,0))</f>
        <v>1</v>
      </c>
      <c r="C602" s="3" t="s">
        <v>1377</v>
      </c>
      <c r="D602" s="3" t="str">
        <f>VLOOKUP($C602,[1]stockregister!$B$2:$B$2000,1,0)</f>
        <v>KWV 12YRS BRANDY 750ML</v>
      </c>
      <c r="E602" s="3" t="str">
        <f>IF(ISNA($D602),VLOOKUP($A602,[2]stockregister!$A$2:$B$2000,2,FALSE),"")</f>
        <v/>
      </c>
      <c r="F602" s="3" t="s">
        <v>21</v>
      </c>
      <c r="G602" s="3">
        <f>_xlfn.IFNA(VLOOKUP($A602,[3]stockregister!$A$2:$L$2000,11,0),0)</f>
        <v>18</v>
      </c>
      <c r="H602" s="3">
        <f>_xlfn.IFNA(VLOOKUP($A602,[3]stockregister!$A$2:$L$2000,11,0),0)-$G602</f>
        <v>0</v>
      </c>
      <c r="I602" s="3">
        <f>_xlfn.IFNA(VLOOKUP($A602,[3]stockregister!$A$2:$L$2000,12,0),0)</f>
        <v>5980</v>
      </c>
      <c r="J602" s="3">
        <f>_xlfn.IFNA(VLOOKUP($A602,[3]stockregister!$A$1:$M$2000,12,0),0)-$I602</f>
        <v>0</v>
      </c>
      <c r="K602" s="3" t="s">
        <v>22</v>
      </c>
      <c r="L602" s="3" t="s">
        <v>23</v>
      </c>
      <c r="M602" s="3">
        <f>_xlfn.IFNA(VLOOKUP($A602,[2]stockregister!$A$2:$H$2000,8,0),0)</f>
        <v>6500</v>
      </c>
      <c r="N602" s="3">
        <f>_xlfn.IFNA(VLOOKUP($A602,[2]stockregister!$A$2:$H$2000,8,0),0)-$M602</f>
        <v>0</v>
      </c>
      <c r="O602" s="3" t="s">
        <v>1378</v>
      </c>
      <c r="P602" s="3" t="s">
        <v>1378</v>
      </c>
      <c r="Q602" s="3" t="s">
        <v>872</v>
      </c>
      <c r="R602" s="3" t="s">
        <v>109</v>
      </c>
      <c r="T602" s="3">
        <v>12</v>
      </c>
    </row>
    <row r="603" spans="1:19">
      <c r="A603" s="3">
        <v>951</v>
      </c>
      <c r="B603" s="3" t="b">
        <f>ISNUMBER(MATCH(A603,[1]stockregister!$A$2:$A$2000,0))</f>
        <v>1</v>
      </c>
      <c r="C603" s="3" t="s">
        <v>1379</v>
      </c>
      <c r="D603" s="3" t="str">
        <f>VLOOKUP($C603,[1]stockregister!$B$2:$B$2000,1,0)</f>
        <v>HENDRICK'S AMAZONIA GIN 1LTR</v>
      </c>
      <c r="E603" s="3" t="str">
        <f>IF(ISNA($D603),VLOOKUP($A603,[2]stockregister!$A$2:$B$2000,2,FALSE),"")</f>
        <v/>
      </c>
      <c r="F603" s="3" t="s">
        <v>21</v>
      </c>
      <c r="G603" s="3">
        <f>_xlfn.IFNA(VLOOKUP($A603,[3]stockregister!$A$2:$L$2000,11,0),0)</f>
        <v>18</v>
      </c>
      <c r="H603" s="3">
        <f>_xlfn.IFNA(VLOOKUP($A603,[3]stockregister!$A$2:$L$2000,11,0),0)-$G603</f>
        <v>0</v>
      </c>
      <c r="I603" s="3">
        <f>_xlfn.IFNA(VLOOKUP($A603,[3]stockregister!$A$2:$L$2000,12,0),0)</f>
        <v>5520</v>
      </c>
      <c r="J603" s="3">
        <f>_xlfn.IFNA(VLOOKUP($A603,[3]stockregister!$A$1:$M$2000,12,0),0)-$I603</f>
        <v>0</v>
      </c>
      <c r="K603" s="3" t="s">
        <v>22</v>
      </c>
      <c r="L603" s="3" t="s">
        <v>23</v>
      </c>
      <c r="M603" s="3">
        <f>_xlfn.IFNA(VLOOKUP($A603,[2]stockregister!$A$2:$H$2000,8,0),0)</f>
        <v>6000</v>
      </c>
      <c r="N603" s="3">
        <f>_xlfn.IFNA(VLOOKUP($A603,[2]stockregister!$A$2:$H$2000,8,0),0)-$M603</f>
        <v>0</v>
      </c>
      <c r="O603" s="3" t="s">
        <v>1380</v>
      </c>
      <c r="P603" s="3" t="s">
        <v>1380</v>
      </c>
      <c r="Q603" s="3" t="s">
        <v>979</v>
      </c>
      <c r="R603" s="3" t="s">
        <v>78</v>
      </c>
      <c r="S603" s="3" t="s">
        <v>1381</v>
      </c>
    </row>
    <row r="604" spans="1:19">
      <c r="A604" s="3">
        <v>1373</v>
      </c>
      <c r="B604" s="3" t="b">
        <f>ISNUMBER(MATCH(A604,[1]stockregister!$A$2:$A$2000,0))</f>
        <v>1</v>
      </c>
      <c r="C604" s="3" t="s">
        <v>1382</v>
      </c>
      <c r="D604" s="3" t="str">
        <f>VLOOKUP($C604,[1]stockregister!$B$2:$B$2000,1,0)</f>
        <v>MALFY GINS BLOOD ORANGE 750ML</v>
      </c>
      <c r="E604" s="3" t="str">
        <f>IF(ISNA($D604),VLOOKUP($A604,[2]stockregister!$A$2:$B$2000,2,FALSE),"")</f>
        <v/>
      </c>
      <c r="F604" s="3" t="s">
        <v>21</v>
      </c>
      <c r="G604" s="3">
        <f>_xlfn.IFNA(VLOOKUP($A604,[3]stockregister!$A$2:$L$2000,11,0),0)</f>
        <v>18</v>
      </c>
      <c r="H604" s="3">
        <f>_xlfn.IFNA(VLOOKUP($A604,[3]stockregister!$A$2:$L$2000,11,0),0)-$G604</f>
        <v>0</v>
      </c>
      <c r="I604" s="3">
        <f>_xlfn.IFNA(VLOOKUP($A604,[3]stockregister!$A$2:$L$2000,12,0),0)</f>
        <v>3588</v>
      </c>
      <c r="J604" s="3">
        <f>_xlfn.IFNA(VLOOKUP($A604,[3]stockregister!$A$1:$M$2000,12,0),0)-$I604</f>
        <v>0</v>
      </c>
      <c r="K604" s="3" t="s">
        <v>22</v>
      </c>
      <c r="L604" s="3" t="s">
        <v>23</v>
      </c>
      <c r="M604" s="3">
        <f>_xlfn.IFNA(VLOOKUP($A604,[2]stockregister!$A$2:$H$2000,8,0),0)</f>
        <v>3900</v>
      </c>
      <c r="N604" s="3">
        <f>_xlfn.IFNA(VLOOKUP($A604,[2]stockregister!$A$2:$H$2000,8,0),0)-$M604</f>
        <v>0</v>
      </c>
      <c r="O604" s="3" t="s">
        <v>1383</v>
      </c>
      <c r="P604" s="3" t="s">
        <v>1383</v>
      </c>
      <c r="Q604" s="3" t="s">
        <v>1225</v>
      </c>
      <c r="R604" s="3" t="s">
        <v>78</v>
      </c>
      <c r="S604" s="3" t="s">
        <v>1187</v>
      </c>
    </row>
    <row r="605" spans="1:19">
      <c r="A605" s="3">
        <v>953</v>
      </c>
      <c r="B605" s="3" t="b">
        <f>ISNUMBER(MATCH(A605,[1]stockregister!$A$2:$A$2000,0))</f>
        <v>1</v>
      </c>
      <c r="C605" s="3" t="s">
        <v>349</v>
      </c>
      <c r="D605" s="3" t="str">
        <f>VLOOKUP($C605,[1]stockregister!$B$2:$B$2000,1,0)</f>
        <v>HENDRICKS ORBIUM GIN 700ML</v>
      </c>
      <c r="E605" s="3" t="str">
        <f>IF(ISNA($D605),VLOOKUP($A605,[2]stockregister!$A$2:$B$2000,2,FALSE),"")</f>
        <v/>
      </c>
      <c r="F605" s="3" t="s">
        <v>21</v>
      </c>
      <c r="G605" s="3">
        <f>_xlfn.IFNA(VLOOKUP($A605,[3]stockregister!$A$2:$L$2000,11,0),0)</f>
        <v>18</v>
      </c>
      <c r="H605" s="3">
        <f>_xlfn.IFNA(VLOOKUP($A605,[3]stockregister!$A$2:$L$2000,11,0),0)-$G605</f>
        <v>0</v>
      </c>
      <c r="I605" s="3">
        <f>_xlfn.IFNA(VLOOKUP($A605,[3]stockregister!$A$2:$L$2000,12,0),0)</f>
        <v>4416</v>
      </c>
      <c r="J605" s="3">
        <f>_xlfn.IFNA(VLOOKUP($A605,[3]stockregister!$A$1:$M$2000,12,0),0)-$I605</f>
        <v>0</v>
      </c>
      <c r="K605" s="3" t="s">
        <v>22</v>
      </c>
      <c r="L605" s="3" t="s">
        <v>23</v>
      </c>
      <c r="M605" s="3">
        <f>_xlfn.IFNA(VLOOKUP($A605,[2]stockregister!$A$2:$H$2000,8,0),0)</f>
        <v>4800</v>
      </c>
      <c r="N605" s="3">
        <f>_xlfn.IFNA(VLOOKUP($A605,[2]stockregister!$A$2:$H$2000,8,0),0)-$M605</f>
        <v>0</v>
      </c>
      <c r="O605" s="3" t="s">
        <v>1384</v>
      </c>
      <c r="P605" s="3" t="s">
        <v>1384</v>
      </c>
      <c r="Q605" s="3" t="s">
        <v>979</v>
      </c>
      <c r="R605" s="3" t="s">
        <v>78</v>
      </c>
      <c r="S605" s="3" t="s">
        <v>1385</v>
      </c>
    </row>
    <row r="606" spans="1:19">
      <c r="A606" s="3">
        <v>280</v>
      </c>
      <c r="B606" s="3" t="b">
        <f>ISNUMBER(MATCH(A606,[1]stockregister!$A$2:$A$2000,0))</f>
        <v>1</v>
      </c>
      <c r="C606" s="3" t="s">
        <v>1386</v>
      </c>
      <c r="D606" s="3" t="str">
        <f>VLOOKUP($C606,[1]stockregister!$B$2:$B$2000,1,0)</f>
        <v>BROKER'S PINK GIN 750ML</v>
      </c>
      <c r="E606" s="3" t="str">
        <f>IF(ISNA($D606),VLOOKUP($A606,[2]stockregister!$A$2:$B$2000,2,FALSE),"")</f>
        <v/>
      </c>
      <c r="F606" s="3" t="s">
        <v>21</v>
      </c>
      <c r="G606" s="3">
        <f>_xlfn.IFNA(VLOOKUP($A606,[3]stockregister!$A$2:$L$2000,11,0),0)</f>
        <v>18</v>
      </c>
      <c r="H606" s="3">
        <f>_xlfn.IFNA(VLOOKUP($A606,[3]stockregister!$A$2:$L$2000,11,0),0)-$G606</f>
        <v>0</v>
      </c>
      <c r="I606" s="3">
        <f>_xlfn.IFNA(VLOOKUP($A606,[3]stockregister!$A$2:$L$2000,12,0),0)</f>
        <v>2024</v>
      </c>
      <c r="J606" s="3">
        <f>_xlfn.IFNA(VLOOKUP($A606,[3]stockregister!$A$1:$M$2000,12,0),0)-$I606</f>
        <v>0</v>
      </c>
      <c r="K606" s="3" t="s">
        <v>22</v>
      </c>
      <c r="L606" s="3" t="s">
        <v>23</v>
      </c>
      <c r="M606" s="3">
        <f>_xlfn.IFNA(VLOOKUP($A606,[2]stockregister!$A$2:$H$2000,8,0),0)</f>
        <v>2200</v>
      </c>
      <c r="N606" s="3">
        <f>_xlfn.IFNA(VLOOKUP($A606,[2]stockregister!$A$2:$H$2000,8,0),0)-$M606</f>
        <v>0</v>
      </c>
      <c r="O606" s="3" t="s">
        <v>1387</v>
      </c>
      <c r="P606" s="3" t="s">
        <v>1387</v>
      </c>
      <c r="Q606" s="3" t="s">
        <v>1388</v>
      </c>
      <c r="R606" s="3" t="s">
        <v>78</v>
      </c>
      <c r="S606" s="3" t="s">
        <v>788</v>
      </c>
    </row>
    <row r="607" spans="1:19">
      <c r="A607" s="3">
        <v>1010</v>
      </c>
      <c r="B607" s="3" t="b">
        <f>ISNUMBER(MATCH(A607,[1]stockregister!$A$2:$A$2000,0))</f>
        <v>1</v>
      </c>
      <c r="C607" s="3" t="s">
        <v>1389</v>
      </c>
      <c r="D607" s="3" t="str">
        <f>VLOOKUP($C607,[1]stockregister!$B$2:$B$2000,1,0)</f>
        <v>INVERROCHE GIN VERDANT 750ML</v>
      </c>
      <c r="E607" s="3" t="str">
        <f>IF(ISNA($D607),VLOOKUP($A607,[2]stockregister!$A$2:$B$2000,2,FALSE),"")</f>
        <v/>
      </c>
      <c r="F607" s="3" t="s">
        <v>21</v>
      </c>
      <c r="G607" s="3">
        <f>_xlfn.IFNA(VLOOKUP($A607,[3]stockregister!$A$2:$L$2000,11,0),0)</f>
        <v>18</v>
      </c>
      <c r="H607" s="3">
        <f>_xlfn.IFNA(VLOOKUP($A607,[3]stockregister!$A$2:$L$2000,11,0),0)-$G607</f>
        <v>0</v>
      </c>
      <c r="I607" s="3">
        <f>_xlfn.IFNA(VLOOKUP($A607,[3]stockregister!$A$2:$L$2000,12,0),0)</f>
        <v>4140</v>
      </c>
      <c r="J607" s="3">
        <f>_xlfn.IFNA(VLOOKUP($A607,[3]stockregister!$A$1:$M$2000,12,0),0)-$I607</f>
        <v>0</v>
      </c>
      <c r="K607" s="3" t="s">
        <v>22</v>
      </c>
      <c r="L607" s="3" t="s">
        <v>23</v>
      </c>
      <c r="M607" s="3">
        <f>_xlfn.IFNA(VLOOKUP($A607,[2]stockregister!$A$2:$H$2000,8,0),0)</f>
        <v>4500</v>
      </c>
      <c r="N607" s="3">
        <f>_xlfn.IFNA(VLOOKUP($A607,[2]stockregister!$A$2:$H$2000,8,0),0)-$M607</f>
        <v>0</v>
      </c>
      <c r="O607" s="3" t="s">
        <v>1390</v>
      </c>
      <c r="P607" s="3" t="s">
        <v>1390</v>
      </c>
      <c r="Q607" s="3" t="s">
        <v>1391</v>
      </c>
      <c r="R607" s="3" t="s">
        <v>78</v>
      </c>
      <c r="S607" s="3" t="s">
        <v>1392</v>
      </c>
    </row>
    <row r="608" spans="1:18">
      <c r="A608" s="3">
        <v>2818</v>
      </c>
      <c r="B608" s="3" t="b">
        <f>ISNUMBER(MATCH(A608,[1]stockregister!$A$2:$A$2000,0))</f>
        <v>1</v>
      </c>
      <c r="C608" s="3" t="s">
        <v>1393</v>
      </c>
      <c r="D608" s="3" t="str">
        <f>VLOOKUP($C608,[1]stockregister!$B$2:$B$2000,1,0)</f>
        <v>HAYMAN'S OLD TOM 700ML</v>
      </c>
      <c r="E608" s="3" t="str">
        <f>IF(ISNA($D608),VLOOKUP($A608,[2]stockregister!$A$2:$B$2000,2,FALSE),"")</f>
        <v/>
      </c>
      <c r="F608" s="3" t="s">
        <v>21</v>
      </c>
      <c r="G608" s="3">
        <f>_xlfn.IFNA(VLOOKUP($A608,[3]stockregister!$A$2:$L$2000,11,0),0)</f>
        <v>18</v>
      </c>
      <c r="H608" s="3">
        <f>_xlfn.IFNA(VLOOKUP($A608,[3]stockregister!$A$2:$L$2000,11,0),0)-$G608</f>
        <v>0</v>
      </c>
      <c r="I608" s="3">
        <f>_xlfn.IFNA(VLOOKUP($A608,[3]stockregister!$A$2:$L$2000,12,0),0)</f>
        <v>2275</v>
      </c>
      <c r="J608" s="3">
        <f>_xlfn.IFNA(VLOOKUP($A608,[3]stockregister!$A$1:$M$2000,12,0),0)-$I608</f>
        <v>0</v>
      </c>
      <c r="K608" s="3" t="s">
        <v>22</v>
      </c>
      <c r="L608" s="3" t="s">
        <v>23</v>
      </c>
      <c r="M608" s="3">
        <f>_xlfn.IFNA(VLOOKUP($A608,[2]stockregister!$A$2:$H$2000,8,0),0)</f>
        <v>3000</v>
      </c>
      <c r="N608" s="3">
        <f>_xlfn.IFNA(VLOOKUP($A608,[2]stockregister!$A$2:$H$2000,8,0),0)-$M608</f>
        <v>0</v>
      </c>
      <c r="O608" s="3" t="s">
        <v>1394</v>
      </c>
      <c r="P608" s="3" t="s">
        <v>1394</v>
      </c>
      <c r="Q608" s="3" t="s">
        <v>1395</v>
      </c>
      <c r="R608" s="3" t="s">
        <v>78</v>
      </c>
    </row>
    <row r="609" spans="1:18">
      <c r="A609" s="3">
        <v>2366</v>
      </c>
      <c r="B609" s="3" t="b">
        <f>ISNUMBER(MATCH(A609,[1]stockregister!$A$2:$A$2000,0))</f>
        <v>1</v>
      </c>
      <c r="C609" s="3" t="s">
        <v>1396</v>
      </c>
      <c r="D609" s="3" t="str">
        <f>VLOOKUP($C609,[1]stockregister!$B$2:$B$2000,1,0)</f>
        <v>ZACAPPA 1LTR</v>
      </c>
      <c r="E609" s="3" t="str">
        <f>IF(ISNA($D609),VLOOKUP($A609,[2]stockregister!$A$2:$B$2000,2,FALSE),"")</f>
        <v/>
      </c>
      <c r="F609" s="3" t="s">
        <v>21</v>
      </c>
      <c r="G609" s="3">
        <f>_xlfn.IFNA(VLOOKUP($A609,[3]stockregister!$A$2:$L$2000,11,0),0)</f>
        <v>18</v>
      </c>
      <c r="H609" s="3">
        <f>_xlfn.IFNA(VLOOKUP($A609,[3]stockregister!$A$2:$L$2000,11,0),0)-$G609</f>
        <v>0</v>
      </c>
      <c r="I609" s="3">
        <f>_xlfn.IFNA(VLOOKUP($A609,[3]stockregister!$A$2:$L$2000,12,0),0)</f>
        <v>6500</v>
      </c>
      <c r="J609" s="3">
        <f>_xlfn.IFNA(VLOOKUP($A609,[3]stockregister!$A$1:$M$2000,12,0),0)-$I609</f>
        <v>0</v>
      </c>
      <c r="K609" s="3" t="s">
        <v>22</v>
      </c>
      <c r="L609" s="3" t="s">
        <v>23</v>
      </c>
      <c r="M609" s="3">
        <f>_xlfn.IFNA(VLOOKUP($A609,[2]stockregister!$A$2:$H$2000,8,0),0)</f>
        <v>7200</v>
      </c>
      <c r="N609" s="3">
        <f>_xlfn.IFNA(VLOOKUP($A609,[2]stockregister!$A$2:$H$2000,8,0),0)-$M609</f>
        <v>0</v>
      </c>
      <c r="O609" s="3" t="s">
        <v>1397</v>
      </c>
      <c r="P609" s="3" t="s">
        <v>1397</v>
      </c>
      <c r="Q609" s="3" t="s">
        <v>1398</v>
      </c>
      <c r="R609" s="3" t="s">
        <v>156</v>
      </c>
    </row>
    <row r="610" spans="1:19">
      <c r="A610" s="3">
        <v>1950</v>
      </c>
      <c r="B610" s="3" t="b">
        <f>ISNUMBER(MATCH(A610,[1]stockregister!$A$2:$A$2000,0))</f>
        <v>1</v>
      </c>
      <c r="C610" s="3" t="s">
        <v>1399</v>
      </c>
      <c r="D610" s="3" t="str">
        <f>VLOOKUP($C610,[1]stockregister!$B$2:$B$2000,1,0)</f>
        <v>TEQUILA AGAVITA BLANCO 700ML</v>
      </c>
      <c r="E610" s="3" t="str">
        <f>IF(ISNA($D610),VLOOKUP($A610,[2]stockregister!$A$2:$B$2000,2,FALSE),"")</f>
        <v/>
      </c>
      <c r="F610" s="3" t="s">
        <v>21</v>
      </c>
      <c r="G610" s="3">
        <f>_xlfn.IFNA(VLOOKUP($A610,[3]stockregister!$A$2:$L$2000,11,0),0)</f>
        <v>18</v>
      </c>
      <c r="H610" s="3">
        <f>_xlfn.IFNA(VLOOKUP($A610,[3]stockregister!$A$2:$L$2000,11,0),0)-$G610</f>
        <v>0</v>
      </c>
      <c r="I610" s="3">
        <f>_xlfn.IFNA(VLOOKUP($A610,[3]stockregister!$A$2:$L$2000,12,0),0)</f>
        <v>2070</v>
      </c>
      <c r="J610" s="3">
        <f>_xlfn.IFNA(VLOOKUP($A610,[3]stockregister!$A$1:$M$2000,12,0),0)-$I610</f>
        <v>0</v>
      </c>
      <c r="K610" s="3" t="s">
        <v>22</v>
      </c>
      <c r="L610" s="3" t="s">
        <v>23</v>
      </c>
      <c r="M610" s="3">
        <f>_xlfn.IFNA(VLOOKUP($A610,[2]stockregister!$A$2:$H$2000,8,0),0)</f>
        <v>2250</v>
      </c>
      <c r="N610" s="3">
        <f>_xlfn.IFNA(VLOOKUP($A610,[2]stockregister!$A$2:$H$2000,8,0),0)-$M610</f>
        <v>0</v>
      </c>
      <c r="O610" s="3" t="s">
        <v>1400</v>
      </c>
      <c r="P610" s="3" t="s">
        <v>1400</v>
      </c>
      <c r="Q610" s="3" t="s">
        <v>1401</v>
      </c>
      <c r="R610" s="3" t="s">
        <v>73</v>
      </c>
      <c r="S610" s="3" t="s">
        <v>806</v>
      </c>
    </row>
    <row r="611" spans="1:19">
      <c r="A611" s="3">
        <v>495</v>
      </c>
      <c r="B611" s="3" t="b">
        <f>ISNUMBER(MATCH(A611,[1]stockregister!$A$2:$A$2000,0))</f>
        <v>1</v>
      </c>
      <c r="C611" s="3" t="s">
        <v>1402</v>
      </c>
      <c r="D611" s="3" t="str">
        <f>VLOOKUP($C611,[1]stockregister!$B$2:$B$2000,1,0)</f>
        <v>CLASE AZUL PLATA 700ML</v>
      </c>
      <c r="E611" s="3" t="str">
        <f>IF(ISNA($D611),VLOOKUP($A611,[2]stockregister!$A$2:$B$2000,2,FALSE),"")</f>
        <v/>
      </c>
      <c r="F611" s="3" t="s">
        <v>21</v>
      </c>
      <c r="G611" s="3">
        <f>_xlfn.IFNA(VLOOKUP($A611,[3]stockregister!$A$2:$L$2000,11,0),0)</f>
        <v>18</v>
      </c>
      <c r="H611" s="3">
        <f>_xlfn.IFNA(VLOOKUP($A611,[3]stockregister!$A$2:$L$2000,11,0),0)-$G611</f>
        <v>0</v>
      </c>
      <c r="I611" s="3">
        <f>_xlfn.IFNA(VLOOKUP($A611,[3]stockregister!$A$2:$L$2000,12,0),0)</f>
        <v>22563</v>
      </c>
      <c r="J611" s="3">
        <f>_xlfn.IFNA(VLOOKUP($A611,[3]stockregister!$A$1:$M$2000,12,0),0)-$I611</f>
        <v>0</v>
      </c>
      <c r="K611" s="3" t="s">
        <v>22</v>
      </c>
      <c r="L611" s="3" t="s">
        <v>23</v>
      </c>
      <c r="M611" s="3">
        <f>_xlfn.IFNA(VLOOKUP($A611,[2]stockregister!$A$2:$H$2000,8,0),0)</f>
        <v>24525</v>
      </c>
      <c r="N611" s="3">
        <f>_xlfn.IFNA(VLOOKUP($A611,[2]stockregister!$A$2:$H$2000,8,0),0)-$M611</f>
        <v>0</v>
      </c>
      <c r="O611" s="3" t="s">
        <v>1403</v>
      </c>
      <c r="P611" s="3" t="s">
        <v>1403</v>
      </c>
      <c r="Q611" s="3" t="s">
        <v>494</v>
      </c>
      <c r="R611" s="3" t="s">
        <v>73</v>
      </c>
      <c r="S611" s="3" t="s">
        <v>1404</v>
      </c>
    </row>
    <row r="612" spans="1:19">
      <c r="A612" s="3">
        <v>2270</v>
      </c>
      <c r="B612" s="3" t="b">
        <f>ISNUMBER(MATCH(A612,[1]stockregister!$A$2:$A$2000,0))</f>
        <v>1</v>
      </c>
      <c r="C612" s="3" t="s">
        <v>1405</v>
      </c>
      <c r="D612" s="3" t="str">
        <f>VLOOKUP($C612,[1]stockregister!$B$2:$B$2000,1,0)</f>
        <v>THE FAMOUS GROUSE CHERRY CASK 700ML</v>
      </c>
      <c r="E612" s="3" t="str">
        <f>IF(ISNA($D612),VLOOKUP($A612,[2]stockregister!$A$2:$B$2000,2,FALSE),"")</f>
        <v/>
      </c>
      <c r="F612" s="3" t="s">
        <v>21</v>
      </c>
      <c r="G612" s="3">
        <f>_xlfn.IFNA(VLOOKUP($A612,[3]stockregister!$A$2:$L$2000,11,0),0)</f>
        <v>18</v>
      </c>
      <c r="H612" s="3">
        <f>_xlfn.IFNA(VLOOKUP($A612,[3]stockregister!$A$2:$L$2000,11,0),0)-$G612</f>
        <v>0</v>
      </c>
      <c r="I612" s="3">
        <f>_xlfn.IFNA(VLOOKUP($A612,[3]stockregister!$A$2:$L$2000,12,0),0)</f>
        <v>2500</v>
      </c>
      <c r="J612" s="3">
        <f>_xlfn.IFNA(VLOOKUP($A612,[3]stockregister!$A$1:$M$2000,12,0),0)-$I612</f>
        <v>0</v>
      </c>
      <c r="K612" s="3" t="s">
        <v>22</v>
      </c>
      <c r="L612" s="3" t="s">
        <v>23</v>
      </c>
      <c r="M612" s="3">
        <f>_xlfn.IFNA(VLOOKUP($A612,[2]stockregister!$A$2:$H$2000,8,0),0)</f>
        <v>2600</v>
      </c>
      <c r="N612" s="3">
        <f>_xlfn.IFNA(VLOOKUP($A612,[2]stockregister!$A$2:$H$2000,8,0),0)-$M612</f>
        <v>0</v>
      </c>
      <c r="O612" s="3" t="s">
        <v>1406</v>
      </c>
      <c r="P612" s="3" t="s">
        <v>1406</v>
      </c>
      <c r="Q612" s="3" t="s">
        <v>362</v>
      </c>
      <c r="R612" s="3" t="s">
        <v>113</v>
      </c>
      <c r="S612" s="3" t="s">
        <v>114</v>
      </c>
    </row>
    <row r="613" spans="1:19">
      <c r="A613" s="3">
        <v>2384</v>
      </c>
      <c r="B613" s="3" t="b">
        <f>ISNUMBER(MATCH(A613,[1]stockregister!$A$2:$A$2000,0))</f>
        <v>1</v>
      </c>
      <c r="C613" s="3" t="s">
        <v>1407</v>
      </c>
      <c r="D613" s="3" t="str">
        <f>VLOOKUP($C613,[1]stockregister!$B$2:$B$2000,1,0)</f>
        <v>TALISKER SKYE 700ML</v>
      </c>
      <c r="E613" s="3" t="str">
        <f>IF(ISNA($D613),VLOOKUP($A613,[2]stockregister!$A$2:$B$2000,2,FALSE),"")</f>
        <v/>
      </c>
      <c r="F613" s="3" t="s">
        <v>21</v>
      </c>
      <c r="G613" s="3">
        <f>_xlfn.IFNA(VLOOKUP($A613,[3]stockregister!$A$2:$L$2000,11,0),0)</f>
        <v>18</v>
      </c>
      <c r="H613" s="3">
        <f>_xlfn.IFNA(VLOOKUP($A613,[3]stockregister!$A$2:$L$2000,11,0),0)-$G613</f>
        <v>0</v>
      </c>
      <c r="I613" s="3">
        <f>_xlfn.IFNA(VLOOKUP($A613,[3]stockregister!$A$2:$L$2000,12,0),0)</f>
        <v>6000</v>
      </c>
      <c r="J613" s="3">
        <f>_xlfn.IFNA(VLOOKUP($A613,[3]stockregister!$A$1:$M$2000,12,0),0)-$I613</f>
        <v>0</v>
      </c>
      <c r="K613" s="3" t="s">
        <v>22</v>
      </c>
      <c r="L613" s="3" t="s">
        <v>23</v>
      </c>
      <c r="M613" s="3">
        <f>_xlfn.IFNA(VLOOKUP($A613,[2]stockregister!$A$2:$H$2000,8,0),0)</f>
        <v>6200</v>
      </c>
      <c r="N613" s="3">
        <f>_xlfn.IFNA(VLOOKUP($A613,[2]stockregister!$A$2:$H$2000,8,0),0)-$M613</f>
        <v>0</v>
      </c>
      <c r="O613" s="3" t="s">
        <v>1408</v>
      </c>
      <c r="P613" s="3" t="s">
        <v>1408</v>
      </c>
      <c r="Q613" s="3" t="s">
        <v>1409</v>
      </c>
      <c r="R613" s="3" t="s">
        <v>113</v>
      </c>
      <c r="S613" s="3" t="s">
        <v>114</v>
      </c>
    </row>
    <row r="614" spans="1:19">
      <c r="A614" s="3">
        <v>1923</v>
      </c>
      <c r="B614" s="3" t="b">
        <f>ISNUMBER(MATCH(A614,[1]stockregister!$A$2:$A$2000,0))</f>
        <v>1</v>
      </c>
      <c r="C614" s="3" t="s">
        <v>1410</v>
      </c>
      <c r="D614" s="3" t="str">
        <f>VLOOKUP($C614,[1]stockregister!$B$2:$B$2000,1,0)</f>
        <v>TALISKER SKYE 1ltr</v>
      </c>
      <c r="E614" s="3" t="str">
        <f>IF(ISNA($D614),VLOOKUP($A614,[2]stockregister!$A$2:$B$2000,2,FALSE),"")</f>
        <v/>
      </c>
      <c r="F614" s="3" t="s">
        <v>21</v>
      </c>
      <c r="G614" s="3">
        <f>_xlfn.IFNA(VLOOKUP($A614,[3]stockregister!$A$2:$L$2000,11,0),0)</f>
        <v>18</v>
      </c>
      <c r="H614" s="3">
        <f>_xlfn.IFNA(VLOOKUP($A614,[3]stockregister!$A$2:$L$2000,11,0),0)-$G614</f>
        <v>0</v>
      </c>
      <c r="I614" s="3">
        <f>_xlfn.IFNA(VLOOKUP($A614,[3]stockregister!$A$2:$L$2000,12,0),0)</f>
        <v>4600</v>
      </c>
      <c r="J614" s="3">
        <f>_xlfn.IFNA(VLOOKUP($A614,[3]stockregister!$A$1:$M$2000,12,0),0)-$I614</f>
        <v>0</v>
      </c>
      <c r="K614" s="3" t="s">
        <v>22</v>
      </c>
      <c r="L614" s="3" t="s">
        <v>23</v>
      </c>
      <c r="M614" s="3">
        <f>_xlfn.IFNA(VLOOKUP($A614,[2]stockregister!$A$2:$H$2000,8,0),0)</f>
        <v>7000</v>
      </c>
      <c r="N614" s="3">
        <f>_xlfn.IFNA(VLOOKUP($A614,[2]stockregister!$A$2:$H$2000,8,0),0)-$M614</f>
        <v>0</v>
      </c>
      <c r="O614" s="3" t="s">
        <v>1411</v>
      </c>
      <c r="P614" s="3" t="s">
        <v>1411</v>
      </c>
      <c r="Q614" s="3" t="s">
        <v>1052</v>
      </c>
      <c r="R614" s="3" t="s">
        <v>92</v>
      </c>
      <c r="S614" s="3" t="s">
        <v>134</v>
      </c>
    </row>
    <row r="615" spans="1:19">
      <c r="A615" s="3">
        <v>309</v>
      </c>
      <c r="B615" s="3" t="b">
        <f>ISNUMBER(MATCH(A615,[1]stockregister!$A$2:$A$2000,0))</f>
        <v>1</v>
      </c>
      <c r="C615" s="3" t="s">
        <v>353</v>
      </c>
      <c r="D615" s="3" t="str">
        <f>VLOOKUP($C615,[1]stockregister!$B$2:$B$2000,1,0)</f>
        <v>BUSHMILL BLACK BUSH 750ML</v>
      </c>
      <c r="E615" s="3" t="str">
        <f>IF(ISNA($D615),VLOOKUP($A615,[2]stockregister!$A$2:$B$2000,2,FALSE),"")</f>
        <v/>
      </c>
      <c r="F615" s="3" t="s">
        <v>21</v>
      </c>
      <c r="G615" s="3">
        <f>_xlfn.IFNA(VLOOKUP($A615,[3]stockregister!$A$2:$L$2000,11,0),0)</f>
        <v>18</v>
      </c>
      <c r="H615" s="3">
        <f>_xlfn.IFNA(VLOOKUP($A615,[3]stockregister!$A$2:$L$2000,11,0),0)-$G615</f>
        <v>0</v>
      </c>
      <c r="I615" s="3">
        <f>_xlfn.IFNA(VLOOKUP($A615,[3]stockregister!$A$2:$L$2000,12,0),0)</f>
        <v>2944</v>
      </c>
      <c r="J615" s="3">
        <f>_xlfn.IFNA(VLOOKUP($A615,[3]stockregister!$A$1:$M$2000,12,0),0)-$I615</f>
        <v>0</v>
      </c>
      <c r="K615" s="3" t="s">
        <v>22</v>
      </c>
      <c r="L615" s="3" t="s">
        <v>23</v>
      </c>
      <c r="M615" s="3">
        <f>_xlfn.IFNA(VLOOKUP($A615,[2]stockregister!$A$2:$H$2000,8,0),0)</f>
        <v>3200</v>
      </c>
      <c r="N615" s="3">
        <f>_xlfn.IFNA(VLOOKUP($A615,[2]stockregister!$A$2:$H$2000,8,0),0)-$M615</f>
        <v>0</v>
      </c>
      <c r="O615" s="3" t="s">
        <v>1412</v>
      </c>
      <c r="P615" s="3" t="s">
        <v>1412</v>
      </c>
      <c r="Q615" s="3" t="s">
        <v>307</v>
      </c>
      <c r="R615" s="3" t="s">
        <v>92</v>
      </c>
      <c r="S615" s="3" t="s">
        <v>1280</v>
      </c>
    </row>
    <row r="616" spans="1:19">
      <c r="A616" s="3">
        <v>2361</v>
      </c>
      <c r="B616" s="3" t="b">
        <f>ISNUMBER(MATCH(A616,[1]stockregister!$A$2:$A$2000,0))</f>
        <v>1</v>
      </c>
      <c r="C616" s="3" t="s">
        <v>1413</v>
      </c>
      <c r="D616" s="3" t="str">
        <f>VLOOKUP($C616,[1]stockregister!$B$2:$B$2000,1,0)</f>
        <v>TOMMASI BARDOLINO 750ML</v>
      </c>
      <c r="E616" s="3" t="str">
        <f>IF(ISNA($D616),VLOOKUP($A616,[2]stockregister!$A$2:$B$2000,2,FALSE),"")</f>
        <v/>
      </c>
      <c r="F616" s="3" t="s">
        <v>21</v>
      </c>
      <c r="G616" s="3">
        <f>_xlfn.IFNA(VLOOKUP($A616,[3]stockregister!$A$2:$L$2000,11,0),0)</f>
        <v>18</v>
      </c>
      <c r="H616" s="3">
        <f>_xlfn.IFNA(VLOOKUP($A616,[3]stockregister!$A$2:$L$2000,11,0),0)-$G616</f>
        <v>0</v>
      </c>
      <c r="I616" s="3">
        <f>_xlfn.IFNA(VLOOKUP($A616,[3]stockregister!$A$2:$L$2000,12,0),0)</f>
        <v>2150</v>
      </c>
      <c r="J616" s="3">
        <f>_xlfn.IFNA(VLOOKUP($A616,[3]stockregister!$A$1:$M$2000,12,0),0)-$I616</f>
        <v>0</v>
      </c>
      <c r="K616" s="3" t="s">
        <v>22</v>
      </c>
      <c r="L616" s="3" t="s">
        <v>23</v>
      </c>
      <c r="M616" s="3">
        <f>_xlfn.IFNA(VLOOKUP($A616,[2]stockregister!$A$2:$H$2000,8,0),0)</f>
        <v>2300</v>
      </c>
      <c r="N616" s="3">
        <f>_xlfn.IFNA(VLOOKUP($A616,[2]stockregister!$A$2:$H$2000,8,0),0)-$M616</f>
        <v>0</v>
      </c>
      <c r="O616" s="3" t="s">
        <v>1414</v>
      </c>
      <c r="P616" s="3" t="s">
        <v>1414</v>
      </c>
      <c r="Q616" s="3" t="s">
        <v>1415</v>
      </c>
      <c r="R616" s="3" t="s">
        <v>537</v>
      </c>
      <c r="S616" s="3" t="s">
        <v>1416</v>
      </c>
    </row>
    <row r="617" spans="1:19">
      <c r="A617" s="3">
        <v>2245</v>
      </c>
      <c r="B617" s="3" t="b">
        <f>ISNUMBER(MATCH(A617,[1]stockregister!$A$2:$A$2000,0))</f>
        <v>1</v>
      </c>
      <c r="C617" s="3" t="s">
        <v>1417</v>
      </c>
      <c r="D617" s="3" t="str">
        <f>VLOOKUP($C617,[1]stockregister!$B$2:$B$2000,1,0)</f>
        <v>RUINART BRUT 750ML</v>
      </c>
      <c r="E617" s="3" t="str">
        <f>IF(ISNA($D617),VLOOKUP($A617,[2]stockregister!$A$2:$B$2000,2,FALSE),"")</f>
        <v/>
      </c>
      <c r="F617" s="3" t="s">
        <v>21</v>
      </c>
      <c r="G617" s="3">
        <f>_xlfn.IFNA(VLOOKUP($A617,[3]stockregister!$A$2:$L$2000,11,0),0)</f>
        <v>18</v>
      </c>
      <c r="H617" s="3">
        <f>_xlfn.IFNA(VLOOKUP($A617,[3]stockregister!$A$2:$L$2000,11,0),0)-$G617</f>
        <v>0</v>
      </c>
      <c r="I617" s="3">
        <f>_xlfn.IFNA(VLOOKUP($A617,[3]stockregister!$A$2:$L$2000,12,0),0)</f>
        <v>14500</v>
      </c>
      <c r="J617" s="3">
        <f>_xlfn.IFNA(VLOOKUP($A617,[3]stockregister!$A$1:$M$2000,12,0),0)-$I617</f>
        <v>0</v>
      </c>
      <c r="K617" s="3" t="s">
        <v>22</v>
      </c>
      <c r="L617" s="3" t="s">
        <v>23</v>
      </c>
      <c r="M617" s="3">
        <f>_xlfn.IFNA(VLOOKUP($A617,[2]stockregister!$A$2:$H$2000,8,0),0)</f>
        <v>15000</v>
      </c>
      <c r="N617" s="3">
        <f>_xlfn.IFNA(VLOOKUP($A617,[2]stockregister!$A$2:$H$2000,8,0),0)-$M617</f>
        <v>0</v>
      </c>
      <c r="O617" s="3" t="s">
        <v>1418</v>
      </c>
      <c r="P617" s="3" t="s">
        <v>1418</v>
      </c>
      <c r="Q617" s="3" t="s">
        <v>1419</v>
      </c>
      <c r="R617" s="3" t="s">
        <v>68</v>
      </c>
      <c r="S617" s="3" t="s">
        <v>534</v>
      </c>
    </row>
    <row r="618" spans="1:19">
      <c r="A618" s="3">
        <v>2872</v>
      </c>
      <c r="B618" s="3" t="b">
        <f>ISNUMBER(MATCH(A618,[1]stockregister!$A$2:$A$2000,0))</f>
        <v>1</v>
      </c>
      <c r="C618" s="3" t="s">
        <v>1420</v>
      </c>
      <c r="D618" s="3" t="str">
        <f>VLOOKUP($C618,[1]stockregister!$B$2:$B$2000,1,0)</f>
        <v>SAN FELIPE CLASSIC CAB SAUV 750ML</v>
      </c>
      <c r="E618" s="3" t="str">
        <f>IF(ISNA($D618),VLOOKUP($A618,[2]stockregister!$A$2:$B$2000,2,FALSE),"")</f>
        <v/>
      </c>
      <c r="F618" s="3" t="s">
        <v>21</v>
      </c>
      <c r="G618" s="3">
        <f>_xlfn.IFNA(VLOOKUP($A618,[3]stockregister!$A$2:$L$2000,11,0),0)</f>
        <v>18</v>
      </c>
      <c r="H618" s="3">
        <f>_xlfn.IFNA(VLOOKUP($A618,[3]stockregister!$A$2:$L$2000,11,0),0)-$G618</f>
        <v>0</v>
      </c>
      <c r="I618" s="3">
        <f>_xlfn.IFNA(VLOOKUP($A618,[3]stockregister!$A$2:$L$2000,12,0),0)</f>
        <v>1045</v>
      </c>
      <c r="J618" s="3">
        <f>_xlfn.IFNA(VLOOKUP($A618,[3]stockregister!$A$1:$M$2000,12,0),0)-$I618</f>
        <v>0</v>
      </c>
      <c r="K618" s="3" t="s">
        <v>22</v>
      </c>
      <c r="L618" s="3" t="s">
        <v>23</v>
      </c>
      <c r="M618" s="3">
        <f>_xlfn.IFNA(VLOOKUP($A618,[2]stockregister!$A$2:$H$2000,8,0),0)</f>
        <v>1150</v>
      </c>
      <c r="N618" s="3">
        <f>_xlfn.IFNA(VLOOKUP($A618,[2]stockregister!$A$2:$H$2000,8,0),0)-$M618</f>
        <v>0</v>
      </c>
      <c r="O618" s="3" t="s">
        <v>1421</v>
      </c>
      <c r="P618" s="3" t="s">
        <v>1421</v>
      </c>
      <c r="Q618" s="3" t="s">
        <v>1422</v>
      </c>
      <c r="R618" s="3" t="s">
        <v>537</v>
      </c>
      <c r="S618" s="3" t="s">
        <v>206</v>
      </c>
    </row>
    <row r="619" spans="1:19">
      <c r="A619" s="3">
        <v>2510</v>
      </c>
      <c r="B619" s="3" t="b">
        <f>ISNUMBER(MATCH(A619,[1]stockregister!$A$2:$A$2000,0))</f>
        <v>1</v>
      </c>
      <c r="C619" s="3" t="s">
        <v>356</v>
      </c>
      <c r="D619" s="3" t="str">
        <f>VLOOKUP($C619,[1]stockregister!$B$2:$B$2000,1,0)</f>
        <v>LEOPARDS LEAP CAB SAUV  MERLOT 750ML</v>
      </c>
      <c r="E619" s="3" t="str">
        <f>IF(ISNA($D619),VLOOKUP($A619,[2]stockregister!$A$2:$B$2000,2,FALSE),"")</f>
        <v/>
      </c>
      <c r="F619" s="3" t="s">
        <v>21</v>
      </c>
      <c r="G619" s="3">
        <f>_xlfn.IFNA(VLOOKUP($A619,[3]stockregister!$A$2:$L$2000,11,0),0)</f>
        <v>18</v>
      </c>
      <c r="H619" s="3">
        <f>_xlfn.IFNA(VLOOKUP($A619,[3]stockregister!$A$2:$L$2000,11,0),0)-$G619</f>
        <v>0</v>
      </c>
      <c r="I619" s="3">
        <f>_xlfn.IFNA(VLOOKUP($A619,[3]stockregister!$A$2:$L$2000,12,0),0)</f>
        <v>1420</v>
      </c>
      <c r="J619" s="3">
        <f>_xlfn.IFNA(VLOOKUP($A619,[3]stockregister!$A$1:$M$2000,12,0),0)-$I619</f>
        <v>0</v>
      </c>
      <c r="K619" s="3" t="s">
        <v>22</v>
      </c>
      <c r="L619" s="3" t="s">
        <v>23</v>
      </c>
      <c r="M619" s="3">
        <f>_xlfn.IFNA(VLOOKUP($A619,[2]stockregister!$A$2:$H$2000,8,0),0)</f>
        <v>1550</v>
      </c>
      <c r="N619" s="3">
        <f>_xlfn.IFNA(VLOOKUP($A619,[2]stockregister!$A$2:$H$2000,8,0),0)-$M619</f>
        <v>0</v>
      </c>
      <c r="O619" s="3" t="s">
        <v>1423</v>
      </c>
      <c r="P619" s="3" t="s">
        <v>1423</v>
      </c>
      <c r="Q619" s="3" t="s">
        <v>1302</v>
      </c>
      <c r="R619" s="3" t="s">
        <v>537</v>
      </c>
      <c r="S619" s="3" t="s">
        <v>206</v>
      </c>
    </row>
    <row r="620" spans="1:19">
      <c r="A620" s="3">
        <v>255</v>
      </c>
      <c r="B620" s="3" t="b">
        <f>ISNUMBER(MATCH(A620,[1]stockregister!$A$2:$A$2000,0))</f>
        <v>1</v>
      </c>
      <c r="C620" s="3" t="s">
        <v>1424</v>
      </c>
      <c r="D620" s="3" t="str">
        <f>VLOOKUP($C620,[1]stockregister!$B$2:$B$2000,1,0)</f>
        <v>BOLAND CELLAR CAB SHIRAZ 750ML</v>
      </c>
      <c r="E620" s="3" t="str">
        <f>IF(ISNA($D620),VLOOKUP($A620,[2]stockregister!$A$2:$B$2000,2,FALSE),"")</f>
        <v/>
      </c>
      <c r="F620" s="3" t="s">
        <v>21</v>
      </c>
      <c r="G620" s="3">
        <f>_xlfn.IFNA(VLOOKUP($A620,[3]stockregister!$A$2:$L$2000,11,0),0)</f>
        <v>18</v>
      </c>
      <c r="H620" s="3">
        <f>_xlfn.IFNA(VLOOKUP($A620,[3]stockregister!$A$2:$L$2000,11,0),0)-$G620</f>
        <v>0</v>
      </c>
      <c r="I620" s="3">
        <f>_xlfn.IFNA(VLOOKUP($A620,[3]stockregister!$A$2:$L$2000,12,0),0)</f>
        <v>1172</v>
      </c>
      <c r="J620" s="3">
        <f>_xlfn.IFNA(VLOOKUP($A620,[3]stockregister!$A$1:$M$2000,12,0),0)-$I620</f>
        <v>0</v>
      </c>
      <c r="K620" s="3" t="s">
        <v>22</v>
      </c>
      <c r="L620" s="3" t="s">
        <v>23</v>
      </c>
      <c r="M620" s="3">
        <f>_xlfn.IFNA(VLOOKUP($A620,[2]stockregister!$A$2:$H$2000,8,0),0)</f>
        <v>1800</v>
      </c>
      <c r="N620" s="3">
        <f>_xlfn.IFNA(VLOOKUP($A620,[2]stockregister!$A$2:$H$2000,8,0),0)-$M620</f>
        <v>0</v>
      </c>
      <c r="O620" s="3" t="s">
        <v>1425</v>
      </c>
      <c r="P620" s="3" t="s">
        <v>1425</v>
      </c>
      <c r="Q620" s="3" t="s">
        <v>1426</v>
      </c>
      <c r="R620" s="3" t="s">
        <v>68</v>
      </c>
      <c r="S620" s="3" t="s">
        <v>1427</v>
      </c>
    </row>
    <row r="621" spans="1:19">
      <c r="A621" s="3">
        <v>523</v>
      </c>
      <c r="B621" s="3" t="b">
        <f>ISNUMBER(MATCH(A621,[1]stockregister!$A$2:$A$2000,0))</f>
        <v>1</v>
      </c>
      <c r="C621" s="3" t="s">
        <v>1428</v>
      </c>
      <c r="D621" s="3" t="str">
        <f>VLOOKUP($C621,[1]stockregister!$B$2:$B$2000,1,0)</f>
        <v>CONSIGNIA CHARDONNAY 750ML</v>
      </c>
      <c r="E621" s="3" t="str">
        <f>IF(ISNA($D621),VLOOKUP($A621,[2]stockregister!$A$2:$B$2000,2,FALSE),"")</f>
        <v/>
      </c>
      <c r="F621" s="3" t="s">
        <v>21</v>
      </c>
      <c r="G621" s="3">
        <f>_xlfn.IFNA(VLOOKUP($A621,[3]stockregister!$A$2:$L$2000,11,0),0)</f>
        <v>18</v>
      </c>
      <c r="H621" s="3">
        <f>_xlfn.IFNA(VLOOKUP($A621,[3]stockregister!$A$2:$L$2000,11,0),0)-$G621</f>
        <v>0</v>
      </c>
      <c r="I621" s="3">
        <f>_xlfn.IFNA(VLOOKUP($A621,[3]stockregister!$A$2:$L$2000,12,0),0)</f>
        <v>1240</v>
      </c>
      <c r="J621" s="3">
        <f>_xlfn.IFNA(VLOOKUP($A621,[3]stockregister!$A$1:$M$2000,12,0),0)-$I621</f>
        <v>0</v>
      </c>
      <c r="K621" s="3" t="s">
        <v>22</v>
      </c>
      <c r="L621" s="3" t="s">
        <v>23</v>
      </c>
      <c r="M621" s="3">
        <f>_xlfn.IFNA(VLOOKUP($A621,[2]stockregister!$A$2:$H$2000,8,0),0)</f>
        <v>1440</v>
      </c>
      <c r="N621" s="3">
        <f>_xlfn.IFNA(VLOOKUP($A621,[2]stockregister!$A$2:$H$2000,8,0),0)-$M621</f>
        <v>0</v>
      </c>
      <c r="O621" s="3" t="s">
        <v>1429</v>
      </c>
      <c r="P621" s="3" t="s">
        <v>1429</v>
      </c>
      <c r="Q621" s="3" t="s">
        <v>1012</v>
      </c>
      <c r="R621" s="3" t="s">
        <v>68</v>
      </c>
      <c r="S621" s="3" t="s">
        <v>940</v>
      </c>
    </row>
    <row r="622" spans="1:19">
      <c r="A622" s="3">
        <v>1666</v>
      </c>
      <c r="B622" s="3" t="b">
        <f>ISNUMBER(MATCH(A622,[1]stockregister!$A$2:$A$2000,0))</f>
        <v>1</v>
      </c>
      <c r="C622" s="3" t="s">
        <v>1430</v>
      </c>
      <c r="D622" s="3" t="str">
        <f>VLOOKUP($C622,[1]stockregister!$B$2:$B$2000,1,0)</f>
        <v>RIGAL ORIGINAL MALBEC 750ML</v>
      </c>
      <c r="E622" s="3" t="str">
        <f>IF(ISNA($D622),VLOOKUP($A622,[2]stockregister!$A$2:$B$2000,2,FALSE),"")</f>
        <v/>
      </c>
      <c r="F622" s="3" t="s">
        <v>21</v>
      </c>
      <c r="G622" s="3">
        <f>_xlfn.IFNA(VLOOKUP($A622,[3]stockregister!$A$2:$L$2000,11,0),0)</f>
        <v>18</v>
      </c>
      <c r="H622" s="3">
        <f>_xlfn.IFNA(VLOOKUP($A622,[3]stockregister!$A$2:$L$2000,11,0),0)-$G622</f>
        <v>0</v>
      </c>
      <c r="I622" s="3">
        <f>_xlfn.IFNA(VLOOKUP($A622,[3]stockregister!$A$2:$L$2000,12,0),0)</f>
        <v>1242</v>
      </c>
      <c r="J622" s="3">
        <f>_xlfn.IFNA(VLOOKUP($A622,[3]stockregister!$A$1:$M$2000,12,0),0)-$I622</f>
        <v>0</v>
      </c>
      <c r="K622" s="3" t="s">
        <v>22</v>
      </c>
      <c r="L622" s="3" t="s">
        <v>23</v>
      </c>
      <c r="M622" s="3">
        <f>_xlfn.IFNA(VLOOKUP($A622,[2]stockregister!$A$2:$H$2000,8,0),0)</f>
        <v>1350</v>
      </c>
      <c r="N622" s="3">
        <f>_xlfn.IFNA(VLOOKUP($A622,[2]stockregister!$A$2:$H$2000,8,0),0)-$M622</f>
        <v>0</v>
      </c>
      <c r="O622" s="3" t="s">
        <v>1431</v>
      </c>
      <c r="P622" s="3" t="s">
        <v>1431</v>
      </c>
      <c r="Q622" s="3" t="s">
        <v>1432</v>
      </c>
      <c r="R622" s="3" t="s">
        <v>68</v>
      </c>
      <c r="S622" s="3" t="s">
        <v>1310</v>
      </c>
    </row>
    <row r="623" spans="1:19">
      <c r="A623" s="3">
        <v>1381</v>
      </c>
      <c r="B623" s="3" t="b">
        <f>ISNUMBER(MATCH(A623,[1]stockregister!$A$2:$A$2000,0))</f>
        <v>1</v>
      </c>
      <c r="C623" s="3" t="s">
        <v>1433</v>
      </c>
      <c r="D623" s="3" t="str">
        <f>VLOOKUP($C623,[1]stockregister!$B$2:$B$2000,1,0)</f>
        <v>MANDALA MALBEC 750ml</v>
      </c>
      <c r="E623" s="3" t="str">
        <f>IF(ISNA($D623),VLOOKUP($A623,[2]stockregister!$A$2:$B$2000,2,FALSE),"")</f>
        <v/>
      </c>
      <c r="F623" s="3" t="s">
        <v>21</v>
      </c>
      <c r="G623" s="3">
        <f>_xlfn.IFNA(VLOOKUP($A623,[3]stockregister!$A$2:$L$2000,11,0),0)</f>
        <v>18</v>
      </c>
      <c r="H623" s="3">
        <f>_xlfn.IFNA(VLOOKUP($A623,[3]stockregister!$A$2:$L$2000,11,0),0)-$G623</f>
        <v>0</v>
      </c>
      <c r="I623" s="3">
        <f>_xlfn.IFNA(VLOOKUP($A623,[3]stockregister!$A$2:$L$2000,12,0),0)</f>
        <v>1242</v>
      </c>
      <c r="J623" s="3">
        <f>_xlfn.IFNA(VLOOKUP($A623,[3]stockregister!$A$1:$M$2000,12,0),0)-$I623</f>
        <v>0</v>
      </c>
      <c r="K623" s="3" t="s">
        <v>22</v>
      </c>
      <c r="L623" s="3" t="s">
        <v>23</v>
      </c>
      <c r="M623" s="3">
        <f>_xlfn.IFNA(VLOOKUP($A623,[2]stockregister!$A$2:$H$2000,8,0),0)</f>
        <v>1350</v>
      </c>
      <c r="N623" s="3">
        <f>_xlfn.IFNA(VLOOKUP($A623,[2]stockregister!$A$2:$H$2000,8,0),0)-$M623</f>
        <v>0</v>
      </c>
      <c r="O623" s="3" t="s">
        <v>1434</v>
      </c>
      <c r="P623" s="3" t="s">
        <v>1434</v>
      </c>
      <c r="Q623" s="3" t="s">
        <v>1435</v>
      </c>
      <c r="R623" s="3" t="s">
        <v>537</v>
      </c>
      <c r="S623" s="3" t="s">
        <v>1310</v>
      </c>
    </row>
    <row r="624" spans="1:19">
      <c r="A624" s="3">
        <v>2479</v>
      </c>
      <c r="B624" s="3" t="b">
        <f>ISNUMBER(MATCH(A624,[1]stockregister!$A$2:$A$2000,0))</f>
        <v>1</v>
      </c>
      <c r="C624" s="3" t="s">
        <v>1436</v>
      </c>
      <c r="D624" s="3" t="str">
        <f>VLOOKUP($C624,[1]stockregister!$B$2:$B$2000,1,0)</f>
        <v>ZONIN MERLOT FRIULI DOC AQUIEIA 750ML</v>
      </c>
      <c r="E624" s="3" t="str">
        <f>IF(ISNA($D624),VLOOKUP($A624,[2]stockregister!$A$2:$B$2000,2,FALSE),"")</f>
        <v/>
      </c>
      <c r="F624" s="3" t="s">
        <v>21</v>
      </c>
      <c r="G624" s="3">
        <f>_xlfn.IFNA(VLOOKUP($A624,[3]stockregister!$A$2:$L$2000,11,0),0)</f>
        <v>18</v>
      </c>
      <c r="H624" s="3">
        <f>_xlfn.IFNA(VLOOKUP($A624,[3]stockregister!$A$2:$L$2000,11,0),0)-$G624</f>
        <v>0</v>
      </c>
      <c r="I624" s="3">
        <f>_xlfn.IFNA(VLOOKUP($A624,[3]stockregister!$A$2:$L$2000,12,0),0)</f>
        <v>1150</v>
      </c>
      <c r="J624" s="3">
        <f>_xlfn.IFNA(VLOOKUP($A624,[3]stockregister!$A$1:$M$2000,12,0),0)-$I624</f>
        <v>0</v>
      </c>
      <c r="K624" s="3" t="s">
        <v>22</v>
      </c>
      <c r="L624" s="3" t="s">
        <v>23</v>
      </c>
      <c r="M624" s="3">
        <f>_xlfn.IFNA(VLOOKUP($A624,[2]stockregister!$A$2:$H$2000,8,0),0)</f>
        <v>1500</v>
      </c>
      <c r="N624" s="3">
        <f>_xlfn.IFNA(VLOOKUP($A624,[2]stockregister!$A$2:$H$2000,8,0),0)-$M624</f>
        <v>0</v>
      </c>
      <c r="O624" s="3" t="s">
        <v>1437</v>
      </c>
      <c r="P624" s="3" t="s">
        <v>1437</v>
      </c>
      <c r="Q624" s="3" t="s">
        <v>1438</v>
      </c>
      <c r="R624" s="3" t="s">
        <v>537</v>
      </c>
      <c r="S624" s="3" t="s">
        <v>369</v>
      </c>
    </row>
    <row r="625" spans="1:19">
      <c r="A625" s="3">
        <v>2506</v>
      </c>
      <c r="B625" s="3" t="b">
        <f>ISNUMBER(MATCH(A625,[1]stockregister!$A$2:$A$2000,0))</f>
        <v>1</v>
      </c>
      <c r="C625" s="3" t="s">
        <v>1439</v>
      </c>
      <c r="D625" s="3" t="str">
        <f>VLOOKUP($C625,[1]stockregister!$B$2:$B$2000,1,0)</f>
        <v>LEOPARDS LEAP MERLOT 750ML</v>
      </c>
      <c r="E625" s="3" t="str">
        <f>IF(ISNA($D625),VLOOKUP($A625,[2]stockregister!$A$2:$B$2000,2,FALSE),"")</f>
        <v/>
      </c>
      <c r="F625" s="3" t="s">
        <v>21</v>
      </c>
      <c r="G625" s="3">
        <f>_xlfn.IFNA(VLOOKUP($A625,[3]stockregister!$A$2:$L$2000,11,0),0)</f>
        <v>18</v>
      </c>
      <c r="H625" s="3">
        <f>_xlfn.IFNA(VLOOKUP($A625,[3]stockregister!$A$2:$L$2000,11,0),0)-$G625</f>
        <v>0</v>
      </c>
      <c r="I625" s="3">
        <f>_xlfn.IFNA(VLOOKUP($A625,[3]stockregister!$A$2:$L$2000,12,0),0)</f>
        <v>1420</v>
      </c>
      <c r="J625" s="3">
        <f>_xlfn.IFNA(VLOOKUP($A625,[3]stockregister!$A$1:$M$2000,12,0),0)-$I625</f>
        <v>0</v>
      </c>
      <c r="K625" s="3" t="s">
        <v>22</v>
      </c>
      <c r="L625" s="3" t="s">
        <v>23</v>
      </c>
      <c r="M625" s="3">
        <f>_xlfn.IFNA(VLOOKUP($A625,[2]stockregister!$A$2:$H$2000,8,0),0)</f>
        <v>1550</v>
      </c>
      <c r="N625" s="3">
        <f>_xlfn.IFNA(VLOOKUP($A625,[2]stockregister!$A$2:$H$2000,8,0),0)-$M625</f>
        <v>0</v>
      </c>
      <c r="O625" s="3" t="s">
        <v>1440</v>
      </c>
      <c r="P625" s="3" t="s">
        <v>1440</v>
      </c>
      <c r="Q625" s="3" t="s">
        <v>1302</v>
      </c>
      <c r="R625" s="3" t="s">
        <v>537</v>
      </c>
      <c r="S625" s="3" t="s">
        <v>369</v>
      </c>
    </row>
    <row r="626" spans="1:19">
      <c r="A626" s="3">
        <v>2503</v>
      </c>
      <c r="B626" s="3" t="b">
        <f>ISNUMBER(MATCH(A626,[1]stockregister!$A$2:$A$2000,0))</f>
        <v>1</v>
      </c>
      <c r="C626" s="3" t="s">
        <v>1441</v>
      </c>
      <c r="D626" s="3" t="str">
        <f>VLOOKUP($C626,[1]stockregister!$B$2:$B$2000,1,0)</f>
        <v>WELMOED PINOTAGE 750ML</v>
      </c>
      <c r="E626" s="3" t="str">
        <f>IF(ISNA($D626),VLOOKUP($A626,[2]stockregister!$A$2:$B$2000,2,FALSE),"")</f>
        <v/>
      </c>
      <c r="F626" s="3" t="s">
        <v>21</v>
      </c>
      <c r="G626" s="3">
        <f>_xlfn.IFNA(VLOOKUP($A626,[3]stockregister!$A$2:$L$2000,11,0),0)</f>
        <v>12</v>
      </c>
      <c r="H626" s="3">
        <f>_xlfn.IFNA(VLOOKUP($A626,[3]stockregister!$A$2:$L$2000,11,0),0)-$G626</f>
        <v>0</v>
      </c>
      <c r="I626" s="3">
        <f>_xlfn.IFNA(VLOOKUP($A626,[3]stockregister!$A$2:$L$2000,12,0),0)</f>
        <v>1320</v>
      </c>
      <c r="J626" s="3">
        <f>_xlfn.IFNA(VLOOKUP($A626,[3]stockregister!$A$1:$M$2000,12,0),0)-$I626</f>
        <v>0</v>
      </c>
      <c r="K626" s="3" t="s">
        <v>22</v>
      </c>
      <c r="L626" s="3" t="s">
        <v>23</v>
      </c>
      <c r="M626" s="3">
        <f>_xlfn.IFNA(VLOOKUP($A626,[2]stockregister!$A$2:$H$2000,8,0),0)</f>
        <v>1450</v>
      </c>
      <c r="N626" s="3">
        <f>_xlfn.IFNA(VLOOKUP($A626,[2]stockregister!$A$2:$H$2000,8,0),0)-$M626</f>
        <v>0</v>
      </c>
      <c r="O626" s="3" t="s">
        <v>1442</v>
      </c>
      <c r="P626" s="3" t="s">
        <v>1442</v>
      </c>
      <c r="Q626" s="3" t="s">
        <v>1443</v>
      </c>
      <c r="R626" s="3" t="s">
        <v>537</v>
      </c>
      <c r="S626" s="3" t="s">
        <v>889</v>
      </c>
    </row>
    <row r="627" spans="1:19">
      <c r="A627" s="3">
        <v>2392</v>
      </c>
      <c r="B627" s="3" t="b">
        <f>ISNUMBER(MATCH(A627,[1]stockregister!$A$2:$A$2000,0))</f>
        <v>1</v>
      </c>
      <c r="C627" s="3" t="s">
        <v>1444</v>
      </c>
      <c r="D627" s="3" t="str">
        <f>VLOOKUP($C627,[1]stockregister!$B$2:$B$2000,1,0)</f>
        <v>KWV CLASSIC ROSE 750ML</v>
      </c>
      <c r="E627" s="3" t="str">
        <f>IF(ISNA($D627),VLOOKUP($A627,[2]stockregister!$A$2:$B$2000,2,FALSE),"")</f>
        <v/>
      </c>
      <c r="F627" s="3" t="s">
        <v>21</v>
      </c>
      <c r="G627" s="3">
        <f>_xlfn.IFNA(VLOOKUP($A627,[3]stockregister!$A$2:$L$2000,11,0),0)</f>
        <v>18</v>
      </c>
      <c r="H627" s="3">
        <f>_xlfn.IFNA(VLOOKUP($A627,[3]stockregister!$A$2:$L$2000,11,0),0)-$G627</f>
        <v>0</v>
      </c>
      <c r="I627" s="3">
        <f>_xlfn.IFNA(VLOOKUP($A627,[3]stockregister!$A$2:$L$2000,12,0),0)</f>
        <v>1150</v>
      </c>
      <c r="J627" s="3">
        <f>_xlfn.IFNA(VLOOKUP($A627,[3]stockregister!$A$1:$M$2000,12,0),0)-$I627</f>
        <v>0</v>
      </c>
      <c r="K627" s="3" t="s">
        <v>22</v>
      </c>
      <c r="L627" s="3" t="s">
        <v>23</v>
      </c>
      <c r="M627" s="3">
        <f>_xlfn.IFNA(VLOOKUP($A627,[2]stockregister!$A$2:$H$2000,8,0),0)</f>
        <v>1200</v>
      </c>
      <c r="N627" s="3">
        <f>_xlfn.IFNA(VLOOKUP($A627,[2]stockregister!$A$2:$H$2000,8,0),0)-$M627</f>
        <v>0</v>
      </c>
      <c r="O627" s="3" t="s">
        <v>1445</v>
      </c>
      <c r="P627" s="3" t="s">
        <v>1445</v>
      </c>
      <c r="Q627" s="3" t="s">
        <v>1207</v>
      </c>
      <c r="R627" s="3" t="s">
        <v>537</v>
      </c>
      <c r="S627" s="3" t="s">
        <v>1030</v>
      </c>
    </row>
    <row r="628" spans="1:19">
      <c r="A628" s="3">
        <v>801</v>
      </c>
      <c r="B628" s="3" t="b">
        <f>ISNUMBER(MATCH(A628,[1]stockregister!$A$2:$A$2000,0))</f>
        <v>1</v>
      </c>
      <c r="C628" s="3" t="s">
        <v>1446</v>
      </c>
      <c r="D628" s="3" t="str">
        <f>VLOOKUP($C628,[1]stockregister!$B$2:$B$2000,1,0)</f>
        <v>G.H. MUMM ROSEE 750ML</v>
      </c>
      <c r="E628" s="3" t="str">
        <f>IF(ISNA($D628),VLOOKUP($A628,[2]stockregister!$A$2:$B$2000,2,FALSE),"")</f>
        <v/>
      </c>
      <c r="F628" s="3" t="s">
        <v>21</v>
      </c>
      <c r="G628" s="3">
        <f>_xlfn.IFNA(VLOOKUP($A628,[3]stockregister!$A$2:$L$2000,11,0),0)</f>
        <v>18</v>
      </c>
      <c r="H628" s="3">
        <f>_xlfn.IFNA(VLOOKUP($A628,[3]stockregister!$A$2:$L$2000,11,0),0)-$G628</f>
        <v>0</v>
      </c>
      <c r="I628" s="3">
        <f>_xlfn.IFNA(VLOOKUP($A628,[3]stockregister!$A$2:$L$2000,12,0),0)</f>
        <v>6900</v>
      </c>
      <c r="J628" s="3">
        <f>_xlfn.IFNA(VLOOKUP($A628,[3]stockregister!$A$1:$M$2000,12,0),0)-$I628</f>
        <v>0</v>
      </c>
      <c r="K628" s="3" t="s">
        <v>22</v>
      </c>
      <c r="L628" s="3" t="s">
        <v>23</v>
      </c>
      <c r="M628" s="3">
        <f>_xlfn.IFNA(VLOOKUP($A628,[2]stockregister!$A$2:$H$2000,8,0),0)</f>
        <v>7500</v>
      </c>
      <c r="N628" s="3">
        <f>_xlfn.IFNA(VLOOKUP($A628,[2]stockregister!$A$2:$H$2000,8,0),0)-$M628</f>
        <v>0</v>
      </c>
      <c r="O628" s="3" t="s">
        <v>1447</v>
      </c>
      <c r="P628" s="3" t="s">
        <v>1447</v>
      </c>
      <c r="Q628" s="3" t="s">
        <v>1448</v>
      </c>
      <c r="R628" s="3" t="s">
        <v>68</v>
      </c>
      <c r="S628" s="3" t="s">
        <v>1030</v>
      </c>
    </row>
    <row r="629" spans="1:19">
      <c r="A629" s="3">
        <v>814</v>
      </c>
      <c r="B629" s="3" t="b">
        <f>ISNUMBER(MATCH(A629,[1]stockregister!$A$2:$A$2000,0))</f>
        <v>1</v>
      </c>
      <c r="C629" s="3" t="s">
        <v>1449</v>
      </c>
      <c r="D629" s="3" t="str">
        <f>VLOOKUP($C629,[1]stockregister!$B$2:$B$2000,1,0)</f>
        <v>GATONEGRO SAUV BLANC 1.5LTR</v>
      </c>
      <c r="E629" s="3" t="str">
        <f>IF(ISNA($D629),VLOOKUP($A629,[2]stockregister!$A$2:$B$2000,2,FALSE),"")</f>
        <v/>
      </c>
      <c r="F629" s="3" t="s">
        <v>21</v>
      </c>
      <c r="G629" s="3">
        <f>_xlfn.IFNA(VLOOKUP($A629,[3]stockregister!$A$2:$L$2000,11,0),0)</f>
        <v>18</v>
      </c>
      <c r="H629" s="3">
        <f>_xlfn.IFNA(VLOOKUP($A629,[3]stockregister!$A$2:$L$2000,11,0),0)-$G629</f>
        <v>0</v>
      </c>
      <c r="I629" s="3">
        <f>_xlfn.IFNA(VLOOKUP($A629,[3]stockregister!$A$2:$L$2000,12,0),0)</f>
        <v>1000</v>
      </c>
      <c r="J629" s="3">
        <f>_xlfn.IFNA(VLOOKUP($A629,[3]stockregister!$A$1:$M$2000,12,0),0)-$I629</f>
        <v>0</v>
      </c>
      <c r="K629" s="3" t="s">
        <v>22</v>
      </c>
      <c r="L629" s="3" t="s">
        <v>23</v>
      </c>
      <c r="M629" s="3">
        <f>_xlfn.IFNA(VLOOKUP($A629,[2]stockregister!$A$2:$H$2000,8,0),0)</f>
        <v>1500</v>
      </c>
      <c r="N629" s="3">
        <f>_xlfn.IFNA(VLOOKUP($A629,[2]stockregister!$A$2:$H$2000,8,0),0)-$M629</f>
        <v>0</v>
      </c>
      <c r="O629" s="3" t="s">
        <v>1450</v>
      </c>
      <c r="P629" s="3" t="s">
        <v>1450</v>
      </c>
      <c r="Q629" s="3" t="s">
        <v>545</v>
      </c>
      <c r="R629" s="3" t="s">
        <v>68</v>
      </c>
      <c r="S629" s="3" t="s">
        <v>398</v>
      </c>
    </row>
    <row r="630" spans="1:19">
      <c r="A630" s="3">
        <v>1734</v>
      </c>
      <c r="B630" s="3" t="b">
        <f>ISNUMBER(MATCH(A630,[1]stockregister!$A$2:$A$2000,0))</f>
        <v>1</v>
      </c>
      <c r="C630" s="3" t="s">
        <v>1451</v>
      </c>
      <c r="D630" s="3" t="str">
        <f>VLOOKUP($C630,[1]stockregister!$B$2:$B$2000,1,0)</f>
        <v>SAN FELIPE CLASSIC SAUV BLANC 750ML</v>
      </c>
      <c r="E630" s="3" t="str">
        <f>IF(ISNA($D630),VLOOKUP($A630,[2]stockregister!$A$2:$B$2000,2,FALSE),"")</f>
        <v/>
      </c>
      <c r="F630" s="3" t="s">
        <v>21</v>
      </c>
      <c r="G630" s="3">
        <f>_xlfn.IFNA(VLOOKUP($A630,[3]stockregister!$A$2:$L$2000,11,0),0)</f>
        <v>18</v>
      </c>
      <c r="H630" s="3">
        <f>_xlfn.IFNA(VLOOKUP($A630,[3]stockregister!$A$2:$L$2000,11,0),0)-$G630</f>
        <v>0</v>
      </c>
      <c r="I630" s="3">
        <f>_xlfn.IFNA(VLOOKUP($A630,[3]stockregister!$A$2:$L$2000,12,0),0)</f>
        <v>1045</v>
      </c>
      <c r="J630" s="3">
        <f>_xlfn.IFNA(VLOOKUP($A630,[3]stockregister!$A$1:$M$2000,12,0),0)-$I630</f>
        <v>0</v>
      </c>
      <c r="K630" s="3" t="s">
        <v>22</v>
      </c>
      <c r="L630" s="3" t="s">
        <v>23</v>
      </c>
      <c r="M630" s="3">
        <f>_xlfn.IFNA(VLOOKUP($A630,[2]stockregister!$A$2:$H$2000,8,0),0)</f>
        <v>1150</v>
      </c>
      <c r="N630" s="3">
        <f>_xlfn.IFNA(VLOOKUP($A630,[2]stockregister!$A$2:$H$2000,8,0),0)-$M630</f>
        <v>0</v>
      </c>
      <c r="O630" s="3" t="s">
        <v>1452</v>
      </c>
      <c r="P630" s="3" t="s">
        <v>1452</v>
      </c>
      <c r="Q630" s="3" t="s">
        <v>1453</v>
      </c>
      <c r="R630" s="3" t="s">
        <v>68</v>
      </c>
      <c r="S630" s="3" t="s">
        <v>398</v>
      </c>
    </row>
    <row r="631" spans="1:19">
      <c r="A631" s="3">
        <v>1292</v>
      </c>
      <c r="B631" s="3" t="b">
        <f>ISNUMBER(MATCH(A631,[1]stockregister!$A$2:$A$2000,0))</f>
        <v>1</v>
      </c>
      <c r="C631" s="3" t="s">
        <v>1454</v>
      </c>
      <c r="D631" s="3" t="str">
        <f>VLOOKUP($C631,[1]stockregister!$B$2:$B$2000,1,0)</f>
        <v>LODEZ CABERENT SAUV BLANC 750ML</v>
      </c>
      <c r="E631" s="3" t="str">
        <f>IF(ISNA($D631),VLOOKUP($A631,[2]stockregister!$A$2:$B$2000,2,FALSE),"")</f>
        <v/>
      </c>
      <c r="F631" s="3" t="s">
        <v>21</v>
      </c>
      <c r="G631" s="3">
        <f>_xlfn.IFNA(VLOOKUP($A631,[3]stockregister!$A$2:$L$2000,11,0),0)</f>
        <v>18</v>
      </c>
      <c r="H631" s="3">
        <f>_xlfn.IFNA(VLOOKUP($A631,[3]stockregister!$A$2:$L$2000,11,0),0)-$G631</f>
        <v>0</v>
      </c>
      <c r="I631" s="3">
        <f>_xlfn.IFNA(VLOOKUP($A631,[3]stockregister!$A$2:$L$2000,12,0),0)</f>
        <v>1039.6</v>
      </c>
      <c r="J631" s="3">
        <f>_xlfn.IFNA(VLOOKUP($A631,[3]stockregister!$A$1:$M$2000,12,0),0)-$I631</f>
        <v>0</v>
      </c>
      <c r="K631" s="3" t="s">
        <v>22</v>
      </c>
      <c r="L631" s="3" t="s">
        <v>23</v>
      </c>
      <c r="M631" s="3">
        <f>_xlfn.IFNA(VLOOKUP($A631,[2]stockregister!$A$2:$H$2000,8,0),0)</f>
        <v>1130</v>
      </c>
      <c r="N631" s="3">
        <f>_xlfn.IFNA(VLOOKUP($A631,[2]stockregister!$A$2:$H$2000,8,0),0)-$M631</f>
        <v>0</v>
      </c>
      <c r="O631" s="3" t="s">
        <v>1455</v>
      </c>
      <c r="P631" s="3" t="s">
        <v>1455</v>
      </c>
      <c r="Q631" s="3" t="s">
        <v>1456</v>
      </c>
      <c r="R631" s="3" t="s">
        <v>68</v>
      </c>
      <c r="S631" s="3" t="s">
        <v>398</v>
      </c>
    </row>
    <row r="632" spans="1:19">
      <c r="A632" s="3">
        <v>2461</v>
      </c>
      <c r="B632" s="3" t="b">
        <f>ISNUMBER(MATCH(A632,[1]stockregister!$A$2:$A$2000,0))</f>
        <v>1</v>
      </c>
      <c r="C632" s="3" t="s">
        <v>1457</v>
      </c>
      <c r="D632" s="3" t="str">
        <f>VLOOKUP($C632,[1]stockregister!$B$2:$B$2000,1,0)</f>
        <v>B&amp;G BISTRO SAUVIGNON BLANC 750ML</v>
      </c>
      <c r="E632" s="3" t="str">
        <f>IF(ISNA($D632),VLOOKUP($A632,[2]stockregister!$A$2:$B$2000,2,FALSE),"")</f>
        <v/>
      </c>
      <c r="F632" s="3" t="s">
        <v>21</v>
      </c>
      <c r="G632" s="3">
        <f>_xlfn.IFNA(VLOOKUP($A632,[3]stockregister!$A$2:$L$2000,11,0),0)</f>
        <v>18</v>
      </c>
      <c r="H632" s="3">
        <f>_xlfn.IFNA(VLOOKUP($A632,[3]stockregister!$A$2:$L$2000,11,0),0)-$G632</f>
        <v>0</v>
      </c>
      <c r="I632" s="3">
        <f>_xlfn.IFNA(VLOOKUP($A632,[3]stockregister!$A$2:$L$2000,12,0),0)</f>
        <v>1060</v>
      </c>
      <c r="J632" s="3">
        <f>_xlfn.IFNA(VLOOKUP($A632,[3]stockregister!$A$1:$M$2000,12,0),0)-$I632</f>
        <v>0</v>
      </c>
      <c r="K632" s="3" t="s">
        <v>22</v>
      </c>
      <c r="L632" s="3" t="s">
        <v>23</v>
      </c>
      <c r="M632" s="3">
        <f>_xlfn.IFNA(VLOOKUP($A632,[2]stockregister!$A$2:$H$2000,8,0),0)</f>
        <v>1325</v>
      </c>
      <c r="N632" s="3">
        <f>_xlfn.IFNA(VLOOKUP($A632,[2]stockregister!$A$2:$H$2000,8,0),0)-$M632</f>
        <v>0</v>
      </c>
      <c r="O632" s="3" t="s">
        <v>1458</v>
      </c>
      <c r="P632" s="3" t="s">
        <v>1458</v>
      </c>
      <c r="Q632" s="3" t="s">
        <v>1140</v>
      </c>
      <c r="R632" s="3" t="s">
        <v>537</v>
      </c>
      <c r="S632" s="3" t="s">
        <v>398</v>
      </c>
    </row>
    <row r="633" spans="1:19">
      <c r="A633" s="3">
        <v>2869</v>
      </c>
      <c r="B633" s="3" t="b">
        <f>ISNUMBER(MATCH(A633,[1]stockregister!$A$2:$A$2000,0))</f>
        <v>1</v>
      </c>
      <c r="C633" s="3" t="s">
        <v>1459</v>
      </c>
      <c r="D633" s="3" t="str">
        <f>VLOOKUP($C633,[1]stockregister!$B$2:$B$2000,1,0)</f>
        <v>PIERRE MARCEL SPARKLING WHITE 750ML</v>
      </c>
      <c r="E633" s="3" t="str">
        <f>IF(ISNA($D633),VLOOKUP($A633,[2]stockregister!$A$2:$B$2000,2,FALSE),"")</f>
        <v/>
      </c>
      <c r="F633" s="3" t="s">
        <v>21</v>
      </c>
      <c r="G633" s="3">
        <f>_xlfn.IFNA(VLOOKUP($A633,[3]stockregister!$A$2:$L$2000,11,0),0)</f>
        <v>18</v>
      </c>
      <c r="H633" s="3">
        <f>_xlfn.IFNA(VLOOKUP($A633,[3]stockregister!$A$2:$L$2000,11,0),0)-$G633</f>
        <v>0</v>
      </c>
      <c r="I633" s="3">
        <f>_xlfn.IFNA(VLOOKUP($A633,[3]stockregister!$A$2:$L$2000,12,0),0)</f>
        <v>1200</v>
      </c>
      <c r="J633" s="3">
        <f>_xlfn.IFNA(VLOOKUP($A633,[3]stockregister!$A$1:$M$2000,12,0),0)-$I633</f>
        <v>0</v>
      </c>
      <c r="K633" s="3" t="s">
        <v>22</v>
      </c>
      <c r="L633" s="3" t="s">
        <v>23</v>
      </c>
      <c r="M633" s="3">
        <f>_xlfn.IFNA(VLOOKUP($A633,[2]stockregister!$A$2:$H$2000,8,0),0)</f>
        <v>1300</v>
      </c>
      <c r="N633" s="3">
        <f>_xlfn.IFNA(VLOOKUP($A633,[2]stockregister!$A$2:$H$2000,8,0),0)-$M633</f>
        <v>0</v>
      </c>
      <c r="O633" s="3" t="s">
        <v>1460</v>
      </c>
      <c r="P633" s="3" t="s">
        <v>1460</v>
      </c>
      <c r="Q633" s="3" t="s">
        <v>915</v>
      </c>
      <c r="R633" s="3" t="s">
        <v>537</v>
      </c>
      <c r="S633" s="3" t="s">
        <v>538</v>
      </c>
    </row>
    <row r="634" spans="1:19">
      <c r="A634" s="3">
        <v>2513</v>
      </c>
      <c r="B634" s="3" t="b">
        <f>ISNUMBER(MATCH(A634,[1]stockregister!$A$2:$A$2000,0))</f>
        <v>1</v>
      </c>
      <c r="C634" s="3" t="s">
        <v>1461</v>
      </c>
      <c r="D634" s="3" t="str">
        <f>VLOOKUP($C634,[1]stockregister!$B$2:$B$2000,1,0)</f>
        <v>MAJESTY SEMI-SWEET RED WINE</v>
      </c>
      <c r="E634" s="3" t="str">
        <f>IF(ISNA($D634),VLOOKUP($A634,[2]stockregister!$A$2:$B$2000,2,FALSE),"")</f>
        <v/>
      </c>
      <c r="F634" s="3" t="s">
        <v>21</v>
      </c>
      <c r="G634" s="3">
        <f>_xlfn.IFNA(VLOOKUP($A634,[3]stockregister!$A$2:$L$2000,11,0),0)</f>
        <v>18</v>
      </c>
      <c r="H634" s="3">
        <f>_xlfn.IFNA(VLOOKUP($A634,[3]stockregister!$A$2:$L$2000,11,0),0)-$G634</f>
        <v>0</v>
      </c>
      <c r="I634" s="3">
        <f>_xlfn.IFNA(VLOOKUP($A634,[3]stockregister!$A$2:$L$2000,12,0),0)</f>
        <v>820</v>
      </c>
      <c r="J634" s="3">
        <f>_xlfn.IFNA(VLOOKUP($A634,[3]stockregister!$A$1:$M$2000,12,0),0)-$I634</f>
        <v>0</v>
      </c>
      <c r="K634" s="3" t="s">
        <v>22</v>
      </c>
      <c r="L634" s="3" t="s">
        <v>23</v>
      </c>
      <c r="M634" s="3">
        <f>_xlfn.IFNA(VLOOKUP($A634,[2]stockregister!$A$2:$H$2000,8,0),0)</f>
        <v>900</v>
      </c>
      <c r="N634" s="3">
        <f>_xlfn.IFNA(VLOOKUP($A634,[2]stockregister!$A$2:$H$2000,8,0),0)-$M634</f>
        <v>0</v>
      </c>
      <c r="O634" s="3" t="s">
        <v>1462</v>
      </c>
      <c r="P634" s="3" t="s">
        <v>1462</v>
      </c>
      <c r="Q634" s="3" t="s">
        <v>1463</v>
      </c>
      <c r="R634" s="3" t="s">
        <v>537</v>
      </c>
      <c r="S634" s="3" t="s">
        <v>88</v>
      </c>
    </row>
    <row r="635" spans="1:19">
      <c r="A635" s="3">
        <v>2219</v>
      </c>
      <c r="B635" s="3" t="b">
        <f>ISNUMBER(MATCH(A635,[1]stockregister!$A$2:$A$2000,0))</f>
        <v>1</v>
      </c>
      <c r="C635" s="3" t="s">
        <v>1464</v>
      </c>
      <c r="D635" s="3" t="str">
        <f>VLOOKUP($C635,[1]stockregister!$B$2:$B$2000,1,0)</f>
        <v>FOUR COUSINS SWEET SPARKLING BLUSH 750ML</v>
      </c>
      <c r="E635" s="3" t="str">
        <f>IF(ISNA($D635),VLOOKUP($A635,[2]stockregister!$A$2:$B$2000,2,FALSE),"")</f>
        <v/>
      </c>
      <c r="F635" s="3" t="s">
        <v>21</v>
      </c>
      <c r="G635" s="3">
        <f>_xlfn.IFNA(VLOOKUP($A635,[3]stockregister!$A$2:$L$2000,11,0),0)</f>
        <v>18</v>
      </c>
      <c r="H635" s="3">
        <f>_xlfn.IFNA(VLOOKUP($A635,[3]stockregister!$A$2:$L$2000,11,0),0)-$G635</f>
        <v>0</v>
      </c>
      <c r="I635" s="3">
        <f>_xlfn.IFNA(VLOOKUP($A635,[3]stockregister!$A$2:$L$2000,12,0),0)</f>
        <v>1300</v>
      </c>
      <c r="J635" s="3">
        <f>_xlfn.IFNA(VLOOKUP($A635,[3]stockregister!$A$1:$M$2000,12,0),0)-$I635</f>
        <v>0</v>
      </c>
      <c r="K635" s="3" t="s">
        <v>22</v>
      </c>
      <c r="L635" s="3" t="s">
        <v>23</v>
      </c>
      <c r="M635" s="3">
        <f>_xlfn.IFNA(VLOOKUP($A635,[2]stockregister!$A$2:$H$2000,8,0),0)</f>
        <v>1400</v>
      </c>
      <c r="N635" s="3">
        <f>_xlfn.IFNA(VLOOKUP($A635,[2]stockregister!$A$2:$H$2000,8,0),0)-$M635</f>
        <v>0</v>
      </c>
      <c r="O635" s="3" t="s">
        <v>1465</v>
      </c>
      <c r="P635" s="3" t="s">
        <v>1465</v>
      </c>
      <c r="Q635" s="3" t="s">
        <v>952</v>
      </c>
      <c r="R635" s="3" t="s">
        <v>68</v>
      </c>
      <c r="S635" s="3" t="s">
        <v>196</v>
      </c>
    </row>
    <row r="636" spans="1:19">
      <c r="A636" s="3">
        <v>2495</v>
      </c>
      <c r="B636" s="3" t="b">
        <f>ISNUMBER(MATCH(A636,[1]stockregister!$A$2:$A$2000,0))</f>
        <v>1</v>
      </c>
      <c r="C636" s="3" t="s">
        <v>1466</v>
      </c>
      <c r="D636" s="3" t="str">
        <f>VLOOKUP($C636,[1]stockregister!$B$2:$B$2000,1,0)</f>
        <v>EXPRESION SWEET ROSE 750ML</v>
      </c>
      <c r="E636" s="3" t="str">
        <f>IF(ISNA($D636),VLOOKUP($A636,[2]stockregister!$A$2:$B$2000,2,FALSE),"")</f>
        <v/>
      </c>
      <c r="F636" s="3" t="s">
        <v>21</v>
      </c>
      <c r="G636" s="3">
        <f>_xlfn.IFNA(VLOOKUP($A636,[3]stockregister!$A$2:$L$2000,11,0),0)</f>
        <v>12</v>
      </c>
      <c r="H636" s="3">
        <f>_xlfn.IFNA(VLOOKUP($A636,[3]stockregister!$A$2:$L$2000,11,0),0)-$G636</f>
        <v>0</v>
      </c>
      <c r="I636" s="3">
        <f>_xlfn.IFNA(VLOOKUP($A636,[3]stockregister!$A$2:$L$2000,12,0),0)</f>
        <v>1200</v>
      </c>
      <c r="J636" s="3">
        <f>_xlfn.IFNA(VLOOKUP($A636,[3]stockregister!$A$1:$M$2000,12,0),0)-$I636</f>
        <v>0</v>
      </c>
      <c r="K636" s="3" t="s">
        <v>22</v>
      </c>
      <c r="L636" s="3" t="s">
        <v>23</v>
      </c>
      <c r="M636" s="3">
        <f>_xlfn.IFNA(VLOOKUP($A636,[2]stockregister!$A$2:$H$2000,8,0),0)</f>
        <v>1400</v>
      </c>
      <c r="N636" s="3">
        <f>_xlfn.IFNA(VLOOKUP($A636,[2]stockregister!$A$2:$H$2000,8,0),0)-$M636</f>
        <v>0</v>
      </c>
      <c r="O636" s="3" t="s">
        <v>1467</v>
      </c>
      <c r="P636" s="3" t="s">
        <v>1467</v>
      </c>
      <c r="Q636" s="3" t="s">
        <v>925</v>
      </c>
      <c r="R636" s="3" t="s">
        <v>537</v>
      </c>
      <c r="S636" s="3" t="s">
        <v>196</v>
      </c>
    </row>
    <row r="637" spans="1:19">
      <c r="A637" s="3">
        <v>2365</v>
      </c>
      <c r="B637" s="3" t="b">
        <f>ISNUMBER(MATCH(A637,[1]stockregister!$A$2:$A$2000,0))</f>
        <v>1</v>
      </c>
      <c r="C637" s="3" t="s">
        <v>1468</v>
      </c>
      <c r="D637" s="3" t="str">
        <f>VLOOKUP($C637,[1]stockregister!$B$2:$B$2000,1,0)</f>
        <v>WATERFORD PEBBLE HILL 750ML</v>
      </c>
      <c r="E637" s="3" t="str">
        <f>IF(ISNA($D637),VLOOKUP($A637,[2]stockregister!$A$2:$B$2000,2,FALSE),"")</f>
        <v/>
      </c>
      <c r="F637" s="3" t="s">
        <v>21</v>
      </c>
      <c r="G637" s="3">
        <f>_xlfn.IFNA(VLOOKUP($A637,[3]stockregister!$A$2:$L$2000,11,0),0)</f>
        <v>18</v>
      </c>
      <c r="H637" s="3">
        <f>_xlfn.IFNA(VLOOKUP($A637,[3]stockregister!$A$2:$L$2000,11,0),0)-$G637</f>
        <v>0</v>
      </c>
      <c r="I637" s="3">
        <f>_xlfn.IFNA(VLOOKUP($A637,[3]stockregister!$A$2:$L$2000,12,0),0)</f>
        <v>1700</v>
      </c>
      <c r="J637" s="3">
        <f>_xlfn.IFNA(VLOOKUP($A637,[3]stockregister!$A$1:$M$2000,12,0),0)-$I637</f>
        <v>0</v>
      </c>
      <c r="K637" s="3" t="s">
        <v>22</v>
      </c>
      <c r="L637" s="3" t="s">
        <v>23</v>
      </c>
      <c r="M637" s="3">
        <f>_xlfn.IFNA(VLOOKUP($A637,[2]stockregister!$A$2:$H$2000,8,0),0)</f>
        <v>1800</v>
      </c>
      <c r="N637" s="3">
        <f>_xlfn.IFNA(VLOOKUP($A637,[2]stockregister!$A$2:$H$2000,8,0),0)-$M637</f>
        <v>0</v>
      </c>
      <c r="O637" s="3" t="s">
        <v>1469</v>
      </c>
      <c r="P637" s="3" t="s">
        <v>1469</v>
      </c>
      <c r="Q637" s="3" t="s">
        <v>1470</v>
      </c>
      <c r="R637" s="3" t="s">
        <v>537</v>
      </c>
      <c r="S637" s="3" t="s">
        <v>68</v>
      </c>
    </row>
    <row r="638" spans="1:18">
      <c r="A638" s="3">
        <v>118</v>
      </c>
      <c r="B638" s="3" t="b">
        <f>ISNUMBER(MATCH(A638,[1]stockregister!$A$2:$A$2000,0))</f>
        <v>1</v>
      </c>
      <c r="C638" s="3" t="s">
        <v>1471</v>
      </c>
      <c r="D638" s="3" t="str">
        <f>VLOOKUP($C638,[1]stockregister!$B$2:$B$2000,1,0)</f>
        <v>ASCONI AGOR LUX 750ML</v>
      </c>
      <c r="E638" s="3" t="str">
        <f>IF(ISNA($D638),VLOOKUP($A638,[2]stockregister!$A$2:$B$2000,2,FALSE),"")</f>
        <v/>
      </c>
      <c r="F638" s="3" t="s">
        <v>21</v>
      </c>
      <c r="G638" s="3">
        <f>_xlfn.IFNA(VLOOKUP($A638,[3]stockregister!$A$2:$L$2000,11,0),0)</f>
        <v>18</v>
      </c>
      <c r="H638" s="3">
        <f>_xlfn.IFNA(VLOOKUP($A638,[3]stockregister!$A$2:$L$2000,11,0),0)-$G638</f>
        <v>0</v>
      </c>
      <c r="I638" s="3">
        <f>_xlfn.IFNA(VLOOKUP($A638,[3]stockregister!$A$2:$L$2000,12,0),0)</f>
        <v>1550</v>
      </c>
      <c r="J638" s="3">
        <f>_xlfn.IFNA(VLOOKUP($A638,[3]stockregister!$A$1:$M$2000,12,0),0)-$I638</f>
        <v>0</v>
      </c>
      <c r="K638" s="3" t="s">
        <v>22</v>
      </c>
      <c r="L638" s="3" t="s">
        <v>23</v>
      </c>
      <c r="M638" s="3">
        <f>_xlfn.IFNA(VLOOKUP($A638,[2]stockregister!$A$2:$H$2000,8,0),0)</f>
        <v>1630</v>
      </c>
      <c r="N638" s="3">
        <f>_xlfn.IFNA(VLOOKUP($A638,[2]stockregister!$A$2:$H$2000,8,0),0)-$M638</f>
        <v>0</v>
      </c>
      <c r="O638" s="3" t="s">
        <v>1472</v>
      </c>
      <c r="P638" s="3" t="s">
        <v>1472</v>
      </c>
      <c r="Q638" s="3" t="s">
        <v>966</v>
      </c>
      <c r="R638" s="3" t="s">
        <v>537</v>
      </c>
    </row>
    <row r="639" spans="1:18">
      <c r="A639" s="3">
        <v>2600</v>
      </c>
      <c r="B639" s="3" t="b">
        <f>ISNUMBER(MATCH(A639,[1]stockregister!$A$2:$A$2000,0))</f>
        <v>1</v>
      </c>
      <c r="C639" s="3" t="s">
        <v>1473</v>
      </c>
      <c r="D639" s="3" t="str">
        <f>VLOOKUP($C639,[1]stockregister!$B$2:$B$2000,1,0)</f>
        <v>MIRADO RESERVA 750ML</v>
      </c>
      <c r="E639" s="3" t="str">
        <f>IF(ISNA($D639),VLOOKUP($A639,[2]stockregister!$A$2:$B$2000,2,FALSE),"")</f>
        <v/>
      </c>
      <c r="F639" s="3" t="s">
        <v>21</v>
      </c>
      <c r="G639" s="3">
        <f>_xlfn.IFNA(VLOOKUP($A639,[3]stockregister!$A$2:$L$2000,11,0),0)</f>
        <v>18</v>
      </c>
      <c r="H639" s="3">
        <f>_xlfn.IFNA(VLOOKUP($A639,[3]stockregister!$A$2:$L$2000,11,0),0)-$G639</f>
        <v>0</v>
      </c>
      <c r="I639" s="3">
        <f>_xlfn.IFNA(VLOOKUP($A639,[3]stockregister!$A$2:$L$2000,12,0),0)</f>
        <v>1250</v>
      </c>
      <c r="J639" s="3">
        <f>_xlfn.IFNA(VLOOKUP($A639,[3]stockregister!$A$1:$M$2000,12,0),0)-$I639</f>
        <v>0</v>
      </c>
      <c r="K639" s="3" t="s">
        <v>22</v>
      </c>
      <c r="L639" s="3" t="s">
        <v>23</v>
      </c>
      <c r="M639" s="3">
        <f>_xlfn.IFNA(VLOOKUP($A639,[2]stockregister!$A$2:$H$2000,8,0),0)</f>
        <v>1500</v>
      </c>
      <c r="N639" s="3">
        <f>_xlfn.IFNA(VLOOKUP($A639,[2]stockregister!$A$2:$H$2000,8,0),0)-$M639</f>
        <v>0</v>
      </c>
      <c r="O639" s="3" t="s">
        <v>1474</v>
      </c>
      <c r="P639" s="3" t="s">
        <v>1474</v>
      </c>
      <c r="Q639" s="3" t="s">
        <v>1022</v>
      </c>
      <c r="R639" s="3" t="s">
        <v>537</v>
      </c>
    </row>
    <row r="640" spans="1:19">
      <c r="A640" s="3">
        <v>289</v>
      </c>
      <c r="B640" s="3" t="b">
        <f>ISNUMBER(MATCH(A640,[1]stockregister!$A$2:$A$2000,0))</f>
        <v>1</v>
      </c>
      <c r="C640" s="3" t="s">
        <v>1475</v>
      </c>
      <c r="D640" s="3" t="str">
        <f>VLOOKUP($C640,[1]stockregister!$B$2:$B$2000,1,0)</f>
        <v>BRUCE JACK CHENIN BLANC 750ML</v>
      </c>
      <c r="E640" s="3" t="str">
        <f>IF(ISNA($D640),VLOOKUP($A640,[2]stockregister!$A$2:$B$2000,2,FALSE),"")</f>
        <v/>
      </c>
      <c r="F640" s="3" t="s">
        <v>21</v>
      </c>
      <c r="G640" s="3">
        <f>_xlfn.IFNA(VLOOKUP($A640,[3]stockregister!$A$2:$L$2000,11,0),0)</f>
        <v>18</v>
      </c>
      <c r="H640" s="3">
        <f>_xlfn.IFNA(VLOOKUP($A640,[3]stockregister!$A$2:$L$2000,11,0),0)-$G640</f>
        <v>0</v>
      </c>
      <c r="I640" s="3">
        <f>_xlfn.IFNA(VLOOKUP($A640,[3]stockregister!$A$2:$L$2000,12,0),0)</f>
        <v>1380</v>
      </c>
      <c r="J640" s="3">
        <f>_xlfn.IFNA(VLOOKUP($A640,[3]stockregister!$A$1:$M$2000,12,0),0)-$I640</f>
        <v>0</v>
      </c>
      <c r="K640" s="3" t="s">
        <v>22</v>
      </c>
      <c r="L640" s="3" t="s">
        <v>23</v>
      </c>
      <c r="M640" s="3">
        <f>_xlfn.IFNA(VLOOKUP($A640,[2]stockregister!$A$2:$H$2000,8,0),0)</f>
        <v>1500</v>
      </c>
      <c r="N640" s="3">
        <f>_xlfn.IFNA(VLOOKUP($A640,[2]stockregister!$A$2:$H$2000,8,0),0)-$M640</f>
        <v>0</v>
      </c>
      <c r="O640" s="3" t="s">
        <v>1476</v>
      </c>
      <c r="P640" s="3" t="s">
        <v>1476</v>
      </c>
      <c r="Q640" s="3" t="s">
        <v>1477</v>
      </c>
      <c r="R640" s="3" t="s">
        <v>68</v>
      </c>
      <c r="S640" s="3" t="s">
        <v>1135</v>
      </c>
    </row>
    <row r="641" spans="1:19">
      <c r="A641" s="3">
        <v>2981</v>
      </c>
      <c r="B641" s="3" t="b">
        <f>ISNUMBER(MATCH(A641,[1]stockregister!$A$2:$A$2000,0))</f>
        <v>1</v>
      </c>
      <c r="C641" s="3" t="s">
        <v>1478</v>
      </c>
      <c r="D641" s="3" t="str">
        <f>VLOOKUP($C641,[1]stockregister!$B$2:$B$2000,1,0)</f>
        <v>CALVET CHARDONNAY WHITE 750ML</v>
      </c>
      <c r="E641" s="3" t="str">
        <f>IF(ISNA($D641),VLOOKUP($A641,[2]stockregister!$A$2:$B$2000,2,FALSE),"")</f>
        <v/>
      </c>
      <c r="F641" s="3" t="s">
        <v>21</v>
      </c>
      <c r="G641" s="3">
        <f>_xlfn.IFNA(VLOOKUP($A641,[3]stockregister!$A$2:$L$2000,11,0),0)</f>
        <v>18</v>
      </c>
      <c r="H641" s="3">
        <f>_xlfn.IFNA(VLOOKUP($A641,[3]stockregister!$A$2:$L$2000,11,0),0)-$G641</f>
        <v>0</v>
      </c>
      <c r="I641" s="3">
        <f>_xlfn.IFNA(VLOOKUP($A641,[3]stockregister!$A$2:$L$2000,12,0),0)</f>
        <v>1250</v>
      </c>
      <c r="J641" s="3">
        <f>_xlfn.IFNA(VLOOKUP($A641,[3]stockregister!$A$1:$M$2000,12,0),0)-$I641</f>
        <v>0</v>
      </c>
      <c r="K641" s="3" t="s">
        <v>22</v>
      </c>
      <c r="L641" s="3" t="s">
        <v>23</v>
      </c>
      <c r="M641" s="3">
        <f>_xlfn.IFNA(VLOOKUP($A641,[2]stockregister!$A$2:$H$2000,8,0),0)</f>
        <v>1500</v>
      </c>
      <c r="N641" s="3">
        <f>_xlfn.IFNA(VLOOKUP($A641,[2]stockregister!$A$2:$H$2000,8,0),0)-$M641</f>
        <v>0</v>
      </c>
      <c r="O641" s="3" t="s">
        <v>1479</v>
      </c>
      <c r="P641" s="3" t="s">
        <v>1479</v>
      </c>
      <c r="Q641" s="3" t="s">
        <v>1480</v>
      </c>
      <c r="R641" s="3" t="s">
        <v>68</v>
      </c>
      <c r="S641" s="3" t="s">
        <v>297</v>
      </c>
    </row>
    <row r="642" spans="1:19">
      <c r="A642" s="3">
        <v>2982</v>
      </c>
      <c r="B642" s="3" t="b">
        <f>ISNUMBER(MATCH(A642,[1]stockregister!$A$2:$A$2000,0))</f>
        <v>1</v>
      </c>
      <c r="C642" s="3" t="s">
        <v>1481</v>
      </c>
      <c r="D642" s="3" t="str">
        <f>VLOOKUP($C642,[1]stockregister!$B$2:$B$2000,1,0)</f>
        <v>CALVET CINSUALT ROSE 750ML</v>
      </c>
      <c r="E642" s="3" t="str">
        <f>IF(ISNA($D642),VLOOKUP($A642,[2]stockregister!$A$2:$B$2000,2,FALSE),"")</f>
        <v/>
      </c>
      <c r="F642" s="3" t="s">
        <v>21</v>
      </c>
      <c r="G642" s="3">
        <f>_xlfn.IFNA(VLOOKUP($A642,[3]stockregister!$A$2:$L$2000,11,0),0)</f>
        <v>18</v>
      </c>
      <c r="H642" s="3">
        <f>_xlfn.IFNA(VLOOKUP($A642,[3]stockregister!$A$2:$L$2000,11,0),0)-$G642</f>
        <v>0</v>
      </c>
      <c r="I642" s="3">
        <f>_xlfn.IFNA(VLOOKUP($A642,[3]stockregister!$A$2:$L$2000,12,0),0)</f>
        <v>1300</v>
      </c>
      <c r="J642" s="3">
        <f>_xlfn.IFNA(VLOOKUP($A642,[3]stockregister!$A$1:$M$2000,12,0),0)-$I642</f>
        <v>0</v>
      </c>
      <c r="K642" s="3" t="s">
        <v>22</v>
      </c>
      <c r="L642" s="3" t="s">
        <v>23</v>
      </c>
      <c r="M642" s="3">
        <f>_xlfn.IFNA(VLOOKUP($A642,[2]stockregister!$A$2:$H$2000,8,0),0)</f>
        <v>1650</v>
      </c>
      <c r="N642" s="3">
        <f>_xlfn.IFNA(VLOOKUP($A642,[2]stockregister!$A$2:$H$2000,8,0),0)-$M642</f>
        <v>0</v>
      </c>
      <c r="O642" s="3" t="s">
        <v>1482</v>
      </c>
      <c r="P642" s="3" t="s">
        <v>1482</v>
      </c>
      <c r="Q642" s="3" t="s">
        <v>1480</v>
      </c>
      <c r="R642" s="3" t="s">
        <v>68</v>
      </c>
      <c r="S642" s="3" t="s">
        <v>1030</v>
      </c>
    </row>
    <row r="643" spans="1:19">
      <c r="A643" s="3">
        <v>2980</v>
      </c>
      <c r="B643" s="3" t="b">
        <f>ISNUMBER(MATCH(A643,[1]stockregister!$A$2:$A$2000,0))</f>
        <v>1</v>
      </c>
      <c r="C643" s="3" t="s">
        <v>1483</v>
      </c>
      <c r="D643" s="3" t="str">
        <f>VLOOKUP($C643,[1]stockregister!$B$2:$B$2000,1,0)</f>
        <v>SIGNORE GIUSEPPE PROSECCO SPUMANTE ROSE 750ML</v>
      </c>
      <c r="E643" s="3" t="str">
        <f>IF(ISNA($D643),VLOOKUP($A643,[2]stockregister!$A$2:$B$2000,2,FALSE),"")</f>
        <v/>
      </c>
      <c r="F643" s="3" t="s">
        <v>21</v>
      </c>
      <c r="G643" s="3">
        <f>_xlfn.IFNA(VLOOKUP($A643,[3]stockregister!$A$2:$L$2000,11,0),0)</f>
        <v>12</v>
      </c>
      <c r="H643" s="3">
        <f>_xlfn.IFNA(VLOOKUP($A643,[3]stockregister!$A$2:$L$2000,11,0),0)-$G643</f>
        <v>0</v>
      </c>
      <c r="I643" s="3">
        <f>_xlfn.IFNA(VLOOKUP($A643,[3]stockregister!$A$2:$L$2000,12,0),0)</f>
        <v>2000</v>
      </c>
      <c r="J643" s="3">
        <f>_xlfn.IFNA(VLOOKUP($A643,[3]stockregister!$A$1:$M$2000,12,0),0)-$I643</f>
        <v>0</v>
      </c>
      <c r="K643" s="3" t="s">
        <v>22</v>
      </c>
      <c r="L643" s="3" t="s">
        <v>23</v>
      </c>
      <c r="M643" s="3">
        <f>_xlfn.IFNA(VLOOKUP($A643,[2]stockregister!$A$2:$H$2000,8,0),0)</f>
        <v>2300</v>
      </c>
      <c r="N643" s="3">
        <f>_xlfn.IFNA(VLOOKUP($A643,[2]stockregister!$A$2:$H$2000,8,0),0)-$M643</f>
        <v>0</v>
      </c>
      <c r="O643" s="3" t="s">
        <v>1484</v>
      </c>
      <c r="P643" s="3" t="s">
        <v>1484</v>
      </c>
      <c r="Q643" s="3" t="s">
        <v>1160</v>
      </c>
      <c r="R643" s="3" t="s">
        <v>68</v>
      </c>
      <c r="S643" s="3" t="s">
        <v>1161</v>
      </c>
    </row>
    <row r="644" spans="1:19">
      <c r="A644" s="3">
        <v>2978</v>
      </c>
      <c r="B644" s="3" t="b">
        <f>ISNUMBER(MATCH(A644,[1]stockregister!$A$2:$A$2000,0))</f>
        <v>1</v>
      </c>
      <c r="C644" s="3" t="s">
        <v>1485</v>
      </c>
      <c r="D644" s="3" t="str">
        <f>VLOOKUP($C644,[1]stockregister!$B$2:$B$2000,1,0)</f>
        <v>TERRA LINDA CHARDONNAY WHITE 750ML</v>
      </c>
      <c r="E644" s="3" t="str">
        <f>IF(ISNA($D644),VLOOKUP($A644,[2]stockregister!$A$2:$B$2000,2,FALSE),"")</f>
        <v/>
      </c>
      <c r="F644" s="3" t="s">
        <v>21</v>
      </c>
      <c r="G644" s="3">
        <f>_xlfn.IFNA(VLOOKUP($A644,[3]stockregister!$A$2:$L$2000,11,0),0)</f>
        <v>18</v>
      </c>
      <c r="H644" s="3">
        <f>_xlfn.IFNA(VLOOKUP($A644,[3]stockregister!$A$2:$L$2000,11,0),0)-$G644</f>
        <v>0</v>
      </c>
      <c r="I644" s="3">
        <f>_xlfn.IFNA(VLOOKUP($A644,[3]stockregister!$A$2:$L$2000,12,0),0)</f>
        <v>1550</v>
      </c>
      <c r="J644" s="3">
        <f>_xlfn.IFNA(VLOOKUP($A644,[3]stockregister!$A$1:$M$2000,12,0),0)-$I644</f>
        <v>0</v>
      </c>
      <c r="K644" s="3" t="s">
        <v>22</v>
      </c>
      <c r="L644" s="3" t="s">
        <v>23</v>
      </c>
      <c r="M644" s="3">
        <f>_xlfn.IFNA(VLOOKUP($A644,[2]stockregister!$A$2:$H$2000,8,0),0)</f>
        <v>2000</v>
      </c>
      <c r="N644" s="3">
        <f>_xlfn.IFNA(VLOOKUP($A644,[2]stockregister!$A$2:$H$2000,8,0),0)-$M644</f>
        <v>0</v>
      </c>
      <c r="O644" s="3" t="s">
        <v>1486</v>
      </c>
      <c r="P644" s="3" t="s">
        <v>1486</v>
      </c>
      <c r="Q644" s="3" t="s">
        <v>1487</v>
      </c>
      <c r="R644" s="3" t="s">
        <v>68</v>
      </c>
      <c r="S644" s="3" t="s">
        <v>940</v>
      </c>
    </row>
    <row r="645" spans="1:18">
      <c r="A645" s="3">
        <v>2281</v>
      </c>
      <c r="B645" s="3" t="b">
        <f>ISNUMBER(MATCH(A645,[1]stockregister!$A$2:$A$2000,0))</f>
        <v>1</v>
      </c>
      <c r="C645" s="3" t="s">
        <v>1488</v>
      </c>
      <c r="D645" s="3" t="str">
        <f>VLOOKUP($C645,[1]stockregister!$B$2:$B$2000,1,0)</f>
        <v>RIVAGE GIN 1LTR</v>
      </c>
      <c r="E645" s="3" t="str">
        <f>IF(ISNA($D645),VLOOKUP($A645,[2]stockregister!$A$2:$B$2000,2,FALSE),"")</f>
        <v/>
      </c>
      <c r="F645" s="3" t="s">
        <v>21</v>
      </c>
      <c r="G645" s="3">
        <f>_xlfn.IFNA(VLOOKUP($A645,[3]stockregister!$A$2:$L$2000,11,0),0)</f>
        <v>17</v>
      </c>
      <c r="H645" s="3">
        <f>_xlfn.IFNA(VLOOKUP($A645,[3]stockregister!$A$2:$L$2000,11,0),0)-$G645</f>
        <v>0</v>
      </c>
      <c r="I645" s="3">
        <f>_xlfn.IFNA(VLOOKUP($A645,[3]stockregister!$A$2:$L$2000,12,0),0)</f>
        <v>5400</v>
      </c>
      <c r="J645" s="3">
        <f>_xlfn.IFNA(VLOOKUP($A645,[3]stockregister!$A$1:$M$2000,12,0),0)-$I645</f>
        <v>0</v>
      </c>
      <c r="K645" s="3" t="s">
        <v>22</v>
      </c>
      <c r="L645" s="3" t="s">
        <v>23</v>
      </c>
      <c r="M645" s="3">
        <f>_xlfn.IFNA(VLOOKUP($A645,[2]stockregister!$A$2:$H$2000,8,0),0)</f>
        <v>5500</v>
      </c>
      <c r="N645" s="3">
        <f>_xlfn.IFNA(VLOOKUP($A645,[2]stockregister!$A$2:$H$2000,8,0),0)-$M645</f>
        <v>0</v>
      </c>
      <c r="O645" s="3" t="s">
        <v>1489</v>
      </c>
      <c r="P645" s="3" t="s">
        <v>1489</v>
      </c>
      <c r="Q645" s="3" t="s">
        <v>1490</v>
      </c>
      <c r="R645" s="3" t="s">
        <v>78</v>
      </c>
    </row>
    <row r="646" spans="1:19">
      <c r="A646" s="3">
        <v>1122</v>
      </c>
      <c r="B646" s="3" t="b">
        <f>ISNUMBER(MATCH(A646,[1]stockregister!$A$2:$A$2000,0))</f>
        <v>1</v>
      </c>
      <c r="C646" s="3" t="s">
        <v>1491</v>
      </c>
      <c r="D646" s="3" t="str">
        <f>VLOOKUP($C646,[1]stockregister!$B$2:$B$2000,1,0)</f>
        <v>JOHNNIE WALKER WHITE WALKER 1LTR</v>
      </c>
      <c r="E646" s="3" t="str">
        <f>IF(ISNA($D646),VLOOKUP($A646,[2]stockregister!$A$2:$B$2000,2,FALSE),"")</f>
        <v/>
      </c>
      <c r="F646" s="3" t="s">
        <v>21</v>
      </c>
      <c r="G646" s="3">
        <f>_xlfn.IFNA(VLOOKUP($A646,[3]stockregister!$A$2:$L$2000,11,0),0)</f>
        <v>17</v>
      </c>
      <c r="H646" s="3">
        <f>_xlfn.IFNA(VLOOKUP($A646,[3]stockregister!$A$2:$L$2000,11,0),0)-$G646</f>
        <v>0</v>
      </c>
      <c r="I646" s="3">
        <f>_xlfn.IFNA(VLOOKUP($A646,[3]stockregister!$A$2:$L$2000,12,0),0)</f>
        <v>4140</v>
      </c>
      <c r="J646" s="3">
        <f>_xlfn.IFNA(VLOOKUP($A646,[3]stockregister!$A$1:$M$2000,12,0),0)-$I646</f>
        <v>0</v>
      </c>
      <c r="K646" s="3" t="s">
        <v>22</v>
      </c>
      <c r="L646" s="3" t="s">
        <v>23</v>
      </c>
      <c r="M646" s="3">
        <f>_xlfn.IFNA(VLOOKUP($A646,[2]stockregister!$A$2:$H$2000,8,0),0)</f>
        <v>4500</v>
      </c>
      <c r="N646" s="3">
        <f>_xlfn.IFNA(VLOOKUP($A646,[2]stockregister!$A$2:$H$2000,8,0),0)-$M646</f>
        <v>0</v>
      </c>
      <c r="O646" s="3" t="s">
        <v>1492</v>
      </c>
      <c r="P646" s="3" t="s">
        <v>1492</v>
      </c>
      <c r="Q646" s="3" t="s">
        <v>133</v>
      </c>
      <c r="R646" s="3" t="s">
        <v>92</v>
      </c>
      <c r="S646" s="3" t="s">
        <v>134</v>
      </c>
    </row>
    <row r="647" spans="1:19">
      <c r="A647" s="3">
        <v>1535</v>
      </c>
      <c r="B647" s="3" t="b">
        <f>ISNUMBER(MATCH(A647,[1]stockregister!$A$2:$A$2000,0))</f>
        <v>1</v>
      </c>
      <c r="C647" s="3" t="s">
        <v>1493</v>
      </c>
      <c r="D647" s="3" t="str">
        <f>VLOOKUP($C647,[1]stockregister!$B$2:$B$2000,1,0)</f>
        <v>NOTOLA RED 750ML</v>
      </c>
      <c r="E647" s="3" t="str">
        <f>IF(ISNA($D647),VLOOKUP($A647,[2]stockregister!$A$2:$B$2000,2,FALSE),"")</f>
        <v/>
      </c>
      <c r="F647" s="3" t="s">
        <v>21</v>
      </c>
      <c r="G647" s="3">
        <f>_xlfn.IFNA(VLOOKUP($A647,[3]stockregister!$A$2:$L$2000,11,0),0)</f>
        <v>17</v>
      </c>
      <c r="H647" s="3">
        <f>_xlfn.IFNA(VLOOKUP($A647,[3]stockregister!$A$2:$L$2000,11,0),0)-$G647</f>
        <v>0</v>
      </c>
      <c r="I647" s="3">
        <f>_xlfn.IFNA(VLOOKUP($A647,[3]stockregister!$A$2:$L$2000,12,0),0)</f>
        <v>2300</v>
      </c>
      <c r="J647" s="3">
        <f>_xlfn.IFNA(VLOOKUP($A647,[3]stockregister!$A$1:$M$2000,12,0),0)-$I647</f>
        <v>0</v>
      </c>
      <c r="K647" s="3" t="s">
        <v>22</v>
      </c>
      <c r="L647" s="3" t="s">
        <v>23</v>
      </c>
      <c r="M647" s="3">
        <f>_xlfn.IFNA(VLOOKUP($A647,[2]stockregister!$A$2:$H$2000,8,0),0)</f>
        <v>2500</v>
      </c>
      <c r="N647" s="3">
        <f>_xlfn.IFNA(VLOOKUP($A647,[2]stockregister!$A$2:$H$2000,8,0),0)-$M647</f>
        <v>0</v>
      </c>
      <c r="O647" s="3" t="s">
        <v>1494</v>
      </c>
      <c r="P647" s="3" t="s">
        <v>1494</v>
      </c>
      <c r="Q647" s="3" t="s">
        <v>1495</v>
      </c>
      <c r="R647" s="3" t="s">
        <v>68</v>
      </c>
      <c r="S647" s="3" t="s">
        <v>169</v>
      </c>
    </row>
    <row r="648" spans="1:19">
      <c r="A648" s="3">
        <v>2598</v>
      </c>
      <c r="B648" s="3" t="b">
        <f>ISNUMBER(MATCH(A648,[1]stockregister!$A$2:$A$2000,0))</f>
        <v>1</v>
      </c>
      <c r="C648" s="3" t="s">
        <v>1496</v>
      </c>
      <c r="D648" s="3" t="str">
        <f>VLOOKUP($C648,[1]stockregister!$B$2:$B$2000,1,0)</f>
        <v>MURVIEDRO TEMPRANILO 750ML</v>
      </c>
      <c r="E648" s="3" t="str">
        <f>IF(ISNA($D648),VLOOKUP($A648,[2]stockregister!$A$2:$B$2000,2,FALSE),"")</f>
        <v/>
      </c>
      <c r="F648" s="3" t="s">
        <v>21</v>
      </c>
      <c r="G648" s="3">
        <f>_xlfn.IFNA(VLOOKUP($A648,[3]stockregister!$A$2:$L$2000,11,0),0)</f>
        <v>17</v>
      </c>
      <c r="H648" s="3">
        <f>_xlfn.IFNA(VLOOKUP($A648,[3]stockregister!$A$2:$L$2000,11,0),0)-$G648</f>
        <v>0</v>
      </c>
      <c r="I648" s="3">
        <f>_xlfn.IFNA(VLOOKUP($A648,[3]stockregister!$A$2:$L$2000,12,0),0)</f>
        <v>1250</v>
      </c>
      <c r="J648" s="3">
        <f>_xlfn.IFNA(VLOOKUP($A648,[3]stockregister!$A$1:$M$2000,12,0),0)-$I648</f>
        <v>0</v>
      </c>
      <c r="K648" s="3" t="s">
        <v>22</v>
      </c>
      <c r="L648" s="3" t="s">
        <v>23</v>
      </c>
      <c r="M648" s="3">
        <f>_xlfn.IFNA(VLOOKUP($A648,[2]stockregister!$A$2:$H$2000,8,0),0)</f>
        <v>1500</v>
      </c>
      <c r="N648" s="3">
        <f>_xlfn.IFNA(VLOOKUP($A648,[2]stockregister!$A$2:$H$2000,8,0),0)-$M648</f>
        <v>0</v>
      </c>
      <c r="O648" s="3" t="s">
        <v>1497</v>
      </c>
      <c r="P648" s="3" t="s">
        <v>1497</v>
      </c>
      <c r="Q648" s="3" t="s">
        <v>1229</v>
      </c>
      <c r="R648" s="3" t="s">
        <v>537</v>
      </c>
      <c r="S648" s="3" t="s">
        <v>1498</v>
      </c>
    </row>
    <row r="649" spans="1:19">
      <c r="A649" s="3">
        <v>2807</v>
      </c>
      <c r="B649" s="3" t="b">
        <f>ISNUMBER(MATCH(A649,[1]stockregister!$A$2:$A$2000,0))</f>
        <v>1</v>
      </c>
      <c r="C649" s="3" t="s">
        <v>1499</v>
      </c>
      <c r="D649" s="3" t="str">
        <f>VLOOKUP($C649,[1]stockregister!$B$2:$B$2000,1,0)</f>
        <v>GRAHAM'S FINE WHITE 750ML</v>
      </c>
      <c r="E649" s="3" t="str">
        <f>IF(ISNA($D649),VLOOKUP($A649,[2]stockregister!$A$2:$B$2000,2,FALSE),"")</f>
        <v/>
      </c>
      <c r="F649" s="3" t="s">
        <v>21</v>
      </c>
      <c r="G649" s="3">
        <f>_xlfn.IFNA(VLOOKUP($A649,[3]stockregister!$A$2:$L$2000,11,0),0)</f>
        <v>17</v>
      </c>
      <c r="H649" s="3">
        <f>_xlfn.IFNA(VLOOKUP($A649,[3]stockregister!$A$2:$L$2000,11,0),0)-$G649</f>
        <v>0</v>
      </c>
      <c r="I649" s="3">
        <f>_xlfn.IFNA(VLOOKUP($A649,[3]stockregister!$A$2:$L$2000,12,0),0)</f>
        <v>1388</v>
      </c>
      <c r="J649" s="3">
        <f>_xlfn.IFNA(VLOOKUP($A649,[3]stockregister!$A$1:$M$2000,12,0),0)-$I649</f>
        <v>0</v>
      </c>
      <c r="K649" s="3" t="s">
        <v>22</v>
      </c>
      <c r="L649" s="3" t="s">
        <v>23</v>
      </c>
      <c r="M649" s="3">
        <f>_xlfn.IFNA(VLOOKUP($A649,[2]stockregister!$A$2:$H$2000,8,0),0)</f>
        <v>1800</v>
      </c>
      <c r="N649" s="3">
        <f>_xlfn.IFNA(VLOOKUP($A649,[2]stockregister!$A$2:$H$2000,8,0),0)-$M649</f>
        <v>0</v>
      </c>
      <c r="O649" s="3" t="s">
        <v>1500</v>
      </c>
      <c r="P649" s="3" t="s">
        <v>1500</v>
      </c>
      <c r="Q649" s="3" t="s">
        <v>1014</v>
      </c>
      <c r="R649" s="3" t="s">
        <v>537</v>
      </c>
      <c r="S649" s="3" t="s">
        <v>157</v>
      </c>
    </row>
    <row r="650" spans="1:18">
      <c r="A650" s="3">
        <v>2004</v>
      </c>
      <c r="B650" s="3" t="b">
        <f>ISNUMBER(MATCH(A650,[1]stockregister!$A$2:$A$2000,0))</f>
        <v>1</v>
      </c>
      <c r="C650" s="3" t="s">
        <v>1501</v>
      </c>
      <c r="D650" s="3" t="str">
        <f>VLOOKUP($C650,[1]stockregister!$B$2:$B$2000,1,0)</f>
        <v>TOMMASI SOAVE CLASSICO 750ML</v>
      </c>
      <c r="E650" s="3" t="str">
        <f>IF(ISNA($D650),VLOOKUP($A650,[2]stockregister!$A$2:$B$2000,2,FALSE),"")</f>
        <v/>
      </c>
      <c r="F650" s="3" t="s">
        <v>21</v>
      </c>
      <c r="G650" s="3">
        <f>_xlfn.IFNA(VLOOKUP($A650,[3]stockregister!$A$2:$L$2000,11,0),0)</f>
        <v>17</v>
      </c>
      <c r="H650" s="3">
        <f>_xlfn.IFNA(VLOOKUP($A650,[3]stockregister!$A$2:$L$2000,11,0),0)-$G650</f>
        <v>0</v>
      </c>
      <c r="I650" s="3">
        <f>_xlfn.IFNA(VLOOKUP($A650,[3]stockregister!$A$2:$L$2000,12,0),0)</f>
        <v>1288</v>
      </c>
      <c r="J650" s="3">
        <f>_xlfn.IFNA(VLOOKUP($A650,[3]stockregister!$A$1:$M$2000,12,0),0)-$I650</f>
        <v>0</v>
      </c>
      <c r="K650" s="3" t="s">
        <v>22</v>
      </c>
      <c r="L650" s="3" t="s">
        <v>23</v>
      </c>
      <c r="M650" s="3">
        <f>_xlfn.IFNA(VLOOKUP($A650,[2]stockregister!$A$2:$H$2000,8,0),0)</f>
        <v>1400</v>
      </c>
      <c r="N650" s="3">
        <f>_xlfn.IFNA(VLOOKUP($A650,[2]stockregister!$A$2:$H$2000,8,0),0)-$M650</f>
        <v>0</v>
      </c>
      <c r="O650" s="3" t="s">
        <v>1502</v>
      </c>
      <c r="P650" s="3" t="s">
        <v>1502</v>
      </c>
      <c r="Q650" s="3" t="s">
        <v>1415</v>
      </c>
      <c r="R650" s="3" t="s">
        <v>537</v>
      </c>
    </row>
    <row r="651" spans="1:19">
      <c r="A651" s="3">
        <v>2915</v>
      </c>
      <c r="B651" s="3" t="b">
        <f>ISNUMBER(MATCH(A651,[1]stockregister!$A$2:$A$2000,0))</f>
        <v>1</v>
      </c>
      <c r="C651" s="3" t="s">
        <v>360</v>
      </c>
      <c r="D651" s="3" t="str">
        <f>VLOOKUP($C651,[1]stockregister!$B$2:$B$2000,1,0)</f>
        <v>WOOSH 9000 PUFFS BLUE RAZZ </v>
      </c>
      <c r="E651" s="3" t="str">
        <f>IF(ISNA($D651),VLOOKUP($A651,[2]stockregister!$A$2:$B$2000,2,FALSE),"")</f>
        <v/>
      </c>
      <c r="F651" s="3" t="s">
        <v>21</v>
      </c>
      <c r="G651" s="3">
        <f>_xlfn.IFNA(VLOOKUP($A651,[3]stockregister!$A$2:$L$2000,11,0),0)</f>
        <v>16</v>
      </c>
      <c r="H651" s="3">
        <f>_xlfn.IFNA(VLOOKUP($A651,[3]stockregister!$A$2:$L$2000,11,0),0)-$G651</f>
        <v>0</v>
      </c>
      <c r="I651" s="3">
        <f>_xlfn.IFNA(VLOOKUP($A651,[3]stockregister!$A$2:$L$2000,12,0),0)</f>
        <v>1077</v>
      </c>
      <c r="J651" s="3">
        <f>_xlfn.IFNA(VLOOKUP($A651,[3]stockregister!$A$1:$M$2000,12,0),0)-$I651</f>
        <v>0</v>
      </c>
      <c r="K651" s="3" t="s">
        <v>22</v>
      </c>
      <c r="L651" s="3" t="s">
        <v>23</v>
      </c>
      <c r="M651" s="3">
        <f>_xlfn.IFNA(VLOOKUP($A651,[2]stockregister!$A$2:$H$2000,8,0),0)</f>
        <v>1200</v>
      </c>
      <c r="N651" s="3">
        <f>_xlfn.IFNA(VLOOKUP($A651,[2]stockregister!$A$2:$H$2000,8,0),0)-$M651</f>
        <v>0</v>
      </c>
      <c r="O651" s="3" t="s">
        <v>1503</v>
      </c>
      <c r="P651" s="3" t="s">
        <v>1503</v>
      </c>
      <c r="Q651" s="3">
        <v>0</v>
      </c>
      <c r="R651" s="3" t="s">
        <v>39</v>
      </c>
      <c r="S651" s="3" t="s">
        <v>1504</v>
      </c>
    </row>
    <row r="652" spans="1:19">
      <c r="A652" s="3">
        <v>41</v>
      </c>
      <c r="B652" s="3" t="b">
        <f>ISNUMBER(MATCH(A652,[1]stockregister!$A$2:$A$2000,0))</f>
        <v>1</v>
      </c>
      <c r="C652" s="3" t="s">
        <v>1505</v>
      </c>
      <c r="D652" s="3" t="str">
        <f>VLOOKUP($C652,[1]stockregister!$B$2:$B$2000,1,0)</f>
        <v>ABSOLUT CITRON VODKA 1LTR</v>
      </c>
      <c r="E652" s="3" t="str">
        <f>IF(ISNA($D652),VLOOKUP($A652,[2]stockregister!$A$2:$B$2000,2,FALSE),"")</f>
        <v/>
      </c>
      <c r="F652" s="3" t="s">
        <v>21</v>
      </c>
      <c r="G652" s="3">
        <f>_xlfn.IFNA(VLOOKUP($A652,[3]stockregister!$A$2:$L$2000,11,0),0)</f>
        <v>16</v>
      </c>
      <c r="H652" s="3">
        <f>_xlfn.IFNA(VLOOKUP($A652,[3]stockregister!$A$2:$L$2000,11,0),0)-$G652</f>
        <v>0</v>
      </c>
      <c r="I652" s="3">
        <f>_xlfn.IFNA(VLOOKUP($A652,[3]stockregister!$A$2:$L$2000,12,0),0)</f>
        <v>1840</v>
      </c>
      <c r="J652" s="3">
        <f>_xlfn.IFNA(VLOOKUP($A652,[3]stockregister!$A$1:$M$2000,12,0),0)-$I652</f>
        <v>0</v>
      </c>
      <c r="K652" s="3" t="s">
        <v>22</v>
      </c>
      <c r="L652" s="3" t="s">
        <v>23</v>
      </c>
      <c r="M652" s="3">
        <f>_xlfn.IFNA(VLOOKUP($A652,[2]stockregister!$A$2:$H$2000,8,0),0)</f>
        <v>2000</v>
      </c>
      <c r="N652" s="3">
        <f>_xlfn.IFNA(VLOOKUP($A652,[2]stockregister!$A$2:$H$2000,8,0),0)-$M652</f>
        <v>0</v>
      </c>
      <c r="O652" s="3" t="s">
        <v>1506</v>
      </c>
      <c r="P652" s="3" t="s">
        <v>1506</v>
      </c>
      <c r="Q652" s="3" t="s">
        <v>358</v>
      </c>
      <c r="R652" s="3" t="s">
        <v>318</v>
      </c>
      <c r="S652" s="3" t="s">
        <v>1507</v>
      </c>
    </row>
    <row r="653" spans="1:19">
      <c r="A653" s="3">
        <v>1266</v>
      </c>
      <c r="B653" s="3" t="b">
        <f>ISNUMBER(MATCH(A653,[1]stockregister!$A$2:$A$2000,0))</f>
        <v>1</v>
      </c>
      <c r="C653" s="3" t="s">
        <v>1508</v>
      </c>
      <c r="D653" s="3" t="str">
        <f>VLOOKUP($C653,[1]stockregister!$B$2:$B$2000,1,0)</f>
        <v>LAURENT BRUT CHAMPAGNE 750ML</v>
      </c>
      <c r="E653" s="3" t="str">
        <f>IF(ISNA($D653),VLOOKUP($A653,[2]stockregister!$A$2:$B$2000,2,FALSE),"")</f>
        <v/>
      </c>
      <c r="F653" s="3" t="s">
        <v>21</v>
      </c>
      <c r="G653" s="3">
        <f>_xlfn.IFNA(VLOOKUP($A653,[3]stockregister!$A$2:$L$2000,11,0),0)</f>
        <v>16</v>
      </c>
      <c r="H653" s="3">
        <f>_xlfn.IFNA(VLOOKUP($A653,[3]stockregister!$A$2:$L$2000,11,0),0)-$G653</f>
        <v>0</v>
      </c>
      <c r="I653" s="3">
        <f>_xlfn.IFNA(VLOOKUP($A653,[3]stockregister!$A$2:$L$2000,12,0),0)</f>
        <v>8740</v>
      </c>
      <c r="J653" s="3">
        <f>_xlfn.IFNA(VLOOKUP($A653,[3]stockregister!$A$1:$M$2000,12,0),0)-$I653</f>
        <v>0</v>
      </c>
      <c r="K653" s="3" t="s">
        <v>22</v>
      </c>
      <c r="L653" s="3" t="s">
        <v>23</v>
      </c>
      <c r="M653" s="3">
        <f>_xlfn.IFNA(VLOOKUP($A653,[2]stockregister!$A$2:$H$2000,8,0),0)</f>
        <v>9500</v>
      </c>
      <c r="N653" s="3">
        <f>_xlfn.IFNA(VLOOKUP($A653,[2]stockregister!$A$2:$H$2000,8,0),0)-$M653</f>
        <v>0</v>
      </c>
      <c r="O653" s="3" t="s">
        <v>1509</v>
      </c>
      <c r="P653" s="3" t="s">
        <v>1509</v>
      </c>
      <c r="Q653" s="3" t="s">
        <v>1510</v>
      </c>
      <c r="R653" s="3" t="s">
        <v>68</v>
      </c>
      <c r="S653" s="3" t="s">
        <v>750</v>
      </c>
    </row>
    <row r="654" spans="1:19">
      <c r="A654" s="3">
        <v>1363</v>
      </c>
      <c r="B654" s="3" t="b">
        <f>ISNUMBER(MATCH(A654,[1]stockregister!$A$2:$A$2000,0))</f>
        <v>1</v>
      </c>
      <c r="C654" s="3" t="s">
        <v>1511</v>
      </c>
      <c r="D654" s="3" t="str">
        <f>VLOOKUP($C654,[1]stockregister!$B$2:$B$2000,1,0)</f>
        <v>MAISON CASTEL ICE CUVEE BLANC 750ML</v>
      </c>
      <c r="E654" s="3" t="str">
        <f>IF(ISNA($D654),VLOOKUP($A654,[2]stockregister!$A$2:$B$2000,2,FALSE),"")</f>
        <v/>
      </c>
      <c r="F654" s="3" t="s">
        <v>21</v>
      </c>
      <c r="G654" s="3">
        <f>_xlfn.IFNA(VLOOKUP($A654,[3]stockregister!$A$2:$L$2000,11,0),0)</f>
        <v>16</v>
      </c>
      <c r="H654" s="3">
        <f>_xlfn.IFNA(VLOOKUP($A654,[3]stockregister!$A$2:$L$2000,11,0),0)-$G654</f>
        <v>0</v>
      </c>
      <c r="I654" s="3">
        <f>_xlfn.IFNA(VLOOKUP($A654,[3]stockregister!$A$2:$L$2000,12,0),0)</f>
        <v>1196</v>
      </c>
      <c r="J654" s="3">
        <f>_xlfn.IFNA(VLOOKUP($A654,[3]stockregister!$A$1:$M$2000,12,0),0)-$I654</f>
        <v>0</v>
      </c>
      <c r="K654" s="3" t="s">
        <v>22</v>
      </c>
      <c r="L654" s="3" t="s">
        <v>23</v>
      </c>
      <c r="M654" s="3">
        <f>_xlfn.IFNA(VLOOKUP($A654,[2]stockregister!$A$2:$H$2000,8,0),0)</f>
        <v>1300</v>
      </c>
      <c r="N654" s="3">
        <f>_xlfn.IFNA(VLOOKUP($A654,[2]stockregister!$A$2:$H$2000,8,0),0)-$M654</f>
        <v>0</v>
      </c>
      <c r="O654" s="3" t="s">
        <v>1512</v>
      </c>
      <c r="P654" s="3" t="s">
        <v>1512</v>
      </c>
      <c r="Q654" s="3" t="s">
        <v>1137</v>
      </c>
      <c r="R654" s="3" t="s">
        <v>68</v>
      </c>
      <c r="S654" s="3" t="s">
        <v>1513</v>
      </c>
    </row>
    <row r="655" spans="1:19">
      <c r="A655" s="3">
        <v>1669</v>
      </c>
      <c r="B655" s="3" t="b">
        <f>ISNUMBER(MATCH(A655,[1]stockregister!$A$2:$A$2000,0))</f>
        <v>1</v>
      </c>
      <c r="C655" s="3" t="s">
        <v>1514</v>
      </c>
      <c r="D655" s="3" t="str">
        <f>VLOOKUP($C655,[1]stockregister!$B$2:$B$2000,1,0)</f>
        <v>ROBERTSON - RED SWEET 750ML</v>
      </c>
      <c r="E655" s="3" t="str">
        <f>IF(ISNA($D655),VLOOKUP($A655,[2]stockregister!$A$2:$B$2000,2,FALSE),"")</f>
        <v/>
      </c>
      <c r="F655" s="3" t="s">
        <v>21</v>
      </c>
      <c r="G655" s="3">
        <f>_xlfn.IFNA(VLOOKUP($A655,[3]stockregister!$A$2:$L$2000,11,0),0)</f>
        <v>0</v>
      </c>
      <c r="H655" s="3">
        <f>_xlfn.IFNA(VLOOKUP($A655,[3]stockregister!$A$2:$L$2000,11,0),0)-$G655</f>
        <v>0</v>
      </c>
      <c r="I655" s="3">
        <f>_xlfn.IFNA(VLOOKUP($A655,[3]stockregister!$A$2:$L$2000,12,0),0)</f>
        <v>620</v>
      </c>
      <c r="J655" s="3">
        <f>_xlfn.IFNA(VLOOKUP($A655,[3]stockregister!$A$1:$M$2000,12,0),0)-$I655</f>
        <v>0</v>
      </c>
      <c r="K655" s="3" t="s">
        <v>22</v>
      </c>
      <c r="L655" s="3" t="s">
        <v>23</v>
      </c>
      <c r="M655" s="3">
        <f>_xlfn.IFNA(VLOOKUP($A655,[2]stockregister!$A$2:$H$2000,8,0),0)</f>
        <v>950</v>
      </c>
      <c r="N655" s="3">
        <f>_xlfn.IFNA(VLOOKUP($A655,[2]stockregister!$A$2:$H$2000,8,0),0)-$M655</f>
        <v>0</v>
      </c>
      <c r="O655" s="3" t="s">
        <v>1515</v>
      </c>
      <c r="P655" s="3" t="s">
        <v>1515</v>
      </c>
      <c r="Q655" s="3" t="s">
        <v>522</v>
      </c>
      <c r="R655" s="3" t="s">
        <v>68</v>
      </c>
      <c r="S655" s="3" t="s">
        <v>1516</v>
      </c>
    </row>
    <row r="656" spans="1:19">
      <c r="A656" s="3">
        <v>1868</v>
      </c>
      <c r="B656" s="3" t="b">
        <f>ISNUMBER(MATCH(A656,[1]stockregister!$A$2:$A$2000,0))</f>
        <v>1</v>
      </c>
      <c r="C656" s="3" t="s">
        <v>1517</v>
      </c>
      <c r="D656" s="3" t="str">
        <f>VLOOKUP($C656,[1]stockregister!$B$2:$B$2000,1,0)</f>
        <v>SPUMANTE FESTA WHITE 750ML</v>
      </c>
      <c r="E656" s="3" t="str">
        <f>IF(ISNA($D656),VLOOKUP($A656,[2]stockregister!$A$2:$B$2000,2,FALSE),"")</f>
        <v/>
      </c>
      <c r="F656" s="3" t="s">
        <v>21</v>
      </c>
      <c r="G656" s="3">
        <f>_xlfn.IFNA(VLOOKUP($A656,[3]stockregister!$A$2:$L$2000,11,0),0)</f>
        <v>16</v>
      </c>
      <c r="H656" s="3">
        <f>_xlfn.IFNA(VLOOKUP($A656,[3]stockregister!$A$2:$L$2000,11,0),0)-$G656</f>
        <v>0</v>
      </c>
      <c r="I656" s="3">
        <f>_xlfn.IFNA(VLOOKUP($A656,[3]stockregister!$A$2:$L$2000,12,0),0)</f>
        <v>874</v>
      </c>
      <c r="J656" s="3">
        <f>_xlfn.IFNA(VLOOKUP($A656,[3]stockregister!$A$1:$M$2000,12,0),0)-$I656</f>
        <v>0</v>
      </c>
      <c r="K656" s="3" t="s">
        <v>22</v>
      </c>
      <c r="L656" s="3" t="s">
        <v>23</v>
      </c>
      <c r="M656" s="3">
        <f>_xlfn.IFNA(VLOOKUP($A656,[2]stockregister!$A$2:$H$2000,8,0),0)</f>
        <v>950</v>
      </c>
      <c r="N656" s="3">
        <f>_xlfn.IFNA(VLOOKUP($A656,[2]stockregister!$A$2:$H$2000,8,0),0)-$M656</f>
        <v>0</v>
      </c>
      <c r="O656" s="3" t="s">
        <v>1518</v>
      </c>
      <c r="P656" s="3" t="s">
        <v>1518</v>
      </c>
      <c r="Q656" s="3" t="s">
        <v>1088</v>
      </c>
      <c r="R656" s="3" t="s">
        <v>68</v>
      </c>
      <c r="S656" s="3" t="s">
        <v>157</v>
      </c>
    </row>
    <row r="657" spans="1:19">
      <c r="A657" s="3">
        <v>2932</v>
      </c>
      <c r="B657" s="3" t="b">
        <f>ISNUMBER(MATCH(A657,[1]stockregister!$A$2:$A$2000,0))</f>
        <v>1</v>
      </c>
      <c r="C657" s="3" t="s">
        <v>1519</v>
      </c>
      <c r="D657" s="3" t="str">
        <f>VLOOKUP($C657,[1]stockregister!$B$2:$B$2000,1,0)</f>
        <v>EROS KIT TROPICAL ICE</v>
      </c>
      <c r="E657" s="3" t="str">
        <f>IF(ISNA($D657),VLOOKUP($A657,[2]stockregister!$A$2:$B$2000,2,FALSE),"")</f>
        <v/>
      </c>
      <c r="F657" s="3" t="s">
        <v>21</v>
      </c>
      <c r="G657" s="3">
        <f>_xlfn.IFNA(VLOOKUP($A657,[3]stockregister!$A$2:$L$2000,11,0),0)</f>
        <v>12</v>
      </c>
      <c r="H657" s="3">
        <f>_xlfn.IFNA(VLOOKUP($A657,[3]stockregister!$A$2:$L$2000,11,0),0)-$G657</f>
        <v>0</v>
      </c>
      <c r="I657" s="3">
        <f>_xlfn.IFNA(VLOOKUP($A657,[3]stockregister!$A$2:$L$2000,12,0),0)</f>
        <v>1900</v>
      </c>
      <c r="J657" s="3">
        <f>_xlfn.IFNA(VLOOKUP($A657,[3]stockregister!$A$1:$M$2000,12,0),0)-$I657</f>
        <v>0</v>
      </c>
      <c r="K657" s="3" t="s">
        <v>22</v>
      </c>
      <c r="L657" s="3" t="s">
        <v>23</v>
      </c>
      <c r="M657" s="3">
        <f>_xlfn.IFNA(VLOOKUP($A657,[2]stockregister!$A$2:$H$2000,8,0),0)</f>
        <v>2100</v>
      </c>
      <c r="N657" s="3">
        <f>_xlfn.IFNA(VLOOKUP($A657,[2]stockregister!$A$2:$H$2000,8,0),0)-$M657</f>
        <v>0</v>
      </c>
      <c r="O657" s="3" t="s">
        <v>1520</v>
      </c>
      <c r="P657" s="3" t="s">
        <v>1520</v>
      </c>
      <c r="Q657" s="3" t="s">
        <v>882</v>
      </c>
      <c r="R657" s="3" t="s">
        <v>39</v>
      </c>
      <c r="S657" s="3" t="s">
        <v>1521</v>
      </c>
    </row>
    <row r="658" spans="1:19">
      <c r="A658" s="3">
        <v>1391</v>
      </c>
      <c r="B658" s="3" t="b">
        <f>ISNUMBER(MATCH(A658,[1]stockregister!$A$2:$A$2000,0))</f>
        <v>1</v>
      </c>
      <c r="C658" s="3" t="s">
        <v>1522</v>
      </c>
      <c r="D658" s="3" t="str">
        <f>VLOOKUP($C658,[1]stockregister!$B$2:$B$2000,1,0)</f>
        <v>MARTEL CORDON BLEU 1LTR</v>
      </c>
      <c r="E658" s="3" t="str">
        <f>IF(ISNA($D658),VLOOKUP($A658,[2]stockregister!$A$2:$B$2000,2,FALSE),"")</f>
        <v/>
      </c>
      <c r="F658" s="3" t="s">
        <v>21</v>
      </c>
      <c r="G658" s="3">
        <f>_xlfn.IFNA(VLOOKUP($A658,[3]stockregister!$A$2:$L$2000,11,0),0)</f>
        <v>15</v>
      </c>
      <c r="H658" s="3">
        <f>_xlfn.IFNA(VLOOKUP($A658,[3]stockregister!$A$2:$L$2000,11,0),0)-$G658</f>
        <v>0</v>
      </c>
      <c r="I658" s="3">
        <f>_xlfn.IFNA(VLOOKUP($A658,[3]stockregister!$A$2:$L$2000,12,0),0)</f>
        <v>24500</v>
      </c>
      <c r="J658" s="3">
        <f>_xlfn.IFNA(VLOOKUP($A658,[3]stockregister!$A$1:$M$2000,12,0),0)-$I658</f>
        <v>0</v>
      </c>
      <c r="K658" s="3" t="s">
        <v>22</v>
      </c>
      <c r="L658" s="3" t="s">
        <v>23</v>
      </c>
      <c r="M658" s="3">
        <f>_xlfn.IFNA(VLOOKUP($A658,[2]stockregister!$A$2:$H$2000,8,0),0)</f>
        <v>27000</v>
      </c>
      <c r="N658" s="3">
        <f>_xlfn.IFNA(VLOOKUP($A658,[2]stockregister!$A$2:$H$2000,8,0),0)-$M658</f>
        <v>0</v>
      </c>
      <c r="O658" s="3" t="s">
        <v>1523</v>
      </c>
      <c r="P658" s="3" t="s">
        <v>1523</v>
      </c>
      <c r="Q658" s="3" t="s">
        <v>616</v>
      </c>
      <c r="R658" s="3" t="s">
        <v>102</v>
      </c>
      <c r="S658" s="3" t="s">
        <v>1222</v>
      </c>
    </row>
    <row r="659" spans="1:18">
      <c r="A659" s="3">
        <v>1008</v>
      </c>
      <c r="B659" s="3" t="b">
        <f>ISNUMBER(MATCH(A659,[1]stockregister!$A$2:$A$2000,0))</f>
        <v>1</v>
      </c>
      <c r="C659" s="3" t="s">
        <v>363</v>
      </c>
      <c r="D659" s="3" t="str">
        <f>VLOOKUP($C659,[1]stockregister!$B$2:$B$2000,1,0)</f>
        <v>INVERROCHE CLASSIC 750ML </v>
      </c>
      <c r="E659" s="3" t="str">
        <f>IF(ISNA($D659),VLOOKUP($A659,[2]stockregister!$A$2:$B$2000,2,FALSE),"")</f>
        <v/>
      </c>
      <c r="F659" s="3" t="s">
        <v>21</v>
      </c>
      <c r="G659" s="3">
        <f>_xlfn.IFNA(VLOOKUP($A659,[3]stockregister!$A$2:$L$2000,11,0),0)</f>
        <v>15</v>
      </c>
      <c r="H659" s="3">
        <f>_xlfn.IFNA(VLOOKUP($A659,[3]stockregister!$A$2:$L$2000,11,0),0)-$G659</f>
        <v>0</v>
      </c>
      <c r="I659" s="3">
        <f>_xlfn.IFNA(VLOOKUP($A659,[3]stockregister!$A$2:$L$2000,12,0),0)</f>
        <v>4140</v>
      </c>
      <c r="J659" s="3">
        <f>_xlfn.IFNA(VLOOKUP($A659,[3]stockregister!$A$1:$M$2000,12,0),0)-$I659</f>
        <v>0</v>
      </c>
      <c r="K659" s="3" t="s">
        <v>22</v>
      </c>
      <c r="L659" s="3" t="s">
        <v>23</v>
      </c>
      <c r="M659" s="3">
        <f>_xlfn.IFNA(VLOOKUP($A659,[2]stockregister!$A$2:$H$2000,8,0),0)</f>
        <v>4500</v>
      </c>
      <c r="N659" s="3">
        <f>_xlfn.IFNA(VLOOKUP($A659,[2]stockregister!$A$2:$H$2000,8,0),0)-$M659</f>
        <v>0</v>
      </c>
      <c r="O659" s="3" t="s">
        <v>1524</v>
      </c>
      <c r="P659" s="3" t="s">
        <v>1524</v>
      </c>
      <c r="Q659" s="3" t="s">
        <v>1525</v>
      </c>
      <c r="R659" s="3" t="s">
        <v>78</v>
      </c>
    </row>
    <row r="660" spans="1:20">
      <c r="A660" s="3">
        <v>275</v>
      </c>
      <c r="B660" s="3" t="b">
        <f>ISNUMBER(MATCH(A660,[1]stockregister!$A$2:$A$2000,0))</f>
        <v>1</v>
      </c>
      <c r="C660" s="3" t="s">
        <v>1526</v>
      </c>
      <c r="D660" s="3" t="str">
        <f>VLOOKUP($C660,[1]stockregister!$B$2:$B$2000,1,0)</f>
        <v>BOWMORE 18YRS WHISKY 700ML</v>
      </c>
      <c r="E660" s="3" t="str">
        <f>IF(ISNA($D660),VLOOKUP($A660,[2]stockregister!$A$2:$B$2000,2,FALSE),"")</f>
        <v/>
      </c>
      <c r="F660" s="3" t="s">
        <v>21</v>
      </c>
      <c r="G660" s="3">
        <f>_xlfn.IFNA(VLOOKUP($A660,[3]stockregister!$A$2:$L$2000,11,0),0)</f>
        <v>15</v>
      </c>
      <c r="H660" s="3">
        <f>_xlfn.IFNA(VLOOKUP($A660,[3]stockregister!$A$2:$L$2000,11,0),0)-$G660</f>
        <v>0</v>
      </c>
      <c r="I660" s="3">
        <f>_xlfn.IFNA(VLOOKUP($A660,[3]stockregister!$A$2:$L$2000,12,0),0)</f>
        <v>9200</v>
      </c>
      <c r="J660" s="3">
        <f>_xlfn.IFNA(VLOOKUP($A660,[3]stockregister!$A$1:$M$2000,12,0),0)-$I660</f>
        <v>0</v>
      </c>
      <c r="K660" s="3" t="s">
        <v>22</v>
      </c>
      <c r="L660" s="3" t="s">
        <v>23</v>
      </c>
      <c r="M660" s="3">
        <f>_xlfn.IFNA(VLOOKUP($A660,[2]stockregister!$A$2:$H$2000,8,0),0)</f>
        <v>10000</v>
      </c>
      <c r="N660" s="3">
        <f>_xlfn.IFNA(VLOOKUP($A660,[2]stockregister!$A$2:$H$2000,8,0),0)-$M660</f>
        <v>0</v>
      </c>
      <c r="O660" s="3" t="s">
        <v>1527</v>
      </c>
      <c r="P660" s="3" t="s">
        <v>1527</v>
      </c>
      <c r="Q660" s="3" t="s">
        <v>1528</v>
      </c>
      <c r="R660" s="3" t="s">
        <v>92</v>
      </c>
      <c r="S660" s="3" t="s">
        <v>93</v>
      </c>
      <c r="T660" s="3">
        <v>18</v>
      </c>
    </row>
    <row r="661" spans="1:19">
      <c r="A661" s="3">
        <v>560</v>
      </c>
      <c r="B661" s="3" t="b">
        <f>ISNUMBER(MATCH(A661,[1]stockregister!$A$2:$A$2000,0))</f>
        <v>1</v>
      </c>
      <c r="C661" s="3" t="s">
        <v>1529</v>
      </c>
      <c r="D661" s="3" t="str">
        <f>VLOOKUP($C661,[1]stockregister!$B$2:$B$2000,1,0)</f>
        <v>CUTTY SARK WHISKY 1LTR</v>
      </c>
      <c r="E661" s="3" t="str">
        <f>IF(ISNA($D661),VLOOKUP($A661,[2]stockregister!$A$2:$B$2000,2,FALSE),"")</f>
        <v/>
      </c>
      <c r="F661" s="3" t="s">
        <v>21</v>
      </c>
      <c r="G661" s="3">
        <f>_xlfn.IFNA(VLOOKUP($A661,[3]stockregister!$A$2:$L$2000,11,0),0)</f>
        <v>15</v>
      </c>
      <c r="H661" s="3">
        <f>_xlfn.IFNA(VLOOKUP($A661,[3]stockregister!$A$2:$L$2000,11,0),0)-$G661</f>
        <v>0</v>
      </c>
      <c r="I661" s="3">
        <f>_xlfn.IFNA(VLOOKUP($A661,[3]stockregister!$A$2:$L$2000,12,0),0)</f>
        <v>1615</v>
      </c>
      <c r="J661" s="3">
        <f>_xlfn.IFNA(VLOOKUP($A661,[3]stockregister!$A$1:$M$2000,12,0),0)-$I661</f>
        <v>0</v>
      </c>
      <c r="K661" s="3" t="s">
        <v>22</v>
      </c>
      <c r="L661" s="3" t="s">
        <v>23</v>
      </c>
      <c r="M661" s="3">
        <f>_xlfn.IFNA(VLOOKUP($A661,[2]stockregister!$A$2:$H$2000,8,0),0)</f>
        <v>1750</v>
      </c>
      <c r="N661" s="3">
        <f>_xlfn.IFNA(VLOOKUP($A661,[2]stockregister!$A$2:$H$2000,8,0),0)-$M661</f>
        <v>0</v>
      </c>
      <c r="O661" s="3" t="s">
        <v>1530</v>
      </c>
      <c r="P661" s="3" t="s">
        <v>1530</v>
      </c>
      <c r="Q661" s="3" t="s">
        <v>767</v>
      </c>
      <c r="R661" s="3" t="s">
        <v>92</v>
      </c>
      <c r="S661" s="3" t="s">
        <v>134</v>
      </c>
    </row>
    <row r="662" spans="1:19">
      <c r="A662" s="3">
        <v>2929</v>
      </c>
      <c r="B662" s="3" t="b">
        <f>ISNUMBER(MATCH(A662,[1]stockregister!$A$2:$A$2000,0))</f>
        <v>1</v>
      </c>
      <c r="C662" s="3" t="s">
        <v>1531</v>
      </c>
      <c r="D662" s="3" t="str">
        <f>VLOOKUP($C662,[1]stockregister!$B$2:$B$2000,1,0)</f>
        <v>EROS KIT GRAPE ICE</v>
      </c>
      <c r="E662" s="3" t="str">
        <f>IF(ISNA($D662),VLOOKUP($A662,[2]stockregister!$A$2:$B$2000,2,FALSE),"")</f>
        <v/>
      </c>
      <c r="F662" s="3" t="s">
        <v>21</v>
      </c>
      <c r="G662" s="3">
        <f>_xlfn.IFNA(VLOOKUP($A662,[3]stockregister!$A$2:$L$2000,11,0),0)</f>
        <v>15</v>
      </c>
      <c r="H662" s="3">
        <f>_xlfn.IFNA(VLOOKUP($A662,[3]stockregister!$A$2:$L$2000,11,0),0)-$G662</f>
        <v>0</v>
      </c>
      <c r="I662" s="3">
        <f>_xlfn.IFNA(VLOOKUP($A662,[3]stockregister!$A$2:$L$2000,12,0),0)</f>
        <v>1900</v>
      </c>
      <c r="J662" s="3">
        <f>_xlfn.IFNA(VLOOKUP($A662,[3]stockregister!$A$1:$M$2000,12,0),0)-$I662</f>
        <v>0</v>
      </c>
      <c r="K662" s="3" t="s">
        <v>22</v>
      </c>
      <c r="L662" s="3" t="s">
        <v>23</v>
      </c>
      <c r="M662" s="3">
        <f>_xlfn.IFNA(VLOOKUP($A662,[2]stockregister!$A$2:$H$2000,8,0),0)</f>
        <v>2100</v>
      </c>
      <c r="N662" s="3">
        <f>_xlfn.IFNA(VLOOKUP($A662,[2]stockregister!$A$2:$H$2000,8,0),0)-$M662</f>
        <v>0</v>
      </c>
      <c r="O662" s="3" t="s">
        <v>1532</v>
      </c>
      <c r="P662" s="3" t="s">
        <v>1532</v>
      </c>
      <c r="Q662" s="3" t="s">
        <v>882</v>
      </c>
      <c r="R662" s="3" t="s">
        <v>39</v>
      </c>
      <c r="S662" s="3" t="s">
        <v>40</v>
      </c>
    </row>
    <row r="663" spans="1:19">
      <c r="A663" s="3">
        <v>2949</v>
      </c>
      <c r="B663" s="3" t="b">
        <f>ISNUMBER(MATCH(A663,[1]stockregister!$A$2:$A$2000,0))</f>
        <v>1</v>
      </c>
      <c r="C663" s="3" t="s">
        <v>1533</v>
      </c>
      <c r="D663" s="3" t="str">
        <f>VLOOKUP($C663,[1]stockregister!$B$2:$B$2000,1,0)</f>
        <v>GRANTS SUMMER ORANGE 700ML</v>
      </c>
      <c r="E663" s="3" t="str">
        <f>IF(ISNA($D663),VLOOKUP($A663,[2]stockregister!$A$2:$B$2000,2,FALSE),"")</f>
        <v/>
      </c>
      <c r="F663" s="3" t="s">
        <v>21</v>
      </c>
      <c r="G663" s="3">
        <f>_xlfn.IFNA(VLOOKUP($A663,[3]stockregister!$A$2:$L$2000,11,0),0)</f>
        <v>3</v>
      </c>
      <c r="H663" s="3">
        <f>_xlfn.IFNA(VLOOKUP($A663,[3]stockregister!$A$2:$L$2000,11,0),0)-$G663</f>
        <v>0</v>
      </c>
      <c r="I663" s="3">
        <f>_xlfn.IFNA(VLOOKUP($A663,[3]stockregister!$A$2:$L$2000,12,0),0)</f>
        <v>1400</v>
      </c>
      <c r="J663" s="3">
        <f>_xlfn.IFNA(VLOOKUP($A663,[3]stockregister!$A$1:$M$2000,12,0),0)-$I663</f>
        <v>0</v>
      </c>
      <c r="K663" s="3" t="s">
        <v>22</v>
      </c>
      <c r="L663" s="3" t="s">
        <v>23</v>
      </c>
      <c r="M663" s="3">
        <f>_xlfn.IFNA(VLOOKUP($A663,[2]stockregister!$A$2:$H$2000,8,0),0)</f>
        <v>1800</v>
      </c>
      <c r="N663" s="3">
        <f>_xlfn.IFNA(VLOOKUP($A663,[2]stockregister!$A$2:$H$2000,8,0),0)-$M663</f>
        <v>0</v>
      </c>
      <c r="O663" s="3" t="s">
        <v>1534</v>
      </c>
      <c r="P663" s="3" t="s">
        <v>1534</v>
      </c>
      <c r="Q663" s="3" t="s">
        <v>1535</v>
      </c>
      <c r="R663" s="3" t="s">
        <v>92</v>
      </c>
      <c r="S663" s="3" t="s">
        <v>720</v>
      </c>
    </row>
    <row r="664" spans="1:18">
      <c r="A664" s="3">
        <v>821</v>
      </c>
      <c r="B664" s="3" t="b">
        <f>ISNUMBER(MATCH(A664,[1]stockregister!$A$2:$A$2000,0))</f>
        <v>1</v>
      </c>
      <c r="C664" s="3" t="s">
        <v>1536</v>
      </c>
      <c r="D664" s="3" t="str">
        <f>VLOOKUP($C664,[1]stockregister!$B$2:$B$2000,1,0)</f>
        <v>GIBSON'S GIN 700ML</v>
      </c>
      <c r="E664" s="3" t="str">
        <f>IF(ISNA($D664),VLOOKUP($A664,[2]stockregister!$A$2:$B$2000,2,FALSE),"")</f>
        <v/>
      </c>
      <c r="F664" s="3" t="s">
        <v>21</v>
      </c>
      <c r="G664" s="3">
        <f>_xlfn.IFNA(VLOOKUP($A664,[3]stockregister!$A$2:$L$2000,11,0),0)</f>
        <v>14</v>
      </c>
      <c r="H664" s="3">
        <f>_xlfn.IFNA(VLOOKUP($A664,[3]stockregister!$A$2:$L$2000,11,0),0)-$G664</f>
        <v>0</v>
      </c>
      <c r="I664" s="3">
        <f>_xlfn.IFNA(VLOOKUP($A664,[3]stockregister!$A$2:$L$2000,12,0),0)</f>
        <v>1245</v>
      </c>
      <c r="J664" s="3">
        <f>_xlfn.IFNA(VLOOKUP($A664,[3]stockregister!$A$1:$M$2000,12,0),0)-$I664</f>
        <v>0</v>
      </c>
      <c r="K664" s="3" t="s">
        <v>22</v>
      </c>
      <c r="L664" s="3" t="s">
        <v>23</v>
      </c>
      <c r="M664" s="3">
        <f>_xlfn.IFNA(VLOOKUP($A664,[2]stockregister!$A$2:$H$2000,8,0),0)</f>
        <v>1340</v>
      </c>
      <c r="N664" s="3">
        <f>_xlfn.IFNA(VLOOKUP($A664,[2]stockregister!$A$2:$H$2000,8,0),0)-$M664</f>
        <v>0</v>
      </c>
      <c r="O664" s="3" t="s">
        <v>1537</v>
      </c>
      <c r="P664" s="3" t="s">
        <v>1537</v>
      </c>
      <c r="Q664" s="3" t="s">
        <v>1122</v>
      </c>
      <c r="R664" s="3" t="s">
        <v>78</v>
      </c>
    </row>
    <row r="665" spans="1:19">
      <c r="A665" s="3">
        <v>2536</v>
      </c>
      <c r="B665" s="3" t="b">
        <f>ISNUMBER(MATCH(A665,[1]stockregister!$A$2:$A$2000,0))</f>
        <v>1</v>
      </c>
      <c r="C665" s="3" t="s">
        <v>1538</v>
      </c>
      <c r="D665" s="3" t="str">
        <f>VLOOKUP($C665,[1]stockregister!$B$2:$B$2000,1,0)</f>
        <v>ALPACA CAB SAUVIGNON 750ML</v>
      </c>
      <c r="E665" s="3" t="str">
        <f>IF(ISNA($D665),VLOOKUP($A665,[2]stockregister!$A$2:$B$2000,2,FALSE),"")</f>
        <v/>
      </c>
      <c r="F665" s="3" t="s">
        <v>21</v>
      </c>
      <c r="G665" s="3">
        <f>_xlfn.IFNA(VLOOKUP($A665,[3]stockregister!$A$2:$L$2000,11,0),0)</f>
        <v>2</v>
      </c>
      <c r="H665" s="3">
        <f>_xlfn.IFNA(VLOOKUP($A665,[3]stockregister!$A$2:$L$2000,11,0),0)-$G665</f>
        <v>0</v>
      </c>
      <c r="I665" s="3">
        <f>_xlfn.IFNA(VLOOKUP($A665,[3]stockregister!$A$2:$L$2000,12,0),0)</f>
        <v>1143</v>
      </c>
      <c r="J665" s="3">
        <f>_xlfn.IFNA(VLOOKUP($A665,[3]stockregister!$A$1:$M$2000,12,0),0)-$I665</f>
        <v>0</v>
      </c>
      <c r="K665" s="3" t="s">
        <v>22</v>
      </c>
      <c r="L665" s="3" t="s">
        <v>23</v>
      </c>
      <c r="M665" s="3">
        <f>_xlfn.IFNA(VLOOKUP($A665,[2]stockregister!$A$2:$H$2000,8,0),0)</f>
        <v>1250</v>
      </c>
      <c r="N665" s="3">
        <f>_xlfn.IFNA(VLOOKUP($A665,[2]stockregister!$A$2:$H$2000,8,0),0)-$M665</f>
        <v>0</v>
      </c>
      <c r="O665" s="3" t="s">
        <v>1539</v>
      </c>
      <c r="P665" s="3" t="s">
        <v>1539</v>
      </c>
      <c r="Q665" s="3" t="s">
        <v>1540</v>
      </c>
      <c r="R665" s="3" t="s">
        <v>537</v>
      </c>
      <c r="S665" s="3" t="s">
        <v>206</v>
      </c>
    </row>
    <row r="666" spans="1:19">
      <c r="A666" s="3">
        <v>2597</v>
      </c>
      <c r="B666" s="3" t="b">
        <f>ISNUMBER(MATCH(A666,[1]stockregister!$A$2:$A$2000,0))</f>
        <v>1</v>
      </c>
      <c r="C666" s="3" t="s">
        <v>1541</v>
      </c>
      <c r="D666" s="3" t="str">
        <f>VLOOKUP($C666,[1]stockregister!$B$2:$B$2000,1,0)</f>
        <v>MURVIEDRO CHARDONNAY 750ML</v>
      </c>
      <c r="E666" s="3" t="str">
        <f>IF(ISNA($D666),VLOOKUP($A666,[2]stockregister!$A$2:$B$2000,2,FALSE),"")</f>
        <v/>
      </c>
      <c r="F666" s="3" t="s">
        <v>21</v>
      </c>
      <c r="G666" s="3">
        <f>_xlfn.IFNA(VLOOKUP($A666,[3]stockregister!$A$2:$L$2000,11,0),0)</f>
        <v>14</v>
      </c>
      <c r="H666" s="3">
        <f>_xlfn.IFNA(VLOOKUP($A666,[3]stockregister!$A$2:$L$2000,11,0),0)-$G666</f>
        <v>0</v>
      </c>
      <c r="I666" s="3">
        <f>_xlfn.IFNA(VLOOKUP($A666,[3]stockregister!$A$2:$L$2000,12,0),0)</f>
        <v>1250</v>
      </c>
      <c r="J666" s="3">
        <f>_xlfn.IFNA(VLOOKUP($A666,[3]stockregister!$A$1:$M$2000,12,0),0)-$I666</f>
        <v>0</v>
      </c>
      <c r="K666" s="3" t="s">
        <v>22</v>
      </c>
      <c r="L666" s="3" t="s">
        <v>23</v>
      </c>
      <c r="M666" s="3">
        <f>_xlfn.IFNA(VLOOKUP($A666,[2]stockregister!$A$2:$H$2000,8,0),0)</f>
        <v>1500</v>
      </c>
      <c r="N666" s="3">
        <f>_xlfn.IFNA(VLOOKUP($A666,[2]stockregister!$A$2:$H$2000,8,0),0)-$M666</f>
        <v>0</v>
      </c>
      <c r="O666" s="3" t="s">
        <v>1542</v>
      </c>
      <c r="P666" s="3" t="s">
        <v>1542</v>
      </c>
      <c r="Q666" s="3" t="s">
        <v>1229</v>
      </c>
      <c r="R666" s="3" t="s">
        <v>537</v>
      </c>
      <c r="S666" s="3" t="s">
        <v>940</v>
      </c>
    </row>
    <row r="667" spans="1:19">
      <c r="A667" s="3">
        <v>2221</v>
      </c>
      <c r="B667" s="3" t="b">
        <f>ISNUMBER(MATCH(A667,[1]stockregister!$A$2:$A$2000,0))</f>
        <v>1</v>
      </c>
      <c r="C667" s="3" t="s">
        <v>1543</v>
      </c>
      <c r="D667" s="3" t="str">
        <f>VLOOKUP($C667,[1]stockregister!$B$2:$B$2000,1,0)</f>
        <v>GATO NEGRO CREMENERE 750ML</v>
      </c>
      <c r="E667" s="3" t="str">
        <f>IF(ISNA($D667),VLOOKUP($A667,[2]stockregister!$A$2:$B$2000,2,FALSE),"")</f>
        <v/>
      </c>
      <c r="F667" s="3" t="s">
        <v>21</v>
      </c>
      <c r="G667" s="3">
        <f>_xlfn.IFNA(VLOOKUP($A667,[3]stockregister!$A$2:$L$2000,11,0),0)</f>
        <v>14</v>
      </c>
      <c r="H667" s="3">
        <f>_xlfn.IFNA(VLOOKUP($A667,[3]stockregister!$A$2:$L$2000,11,0),0)-$G667</f>
        <v>0</v>
      </c>
      <c r="I667" s="3">
        <f>_xlfn.IFNA(VLOOKUP($A667,[3]stockregister!$A$2:$L$2000,12,0),0)</f>
        <v>800</v>
      </c>
      <c r="J667" s="3">
        <f>_xlfn.IFNA(VLOOKUP($A667,[3]stockregister!$A$1:$M$2000,12,0),0)-$I667</f>
        <v>0</v>
      </c>
      <c r="K667" s="3" t="s">
        <v>22</v>
      </c>
      <c r="L667" s="3" t="s">
        <v>23</v>
      </c>
      <c r="M667" s="3">
        <f>_xlfn.IFNA(VLOOKUP($A667,[2]stockregister!$A$2:$H$2000,8,0),0)</f>
        <v>850</v>
      </c>
      <c r="N667" s="3">
        <f>_xlfn.IFNA(VLOOKUP($A667,[2]stockregister!$A$2:$H$2000,8,0),0)-$M667</f>
        <v>0</v>
      </c>
      <c r="O667" s="3" t="s">
        <v>1544</v>
      </c>
      <c r="P667" s="3" t="s">
        <v>1544</v>
      </c>
      <c r="Q667" s="3" t="s">
        <v>545</v>
      </c>
      <c r="R667" s="3" t="s">
        <v>68</v>
      </c>
      <c r="S667" s="3" t="s">
        <v>1545</v>
      </c>
    </row>
    <row r="668" spans="1:20">
      <c r="A668" s="3">
        <v>2976</v>
      </c>
      <c r="B668" s="3" t="b">
        <f>ISNUMBER(MATCH(A668,[1]stockregister!$A$2:$A$2000,0))</f>
        <v>1</v>
      </c>
      <c r="C668" s="3" t="s">
        <v>1546</v>
      </c>
      <c r="D668" s="3" t="str">
        <f>VLOOKUP($C668,[1]stockregister!$B$2:$B$2000,1,0)</f>
        <v>JOHNNIE WALKER XR 19YRS 750ML</v>
      </c>
      <c r="E668" s="3" t="str">
        <f>IF(ISNA($D668),VLOOKUP($A668,[2]stockregister!$A$2:$B$2000,2,FALSE),"")</f>
        <v/>
      </c>
      <c r="F668" s="3" t="s">
        <v>21</v>
      </c>
      <c r="G668" s="3">
        <f>_xlfn.IFNA(VLOOKUP($A668,[3]stockregister!$A$2:$L$2000,11,0),0)</f>
        <v>14</v>
      </c>
      <c r="H668" s="3">
        <f>_xlfn.IFNA(VLOOKUP($A668,[3]stockregister!$A$2:$L$2000,11,0),0)-$G668</f>
        <v>0</v>
      </c>
      <c r="I668" s="3">
        <f>_xlfn.IFNA(VLOOKUP($A668,[3]stockregister!$A$2:$L$2000,12,0),0)</f>
        <v>9000</v>
      </c>
      <c r="J668" s="3">
        <f>_xlfn.IFNA(VLOOKUP($A668,[3]stockregister!$A$1:$M$2000,12,0),0)-$I668</f>
        <v>0</v>
      </c>
      <c r="K668" s="3" t="s">
        <v>22</v>
      </c>
      <c r="L668" s="3" t="s">
        <v>23</v>
      </c>
      <c r="M668" s="3">
        <f>_xlfn.IFNA(VLOOKUP($A668,[2]stockregister!$A$2:$H$2000,8,0),0)</f>
        <v>11000</v>
      </c>
      <c r="N668" s="3">
        <f>_xlfn.IFNA(VLOOKUP($A668,[2]stockregister!$A$2:$H$2000,8,0),0)-$M668</f>
        <v>0</v>
      </c>
      <c r="O668" s="3" t="s">
        <v>1547</v>
      </c>
      <c r="P668" s="3" t="s">
        <v>1547</v>
      </c>
      <c r="Q668" s="3" t="s">
        <v>687</v>
      </c>
      <c r="R668" s="3" t="s">
        <v>92</v>
      </c>
      <c r="S668" s="3" t="s">
        <v>1548</v>
      </c>
      <c r="T668" s="3">
        <v>19</v>
      </c>
    </row>
    <row r="669" spans="1:18">
      <c r="A669" s="3">
        <v>2223</v>
      </c>
      <c r="B669" s="3" t="b">
        <f>ISNUMBER(MATCH(A669,[1]stockregister!$A$2:$A$2000,0))</f>
        <v>1</v>
      </c>
      <c r="C669" s="3" t="s">
        <v>1549</v>
      </c>
      <c r="D669" s="3" t="str">
        <f>VLOOKUP($C669,[1]stockregister!$B$2:$B$2000,1,0)</f>
        <v>GILBEYS PINK 250ML</v>
      </c>
      <c r="E669" s="3" t="str">
        <f>IF(ISNA($D669),VLOOKUP($A669,[2]stockregister!$A$2:$B$2000,2,FALSE),"")</f>
        <v/>
      </c>
      <c r="F669" s="3" t="s">
        <v>21</v>
      </c>
      <c r="G669" s="3">
        <f>_xlfn.IFNA(VLOOKUP($A669,[3]stockregister!$A$2:$L$2000,11,0),0)</f>
        <v>13</v>
      </c>
      <c r="H669" s="3">
        <f>_xlfn.IFNA(VLOOKUP($A669,[3]stockregister!$A$2:$L$2000,11,0),0)-$G669</f>
        <v>0</v>
      </c>
      <c r="I669" s="3">
        <f>_xlfn.IFNA(VLOOKUP($A669,[3]stockregister!$A$2:$L$2000,12,0),0)</f>
        <v>390</v>
      </c>
      <c r="J669" s="3">
        <f>_xlfn.IFNA(VLOOKUP($A669,[3]stockregister!$A$1:$M$2000,12,0),0)-$I669</f>
        <v>0</v>
      </c>
      <c r="K669" s="3" t="s">
        <v>22</v>
      </c>
      <c r="L669" s="3" t="s">
        <v>23</v>
      </c>
      <c r="M669" s="3">
        <f>_xlfn.IFNA(VLOOKUP($A669,[2]stockregister!$A$2:$H$2000,8,0),0)</f>
        <v>416</v>
      </c>
      <c r="N669" s="3">
        <f>_xlfn.IFNA(VLOOKUP($A669,[2]stockregister!$A$2:$H$2000,8,0),0)-$M669</f>
        <v>0</v>
      </c>
      <c r="O669" s="3" t="s">
        <v>1550</v>
      </c>
      <c r="P669" s="3" t="s">
        <v>1550</v>
      </c>
      <c r="Q669" s="3" t="s">
        <v>1551</v>
      </c>
      <c r="R669" s="3" t="s">
        <v>78</v>
      </c>
    </row>
    <row r="670" spans="1:18">
      <c r="A670" s="3">
        <v>2317</v>
      </c>
      <c r="B670" s="3" t="b">
        <f>ISNUMBER(MATCH(A670,[1]stockregister!$A$2:$A$2000,0))</f>
        <v>1</v>
      </c>
      <c r="C670" s="3" t="s">
        <v>1552</v>
      </c>
      <c r="D670" s="3" t="str">
        <f>VLOOKUP($C670,[1]stockregister!$B$2:$B$2000,1,0)</f>
        <v>TANQUERAY MALACCA 700ML</v>
      </c>
      <c r="E670" s="3" t="str">
        <f>IF(ISNA($D670),VLOOKUP($A670,[2]stockregister!$A$2:$B$2000,2,FALSE),"")</f>
        <v/>
      </c>
      <c r="F670" s="3" t="s">
        <v>21</v>
      </c>
      <c r="G670" s="3">
        <f>_xlfn.IFNA(VLOOKUP($A670,[3]stockregister!$A$2:$L$2000,11,0),0)</f>
        <v>13</v>
      </c>
      <c r="H670" s="3">
        <f>_xlfn.IFNA(VLOOKUP($A670,[3]stockregister!$A$2:$L$2000,11,0),0)-$G670</f>
        <v>0</v>
      </c>
      <c r="I670" s="3">
        <f>_xlfn.IFNA(VLOOKUP($A670,[3]stockregister!$A$2:$L$2000,12,0),0)</f>
        <v>2400</v>
      </c>
      <c r="J670" s="3">
        <f>_xlfn.IFNA(VLOOKUP($A670,[3]stockregister!$A$1:$M$2000,12,0),0)-$I670</f>
        <v>0</v>
      </c>
      <c r="K670" s="3" t="s">
        <v>22</v>
      </c>
      <c r="L670" s="3" t="s">
        <v>23</v>
      </c>
      <c r="M670" s="3">
        <f>_xlfn.IFNA(VLOOKUP($A670,[2]stockregister!$A$2:$H$2000,8,0),0)</f>
        <v>2600</v>
      </c>
      <c r="N670" s="3">
        <f>_xlfn.IFNA(VLOOKUP($A670,[2]stockregister!$A$2:$H$2000,8,0),0)-$M670</f>
        <v>0</v>
      </c>
      <c r="O670" s="3" t="s">
        <v>1553</v>
      </c>
      <c r="P670" s="3" t="s">
        <v>1553</v>
      </c>
      <c r="Q670" s="3" t="s">
        <v>221</v>
      </c>
      <c r="R670" s="3" t="s">
        <v>78</v>
      </c>
    </row>
    <row r="671" spans="1:18">
      <c r="A671" s="3">
        <v>2320</v>
      </c>
      <c r="B671" s="3" t="b">
        <f>ISNUMBER(MATCH(A671,[1]stockregister!$A$2:$A$2000,0))</f>
        <v>1</v>
      </c>
      <c r="C671" s="3" t="s">
        <v>1554</v>
      </c>
      <c r="D671" s="3" t="str">
        <f>VLOOKUP($C671,[1]stockregister!$B$2:$B$2000,1,0)</f>
        <v>WILD TIGER SPICED 750ML</v>
      </c>
      <c r="E671" s="3" t="str">
        <f>IF(ISNA($D671),VLOOKUP($A671,[2]stockregister!$A$2:$B$2000,2,FALSE),"")</f>
        <v/>
      </c>
      <c r="F671" s="3" t="s">
        <v>21</v>
      </c>
      <c r="G671" s="3">
        <f>_xlfn.IFNA(VLOOKUP($A671,[3]stockregister!$A$2:$L$2000,11,0),0)</f>
        <v>13</v>
      </c>
      <c r="H671" s="3">
        <f>_xlfn.IFNA(VLOOKUP($A671,[3]stockregister!$A$2:$L$2000,11,0),0)-$G671</f>
        <v>0</v>
      </c>
      <c r="I671" s="3">
        <f>_xlfn.IFNA(VLOOKUP($A671,[3]stockregister!$A$2:$L$2000,12,0),0)</f>
        <v>800</v>
      </c>
      <c r="J671" s="3">
        <f>_xlfn.IFNA(VLOOKUP($A671,[3]stockregister!$A$1:$M$2000,12,0),0)-$I671</f>
        <v>0</v>
      </c>
      <c r="K671" s="3" t="s">
        <v>22</v>
      </c>
      <c r="L671" s="3" t="s">
        <v>23</v>
      </c>
      <c r="M671" s="3">
        <f>_xlfn.IFNA(VLOOKUP($A671,[2]stockregister!$A$2:$H$2000,8,0),0)</f>
        <v>850</v>
      </c>
      <c r="N671" s="3">
        <f>_xlfn.IFNA(VLOOKUP($A671,[2]stockregister!$A$2:$H$2000,8,0),0)-$M671</f>
        <v>0</v>
      </c>
      <c r="O671" s="3" t="s">
        <v>1555</v>
      </c>
      <c r="P671" s="3" t="s">
        <v>1555</v>
      </c>
      <c r="Q671" s="3" t="s">
        <v>1556</v>
      </c>
      <c r="R671" s="3" t="s">
        <v>156</v>
      </c>
    </row>
    <row r="672" spans="1:19">
      <c r="A672" s="3">
        <v>1099</v>
      </c>
      <c r="B672" s="3" t="b">
        <f>ISNUMBER(MATCH(A672,[1]stockregister!$A$2:$A$2000,0))</f>
        <v>1</v>
      </c>
      <c r="C672" s="3" t="s">
        <v>1557</v>
      </c>
      <c r="D672" s="3" t="str">
        <f>VLOOKUP($C672,[1]stockregister!$B$2:$B$2000,1,0)</f>
        <v>JOHNNIE WALKER A SONG OF ICE 1LTR</v>
      </c>
      <c r="E672" s="3" t="str">
        <f>IF(ISNA($D672),VLOOKUP($A672,[2]stockregister!$A$2:$B$2000,2,FALSE),"")</f>
        <v/>
      </c>
      <c r="F672" s="3" t="s">
        <v>21</v>
      </c>
      <c r="G672" s="3">
        <f>_xlfn.IFNA(VLOOKUP($A672,[3]stockregister!$A$2:$L$2000,11,0),0)</f>
        <v>13</v>
      </c>
      <c r="H672" s="3">
        <f>_xlfn.IFNA(VLOOKUP($A672,[3]stockregister!$A$2:$L$2000,11,0),0)-$G672</f>
        <v>0</v>
      </c>
      <c r="I672" s="3">
        <f>_xlfn.IFNA(VLOOKUP($A672,[3]stockregister!$A$2:$L$2000,12,0),0)</f>
        <v>4140</v>
      </c>
      <c r="J672" s="3">
        <f>_xlfn.IFNA(VLOOKUP($A672,[3]stockregister!$A$1:$M$2000,12,0),0)-$I672</f>
        <v>0</v>
      </c>
      <c r="K672" s="3" t="s">
        <v>22</v>
      </c>
      <c r="L672" s="3" t="s">
        <v>23</v>
      </c>
      <c r="M672" s="3">
        <f>_xlfn.IFNA(VLOOKUP($A672,[2]stockregister!$A$2:$H$2000,8,0),0)</f>
        <v>4500</v>
      </c>
      <c r="N672" s="3">
        <f>_xlfn.IFNA(VLOOKUP($A672,[2]stockregister!$A$2:$H$2000,8,0),0)-$M672</f>
        <v>0</v>
      </c>
      <c r="O672" s="3" t="s">
        <v>1558</v>
      </c>
      <c r="P672" s="3" t="s">
        <v>1558</v>
      </c>
      <c r="Q672" s="3" t="s">
        <v>133</v>
      </c>
      <c r="R672" s="3" t="s">
        <v>92</v>
      </c>
      <c r="S672" s="3" t="s">
        <v>134</v>
      </c>
    </row>
    <row r="673" spans="1:19">
      <c r="A673" s="3">
        <v>5</v>
      </c>
      <c r="B673" s="3" t="b">
        <f>ISNUMBER(MATCH(A673,[1]stockregister!$A$2:$A$2000,0))</f>
        <v>1</v>
      </c>
      <c r="C673" s="3" t="s">
        <v>1559</v>
      </c>
      <c r="D673" s="3" t="str">
        <f>VLOOKUP($C673,[1]stockregister!$B$2:$B$2000,1,0)</f>
        <v>18 MERLOT 750ML</v>
      </c>
      <c r="E673" s="3" t="str">
        <f>IF(ISNA($D673),VLOOKUP($A673,[2]stockregister!$A$2:$B$2000,2,FALSE),"")</f>
        <v/>
      </c>
      <c r="F673" s="3" t="s">
        <v>21</v>
      </c>
      <c r="G673" s="3">
        <f>_xlfn.IFNA(VLOOKUP($A673,[3]stockregister!$A$2:$L$2000,11,0),0)</f>
        <v>13</v>
      </c>
      <c r="H673" s="3">
        <f>_xlfn.IFNA(VLOOKUP($A673,[3]stockregister!$A$2:$L$2000,11,0),0)-$G673</f>
        <v>0</v>
      </c>
      <c r="I673" s="3">
        <f>_xlfn.IFNA(VLOOKUP($A673,[3]stockregister!$A$2:$L$2000,12,0),0)</f>
        <v>1656</v>
      </c>
      <c r="J673" s="3">
        <f>_xlfn.IFNA(VLOOKUP($A673,[3]stockregister!$A$1:$M$2000,12,0),0)-$I673</f>
        <v>0</v>
      </c>
      <c r="K673" s="3" t="s">
        <v>22</v>
      </c>
      <c r="L673" s="3" t="s">
        <v>23</v>
      </c>
      <c r="M673" s="3">
        <f>_xlfn.IFNA(VLOOKUP($A673,[2]stockregister!$A$2:$H$2000,8,0),0)</f>
        <v>1800</v>
      </c>
      <c r="N673" s="3">
        <f>_xlfn.IFNA(VLOOKUP($A673,[2]stockregister!$A$2:$H$2000,8,0),0)-$M673</f>
        <v>0</v>
      </c>
      <c r="O673" s="3" t="s">
        <v>1560</v>
      </c>
      <c r="P673" s="3" t="s">
        <v>1560</v>
      </c>
      <c r="Q673" s="3">
        <v>18</v>
      </c>
      <c r="R673" s="3" t="s">
        <v>537</v>
      </c>
      <c r="S673" s="3" t="s">
        <v>369</v>
      </c>
    </row>
    <row r="674" spans="1:19">
      <c r="A674" s="3">
        <v>1152</v>
      </c>
      <c r="B674" s="3" t="b">
        <f>ISNUMBER(MATCH(A674,[1]stockregister!$A$2:$A$2000,0))</f>
        <v>1</v>
      </c>
      <c r="C674" s="3" t="s">
        <v>1561</v>
      </c>
      <c r="D674" s="3" t="str">
        <f>VLOOKUP($C674,[1]stockregister!$B$2:$B$2000,1,0)</f>
        <v>JP CHENET ORIGINAL SAUV BLANC 750ML</v>
      </c>
      <c r="E674" s="3" t="str">
        <f>IF(ISNA($D674),VLOOKUP($A674,[2]stockregister!$A$2:$B$2000,2,FALSE),"")</f>
        <v/>
      </c>
      <c r="F674" s="3" t="s">
        <v>21</v>
      </c>
      <c r="G674" s="3">
        <f>_xlfn.IFNA(VLOOKUP($A674,[3]stockregister!$A$2:$L$2000,11,0),0)</f>
        <v>13</v>
      </c>
      <c r="H674" s="3">
        <f>_xlfn.IFNA(VLOOKUP($A674,[3]stockregister!$A$2:$L$2000,11,0),0)-$G674</f>
        <v>0</v>
      </c>
      <c r="I674" s="3">
        <f>_xlfn.IFNA(VLOOKUP($A674,[3]stockregister!$A$2:$L$2000,12,0),0)</f>
        <v>874</v>
      </c>
      <c r="J674" s="3">
        <f>_xlfn.IFNA(VLOOKUP($A674,[3]stockregister!$A$1:$M$2000,12,0),0)-$I674</f>
        <v>0</v>
      </c>
      <c r="K674" s="3" t="s">
        <v>22</v>
      </c>
      <c r="L674" s="3" t="s">
        <v>23</v>
      </c>
      <c r="M674" s="3">
        <f>_xlfn.IFNA(VLOOKUP($A674,[2]stockregister!$A$2:$H$2000,8,0),0)</f>
        <v>950</v>
      </c>
      <c r="N674" s="3">
        <f>_xlfn.IFNA(VLOOKUP($A674,[2]stockregister!$A$2:$H$2000,8,0),0)-$M674</f>
        <v>0</v>
      </c>
      <c r="O674" s="3" t="s">
        <v>1562</v>
      </c>
      <c r="P674" s="3" t="s">
        <v>1562</v>
      </c>
      <c r="Q674" s="3" t="s">
        <v>1563</v>
      </c>
      <c r="R674" s="3" t="s">
        <v>68</v>
      </c>
      <c r="S674" s="3" t="s">
        <v>398</v>
      </c>
    </row>
    <row r="675" spans="1:19">
      <c r="A675" s="3">
        <v>1667</v>
      </c>
      <c r="B675" s="3" t="b">
        <f>ISNUMBER(MATCH(A675,[1]stockregister!$A$2:$A$2000,0))</f>
        <v>1</v>
      </c>
      <c r="C675" s="3" t="s">
        <v>1564</v>
      </c>
      <c r="D675" s="3" t="str">
        <f>VLOOKUP($C675,[1]stockregister!$B$2:$B$2000,1,0)</f>
        <v>RIGAL ORIGINAL SAUV BLANC 750ML</v>
      </c>
      <c r="E675" s="3" t="str">
        <f>IF(ISNA($D675),VLOOKUP($A675,[2]stockregister!$A$2:$B$2000,2,FALSE),"")</f>
        <v/>
      </c>
      <c r="F675" s="3" t="s">
        <v>21</v>
      </c>
      <c r="G675" s="3">
        <f>_xlfn.IFNA(VLOOKUP($A675,[3]stockregister!$A$2:$L$2000,11,0),0)</f>
        <v>13</v>
      </c>
      <c r="H675" s="3">
        <f>_xlfn.IFNA(VLOOKUP($A675,[3]stockregister!$A$2:$L$2000,11,0),0)-$G675</f>
        <v>0</v>
      </c>
      <c r="I675" s="3">
        <f>_xlfn.IFNA(VLOOKUP($A675,[3]stockregister!$A$2:$L$2000,12,0),0)</f>
        <v>1242</v>
      </c>
      <c r="J675" s="3">
        <f>_xlfn.IFNA(VLOOKUP($A675,[3]stockregister!$A$1:$M$2000,12,0),0)-$I675</f>
        <v>0</v>
      </c>
      <c r="K675" s="3" t="s">
        <v>22</v>
      </c>
      <c r="L675" s="3" t="s">
        <v>23</v>
      </c>
      <c r="M675" s="3">
        <f>_xlfn.IFNA(VLOOKUP($A675,[2]stockregister!$A$2:$H$2000,8,0),0)</f>
        <v>1350</v>
      </c>
      <c r="N675" s="3">
        <f>_xlfn.IFNA(VLOOKUP($A675,[2]stockregister!$A$2:$H$2000,8,0),0)-$M675</f>
        <v>0</v>
      </c>
      <c r="O675" s="3" t="s">
        <v>1565</v>
      </c>
      <c r="P675" s="3" t="s">
        <v>1565</v>
      </c>
      <c r="Q675" s="3" t="s">
        <v>1432</v>
      </c>
      <c r="R675" s="3" t="s">
        <v>68</v>
      </c>
      <c r="S675" s="3" t="s">
        <v>398</v>
      </c>
    </row>
    <row r="676" spans="1:18">
      <c r="A676" s="3">
        <v>3001</v>
      </c>
      <c r="B676" s="3" t="b">
        <f>ISNUMBER(MATCH(A676,[1]stockregister!$A$2:$A$2000,0))</f>
        <v>1</v>
      </c>
      <c r="C676" s="3" t="s">
        <v>1566</v>
      </c>
      <c r="D676" s="3" t="str">
        <f>VLOOKUP($C676,[1]stockregister!$B$2:$B$2000,1,0)</f>
        <v>EARLY TIMES WHISKY 700ML</v>
      </c>
      <c r="E676" s="3" t="str">
        <f>IF(ISNA($D676),VLOOKUP($A676,[2]stockregister!$A$2:$B$2000,2,FALSE),"")</f>
        <v/>
      </c>
      <c r="F676" s="3" t="s">
        <v>21</v>
      </c>
      <c r="G676" s="3">
        <f>_xlfn.IFNA(VLOOKUP($A676,[3]stockregister!$A$2:$L$2000,11,0),0)</f>
        <v>1</v>
      </c>
      <c r="H676" s="3">
        <f>_xlfn.IFNA(VLOOKUP($A676,[3]stockregister!$A$2:$L$2000,11,0),0)-$G676</f>
        <v>0</v>
      </c>
      <c r="I676" s="3">
        <f>_xlfn.IFNA(VLOOKUP($A676,[3]stockregister!$A$2:$L$2000,12,0),0)</f>
        <v>1450</v>
      </c>
      <c r="J676" s="3">
        <f>_xlfn.IFNA(VLOOKUP($A676,[3]stockregister!$A$1:$M$2000,12,0),0)-$I676</f>
        <v>0</v>
      </c>
      <c r="K676" s="3" t="s">
        <v>22</v>
      </c>
      <c r="L676" s="3" t="s">
        <v>23</v>
      </c>
      <c r="M676" s="3">
        <f>_xlfn.IFNA(VLOOKUP($A676,[2]stockregister!$A$2:$H$2000,8,0),0)</f>
        <v>1650</v>
      </c>
      <c r="N676" s="3">
        <f>_xlfn.IFNA(VLOOKUP($A676,[2]stockregister!$A$2:$H$2000,8,0),0)-$M676</f>
        <v>0</v>
      </c>
      <c r="O676" s="3" t="s">
        <v>1567</v>
      </c>
      <c r="P676" s="3" t="s">
        <v>1567</v>
      </c>
      <c r="Q676" s="3" t="s">
        <v>1568</v>
      </c>
      <c r="R676" s="3" t="s">
        <v>92</v>
      </c>
    </row>
    <row r="677" spans="1:19">
      <c r="A677" s="3">
        <v>2161</v>
      </c>
      <c r="B677" s="3" t="b">
        <f>ISNUMBER(MATCH(A677,[1]stockregister!$A$2:$A$2000,0))</f>
        <v>1</v>
      </c>
      <c r="C677" s="3" t="s">
        <v>1569</v>
      </c>
      <c r="D677" s="3" t="str">
        <f>VLOOKUP($C677,[1]stockregister!$B$2:$B$2000,1,0)</f>
        <v>KERINGET SPARKLING WATER 1L</v>
      </c>
      <c r="E677" s="3" t="str">
        <f>IF(ISNA($D677),VLOOKUP($A677,[2]stockregister!$A$2:$B$2000,2,FALSE),"")</f>
        <v/>
      </c>
      <c r="F677" s="3" t="s">
        <v>21</v>
      </c>
      <c r="G677" s="3">
        <f>_xlfn.IFNA(VLOOKUP($A677,[3]stockregister!$A$2:$L$2000,11,0),0)</f>
        <v>0</v>
      </c>
      <c r="H677" s="3">
        <f>_xlfn.IFNA(VLOOKUP($A677,[3]stockregister!$A$2:$L$2000,11,0),0)-$G677</f>
        <v>0</v>
      </c>
      <c r="I677" s="3">
        <f>_xlfn.IFNA(VLOOKUP($A677,[3]stockregister!$A$2:$L$2000,12,0),0)</f>
        <v>96.67</v>
      </c>
      <c r="J677" s="3">
        <f>_xlfn.IFNA(VLOOKUP($A677,[3]stockregister!$A$1:$M$2000,12,0),0)-$I677</f>
        <v>0</v>
      </c>
      <c r="K677" s="3" t="s">
        <v>22</v>
      </c>
      <c r="L677" s="3" t="s">
        <v>23</v>
      </c>
      <c r="M677" s="3">
        <f>_xlfn.IFNA(VLOOKUP($A677,[2]stockregister!$A$2:$H$2000,8,0),0)</f>
        <v>120</v>
      </c>
      <c r="N677" s="3">
        <f>_xlfn.IFNA(VLOOKUP($A677,[2]stockregister!$A$2:$H$2000,8,0),0)-$M677</f>
        <v>0</v>
      </c>
      <c r="O677" s="3" t="s">
        <v>1570</v>
      </c>
      <c r="P677" s="3" t="s">
        <v>1570</v>
      </c>
      <c r="Q677" s="3" t="s">
        <v>566</v>
      </c>
      <c r="R677" s="3" t="s">
        <v>26</v>
      </c>
      <c r="S677" s="3" t="s">
        <v>240</v>
      </c>
    </row>
    <row r="678" spans="1:18">
      <c r="A678" s="3">
        <v>1477</v>
      </c>
      <c r="B678" s="3" t="b">
        <f>ISNUMBER(MATCH(A678,[1]stockregister!$A$2:$A$2000,0))</f>
        <v>1</v>
      </c>
      <c r="C678" s="3" t="s">
        <v>1571</v>
      </c>
      <c r="D678" s="3" t="str">
        <f>VLOOKUP($C678,[1]stockregister!$B$2:$B$2000,1,0)</f>
        <v>MORPHEUS 750ML</v>
      </c>
      <c r="E678" s="3" t="str">
        <f>IF(ISNA($D678),VLOOKUP($A678,[2]stockregister!$A$2:$B$2000,2,FALSE),"")</f>
        <v/>
      </c>
      <c r="F678" s="3" t="s">
        <v>21</v>
      </c>
      <c r="G678" s="3">
        <f>_xlfn.IFNA(VLOOKUP($A678,[3]stockregister!$A$2:$L$2000,11,0),0)</f>
        <v>12</v>
      </c>
      <c r="H678" s="3">
        <f>_xlfn.IFNA(VLOOKUP($A678,[3]stockregister!$A$2:$L$2000,11,0),0)-$G678</f>
        <v>0</v>
      </c>
      <c r="I678" s="3">
        <f>_xlfn.IFNA(VLOOKUP($A678,[3]stockregister!$A$2:$L$2000,12,0),0)</f>
        <v>1000</v>
      </c>
      <c r="J678" s="3">
        <f>_xlfn.IFNA(VLOOKUP($A678,[3]stockregister!$A$1:$M$2000,12,0),0)-$I678</f>
        <v>0</v>
      </c>
      <c r="K678" s="3" t="s">
        <v>22</v>
      </c>
      <c r="L678" s="3" t="s">
        <v>23</v>
      </c>
      <c r="M678" s="3">
        <f>_xlfn.IFNA(VLOOKUP($A678,[2]stockregister!$A$2:$H$2000,8,0),0)</f>
        <v>1200</v>
      </c>
      <c r="N678" s="3">
        <f>_xlfn.IFNA(VLOOKUP($A678,[2]stockregister!$A$2:$H$2000,8,0),0)-$M678</f>
        <v>0</v>
      </c>
      <c r="O678" s="3" t="s">
        <v>1572</v>
      </c>
      <c r="P678" s="3" t="s">
        <v>1572</v>
      </c>
      <c r="Q678" s="3" t="s">
        <v>1573</v>
      </c>
      <c r="R678" s="3" t="s">
        <v>109</v>
      </c>
    </row>
    <row r="679" spans="1:19">
      <c r="A679" s="3">
        <v>1088</v>
      </c>
      <c r="B679" s="3" t="b">
        <f>ISNUMBER(MATCH(A679,[1]stockregister!$A$2:$A$2000,0))</f>
        <v>1</v>
      </c>
      <c r="C679" s="3" t="s">
        <v>1574</v>
      </c>
      <c r="D679" s="3" t="str">
        <f>VLOOKUP($C679,[1]stockregister!$B$2:$B$2000,1,0)</f>
        <v>JJ WHITLEY NEIL PINK CHERRY GIN 750ML</v>
      </c>
      <c r="E679" s="3" t="str">
        <f>IF(ISNA($D679),VLOOKUP($A679,[2]stockregister!$A$2:$B$2000,2,FALSE),"")</f>
        <v/>
      </c>
      <c r="F679" s="3" t="s">
        <v>21</v>
      </c>
      <c r="G679" s="3">
        <f>_xlfn.IFNA(VLOOKUP($A679,[3]stockregister!$A$2:$L$2000,11,0),0)</f>
        <v>12</v>
      </c>
      <c r="H679" s="3">
        <f>_xlfn.IFNA(VLOOKUP($A679,[3]stockregister!$A$2:$L$2000,11,0),0)-$G679</f>
        <v>0</v>
      </c>
      <c r="I679" s="3">
        <f>_xlfn.IFNA(VLOOKUP($A679,[3]stockregister!$A$2:$L$2000,12,0),0)</f>
        <v>2576</v>
      </c>
      <c r="J679" s="3">
        <f>_xlfn.IFNA(VLOOKUP($A679,[3]stockregister!$A$1:$M$2000,12,0),0)-$I679</f>
        <v>0</v>
      </c>
      <c r="K679" s="3" t="s">
        <v>22</v>
      </c>
      <c r="L679" s="3" t="s">
        <v>23</v>
      </c>
      <c r="M679" s="3">
        <f>_xlfn.IFNA(VLOOKUP($A679,[2]stockregister!$A$2:$H$2000,8,0),0)</f>
        <v>2800</v>
      </c>
      <c r="N679" s="3">
        <f>_xlfn.IFNA(VLOOKUP($A679,[2]stockregister!$A$2:$H$2000,8,0),0)-$M679</f>
        <v>0</v>
      </c>
      <c r="O679" s="3" t="s">
        <v>1575</v>
      </c>
      <c r="P679" s="3" t="s">
        <v>1575</v>
      </c>
      <c r="Q679" s="3" t="s">
        <v>1061</v>
      </c>
      <c r="R679" s="3" t="s">
        <v>78</v>
      </c>
      <c r="S679" s="3" t="s">
        <v>1576</v>
      </c>
    </row>
    <row r="680" spans="1:19">
      <c r="A680" s="3">
        <v>2447</v>
      </c>
      <c r="B680" s="3" t="b">
        <f>ISNUMBER(MATCH(A680,[1]stockregister!$A$2:$A$2000,0))</f>
        <v>1</v>
      </c>
      <c r="C680" s="3" t="s">
        <v>1577</v>
      </c>
      <c r="D680" s="3" t="str">
        <f>VLOOKUP($C680,[1]stockregister!$B$2:$B$2000,1,0)</f>
        <v>VALE PINK GIN 750ML</v>
      </c>
      <c r="E680" s="3" t="str">
        <f>IF(ISNA($D680),VLOOKUP($A680,[2]stockregister!$A$2:$B$2000,2,FALSE),"")</f>
        <v/>
      </c>
      <c r="F680" s="3" t="s">
        <v>21</v>
      </c>
      <c r="G680" s="3">
        <f>_xlfn.IFNA(VLOOKUP($A680,[3]stockregister!$A$2:$L$2000,11,0),0)</f>
        <v>12</v>
      </c>
      <c r="H680" s="3">
        <f>_xlfn.IFNA(VLOOKUP($A680,[3]stockregister!$A$2:$L$2000,11,0),0)-$G680</f>
        <v>0</v>
      </c>
      <c r="I680" s="3">
        <f>_xlfn.IFNA(VLOOKUP($A680,[3]stockregister!$A$2:$L$2000,12,0),0)</f>
        <v>4800</v>
      </c>
      <c r="J680" s="3">
        <f>_xlfn.IFNA(VLOOKUP($A680,[3]stockregister!$A$1:$M$2000,12,0),0)-$I680</f>
        <v>0</v>
      </c>
      <c r="K680" s="3" t="s">
        <v>22</v>
      </c>
      <c r="L680" s="3" t="s">
        <v>23</v>
      </c>
      <c r="M680" s="3">
        <f>_xlfn.IFNA(VLOOKUP($A680,[2]stockregister!$A$2:$H$2000,8,0),0)</f>
        <v>5000</v>
      </c>
      <c r="N680" s="3">
        <f>_xlfn.IFNA(VLOOKUP($A680,[2]stockregister!$A$2:$H$2000,8,0),0)-$M680</f>
        <v>0</v>
      </c>
      <c r="O680" s="3" t="s">
        <v>1578</v>
      </c>
      <c r="P680" s="3" t="s">
        <v>1578</v>
      </c>
      <c r="Q680" s="3" t="s">
        <v>1579</v>
      </c>
      <c r="R680" s="3" t="s">
        <v>78</v>
      </c>
      <c r="S680" s="3" t="s">
        <v>1580</v>
      </c>
    </row>
    <row r="681" spans="1:19">
      <c r="A681" s="3">
        <v>2104</v>
      </c>
      <c r="B681" s="3" t="b">
        <f>ISNUMBER(MATCH(A681,[1]stockregister!$A$2:$A$2000,0))</f>
        <v>1</v>
      </c>
      <c r="C681" s="3" t="s">
        <v>366</v>
      </c>
      <c r="D681" s="3" t="str">
        <f>VLOOKUP($C681,[1]stockregister!$B$2:$B$2000,1,0)</f>
        <v>WHITLEY NEILL PROTEA &amp; HIBISCUS GIN 750ML </v>
      </c>
      <c r="E681" s="3" t="str">
        <f>IF(ISNA($D681),VLOOKUP($A681,[2]stockregister!$A$2:$B$2000,2,FALSE),"")</f>
        <v/>
      </c>
      <c r="F681" s="3" t="s">
        <v>21</v>
      </c>
      <c r="G681" s="3">
        <f>_xlfn.IFNA(VLOOKUP($A681,[3]stockregister!$A$2:$L$2000,11,0),0)</f>
        <v>12</v>
      </c>
      <c r="H681" s="3">
        <f>_xlfn.IFNA(VLOOKUP($A681,[3]stockregister!$A$2:$L$2000,11,0),0)-$G681</f>
        <v>0</v>
      </c>
      <c r="I681" s="3">
        <f>_xlfn.IFNA(VLOOKUP($A681,[3]stockregister!$A$2:$L$2000,12,0),0)</f>
        <v>2576</v>
      </c>
      <c r="J681" s="3">
        <f>_xlfn.IFNA(VLOOKUP($A681,[3]stockregister!$A$1:$M$2000,12,0),0)-$I681</f>
        <v>0</v>
      </c>
      <c r="K681" s="3" t="s">
        <v>22</v>
      </c>
      <c r="L681" s="3" t="s">
        <v>23</v>
      </c>
      <c r="M681" s="3">
        <f>_xlfn.IFNA(VLOOKUP($A681,[2]stockregister!$A$2:$H$2000,8,0),0)</f>
        <v>2800</v>
      </c>
      <c r="N681" s="3">
        <f>_xlfn.IFNA(VLOOKUP($A681,[2]stockregister!$A$2:$H$2000,8,0),0)-$M681</f>
        <v>0</v>
      </c>
      <c r="O681" s="3" t="s">
        <v>1581</v>
      </c>
      <c r="P681" s="3" t="s">
        <v>1581</v>
      </c>
      <c r="Q681" s="3" t="s">
        <v>1061</v>
      </c>
      <c r="R681" s="3" t="s">
        <v>78</v>
      </c>
      <c r="S681" s="3" t="s">
        <v>1582</v>
      </c>
    </row>
    <row r="682" spans="1:19">
      <c r="A682" s="3">
        <v>2811</v>
      </c>
      <c r="B682" s="3" t="b">
        <f>ISNUMBER(MATCH(A682,[1]stockregister!$A$2:$A$2000,0))</f>
        <v>1</v>
      </c>
      <c r="C682" s="3" t="s">
        <v>1583</v>
      </c>
      <c r="D682" s="3" t="str">
        <f>VLOOKUP($C682,[1]stockregister!$B$2:$B$2000,1,0)</f>
        <v>BOMBAY SAPPHIRE PREMIER CRU 700ML</v>
      </c>
      <c r="E682" s="3" t="str">
        <f>IF(ISNA($D682),VLOOKUP($A682,[2]stockregister!$A$2:$B$2000,2,FALSE),"")</f>
        <v/>
      </c>
      <c r="F682" s="3" t="s">
        <v>21</v>
      </c>
      <c r="G682" s="3">
        <f>_xlfn.IFNA(VLOOKUP($A682,[3]stockregister!$A$2:$L$2000,11,0),0)</f>
        <v>12</v>
      </c>
      <c r="H682" s="3">
        <f>_xlfn.IFNA(VLOOKUP($A682,[3]stockregister!$A$2:$L$2000,11,0),0)-$G682</f>
        <v>0</v>
      </c>
      <c r="I682" s="3">
        <f>_xlfn.IFNA(VLOOKUP($A682,[3]stockregister!$A$2:$L$2000,12,0),0)</f>
        <v>3100</v>
      </c>
      <c r="J682" s="3">
        <f>_xlfn.IFNA(VLOOKUP($A682,[3]stockregister!$A$1:$M$2000,12,0),0)-$I682</f>
        <v>0</v>
      </c>
      <c r="K682" s="3" t="s">
        <v>22</v>
      </c>
      <c r="L682" s="3" t="s">
        <v>23</v>
      </c>
      <c r="M682" s="3">
        <f>_xlfn.IFNA(VLOOKUP($A682,[2]stockregister!$A$2:$H$2000,8,0),0)</f>
        <v>4000</v>
      </c>
      <c r="N682" s="3">
        <f>_xlfn.IFNA(VLOOKUP($A682,[2]stockregister!$A$2:$H$2000,8,0),0)-$M682</f>
        <v>0</v>
      </c>
      <c r="O682" s="3" t="s">
        <v>1584</v>
      </c>
      <c r="P682" s="3" t="s">
        <v>1584</v>
      </c>
      <c r="Q682" s="3" t="s">
        <v>1585</v>
      </c>
      <c r="R682" s="3" t="s">
        <v>78</v>
      </c>
      <c r="S682" s="3" t="s">
        <v>256</v>
      </c>
    </row>
    <row r="683" spans="1:18">
      <c r="A683" s="3">
        <v>2492</v>
      </c>
      <c r="B683" s="3" t="b">
        <f>ISNUMBER(MATCH(A683,[1]stockregister!$A$2:$A$2000,0))</f>
        <v>1</v>
      </c>
      <c r="C683" s="3" t="s">
        <v>1586</v>
      </c>
      <c r="D683" s="3" t="str">
        <f>VLOOKUP($C683,[1]stockregister!$B$2:$B$2000,1,0)</f>
        <v>VICTORIA STAG GIN 750ML</v>
      </c>
      <c r="E683" s="3" t="str">
        <f>IF(ISNA($D683),VLOOKUP($A683,[2]stockregister!$A$2:$B$2000,2,FALSE),"")</f>
        <v/>
      </c>
      <c r="F683" s="3" t="s">
        <v>21</v>
      </c>
      <c r="G683" s="3">
        <f>_xlfn.IFNA(VLOOKUP($A683,[3]stockregister!$A$2:$L$2000,11,0),0)</f>
        <v>12</v>
      </c>
      <c r="H683" s="3">
        <f>_xlfn.IFNA(VLOOKUP($A683,[3]stockregister!$A$2:$L$2000,11,0),0)-$G683</f>
        <v>0</v>
      </c>
      <c r="I683" s="3">
        <f>_xlfn.IFNA(VLOOKUP($A683,[3]stockregister!$A$2:$L$2000,12,0),0)</f>
        <v>3500</v>
      </c>
      <c r="J683" s="3">
        <f>_xlfn.IFNA(VLOOKUP($A683,[3]stockregister!$A$1:$M$2000,12,0),0)-$I683</f>
        <v>0</v>
      </c>
      <c r="K683" s="3" t="s">
        <v>22</v>
      </c>
      <c r="L683" s="3" t="s">
        <v>23</v>
      </c>
      <c r="M683" s="3">
        <f>_xlfn.IFNA(VLOOKUP($A683,[2]stockregister!$A$2:$H$2000,8,0),0)</f>
        <v>4200</v>
      </c>
      <c r="N683" s="3">
        <f>_xlfn.IFNA(VLOOKUP($A683,[2]stockregister!$A$2:$H$2000,8,0),0)-$M683</f>
        <v>0</v>
      </c>
      <c r="O683" s="3" t="s">
        <v>1587</v>
      </c>
      <c r="P683" s="3" t="s">
        <v>1587</v>
      </c>
      <c r="Q683" s="3" t="s">
        <v>1588</v>
      </c>
      <c r="R683" s="3" t="s">
        <v>78</v>
      </c>
    </row>
    <row r="684" spans="1:18">
      <c r="A684" s="3">
        <v>2819</v>
      </c>
      <c r="B684" s="3" t="b">
        <f>ISNUMBER(MATCH(A684,[1]stockregister!$A$2:$A$2000,0))</f>
        <v>1</v>
      </c>
      <c r="C684" s="3" t="s">
        <v>1589</v>
      </c>
      <c r="D684" s="3" t="str">
        <f>VLOOKUP($C684,[1]stockregister!$B$2:$B$2000,1,0)</f>
        <v>HAYMAN'S SLOE GIN 700ML</v>
      </c>
      <c r="E684" s="3" t="str">
        <f>IF(ISNA($D684),VLOOKUP($A684,[2]stockregister!$A$2:$B$2000,2,FALSE),"")</f>
        <v/>
      </c>
      <c r="F684" s="3" t="s">
        <v>21</v>
      </c>
      <c r="G684" s="3">
        <f>_xlfn.IFNA(VLOOKUP($A684,[3]stockregister!$A$2:$L$2000,11,0),0)</f>
        <v>12</v>
      </c>
      <c r="H684" s="3">
        <f>_xlfn.IFNA(VLOOKUP($A684,[3]stockregister!$A$2:$L$2000,11,0),0)-$G684</f>
        <v>0</v>
      </c>
      <c r="I684" s="3">
        <f>_xlfn.IFNA(VLOOKUP($A684,[3]stockregister!$A$2:$L$2000,12,0),0)</f>
        <v>2426</v>
      </c>
      <c r="J684" s="3">
        <f>_xlfn.IFNA(VLOOKUP($A684,[3]stockregister!$A$1:$M$2000,12,0),0)-$I684</f>
        <v>0</v>
      </c>
      <c r="K684" s="3" t="s">
        <v>22</v>
      </c>
      <c r="L684" s="3" t="s">
        <v>23</v>
      </c>
      <c r="M684" s="3">
        <f>_xlfn.IFNA(VLOOKUP($A684,[2]stockregister!$A$2:$H$2000,8,0),0)</f>
        <v>3150</v>
      </c>
      <c r="N684" s="3">
        <f>_xlfn.IFNA(VLOOKUP($A684,[2]stockregister!$A$2:$H$2000,8,0),0)-$M684</f>
        <v>0</v>
      </c>
      <c r="O684" s="3" t="s">
        <v>1590</v>
      </c>
      <c r="P684" s="3" t="s">
        <v>1590</v>
      </c>
      <c r="Q684" s="3" t="s">
        <v>1395</v>
      </c>
      <c r="R684" s="3" t="s">
        <v>78</v>
      </c>
    </row>
    <row r="685" spans="1:18">
      <c r="A685" s="3">
        <v>835</v>
      </c>
      <c r="B685" s="3" t="b">
        <f>ISNUMBER(MATCH(A685,[1]stockregister!$A$2:$A$2000,0))</f>
        <v>1</v>
      </c>
      <c r="C685" s="3" t="s">
        <v>1591</v>
      </c>
      <c r="D685" s="3" t="str">
        <f>VLOOKUP($C685,[1]stockregister!$B$2:$B$2000,1,0)</f>
        <v>GLEN'S GIN 1LTR</v>
      </c>
      <c r="E685" s="3" t="str">
        <f>IF(ISNA($D685),VLOOKUP($A685,[2]stockregister!$A$2:$B$2000,2,FALSE),"")</f>
        <v/>
      </c>
      <c r="F685" s="3" t="s">
        <v>21</v>
      </c>
      <c r="G685" s="3">
        <f>_xlfn.IFNA(VLOOKUP($A685,[3]stockregister!$A$2:$L$2000,11,0),0)</f>
        <v>12</v>
      </c>
      <c r="H685" s="3">
        <f>_xlfn.IFNA(VLOOKUP($A685,[3]stockregister!$A$2:$L$2000,11,0),0)-$G685</f>
        <v>0</v>
      </c>
      <c r="I685" s="3">
        <f>_xlfn.IFNA(VLOOKUP($A685,[3]stockregister!$A$2:$L$2000,12,0),0)</f>
        <v>1304.56</v>
      </c>
      <c r="J685" s="3">
        <f>_xlfn.IFNA(VLOOKUP($A685,[3]stockregister!$A$1:$M$2000,12,0),0)-$I685</f>
        <v>0</v>
      </c>
      <c r="K685" s="3" t="s">
        <v>22</v>
      </c>
      <c r="L685" s="3" t="s">
        <v>23</v>
      </c>
      <c r="M685" s="3">
        <f>_xlfn.IFNA(VLOOKUP($A685,[2]stockregister!$A$2:$H$2000,8,0),0)</f>
        <v>1418</v>
      </c>
      <c r="N685" s="3">
        <f>_xlfn.IFNA(VLOOKUP($A685,[2]stockregister!$A$2:$H$2000,8,0),0)-$M685</f>
        <v>0</v>
      </c>
      <c r="O685" s="3" t="s">
        <v>1592</v>
      </c>
      <c r="P685" s="3" t="s">
        <v>1592</v>
      </c>
      <c r="Q685" s="3" t="s">
        <v>1593</v>
      </c>
      <c r="R685" s="3" t="s">
        <v>78</v>
      </c>
    </row>
    <row r="686" spans="1:18">
      <c r="A686" s="3">
        <v>1631</v>
      </c>
      <c r="B686" s="3" t="b">
        <f>ISNUMBER(MATCH(A686,[1]stockregister!$A$2:$A$2000,0))</f>
        <v>1</v>
      </c>
      <c r="C686" s="3" t="s">
        <v>1594</v>
      </c>
      <c r="D686" s="3" t="str">
        <f>VLOOKUP($C686,[1]stockregister!$B$2:$B$2000,1,0)</f>
        <v>PLY MOUTH GIN 1LTR</v>
      </c>
      <c r="E686" s="3" t="str">
        <f>IF(ISNA($D686),VLOOKUP($A686,[2]stockregister!$A$2:$B$2000,2,FALSE),"")</f>
        <v/>
      </c>
      <c r="F686" s="3" t="s">
        <v>21</v>
      </c>
      <c r="G686" s="3">
        <f>_xlfn.IFNA(VLOOKUP($A686,[3]stockregister!$A$2:$L$2000,11,0),0)</f>
        <v>12</v>
      </c>
      <c r="H686" s="3">
        <f>_xlfn.IFNA(VLOOKUP($A686,[3]stockregister!$A$2:$L$2000,11,0),0)-$G686</f>
        <v>0</v>
      </c>
      <c r="I686" s="3">
        <f>_xlfn.IFNA(VLOOKUP($A686,[3]stockregister!$A$2:$L$2000,12,0),0)</f>
        <v>5980</v>
      </c>
      <c r="J686" s="3">
        <f>_xlfn.IFNA(VLOOKUP($A686,[3]stockregister!$A$1:$M$2000,12,0),0)-$I686</f>
        <v>0</v>
      </c>
      <c r="K686" s="3" t="s">
        <v>22</v>
      </c>
      <c r="L686" s="3" t="s">
        <v>23</v>
      </c>
      <c r="M686" s="3">
        <f>_xlfn.IFNA(VLOOKUP($A686,[2]stockregister!$A$2:$H$2000,8,0),0)</f>
        <v>6500</v>
      </c>
      <c r="N686" s="3">
        <f>_xlfn.IFNA(VLOOKUP($A686,[2]stockregister!$A$2:$H$2000,8,0),0)-$M686</f>
        <v>0</v>
      </c>
      <c r="O686" s="3" t="s">
        <v>1595</v>
      </c>
      <c r="P686" s="3" t="s">
        <v>1595</v>
      </c>
      <c r="Q686" s="3" t="s">
        <v>1596</v>
      </c>
      <c r="R686" s="3" t="s">
        <v>78</v>
      </c>
    </row>
    <row r="687" spans="1:18">
      <c r="A687" s="3">
        <v>1375</v>
      </c>
      <c r="B687" s="3" t="b">
        <f>ISNUMBER(MATCH(A687,[1]stockregister!$A$2:$A$2000,0))</f>
        <v>1</v>
      </c>
      <c r="C687" s="3" t="s">
        <v>1597</v>
      </c>
      <c r="D687" s="3" t="str">
        <f>VLOOKUP($C687,[1]stockregister!$B$2:$B$2000,1,0)</f>
        <v>MALFY GINS ORIGINAL 750ML</v>
      </c>
      <c r="E687" s="3" t="str">
        <f>IF(ISNA($D687),VLOOKUP($A687,[2]stockregister!$A$2:$B$2000,2,FALSE),"")</f>
        <v/>
      </c>
      <c r="F687" s="3" t="s">
        <v>21</v>
      </c>
      <c r="G687" s="3">
        <f>_xlfn.IFNA(VLOOKUP($A687,[3]stockregister!$A$2:$L$2000,11,0),0)</f>
        <v>12</v>
      </c>
      <c r="H687" s="3">
        <f>_xlfn.IFNA(VLOOKUP($A687,[3]stockregister!$A$2:$L$2000,11,0),0)-$G687</f>
        <v>0</v>
      </c>
      <c r="I687" s="3">
        <f>_xlfn.IFNA(VLOOKUP($A687,[3]stockregister!$A$2:$L$2000,12,0),0)</f>
        <v>2485</v>
      </c>
      <c r="J687" s="3">
        <f>_xlfn.IFNA(VLOOKUP($A687,[3]stockregister!$A$1:$M$2000,12,0),0)-$I687</f>
        <v>0</v>
      </c>
      <c r="K687" s="3" t="s">
        <v>22</v>
      </c>
      <c r="L687" s="3" t="s">
        <v>23</v>
      </c>
      <c r="M687" s="3">
        <f>_xlfn.IFNA(VLOOKUP($A687,[2]stockregister!$A$2:$H$2000,8,0),0)</f>
        <v>3900</v>
      </c>
      <c r="N687" s="3">
        <f>_xlfn.IFNA(VLOOKUP($A687,[2]stockregister!$A$2:$H$2000,8,0),0)-$M687</f>
        <v>0</v>
      </c>
      <c r="O687" s="3" t="s">
        <v>1598</v>
      </c>
      <c r="P687" s="3" t="s">
        <v>1598</v>
      </c>
      <c r="Q687" s="3" t="s">
        <v>1225</v>
      </c>
      <c r="R687" s="3" t="s">
        <v>78</v>
      </c>
    </row>
    <row r="688" spans="1:18">
      <c r="A688" s="3">
        <v>1944</v>
      </c>
      <c r="B688" s="3" t="b">
        <f>ISNUMBER(MATCH(A688,[1]stockregister!$A$2:$A$2000,0))</f>
        <v>1</v>
      </c>
      <c r="C688" s="3" t="s">
        <v>1599</v>
      </c>
      <c r="D688" s="3" t="str">
        <f>VLOOKUP($C688,[1]stockregister!$B$2:$B$2000,1,0)</f>
        <v>TANQUERY - EXPORT 750ML</v>
      </c>
      <c r="E688" s="3" t="str">
        <f>IF(ISNA($D688),VLOOKUP($A688,[2]stockregister!$A$2:$B$2000,2,FALSE),"")</f>
        <v/>
      </c>
      <c r="F688" s="3" t="s">
        <v>21</v>
      </c>
      <c r="G688" s="3">
        <f>_xlfn.IFNA(VLOOKUP($A688,[3]stockregister!$A$2:$L$2000,11,0),0)</f>
        <v>12</v>
      </c>
      <c r="H688" s="3">
        <f>_xlfn.IFNA(VLOOKUP($A688,[3]stockregister!$A$2:$L$2000,11,0),0)-$G688</f>
        <v>0</v>
      </c>
      <c r="I688" s="3">
        <f>_xlfn.IFNA(VLOOKUP($A688,[3]stockregister!$A$2:$L$2000,12,0),0)</f>
        <v>2208</v>
      </c>
      <c r="J688" s="3">
        <f>_xlfn.IFNA(VLOOKUP($A688,[3]stockregister!$A$1:$M$2000,12,0),0)-$I688</f>
        <v>0</v>
      </c>
      <c r="K688" s="3" t="s">
        <v>22</v>
      </c>
      <c r="L688" s="3" t="s">
        <v>23</v>
      </c>
      <c r="M688" s="3">
        <f>_xlfn.IFNA(VLOOKUP($A688,[2]stockregister!$A$2:$H$2000,8,0),0)</f>
        <v>2400</v>
      </c>
      <c r="N688" s="3">
        <f>_xlfn.IFNA(VLOOKUP($A688,[2]stockregister!$A$2:$H$2000,8,0),0)-$M688</f>
        <v>0</v>
      </c>
      <c r="O688" s="3" t="s">
        <v>354</v>
      </c>
      <c r="P688" s="3" t="s">
        <v>354</v>
      </c>
      <c r="Q688" s="3" t="s">
        <v>1600</v>
      </c>
      <c r="R688" s="3" t="s">
        <v>78</v>
      </c>
    </row>
    <row r="689" spans="1:18">
      <c r="A689" s="3">
        <v>885</v>
      </c>
      <c r="B689" s="3" t="b">
        <f>ISNUMBER(MATCH(A689,[1]stockregister!$A$2:$A$2000,0))</f>
        <v>1</v>
      </c>
      <c r="C689" s="3" t="s">
        <v>1601</v>
      </c>
      <c r="D689" s="3" t="str">
        <f>VLOOKUP($C689,[1]stockregister!$B$2:$B$2000,1,0)</f>
        <v>GORDON'S GIN 750ML</v>
      </c>
      <c r="E689" s="3" t="str">
        <f>IF(ISNA($D689),VLOOKUP($A689,[2]stockregister!$A$2:$B$2000,2,FALSE),"")</f>
        <v/>
      </c>
      <c r="F689" s="3" t="s">
        <v>21</v>
      </c>
      <c r="G689" s="3">
        <f>_xlfn.IFNA(VLOOKUP($A689,[3]stockregister!$A$2:$L$2000,11,0),0)</f>
        <v>0</v>
      </c>
      <c r="H689" s="3">
        <f>_xlfn.IFNA(VLOOKUP($A689,[3]stockregister!$A$2:$L$2000,11,0),0)-$G689</f>
        <v>0</v>
      </c>
      <c r="I689" s="3">
        <f>_xlfn.IFNA(VLOOKUP($A689,[3]stockregister!$A$2:$L$2000,12,0),0)</f>
        <v>1600</v>
      </c>
      <c r="J689" s="3">
        <f>_xlfn.IFNA(VLOOKUP($A689,[3]stockregister!$A$1:$M$2000,12,0),0)-$I689</f>
        <v>0</v>
      </c>
      <c r="K689" s="3" t="s">
        <v>22</v>
      </c>
      <c r="L689" s="3" t="s">
        <v>23</v>
      </c>
      <c r="M689" s="3">
        <f>_xlfn.IFNA(VLOOKUP($A689,[2]stockregister!$A$2:$H$2000,8,0),0)</f>
        <v>2000</v>
      </c>
      <c r="N689" s="3">
        <f>_xlfn.IFNA(VLOOKUP($A689,[2]stockregister!$A$2:$H$2000,8,0),0)-$M689</f>
        <v>0</v>
      </c>
      <c r="O689" s="3" t="s">
        <v>1602</v>
      </c>
      <c r="P689" s="3" t="s">
        <v>1602</v>
      </c>
      <c r="Q689" s="3" t="s">
        <v>348</v>
      </c>
      <c r="R689" s="3" t="s">
        <v>78</v>
      </c>
    </row>
    <row r="690" spans="1:18">
      <c r="A690" s="3">
        <v>2841</v>
      </c>
      <c r="B690" s="3" t="b">
        <f>ISNUMBER(MATCH(A690,[1]stockregister!$A$2:$A$2000,0))</f>
        <v>1</v>
      </c>
      <c r="C690" s="3" t="s">
        <v>1603</v>
      </c>
      <c r="D690" s="3" t="str">
        <f>VLOOKUP($C690,[1]stockregister!$B$2:$B$2000,1,0)</f>
        <v>DRUMSHANBO GUN POWDER ORIENTAL BOTANICAL 700ML</v>
      </c>
      <c r="E690" s="3" t="str">
        <f>IF(ISNA($D690),VLOOKUP($A690,[2]stockregister!$A$2:$B$2000,2,FALSE),"")</f>
        <v/>
      </c>
      <c r="F690" s="3" t="s">
        <v>21</v>
      </c>
      <c r="G690" s="3">
        <f>_xlfn.IFNA(VLOOKUP($A690,[3]stockregister!$A$2:$L$2000,11,0),0)</f>
        <v>12</v>
      </c>
      <c r="H690" s="3">
        <f>_xlfn.IFNA(VLOOKUP($A690,[3]stockregister!$A$2:$L$2000,11,0),0)-$G690</f>
        <v>0</v>
      </c>
      <c r="I690" s="3">
        <f>_xlfn.IFNA(VLOOKUP($A690,[3]stockregister!$A$2:$L$2000,12,0),0)</f>
        <v>3500</v>
      </c>
      <c r="J690" s="3">
        <f>_xlfn.IFNA(VLOOKUP($A690,[3]stockregister!$A$1:$M$2000,12,0),0)-$I690</f>
        <v>0</v>
      </c>
      <c r="K690" s="3" t="s">
        <v>22</v>
      </c>
      <c r="L690" s="3" t="s">
        <v>23</v>
      </c>
      <c r="M690" s="3">
        <f>_xlfn.IFNA(VLOOKUP($A690,[2]stockregister!$A$2:$H$2000,8,0),0)</f>
        <v>4500</v>
      </c>
      <c r="N690" s="3">
        <f>_xlfn.IFNA(VLOOKUP($A690,[2]stockregister!$A$2:$H$2000,8,0),0)-$M690</f>
        <v>0</v>
      </c>
      <c r="O690" s="3" t="s">
        <v>1604</v>
      </c>
      <c r="P690" s="3" t="s">
        <v>1604</v>
      </c>
      <c r="Q690" s="3" t="s">
        <v>1605</v>
      </c>
      <c r="R690" s="3" t="s">
        <v>78</v>
      </c>
    </row>
    <row r="691" spans="1:18">
      <c r="A691" s="3">
        <v>902</v>
      </c>
      <c r="B691" s="3" t="b">
        <f>ISNUMBER(MATCH(A691,[1]stockregister!$A$2:$A$2000,0))</f>
        <v>1</v>
      </c>
      <c r="C691" s="3" t="s">
        <v>1606</v>
      </c>
      <c r="D691" s="3" t="str">
        <f>VLOOKUP($C691,[1]stockregister!$B$2:$B$2000,1,0)</f>
        <v>GRAND MARNIER 350ML</v>
      </c>
      <c r="E691" s="3" t="str">
        <f>IF(ISNA($D691),VLOOKUP($A691,[2]stockregister!$A$2:$B$2000,2,FALSE),"")</f>
        <v/>
      </c>
      <c r="F691" s="3" t="s">
        <v>21</v>
      </c>
      <c r="G691" s="3">
        <f>_xlfn.IFNA(VLOOKUP($A691,[3]stockregister!$A$2:$L$2000,11,0),0)</f>
        <v>12</v>
      </c>
      <c r="H691" s="3">
        <f>_xlfn.IFNA(VLOOKUP($A691,[3]stockregister!$A$2:$L$2000,11,0),0)-$G691</f>
        <v>0</v>
      </c>
      <c r="I691" s="3">
        <f>_xlfn.IFNA(VLOOKUP($A691,[3]stockregister!$A$2:$L$2000,12,0),0)</f>
        <v>1840</v>
      </c>
      <c r="J691" s="3">
        <f>_xlfn.IFNA(VLOOKUP($A691,[3]stockregister!$A$1:$M$2000,12,0),0)-$I691</f>
        <v>0</v>
      </c>
      <c r="K691" s="3" t="s">
        <v>22</v>
      </c>
      <c r="L691" s="3" t="s">
        <v>23</v>
      </c>
      <c r="M691" s="3">
        <f>_xlfn.IFNA(VLOOKUP($A691,[2]stockregister!$A$2:$H$2000,8,0),0)</f>
        <v>2000</v>
      </c>
      <c r="N691" s="3">
        <f>_xlfn.IFNA(VLOOKUP($A691,[2]stockregister!$A$2:$H$2000,8,0),0)-$M691</f>
        <v>0</v>
      </c>
      <c r="O691" s="3" t="s">
        <v>1607</v>
      </c>
      <c r="P691" s="3" t="s">
        <v>1607</v>
      </c>
      <c r="Q691" s="3" t="s">
        <v>1608</v>
      </c>
      <c r="R691" s="3" t="s">
        <v>126</v>
      </c>
    </row>
    <row r="692" spans="1:19">
      <c r="A692" s="3">
        <v>380</v>
      </c>
      <c r="B692" s="3" t="b">
        <f>ISNUMBER(MATCH(A692,[1]stockregister!$A$2:$A$2000,0))</f>
        <v>1</v>
      </c>
      <c r="C692" s="3" t="s">
        <v>1609</v>
      </c>
      <c r="D692" s="3" t="str">
        <f>VLOOKUP($C692,[1]stockregister!$B$2:$B$2000,1,0)</f>
        <v>CAPTAIN MORGAN WHITE RUM 1LTR</v>
      </c>
      <c r="E692" s="3" t="str">
        <f>IF(ISNA($D692),VLOOKUP($A692,[2]stockregister!$A$2:$B$2000,2,FALSE),"")</f>
        <v/>
      </c>
      <c r="F692" s="3" t="s">
        <v>21</v>
      </c>
      <c r="G692" s="3">
        <f>_xlfn.IFNA(VLOOKUP($A692,[3]stockregister!$A$2:$L$2000,11,0),0)</f>
        <v>12</v>
      </c>
      <c r="H692" s="3">
        <f>_xlfn.IFNA(VLOOKUP($A692,[3]stockregister!$A$2:$L$2000,11,0),0)-$G692</f>
        <v>0</v>
      </c>
      <c r="I692" s="3">
        <f>_xlfn.IFNA(VLOOKUP($A692,[3]stockregister!$A$2:$L$2000,12,0),0)</f>
        <v>1748</v>
      </c>
      <c r="J692" s="3">
        <f>_xlfn.IFNA(VLOOKUP($A692,[3]stockregister!$A$1:$M$2000,12,0),0)-$I692</f>
        <v>0</v>
      </c>
      <c r="K692" s="3" t="s">
        <v>22</v>
      </c>
      <c r="L692" s="3" t="s">
        <v>23</v>
      </c>
      <c r="M692" s="3">
        <f>_xlfn.IFNA(VLOOKUP($A692,[2]stockregister!$A$2:$H$2000,8,0),0)</f>
        <v>1900</v>
      </c>
      <c r="N692" s="3">
        <f>_xlfn.IFNA(VLOOKUP($A692,[2]stockregister!$A$2:$H$2000,8,0),0)-$M692</f>
        <v>0</v>
      </c>
      <c r="O692" s="3" t="s">
        <v>1610</v>
      </c>
      <c r="P692" s="3" t="s">
        <v>1610</v>
      </c>
      <c r="Q692" s="3" t="s">
        <v>704</v>
      </c>
      <c r="R692" s="3" t="s">
        <v>156</v>
      </c>
      <c r="S692" s="3" t="s">
        <v>297</v>
      </c>
    </row>
    <row r="693" spans="1:18">
      <c r="A693" s="3">
        <v>1648</v>
      </c>
      <c r="B693" s="3" t="b">
        <f>ISNUMBER(MATCH(A693,[1]stockregister!$A$2:$A$2000,0))</f>
        <v>1</v>
      </c>
      <c r="C693" s="3" t="s">
        <v>1611</v>
      </c>
      <c r="D693" s="3" t="str">
        <f>VLOOKUP($C693,[1]stockregister!$B$2:$B$2000,1,0)</f>
        <v>RED HEART 750ML</v>
      </c>
      <c r="E693" s="3" t="str">
        <f>IF(ISNA($D693),VLOOKUP($A693,[2]stockregister!$A$2:$B$2000,2,FALSE),"")</f>
        <v/>
      </c>
      <c r="F693" s="3" t="s">
        <v>21</v>
      </c>
      <c r="G693" s="3">
        <f>_xlfn.IFNA(VLOOKUP($A693,[3]stockregister!$A$2:$L$2000,11,0),0)</f>
        <v>12</v>
      </c>
      <c r="H693" s="3">
        <f>_xlfn.IFNA(VLOOKUP($A693,[3]stockregister!$A$2:$L$2000,11,0),0)-$G693</f>
        <v>0</v>
      </c>
      <c r="I693" s="3">
        <f>_xlfn.IFNA(VLOOKUP($A693,[3]stockregister!$A$2:$L$2000,12,0),0)</f>
        <v>1300</v>
      </c>
      <c r="J693" s="3">
        <f>_xlfn.IFNA(VLOOKUP($A693,[3]stockregister!$A$1:$M$2000,12,0),0)-$I693</f>
        <v>0</v>
      </c>
      <c r="K693" s="3" t="s">
        <v>22</v>
      </c>
      <c r="L693" s="3" t="s">
        <v>23</v>
      </c>
      <c r="M693" s="3">
        <f>_xlfn.IFNA(VLOOKUP($A693,[2]stockregister!$A$2:$H$2000,8,0),0)</f>
        <v>1500</v>
      </c>
      <c r="N693" s="3">
        <f>_xlfn.IFNA(VLOOKUP($A693,[2]stockregister!$A$2:$H$2000,8,0),0)-$M693</f>
        <v>0</v>
      </c>
      <c r="O693" s="3" t="s">
        <v>1612</v>
      </c>
      <c r="P693" s="3" t="s">
        <v>1612</v>
      </c>
      <c r="Q693" s="3" t="s">
        <v>1613</v>
      </c>
      <c r="R693" s="3" t="s">
        <v>156</v>
      </c>
    </row>
    <row r="694" spans="1:18">
      <c r="A694" s="3">
        <v>2324</v>
      </c>
      <c r="B694" s="3" t="b">
        <f>ISNUMBER(MATCH(A694,[1]stockregister!$A$2:$A$2000,0))</f>
        <v>1</v>
      </c>
      <c r="C694" s="3" t="s">
        <v>1614</v>
      </c>
      <c r="D694" s="3" t="str">
        <f>VLOOKUP($C694,[1]stockregister!$B$2:$B$2000,1,0)</f>
        <v>NEGRITA BARDINET WHITE 700ML</v>
      </c>
      <c r="E694" s="3" t="str">
        <f>IF(ISNA($D694),VLOOKUP($A694,[2]stockregister!$A$2:$B$2000,2,FALSE),"")</f>
        <v/>
      </c>
      <c r="F694" s="3" t="s">
        <v>21</v>
      </c>
      <c r="G694" s="3">
        <f>_xlfn.IFNA(VLOOKUP($A694,[3]stockregister!$A$2:$L$2000,11,0),0)</f>
        <v>12</v>
      </c>
      <c r="H694" s="3">
        <f>_xlfn.IFNA(VLOOKUP($A694,[3]stockregister!$A$2:$L$2000,11,0),0)-$G694</f>
        <v>0</v>
      </c>
      <c r="I694" s="3">
        <f>_xlfn.IFNA(VLOOKUP($A694,[3]stockregister!$A$2:$L$2000,12,0),0)</f>
        <v>1200</v>
      </c>
      <c r="J694" s="3">
        <f>_xlfn.IFNA(VLOOKUP($A694,[3]stockregister!$A$1:$M$2000,12,0),0)-$I694</f>
        <v>0</v>
      </c>
      <c r="K694" s="3" t="s">
        <v>22</v>
      </c>
      <c r="L694" s="3" t="s">
        <v>23</v>
      </c>
      <c r="M694" s="3">
        <f>_xlfn.IFNA(VLOOKUP($A694,[2]stockregister!$A$2:$H$2000,8,0),0)</f>
        <v>1300</v>
      </c>
      <c r="N694" s="3">
        <f>_xlfn.IFNA(VLOOKUP($A694,[2]stockregister!$A$2:$H$2000,8,0),0)-$M694</f>
        <v>0</v>
      </c>
      <c r="O694" s="3" t="s">
        <v>1615</v>
      </c>
      <c r="P694" s="3" t="s">
        <v>1615</v>
      </c>
      <c r="Q694" s="3" t="s">
        <v>1616</v>
      </c>
      <c r="R694" s="3" t="s">
        <v>156</v>
      </c>
    </row>
    <row r="695" spans="1:19">
      <c r="A695" s="3">
        <v>2472</v>
      </c>
      <c r="B695" s="3" t="b">
        <f>ISNUMBER(MATCH(A695,[1]stockregister!$A$2:$A$2000,0))</f>
        <v>1</v>
      </c>
      <c r="C695" s="3" t="s">
        <v>1617</v>
      </c>
      <c r="D695" s="3" t="str">
        <f>VLOOKUP($C695,[1]stockregister!$B$2:$B$2000,1,0)</f>
        <v>CIROC PEACH 700ML</v>
      </c>
      <c r="E695" s="3" t="str">
        <f>IF(ISNA($D695),VLOOKUP($A695,[2]stockregister!$A$2:$B$2000,2,FALSE),"")</f>
        <v/>
      </c>
      <c r="F695" s="3" t="s">
        <v>21</v>
      </c>
      <c r="G695" s="3">
        <f>_xlfn.IFNA(VLOOKUP($A695,[3]stockregister!$A$2:$L$2000,11,0),0)</f>
        <v>12</v>
      </c>
      <c r="H695" s="3">
        <f>_xlfn.IFNA(VLOOKUP($A695,[3]stockregister!$A$2:$L$2000,11,0),0)-$G695</f>
        <v>0</v>
      </c>
      <c r="I695" s="3">
        <f>_xlfn.IFNA(VLOOKUP($A695,[3]stockregister!$A$2:$L$2000,12,0),0)</f>
        <v>3160</v>
      </c>
      <c r="J695" s="3">
        <f>_xlfn.IFNA(VLOOKUP($A695,[3]stockregister!$A$1:$M$2000,12,0),0)-$I695</f>
        <v>0</v>
      </c>
      <c r="K695" s="3" t="s">
        <v>22</v>
      </c>
      <c r="L695" s="3" t="s">
        <v>23</v>
      </c>
      <c r="M695" s="3">
        <f>_xlfn.IFNA(VLOOKUP($A695,[2]stockregister!$A$2:$H$2000,8,0),0)</f>
        <v>3950</v>
      </c>
      <c r="N695" s="3">
        <f>_xlfn.IFNA(VLOOKUP($A695,[2]stockregister!$A$2:$H$2000,8,0),0)-$M695</f>
        <v>0</v>
      </c>
      <c r="O695" s="3" t="s">
        <v>1618</v>
      </c>
      <c r="P695" s="3" t="s">
        <v>1618</v>
      </c>
      <c r="Q695" s="3" t="s">
        <v>655</v>
      </c>
      <c r="R695" s="3" t="s">
        <v>318</v>
      </c>
      <c r="S695" s="3" t="s">
        <v>647</v>
      </c>
    </row>
    <row r="696" spans="1:19">
      <c r="A696" s="3">
        <v>51</v>
      </c>
      <c r="B696" s="3" t="b">
        <f>ISNUMBER(MATCH(A696,[1]stockregister!$A$2:$A$2000,0))</f>
        <v>1</v>
      </c>
      <c r="C696" s="3" t="s">
        <v>1619</v>
      </c>
      <c r="D696" s="3" t="str">
        <f>VLOOKUP($C696,[1]stockregister!$B$2:$B$2000,1,0)</f>
        <v>ABSOLUT PEPPAR VODKA 1LTR</v>
      </c>
      <c r="E696" s="3" t="str">
        <f>IF(ISNA($D696),VLOOKUP($A696,[2]stockregister!$A$2:$B$2000,2,FALSE),"")</f>
        <v/>
      </c>
      <c r="F696" s="3" t="s">
        <v>21</v>
      </c>
      <c r="G696" s="3">
        <f>_xlfn.IFNA(VLOOKUP($A696,[3]stockregister!$A$2:$L$2000,11,0),0)</f>
        <v>12</v>
      </c>
      <c r="H696" s="3">
        <f>_xlfn.IFNA(VLOOKUP($A696,[3]stockregister!$A$2:$L$2000,11,0),0)-$G696</f>
        <v>0</v>
      </c>
      <c r="I696" s="3">
        <f>_xlfn.IFNA(VLOOKUP($A696,[3]stockregister!$A$2:$L$2000,12,0),0)</f>
        <v>2024</v>
      </c>
      <c r="J696" s="3">
        <f>_xlfn.IFNA(VLOOKUP($A696,[3]stockregister!$A$1:$M$2000,12,0),0)-$I696</f>
        <v>0</v>
      </c>
      <c r="K696" s="3" t="s">
        <v>22</v>
      </c>
      <c r="L696" s="3" t="s">
        <v>23</v>
      </c>
      <c r="M696" s="3">
        <f>_xlfn.IFNA(VLOOKUP($A696,[2]stockregister!$A$2:$H$2000,8,0),0)</f>
        <v>2200</v>
      </c>
      <c r="N696" s="3">
        <f>_xlfn.IFNA(VLOOKUP($A696,[2]stockregister!$A$2:$H$2000,8,0),0)-$M696</f>
        <v>0</v>
      </c>
      <c r="O696" s="3" t="s">
        <v>1620</v>
      </c>
      <c r="P696" s="3" t="s">
        <v>1620</v>
      </c>
      <c r="Q696" s="3" t="s">
        <v>447</v>
      </c>
      <c r="R696" s="3" t="s">
        <v>318</v>
      </c>
      <c r="S696" s="3" t="s">
        <v>1621</v>
      </c>
    </row>
    <row r="697" spans="1:19">
      <c r="A697" s="3">
        <v>2871</v>
      </c>
      <c r="B697" s="3" t="b">
        <f>ISNUMBER(MATCH(A697,[1]stockregister!$A$2:$A$2000,0))</f>
        <v>1</v>
      </c>
      <c r="C697" s="3" t="s">
        <v>1622</v>
      </c>
      <c r="D697" s="3" t="str">
        <f>VLOOKUP($C697,[1]stockregister!$B$2:$B$2000,1,0)</f>
        <v>AMRUT SINGLE MALT WHISKY 700ML</v>
      </c>
      <c r="E697" s="3" t="str">
        <f>IF(ISNA($D697),VLOOKUP($A697,[2]stockregister!$A$2:$B$2000,2,FALSE),"")</f>
        <v/>
      </c>
      <c r="F697" s="3" t="s">
        <v>21</v>
      </c>
      <c r="G697" s="3">
        <f>_xlfn.IFNA(VLOOKUP($A697,[3]stockregister!$A$2:$L$2000,11,0),0)</f>
        <v>12</v>
      </c>
      <c r="H697" s="3">
        <f>_xlfn.IFNA(VLOOKUP($A697,[3]stockregister!$A$2:$L$2000,11,0),0)-$G697</f>
        <v>0</v>
      </c>
      <c r="I697" s="3">
        <f>_xlfn.IFNA(VLOOKUP($A697,[3]stockregister!$A$2:$L$2000,12,0),0)</f>
        <v>7899</v>
      </c>
      <c r="J697" s="3">
        <f>_xlfn.IFNA(VLOOKUP($A697,[3]stockregister!$A$1:$M$2000,12,0),0)-$I697</f>
        <v>0</v>
      </c>
      <c r="K697" s="3" t="s">
        <v>22</v>
      </c>
      <c r="L697" s="3" t="s">
        <v>23</v>
      </c>
      <c r="M697" s="3">
        <f>_xlfn.IFNA(VLOOKUP($A697,[2]stockregister!$A$2:$H$2000,8,0),0)</f>
        <v>8500</v>
      </c>
      <c r="N697" s="3">
        <f>_xlfn.IFNA(VLOOKUP($A697,[2]stockregister!$A$2:$H$2000,8,0),0)-$M697</f>
        <v>0</v>
      </c>
      <c r="O697" s="3" t="s">
        <v>1623</v>
      </c>
      <c r="P697" s="3" t="s">
        <v>1623</v>
      </c>
      <c r="Q697" s="3" t="s">
        <v>1624</v>
      </c>
      <c r="R697" s="3" t="s">
        <v>113</v>
      </c>
      <c r="S697" s="3" t="s">
        <v>114</v>
      </c>
    </row>
    <row r="698" spans="1:20">
      <c r="A698" s="3">
        <v>869</v>
      </c>
      <c r="B698" s="3" t="b">
        <f>ISNUMBER(MATCH(A698,[1]stockregister!$A$2:$A$2000,0))</f>
        <v>1</v>
      </c>
      <c r="C698" s="3" t="s">
        <v>370</v>
      </c>
      <c r="D698" s="3" t="str">
        <f>VLOOKUP($C698,[1]stockregister!$B$2:$B$2000,1,0)</f>
        <v>GLENMORANGIE 18YRS WHISKY EXTREME  700ML</v>
      </c>
      <c r="E698" s="3" t="str">
        <f>IF(ISNA($D698),VLOOKUP($A698,[2]stockregister!$A$2:$B$2000,2,FALSE),"")</f>
        <v/>
      </c>
      <c r="F698" s="3" t="s">
        <v>21</v>
      </c>
      <c r="G698" s="3">
        <f>_xlfn.IFNA(VLOOKUP($A698,[3]stockregister!$A$2:$L$2000,11,0),0)</f>
        <v>12</v>
      </c>
      <c r="H698" s="3">
        <f>_xlfn.IFNA(VLOOKUP($A698,[3]stockregister!$A$2:$L$2000,11,0),0)-$G698</f>
        <v>0</v>
      </c>
      <c r="I698" s="3">
        <f>_xlfn.IFNA(VLOOKUP($A698,[3]stockregister!$A$2:$L$2000,12,0),0)</f>
        <v>11960</v>
      </c>
      <c r="J698" s="3">
        <f>_xlfn.IFNA(VLOOKUP($A698,[3]stockregister!$A$1:$M$2000,12,0),0)-$I698</f>
        <v>0</v>
      </c>
      <c r="K698" s="3" t="s">
        <v>22</v>
      </c>
      <c r="L698" s="3" t="s">
        <v>23</v>
      </c>
      <c r="M698" s="3">
        <f>_xlfn.IFNA(VLOOKUP($A698,[2]stockregister!$A$2:$H$2000,8,0),0)</f>
        <v>14300</v>
      </c>
      <c r="N698" s="3">
        <f>_xlfn.IFNA(VLOOKUP($A698,[2]stockregister!$A$2:$H$2000,8,0),0)-$M698</f>
        <v>0</v>
      </c>
      <c r="O698" s="3" t="s">
        <v>1625</v>
      </c>
      <c r="P698" s="3" t="s">
        <v>1625</v>
      </c>
      <c r="Q698" s="3" t="s">
        <v>780</v>
      </c>
      <c r="R698" s="3" t="s">
        <v>113</v>
      </c>
      <c r="S698" s="3" t="s">
        <v>114</v>
      </c>
      <c r="T698" s="3">
        <v>18</v>
      </c>
    </row>
    <row r="699" spans="1:19">
      <c r="A699" s="3">
        <v>167</v>
      </c>
      <c r="B699" s="3" t="b">
        <f>ISNUMBER(MATCH(A699,[1]stockregister!$A$2:$A$2000,0))</f>
        <v>1</v>
      </c>
      <c r="C699" s="3" t="s">
        <v>1626</v>
      </c>
      <c r="D699" s="3" t="str">
        <f>VLOOKUP($C699,[1]stockregister!$B$2:$B$2000,1,0)</f>
        <v>BALLANTINES FINEST WHISKY 1LTR</v>
      </c>
      <c r="E699" s="3" t="str">
        <f>IF(ISNA($D699),VLOOKUP($A699,[2]stockregister!$A$2:$B$2000,2,FALSE),"")</f>
        <v/>
      </c>
      <c r="F699" s="3" t="s">
        <v>21</v>
      </c>
      <c r="G699" s="3">
        <f>_xlfn.IFNA(VLOOKUP($A699,[3]stockregister!$A$2:$L$2000,11,0),0)</f>
        <v>0</v>
      </c>
      <c r="H699" s="3">
        <f>_xlfn.IFNA(VLOOKUP($A699,[3]stockregister!$A$2:$L$2000,11,0),0)-$G699</f>
        <v>0</v>
      </c>
      <c r="I699" s="3">
        <f>_xlfn.IFNA(VLOOKUP($A699,[3]stockregister!$A$2:$L$2000,12,0),0)</f>
        <v>2100</v>
      </c>
      <c r="J699" s="3">
        <f>_xlfn.IFNA(VLOOKUP($A699,[3]stockregister!$A$1:$M$2000,12,0),0)-$I699</f>
        <v>0</v>
      </c>
      <c r="K699" s="3" t="s">
        <v>22</v>
      </c>
      <c r="L699" s="3" t="s">
        <v>23</v>
      </c>
      <c r="M699" s="3">
        <f>_xlfn.IFNA(VLOOKUP($A699,[2]stockregister!$A$2:$H$2000,8,0),0)</f>
        <v>2300</v>
      </c>
      <c r="N699" s="3">
        <f>_xlfn.IFNA(VLOOKUP($A699,[2]stockregister!$A$2:$H$2000,8,0),0)-$M699</f>
        <v>0</v>
      </c>
      <c r="O699" s="3" t="s">
        <v>1627</v>
      </c>
      <c r="P699" s="3" t="s">
        <v>1627</v>
      </c>
      <c r="Q699" s="3" t="s">
        <v>701</v>
      </c>
      <c r="R699" s="3" t="s">
        <v>92</v>
      </c>
      <c r="S699" s="3" t="s">
        <v>114</v>
      </c>
    </row>
    <row r="700" spans="1:19">
      <c r="A700" s="3">
        <v>2575</v>
      </c>
      <c r="B700" s="3" t="b">
        <f>ISNUMBER(MATCH(A700,[1]stockregister!$A$2:$A$2000,0))</f>
        <v>1</v>
      </c>
      <c r="C700" s="3" t="s">
        <v>1628</v>
      </c>
      <c r="D700" s="3" t="str">
        <f>VLOOKUP($C700,[1]stockregister!$B$2:$B$2000,1,0)</f>
        <v>BALLANTINE BRASIL 750ML</v>
      </c>
      <c r="E700" s="3" t="str">
        <f>IF(ISNA($D700),VLOOKUP($A700,[2]stockregister!$A$2:$B$2000,2,FALSE),"")</f>
        <v/>
      </c>
      <c r="F700" s="3" t="s">
        <v>21</v>
      </c>
      <c r="G700" s="3">
        <f>_xlfn.IFNA(VLOOKUP($A700,[3]stockregister!$A$2:$L$2000,11,0),0)</f>
        <v>12</v>
      </c>
      <c r="H700" s="3">
        <f>_xlfn.IFNA(VLOOKUP($A700,[3]stockregister!$A$2:$L$2000,11,0),0)-$G700</f>
        <v>0</v>
      </c>
      <c r="I700" s="3">
        <f>_xlfn.IFNA(VLOOKUP($A700,[3]stockregister!$A$2:$L$2000,12,0),0)</f>
        <v>1520</v>
      </c>
      <c r="J700" s="3">
        <f>_xlfn.IFNA(VLOOKUP($A700,[3]stockregister!$A$1:$M$2000,12,0),0)-$I700</f>
        <v>0</v>
      </c>
      <c r="K700" s="3" t="s">
        <v>22</v>
      </c>
      <c r="L700" s="3" t="s">
        <v>23</v>
      </c>
      <c r="M700" s="3">
        <f>_xlfn.IFNA(VLOOKUP($A700,[2]stockregister!$A$2:$H$2000,8,0),0)</f>
        <v>2000</v>
      </c>
      <c r="N700" s="3">
        <f>_xlfn.IFNA(VLOOKUP($A700,[2]stockregister!$A$2:$H$2000,8,0),0)-$M700</f>
        <v>0</v>
      </c>
      <c r="O700" s="3" t="s">
        <v>1629</v>
      </c>
      <c r="P700" s="3" t="s">
        <v>1629</v>
      </c>
      <c r="Q700" s="3" t="s">
        <v>701</v>
      </c>
      <c r="R700" s="3" t="s">
        <v>113</v>
      </c>
      <c r="S700" s="3" t="s">
        <v>114</v>
      </c>
    </row>
    <row r="701" spans="1:19">
      <c r="A701" s="3">
        <v>2488</v>
      </c>
      <c r="B701" s="3" t="b">
        <f>ISNUMBER(MATCH(A701,[1]stockregister!$A$2:$A$2000,0))</f>
        <v>1</v>
      </c>
      <c r="C701" s="3" t="s">
        <v>374</v>
      </c>
      <c r="D701" s="3" t="str">
        <f>VLOOKUP($C701,[1]stockregister!$B$2:$B$2000,1,0)</f>
        <v>JOHNNIE WALKER BLUE LABEL GHOST &amp; RARE 750ML</v>
      </c>
      <c r="E701" s="3" t="str">
        <f>IF(ISNA($D701),VLOOKUP($A701,[2]stockregister!$A$2:$B$2000,2,FALSE),"")</f>
        <v/>
      </c>
      <c r="F701" s="3" t="s">
        <v>21</v>
      </c>
      <c r="G701" s="3">
        <f>_xlfn.IFNA(VLOOKUP($A701,[3]stockregister!$A$2:$L$2000,11,0),0)</f>
        <v>12</v>
      </c>
      <c r="H701" s="3">
        <f>_xlfn.IFNA(VLOOKUP($A701,[3]stockregister!$A$2:$L$2000,11,0),0)-$G701</f>
        <v>0</v>
      </c>
      <c r="I701" s="3">
        <f>_xlfn.IFNA(VLOOKUP($A701,[3]stockregister!$A$2:$L$2000,12,0),0)</f>
        <v>45000</v>
      </c>
      <c r="J701" s="3">
        <f>_xlfn.IFNA(VLOOKUP($A701,[3]stockregister!$A$1:$M$2000,12,0),0)-$I701</f>
        <v>0</v>
      </c>
      <c r="K701" s="3" t="s">
        <v>22</v>
      </c>
      <c r="L701" s="3" t="s">
        <v>23</v>
      </c>
      <c r="M701" s="3">
        <f>_xlfn.IFNA(VLOOKUP($A701,[2]stockregister!$A$2:$H$2000,8,0),0)</f>
        <v>48000</v>
      </c>
      <c r="N701" s="3">
        <f>_xlfn.IFNA(VLOOKUP($A701,[2]stockregister!$A$2:$H$2000,8,0),0)-$M701</f>
        <v>0</v>
      </c>
      <c r="O701" s="3" t="s">
        <v>1630</v>
      </c>
      <c r="P701" s="3" t="s">
        <v>1630</v>
      </c>
      <c r="Q701" s="3" t="s">
        <v>687</v>
      </c>
      <c r="R701" s="3" t="s">
        <v>113</v>
      </c>
      <c r="S701" s="3" t="s">
        <v>114</v>
      </c>
    </row>
    <row r="702" spans="1:19">
      <c r="A702" s="3">
        <v>2825</v>
      </c>
      <c r="B702" s="3" t="b">
        <f>ISNUMBER(MATCH(A702,[1]stockregister!$A$2:$A$2000,0))</f>
        <v>1</v>
      </c>
      <c r="C702" s="3" t="s">
        <v>1631</v>
      </c>
      <c r="D702" s="3" t="str">
        <f>VLOOKUP($C702,[1]stockregister!$B$2:$B$2000,1,0)</f>
        <v>SAZERAC RYE 700ML</v>
      </c>
      <c r="E702" s="3" t="str">
        <f>IF(ISNA($D702),VLOOKUP($A702,[2]stockregister!$A$2:$B$2000,2,FALSE),"")</f>
        <v/>
      </c>
      <c r="F702" s="3" t="s">
        <v>21</v>
      </c>
      <c r="G702" s="3">
        <f>_xlfn.IFNA(VLOOKUP($A702,[3]stockregister!$A$2:$L$2000,11,0),0)</f>
        <v>12</v>
      </c>
      <c r="H702" s="3">
        <f>_xlfn.IFNA(VLOOKUP($A702,[3]stockregister!$A$2:$L$2000,11,0),0)-$G702</f>
        <v>0</v>
      </c>
      <c r="I702" s="3">
        <f>_xlfn.IFNA(VLOOKUP($A702,[3]stockregister!$A$2:$L$2000,12,0),0)</f>
        <v>2600</v>
      </c>
      <c r="J702" s="3">
        <f>_xlfn.IFNA(VLOOKUP($A702,[3]stockregister!$A$1:$M$2000,12,0),0)-$I702</f>
        <v>0</v>
      </c>
      <c r="K702" s="3" t="s">
        <v>22</v>
      </c>
      <c r="L702" s="3" t="s">
        <v>23</v>
      </c>
      <c r="M702" s="3">
        <f>_xlfn.IFNA(VLOOKUP($A702,[2]stockregister!$A$2:$H$2000,8,0),0)</f>
        <v>3400</v>
      </c>
      <c r="N702" s="3">
        <f>_xlfn.IFNA(VLOOKUP($A702,[2]stockregister!$A$2:$H$2000,8,0),0)-$M702</f>
        <v>0</v>
      </c>
      <c r="O702" s="3" t="s">
        <v>1632</v>
      </c>
      <c r="P702" s="3" t="s">
        <v>1632</v>
      </c>
      <c r="Q702" s="3" t="s">
        <v>1633</v>
      </c>
      <c r="R702" s="3" t="s">
        <v>113</v>
      </c>
      <c r="S702" s="3" t="s">
        <v>114</v>
      </c>
    </row>
    <row r="703" spans="1:20">
      <c r="A703" s="3">
        <v>2848</v>
      </c>
      <c r="B703" s="3" t="b">
        <f>ISNUMBER(MATCH(A703,[1]stockregister!$A$2:$A$2000,0))</f>
        <v>1</v>
      </c>
      <c r="C703" s="3" t="s">
        <v>1634</v>
      </c>
      <c r="D703" s="3" t="str">
        <f>VLOOKUP($C703,[1]stockregister!$B$2:$B$2000,1,0)</f>
        <v>GLENMORANGIE 18YRS THE INFINITA 700ML</v>
      </c>
      <c r="E703" s="3" t="str">
        <f>IF(ISNA($D703),VLOOKUP($A703,[2]stockregister!$A$2:$B$2000,2,FALSE),"")</f>
        <v/>
      </c>
      <c r="F703" s="3" t="s">
        <v>21</v>
      </c>
      <c r="G703" s="3">
        <f>_xlfn.IFNA(VLOOKUP($A703,[3]stockregister!$A$2:$L$2000,11,0),0)</f>
        <v>12</v>
      </c>
      <c r="H703" s="3">
        <f>_xlfn.IFNA(VLOOKUP($A703,[3]stockregister!$A$2:$L$2000,11,0),0)-$G703</f>
        <v>0</v>
      </c>
      <c r="I703" s="3">
        <f>_xlfn.IFNA(VLOOKUP($A703,[3]stockregister!$A$2:$L$2000,12,0),0)</f>
        <v>11500</v>
      </c>
      <c r="J703" s="3">
        <f>_xlfn.IFNA(VLOOKUP($A703,[3]stockregister!$A$1:$M$2000,12,0),0)-$I703</f>
        <v>0</v>
      </c>
      <c r="K703" s="3" t="s">
        <v>22</v>
      </c>
      <c r="L703" s="3" t="s">
        <v>23</v>
      </c>
      <c r="M703" s="3">
        <f>_xlfn.IFNA(VLOOKUP($A703,[2]stockregister!$A$2:$H$2000,8,0),0)</f>
        <v>14500</v>
      </c>
      <c r="N703" s="3">
        <f>_xlfn.IFNA(VLOOKUP($A703,[2]stockregister!$A$2:$H$2000,8,0),0)-$M703</f>
        <v>0</v>
      </c>
      <c r="O703" s="3" t="s">
        <v>1635</v>
      </c>
      <c r="P703" s="3" t="s">
        <v>1635</v>
      </c>
      <c r="Q703" s="3" t="s">
        <v>780</v>
      </c>
      <c r="R703" s="3" t="s">
        <v>113</v>
      </c>
      <c r="S703" s="3" t="s">
        <v>1636</v>
      </c>
      <c r="T703" s="3">
        <v>18</v>
      </c>
    </row>
    <row r="704" spans="1:19">
      <c r="A704" s="3">
        <v>2266</v>
      </c>
      <c r="B704" s="3" t="b">
        <f>ISNUMBER(MATCH(A704,[1]stockregister!$A$2:$A$2000,0))</f>
        <v>1</v>
      </c>
      <c r="C704" s="3" t="s">
        <v>1637</v>
      </c>
      <c r="D704" s="3" t="str">
        <f>VLOOKUP($C704,[1]stockregister!$B$2:$B$2000,1,0)</f>
        <v>BUSHMILLS STEAMSHIP 1LTR</v>
      </c>
      <c r="E704" s="3" t="str">
        <f>IF(ISNA($D704),VLOOKUP($A704,[2]stockregister!$A$2:$B$2000,2,FALSE),"")</f>
        <v/>
      </c>
      <c r="F704" s="3" t="s">
        <v>21</v>
      </c>
      <c r="G704" s="3">
        <f>_xlfn.IFNA(VLOOKUP($A704,[3]stockregister!$A$2:$L$2000,11,0),0)</f>
        <v>12</v>
      </c>
      <c r="H704" s="3">
        <f>_xlfn.IFNA(VLOOKUP($A704,[3]stockregister!$A$2:$L$2000,11,0),0)-$G704</f>
        <v>0</v>
      </c>
      <c r="I704" s="3">
        <f>_xlfn.IFNA(VLOOKUP($A704,[3]stockregister!$A$2:$L$2000,12,0),0)</f>
        <v>8500</v>
      </c>
      <c r="J704" s="3">
        <f>_xlfn.IFNA(VLOOKUP($A704,[3]stockregister!$A$1:$M$2000,12,0),0)-$I704</f>
        <v>0</v>
      </c>
      <c r="K704" s="3" t="s">
        <v>22</v>
      </c>
      <c r="L704" s="3" t="s">
        <v>23</v>
      </c>
      <c r="M704" s="3">
        <f>_xlfn.IFNA(VLOOKUP($A704,[2]stockregister!$A$2:$H$2000,8,0),0)</f>
        <v>8700</v>
      </c>
      <c r="N704" s="3">
        <f>_xlfn.IFNA(VLOOKUP($A704,[2]stockregister!$A$2:$H$2000,8,0),0)-$M704</f>
        <v>0</v>
      </c>
      <c r="O704" s="3" t="s">
        <v>1638</v>
      </c>
      <c r="P704" s="3" t="s">
        <v>1638</v>
      </c>
      <c r="Q704" s="3" t="s">
        <v>1639</v>
      </c>
      <c r="R704" s="3" t="s">
        <v>92</v>
      </c>
      <c r="S704" s="3" t="s">
        <v>252</v>
      </c>
    </row>
    <row r="705" spans="1:19">
      <c r="A705" s="3">
        <v>2246</v>
      </c>
      <c r="B705" s="3" t="b">
        <f>ISNUMBER(MATCH(A705,[1]stockregister!$A$2:$A$2000,0))</f>
        <v>1</v>
      </c>
      <c r="C705" s="3" t="s">
        <v>1640</v>
      </c>
      <c r="D705" s="3" t="str">
        <f>VLOOKUP($C705,[1]stockregister!$B$2:$B$2000,1,0)</f>
        <v>SHACKLETON 1LTR</v>
      </c>
      <c r="E705" s="3" t="str">
        <f>IF(ISNA($D705),VLOOKUP($A705,[2]stockregister!$A$2:$B$2000,2,FALSE),"")</f>
        <v/>
      </c>
      <c r="F705" s="3" t="s">
        <v>21</v>
      </c>
      <c r="G705" s="3">
        <f>_xlfn.IFNA(VLOOKUP($A705,[3]stockregister!$A$2:$L$2000,11,0),0)</f>
        <v>12</v>
      </c>
      <c r="H705" s="3">
        <f>_xlfn.IFNA(VLOOKUP($A705,[3]stockregister!$A$2:$L$2000,11,0),0)-$G705</f>
        <v>0</v>
      </c>
      <c r="I705" s="3">
        <f>_xlfn.IFNA(VLOOKUP($A705,[3]stockregister!$A$2:$L$2000,12,0),0)</f>
        <v>5300</v>
      </c>
      <c r="J705" s="3">
        <f>_xlfn.IFNA(VLOOKUP($A705,[3]stockregister!$A$1:$M$2000,12,0),0)-$I705</f>
        <v>0</v>
      </c>
      <c r="K705" s="3" t="s">
        <v>22</v>
      </c>
      <c r="L705" s="3" t="s">
        <v>23</v>
      </c>
      <c r="M705" s="3">
        <f>_xlfn.IFNA(VLOOKUP($A705,[2]stockregister!$A$2:$H$2000,8,0),0)</f>
        <v>5500</v>
      </c>
      <c r="N705" s="3">
        <f>_xlfn.IFNA(VLOOKUP($A705,[2]stockregister!$A$2:$H$2000,8,0),0)-$M705</f>
        <v>0</v>
      </c>
      <c r="O705" s="3" t="s">
        <v>1641</v>
      </c>
      <c r="P705" s="3" t="s">
        <v>1641</v>
      </c>
      <c r="Q705" s="3" t="s">
        <v>1642</v>
      </c>
      <c r="R705" s="3" t="s">
        <v>92</v>
      </c>
      <c r="S705" s="3" t="s">
        <v>252</v>
      </c>
    </row>
    <row r="706" spans="1:20">
      <c r="A706" s="3">
        <v>2258</v>
      </c>
      <c r="B706" s="3" t="b">
        <f>ISNUMBER(MATCH(A706,[1]stockregister!$A$2:$A$2000,0))</f>
        <v>1</v>
      </c>
      <c r="C706" s="3" t="s">
        <v>1643</v>
      </c>
      <c r="D706" s="3" t="str">
        <f>VLOOKUP($C706,[1]stockregister!$B$2:$B$2000,1,0)</f>
        <v>AUCHENTOSHAN 12YRS 700ML</v>
      </c>
      <c r="E706" s="3" t="str">
        <f>IF(ISNA($D706),VLOOKUP($A706,[2]stockregister!$A$2:$B$2000,2,FALSE),"")</f>
        <v/>
      </c>
      <c r="F706" s="3" t="s">
        <v>21</v>
      </c>
      <c r="G706" s="3">
        <f>_xlfn.IFNA(VLOOKUP($A706,[3]stockregister!$A$2:$L$2000,11,0),0)</f>
        <v>12</v>
      </c>
      <c r="H706" s="3">
        <f>_xlfn.IFNA(VLOOKUP($A706,[3]stockregister!$A$2:$L$2000,11,0),0)-$G706</f>
        <v>0</v>
      </c>
      <c r="I706" s="3">
        <f>_xlfn.IFNA(VLOOKUP($A706,[3]stockregister!$A$2:$L$2000,12,0),0)</f>
        <v>7000</v>
      </c>
      <c r="J706" s="3">
        <f>_xlfn.IFNA(VLOOKUP($A706,[3]stockregister!$A$1:$M$2000,12,0),0)-$I706</f>
        <v>0</v>
      </c>
      <c r="K706" s="3" t="s">
        <v>22</v>
      </c>
      <c r="L706" s="3" t="s">
        <v>23</v>
      </c>
      <c r="M706" s="3">
        <f>_xlfn.IFNA(VLOOKUP($A706,[2]stockregister!$A$2:$H$2000,8,0),0)</f>
        <v>7500</v>
      </c>
      <c r="N706" s="3">
        <f>_xlfn.IFNA(VLOOKUP($A706,[2]stockregister!$A$2:$H$2000,8,0),0)-$M706</f>
        <v>0</v>
      </c>
      <c r="O706" s="3" t="s">
        <v>1644</v>
      </c>
      <c r="P706" s="3" t="s">
        <v>1644</v>
      </c>
      <c r="Q706" s="3" t="s">
        <v>1645</v>
      </c>
      <c r="R706" s="3" t="s">
        <v>92</v>
      </c>
      <c r="S706" s="3" t="s">
        <v>252</v>
      </c>
      <c r="T706" s="3">
        <v>12</v>
      </c>
    </row>
    <row r="707" spans="1:19">
      <c r="A707" s="3">
        <v>607</v>
      </c>
      <c r="B707" s="3" t="b">
        <f>ISNUMBER(MATCH(A707,[1]stockregister!$A$2:$A$2000,0))</f>
        <v>1</v>
      </c>
      <c r="C707" s="3" t="s">
        <v>1646</v>
      </c>
      <c r="D707" s="3" t="str">
        <f>VLOOKUP($C707,[1]stockregister!$B$2:$B$2000,1,0)</f>
        <v>DEWARS WHITE LABEL WHISKY 750ML</v>
      </c>
      <c r="E707" s="3" t="str">
        <f>IF(ISNA($D707),VLOOKUP($A707,[2]stockregister!$A$2:$B$2000,2,FALSE),"")</f>
        <v/>
      </c>
      <c r="F707" s="3" t="s">
        <v>21</v>
      </c>
      <c r="G707" s="3">
        <f>_xlfn.IFNA(VLOOKUP($A707,[3]stockregister!$A$2:$L$2000,11,0),0)</f>
        <v>12</v>
      </c>
      <c r="H707" s="3">
        <f>_xlfn.IFNA(VLOOKUP($A707,[3]stockregister!$A$2:$L$2000,11,0),0)-$G707</f>
        <v>0</v>
      </c>
      <c r="I707" s="3">
        <f>_xlfn.IFNA(VLOOKUP($A707,[3]stockregister!$A$2:$L$2000,12,0),0)</f>
        <v>1748</v>
      </c>
      <c r="J707" s="3">
        <f>_xlfn.IFNA(VLOOKUP($A707,[3]stockregister!$A$1:$M$2000,12,0),0)-$I707</f>
        <v>0</v>
      </c>
      <c r="K707" s="3" t="s">
        <v>22</v>
      </c>
      <c r="L707" s="3" t="s">
        <v>23</v>
      </c>
      <c r="M707" s="3">
        <f>_xlfn.IFNA(VLOOKUP($A707,[2]stockregister!$A$2:$H$2000,8,0),0)</f>
        <v>1900</v>
      </c>
      <c r="N707" s="3">
        <f>_xlfn.IFNA(VLOOKUP($A707,[2]stockregister!$A$2:$H$2000,8,0),0)-$M707</f>
        <v>0</v>
      </c>
      <c r="O707" s="3" t="s">
        <v>1647</v>
      </c>
      <c r="P707" s="3" t="s">
        <v>1647</v>
      </c>
      <c r="Q707" s="3" t="s">
        <v>433</v>
      </c>
      <c r="R707" s="3" t="s">
        <v>92</v>
      </c>
      <c r="S707" s="3" t="s">
        <v>252</v>
      </c>
    </row>
    <row r="708" spans="1:19">
      <c r="A708" s="3">
        <v>1706</v>
      </c>
      <c r="B708" s="3" t="b">
        <f>ISNUMBER(MATCH(A708,[1]stockregister!$A$2:$A$2000,0))</f>
        <v>1</v>
      </c>
      <c r="C708" s="3" t="s">
        <v>1648</v>
      </c>
      <c r="D708" s="3" t="str">
        <f>VLOOKUP($C708,[1]stockregister!$B$2:$B$2000,1,0)</f>
        <v>ROYAL CIRCLE 1LTR</v>
      </c>
      <c r="E708" s="3" t="str">
        <f>IF(ISNA($D708),VLOOKUP($A708,[2]stockregister!$A$2:$B$2000,2,FALSE),"")</f>
        <v/>
      </c>
      <c r="F708" s="3" t="s">
        <v>21</v>
      </c>
      <c r="G708" s="3">
        <f>_xlfn.IFNA(VLOOKUP($A708,[3]stockregister!$A$2:$L$2000,11,0),0)</f>
        <v>12</v>
      </c>
      <c r="H708" s="3">
        <f>_xlfn.IFNA(VLOOKUP($A708,[3]stockregister!$A$2:$L$2000,11,0),0)-$G708</f>
        <v>0</v>
      </c>
      <c r="I708" s="3">
        <f>_xlfn.IFNA(VLOOKUP($A708,[3]stockregister!$A$2:$L$2000,12,0),0)</f>
        <v>1218.18</v>
      </c>
      <c r="J708" s="3">
        <f>_xlfn.IFNA(VLOOKUP($A708,[3]stockregister!$A$1:$M$2000,12,0),0)-$I708</f>
        <v>0</v>
      </c>
      <c r="K708" s="3" t="s">
        <v>22</v>
      </c>
      <c r="L708" s="3" t="s">
        <v>23</v>
      </c>
      <c r="M708" s="3">
        <f>_xlfn.IFNA(VLOOKUP($A708,[2]stockregister!$A$2:$H$2000,8,0),0)</f>
        <v>1300</v>
      </c>
      <c r="N708" s="3">
        <f>_xlfn.IFNA(VLOOKUP($A708,[2]stockregister!$A$2:$H$2000,8,0),0)-$M708</f>
        <v>0</v>
      </c>
      <c r="O708" s="3" t="s">
        <v>1649</v>
      </c>
      <c r="P708" s="3" t="s">
        <v>1649</v>
      </c>
      <c r="Q708" s="3" t="s">
        <v>444</v>
      </c>
      <c r="R708" s="3" t="s">
        <v>92</v>
      </c>
      <c r="S708" s="3" t="s">
        <v>1131</v>
      </c>
    </row>
    <row r="709" spans="1:19">
      <c r="A709" s="3">
        <v>1265</v>
      </c>
      <c r="B709" s="3" t="b">
        <f>ISNUMBER(MATCH(A709,[1]stockregister!$A$2:$A$2000,0))</f>
        <v>1</v>
      </c>
      <c r="C709" s="3" t="s">
        <v>1650</v>
      </c>
      <c r="D709" s="3" t="str">
        <f>VLOOKUP($C709,[1]stockregister!$B$2:$B$2000,1,0)</f>
        <v>LAUDERS SCOTH WHISKY 1LTR</v>
      </c>
      <c r="E709" s="3" t="str">
        <f>IF(ISNA($D709),VLOOKUP($A709,[2]stockregister!$A$2:$B$2000,2,FALSE),"")</f>
        <v/>
      </c>
      <c r="F709" s="3" t="s">
        <v>21</v>
      </c>
      <c r="G709" s="3">
        <f>_xlfn.IFNA(VLOOKUP($A709,[3]stockregister!$A$2:$L$2000,11,0),0)</f>
        <v>12</v>
      </c>
      <c r="H709" s="3">
        <f>_xlfn.IFNA(VLOOKUP($A709,[3]stockregister!$A$2:$L$2000,11,0),0)-$G709</f>
        <v>0</v>
      </c>
      <c r="I709" s="3">
        <f>_xlfn.IFNA(VLOOKUP($A709,[3]stockregister!$A$2:$L$2000,12,0),0)</f>
        <v>1656</v>
      </c>
      <c r="J709" s="3">
        <f>_xlfn.IFNA(VLOOKUP($A709,[3]stockregister!$A$1:$M$2000,12,0),0)-$I709</f>
        <v>0</v>
      </c>
      <c r="K709" s="3" t="s">
        <v>22</v>
      </c>
      <c r="L709" s="3" t="s">
        <v>23</v>
      </c>
      <c r="M709" s="3">
        <f>_xlfn.IFNA(VLOOKUP($A709,[2]stockregister!$A$2:$H$2000,8,0),0)</f>
        <v>1800</v>
      </c>
      <c r="N709" s="3">
        <f>_xlfn.IFNA(VLOOKUP($A709,[2]stockregister!$A$2:$H$2000,8,0),0)-$M709</f>
        <v>0</v>
      </c>
      <c r="O709" s="3" t="s">
        <v>1651</v>
      </c>
      <c r="P709" s="3" t="s">
        <v>1651</v>
      </c>
      <c r="Q709" s="3" t="s">
        <v>1652</v>
      </c>
      <c r="R709" s="3" t="s">
        <v>92</v>
      </c>
      <c r="S709" s="3" t="s">
        <v>284</v>
      </c>
    </row>
    <row r="710" spans="1:19">
      <c r="A710" s="3">
        <v>2328</v>
      </c>
      <c r="B710" s="3" t="b">
        <f>ISNUMBER(MATCH(A710,[1]stockregister!$A$2:$A$2000,0))</f>
        <v>1</v>
      </c>
      <c r="C710" s="3" t="s">
        <v>1653</v>
      </c>
      <c r="D710" s="3" t="str">
        <f>VLOOKUP($C710,[1]stockregister!$B$2:$B$2000,1,0)</f>
        <v>NAKED GROUSE CAB SAUV 750ML</v>
      </c>
      <c r="E710" s="3" t="str">
        <f>IF(ISNA($D710),VLOOKUP($A710,[2]stockregister!$A$2:$B$2000,2,FALSE),"")</f>
        <v/>
      </c>
      <c r="F710" s="3" t="s">
        <v>21</v>
      </c>
      <c r="G710" s="3">
        <f>_xlfn.IFNA(VLOOKUP($A710,[3]stockregister!$A$2:$L$2000,11,0),0)</f>
        <v>12</v>
      </c>
      <c r="H710" s="3">
        <f>_xlfn.IFNA(VLOOKUP($A710,[3]stockregister!$A$2:$L$2000,11,0),0)-$G710</f>
        <v>0</v>
      </c>
      <c r="I710" s="3">
        <f>_xlfn.IFNA(VLOOKUP($A710,[3]stockregister!$A$2:$L$2000,12,0),0)</f>
        <v>1000</v>
      </c>
      <c r="J710" s="3">
        <f>_xlfn.IFNA(VLOOKUP($A710,[3]stockregister!$A$1:$M$2000,12,0),0)-$I710</f>
        <v>0</v>
      </c>
      <c r="K710" s="3" t="s">
        <v>22</v>
      </c>
      <c r="L710" s="3" t="s">
        <v>23</v>
      </c>
      <c r="M710" s="3">
        <f>_xlfn.IFNA(VLOOKUP($A710,[2]stockregister!$A$2:$H$2000,8,0),0)</f>
        <v>1100</v>
      </c>
      <c r="N710" s="3">
        <f>_xlfn.IFNA(VLOOKUP($A710,[2]stockregister!$A$2:$H$2000,8,0),0)-$M710</f>
        <v>0</v>
      </c>
      <c r="O710" s="3" t="s">
        <v>1654</v>
      </c>
      <c r="P710" s="3" t="s">
        <v>1654</v>
      </c>
      <c r="Q710" s="3" t="s">
        <v>362</v>
      </c>
      <c r="R710" s="3" t="s">
        <v>92</v>
      </c>
      <c r="S710" s="3" t="s">
        <v>284</v>
      </c>
    </row>
    <row r="711" spans="1:18">
      <c r="A711" s="3">
        <v>1851</v>
      </c>
      <c r="B711" s="3" t="b">
        <f>ISNUMBER(MATCH(A711,[1]stockregister!$A$2:$A$2000,0))</f>
        <v>1</v>
      </c>
      <c r="C711" s="3" t="s">
        <v>1655</v>
      </c>
      <c r="D711" s="3" t="str">
        <f>VLOOKUP($C711,[1]stockregister!$B$2:$B$2000,1,0)</f>
        <v>SOLAN NO. ONE BLACK 750ML</v>
      </c>
      <c r="E711" s="3" t="str">
        <f>IF(ISNA($D711),VLOOKUP($A711,[2]stockregister!$A$2:$B$2000,2,FALSE),"")</f>
        <v/>
      </c>
      <c r="F711" s="3" t="s">
        <v>21</v>
      </c>
      <c r="G711" s="3">
        <f>_xlfn.IFNA(VLOOKUP($A711,[3]stockregister!$A$2:$L$2000,11,0),0)</f>
        <v>12</v>
      </c>
      <c r="H711" s="3">
        <f>_xlfn.IFNA(VLOOKUP($A711,[3]stockregister!$A$2:$L$2000,11,0),0)-$G711</f>
        <v>0</v>
      </c>
      <c r="I711" s="3">
        <f>_xlfn.IFNA(VLOOKUP($A711,[3]stockregister!$A$2:$L$2000,12,0),0)</f>
        <v>736</v>
      </c>
      <c r="J711" s="3">
        <f>_xlfn.IFNA(VLOOKUP($A711,[3]stockregister!$A$1:$M$2000,12,0),0)-$I711</f>
        <v>0</v>
      </c>
      <c r="K711" s="3" t="s">
        <v>22</v>
      </c>
      <c r="L711" s="3" t="s">
        <v>23</v>
      </c>
      <c r="M711" s="3">
        <f>_xlfn.IFNA(VLOOKUP($A711,[2]stockregister!$A$2:$H$2000,8,0),0)</f>
        <v>800</v>
      </c>
      <c r="N711" s="3">
        <f>_xlfn.IFNA(VLOOKUP($A711,[2]stockregister!$A$2:$H$2000,8,0),0)-$M711</f>
        <v>0</v>
      </c>
      <c r="O711" s="3" t="s">
        <v>1656</v>
      </c>
      <c r="P711" s="3" t="s">
        <v>1656</v>
      </c>
      <c r="Q711" s="3" t="s">
        <v>1657</v>
      </c>
      <c r="R711" s="3" t="s">
        <v>92</v>
      </c>
    </row>
    <row r="712" spans="1:19">
      <c r="A712" s="3">
        <v>1632</v>
      </c>
      <c r="B712" s="3" t="b">
        <f>ISNUMBER(MATCH(A712,[1]stockregister!$A$2:$A$2000,0))</f>
        <v>1</v>
      </c>
      <c r="C712" s="3" t="s">
        <v>1658</v>
      </c>
      <c r="D712" s="3" t="str">
        <f>VLOOKUP($C712,[1]stockregister!$B$2:$B$2000,1,0)</f>
        <v>POMMERY ROYAL BRUT 750ML</v>
      </c>
      <c r="E712" s="3" t="str">
        <f>IF(ISNA($D712),VLOOKUP($A712,[2]stockregister!$A$2:$B$2000,2,FALSE),"")</f>
        <v/>
      </c>
      <c r="F712" s="3" t="s">
        <v>21</v>
      </c>
      <c r="G712" s="3">
        <f>_xlfn.IFNA(VLOOKUP($A712,[3]stockregister!$A$2:$L$2000,11,0),0)</f>
        <v>12</v>
      </c>
      <c r="H712" s="3">
        <f>_xlfn.IFNA(VLOOKUP($A712,[3]stockregister!$A$2:$L$2000,11,0),0)-$G712</f>
        <v>0</v>
      </c>
      <c r="I712" s="3">
        <f>_xlfn.IFNA(VLOOKUP($A712,[3]stockregister!$A$2:$L$2000,12,0),0)</f>
        <v>6300</v>
      </c>
      <c r="J712" s="3">
        <f>_xlfn.IFNA(VLOOKUP($A712,[3]stockregister!$A$1:$M$2000,12,0),0)-$I712</f>
        <v>0</v>
      </c>
      <c r="K712" s="3" t="s">
        <v>22</v>
      </c>
      <c r="L712" s="3" t="s">
        <v>23</v>
      </c>
      <c r="M712" s="3">
        <f>_xlfn.IFNA(VLOOKUP($A712,[2]stockregister!$A$2:$H$2000,8,0),0)</f>
        <v>6500</v>
      </c>
      <c r="N712" s="3">
        <f>_xlfn.IFNA(VLOOKUP($A712,[2]stockregister!$A$2:$H$2000,8,0),0)-$M712</f>
        <v>0</v>
      </c>
      <c r="O712" s="3" t="s">
        <v>1659</v>
      </c>
      <c r="P712" s="3" t="s">
        <v>1659</v>
      </c>
      <c r="Q712" s="3" t="s">
        <v>1660</v>
      </c>
      <c r="R712" s="3" t="s">
        <v>68</v>
      </c>
      <c r="S712" s="3" t="s">
        <v>870</v>
      </c>
    </row>
    <row r="713" spans="1:19">
      <c r="A713" s="3">
        <v>2511</v>
      </c>
      <c r="B713" s="3" t="b">
        <f>ISNUMBER(MATCH(A713,[1]stockregister!$A$2:$A$2000,0))</f>
        <v>1</v>
      </c>
      <c r="C713" s="3" t="s">
        <v>376</v>
      </c>
      <c r="D713" s="3" t="str">
        <f>VLOOKUP($C713,[1]stockregister!$B$2:$B$2000,1,0)</f>
        <v>LEOPARDS LEAP  CAB SAuv 750ML</v>
      </c>
      <c r="E713" s="3" t="str">
        <f>IF(ISNA($D713),VLOOKUP($A713,[2]stockregister!$A$2:$B$2000,2,FALSE),"")</f>
        <v/>
      </c>
      <c r="F713" s="3" t="s">
        <v>21</v>
      </c>
      <c r="G713" s="3">
        <f>_xlfn.IFNA(VLOOKUP($A713,[3]stockregister!$A$2:$L$2000,11,0),0)</f>
        <v>12</v>
      </c>
      <c r="H713" s="3">
        <f>_xlfn.IFNA(VLOOKUP($A713,[3]stockregister!$A$2:$L$2000,11,0),0)-$G713</f>
        <v>0</v>
      </c>
      <c r="I713" s="3">
        <f>_xlfn.IFNA(VLOOKUP($A713,[3]stockregister!$A$2:$L$2000,12,0),0)</f>
        <v>1420</v>
      </c>
      <c r="J713" s="3">
        <f>_xlfn.IFNA(VLOOKUP($A713,[3]stockregister!$A$1:$M$2000,12,0),0)-$I713</f>
        <v>0</v>
      </c>
      <c r="K713" s="3" t="s">
        <v>22</v>
      </c>
      <c r="L713" s="3" t="s">
        <v>23</v>
      </c>
      <c r="M713" s="3">
        <f>_xlfn.IFNA(VLOOKUP($A713,[2]stockregister!$A$2:$H$2000,8,0),0)</f>
        <v>1550</v>
      </c>
      <c r="N713" s="3">
        <f>_xlfn.IFNA(VLOOKUP($A713,[2]stockregister!$A$2:$H$2000,8,0),0)-$M713</f>
        <v>0</v>
      </c>
      <c r="O713" s="3" t="s">
        <v>1661</v>
      </c>
      <c r="P713" s="3" t="s">
        <v>1661</v>
      </c>
      <c r="Q713" s="3" t="s">
        <v>1302</v>
      </c>
      <c r="R713" s="3" t="s">
        <v>537</v>
      </c>
      <c r="S713" s="3" t="s">
        <v>206</v>
      </c>
    </row>
    <row r="714" spans="1:19">
      <c r="A714" s="3">
        <v>1267</v>
      </c>
      <c r="B714" s="3" t="b">
        <f>ISNUMBER(MATCH(A714,[1]stockregister!$A$2:$A$2000,0))</f>
        <v>1</v>
      </c>
      <c r="C714" s="3" t="s">
        <v>377</v>
      </c>
      <c r="D714" s="3" t="str">
        <f>VLOOKUP($C714,[1]stockregister!$B$2:$B$2000,1,0)</f>
        <v>LAURENT- PERRIER ROSE CHAMPAGNE  750ML</v>
      </c>
      <c r="E714" s="3" t="str">
        <f>IF(ISNA($D714),VLOOKUP($A714,[2]stockregister!$A$2:$B$2000,2,FALSE),"")</f>
        <v/>
      </c>
      <c r="F714" s="3" t="s">
        <v>21</v>
      </c>
      <c r="G714" s="3">
        <f>_xlfn.IFNA(VLOOKUP($A714,[3]stockregister!$A$2:$L$2000,11,0),0)</f>
        <v>12</v>
      </c>
      <c r="H714" s="3">
        <f>_xlfn.IFNA(VLOOKUP($A714,[3]stockregister!$A$2:$L$2000,11,0),0)-$G714</f>
        <v>0</v>
      </c>
      <c r="I714" s="3">
        <f>_xlfn.IFNA(VLOOKUP($A714,[3]stockregister!$A$2:$L$2000,12,0),0)</f>
        <v>8740</v>
      </c>
      <c r="J714" s="3">
        <f>_xlfn.IFNA(VLOOKUP($A714,[3]stockregister!$A$1:$M$2000,12,0),0)-$I714</f>
        <v>0</v>
      </c>
      <c r="K714" s="3" t="s">
        <v>22</v>
      </c>
      <c r="L714" s="3" t="s">
        <v>23</v>
      </c>
      <c r="M714" s="3">
        <f>_xlfn.IFNA(VLOOKUP($A714,[2]stockregister!$A$2:$H$2000,8,0),0)</f>
        <v>9500</v>
      </c>
      <c r="N714" s="3">
        <f>_xlfn.IFNA(VLOOKUP($A714,[2]stockregister!$A$2:$H$2000,8,0),0)-$M714</f>
        <v>0</v>
      </c>
      <c r="O714" s="3" t="s">
        <v>1662</v>
      </c>
      <c r="P714" s="3" t="s">
        <v>1662</v>
      </c>
      <c r="Q714" s="3" t="s">
        <v>1663</v>
      </c>
      <c r="R714" s="3" t="s">
        <v>68</v>
      </c>
      <c r="S714" s="3" t="s">
        <v>750</v>
      </c>
    </row>
    <row r="715" spans="1:19">
      <c r="A715" s="3">
        <v>1324</v>
      </c>
      <c r="B715" s="3" t="b">
        <f>ISNUMBER(MATCH(A715,[1]stockregister!$A$2:$A$2000,0))</f>
        <v>1</v>
      </c>
      <c r="C715" s="3" t="s">
        <v>1664</v>
      </c>
      <c r="D715" s="3" t="str">
        <f>VLOOKUP($C715,[1]stockregister!$B$2:$B$2000,1,0)</f>
        <v>LUC BELAIRE ROSE FANTOM 1.5LTR</v>
      </c>
      <c r="E715" s="3" t="str">
        <f>IF(ISNA($D715),VLOOKUP($A715,[2]stockregister!$A$2:$B$2000,2,FALSE),"")</f>
        <v/>
      </c>
      <c r="F715" s="3" t="s">
        <v>21</v>
      </c>
      <c r="G715" s="3">
        <f>_xlfn.IFNA(VLOOKUP($A715,[3]stockregister!$A$2:$L$2000,11,0),0)</f>
        <v>12</v>
      </c>
      <c r="H715" s="3">
        <f>_xlfn.IFNA(VLOOKUP($A715,[3]stockregister!$A$2:$L$2000,11,0),0)-$G715</f>
        <v>0</v>
      </c>
      <c r="I715" s="3">
        <f>_xlfn.IFNA(VLOOKUP($A715,[3]stockregister!$A$2:$L$2000,12,0),0)</f>
        <v>8800</v>
      </c>
      <c r="J715" s="3">
        <f>_xlfn.IFNA(VLOOKUP($A715,[3]stockregister!$A$1:$M$2000,12,0),0)-$I715</f>
        <v>0</v>
      </c>
      <c r="K715" s="3" t="s">
        <v>22</v>
      </c>
      <c r="L715" s="3" t="s">
        <v>23</v>
      </c>
      <c r="M715" s="3">
        <f>_xlfn.IFNA(VLOOKUP($A715,[2]stockregister!$A$2:$H$2000,8,0),0)</f>
        <v>9000</v>
      </c>
      <c r="N715" s="3">
        <f>_xlfn.IFNA(VLOOKUP($A715,[2]stockregister!$A$2:$H$2000,8,0),0)-$M715</f>
        <v>0</v>
      </c>
      <c r="O715" s="3" t="s">
        <v>1665</v>
      </c>
      <c r="P715" s="3" t="s">
        <v>1665</v>
      </c>
      <c r="Q715" s="3" t="s">
        <v>554</v>
      </c>
      <c r="R715" s="3" t="s">
        <v>68</v>
      </c>
      <c r="S715" s="3" t="s">
        <v>555</v>
      </c>
    </row>
    <row r="716" spans="1:19">
      <c r="A716" s="3">
        <v>195</v>
      </c>
      <c r="B716" s="3" t="b">
        <f>ISNUMBER(MATCH(A716,[1]stockregister!$A$2:$A$2000,0))</f>
        <v>1</v>
      </c>
      <c r="C716" s="3" t="s">
        <v>1666</v>
      </c>
      <c r="D716" s="3" t="str">
        <f>VLOOKUP($C716,[1]stockregister!$B$2:$B$2000,1,0)</f>
        <v>BELLINGHAM HOMESTEAD CHARDONNAY 750ML</v>
      </c>
      <c r="E716" s="3" t="str">
        <f>IF(ISNA($D716),VLOOKUP($A716,[2]stockregister!$A$2:$B$2000,2,FALSE),"")</f>
        <v/>
      </c>
      <c r="F716" s="3" t="s">
        <v>21</v>
      </c>
      <c r="G716" s="3">
        <f>_xlfn.IFNA(VLOOKUP($A716,[3]stockregister!$A$2:$L$2000,11,0),0)</f>
        <v>12</v>
      </c>
      <c r="H716" s="3">
        <f>_xlfn.IFNA(VLOOKUP($A716,[3]stockregister!$A$2:$L$2000,11,0),0)-$G716</f>
        <v>0</v>
      </c>
      <c r="I716" s="3">
        <f>_xlfn.IFNA(VLOOKUP($A716,[3]stockregister!$A$2:$L$2000,12,0),0)</f>
        <v>1350</v>
      </c>
      <c r="J716" s="3">
        <f>_xlfn.IFNA(VLOOKUP($A716,[3]stockregister!$A$1:$M$2000,12,0),0)-$I716</f>
        <v>0</v>
      </c>
      <c r="K716" s="3" t="s">
        <v>22</v>
      </c>
      <c r="L716" s="3" t="s">
        <v>23</v>
      </c>
      <c r="M716" s="3">
        <f>_xlfn.IFNA(VLOOKUP($A716,[2]stockregister!$A$2:$H$2000,8,0),0)</f>
        <v>1700</v>
      </c>
      <c r="N716" s="3">
        <f>_xlfn.IFNA(VLOOKUP($A716,[2]stockregister!$A$2:$H$2000,8,0),0)-$M716</f>
        <v>0</v>
      </c>
      <c r="O716" s="3" t="s">
        <v>1667</v>
      </c>
      <c r="P716" s="3" t="s">
        <v>1667</v>
      </c>
      <c r="Q716" s="3" t="s">
        <v>1147</v>
      </c>
      <c r="R716" s="3" t="s">
        <v>68</v>
      </c>
      <c r="S716" s="3" t="s">
        <v>940</v>
      </c>
    </row>
    <row r="717" spans="1:19">
      <c r="A717" s="3">
        <v>277</v>
      </c>
      <c r="B717" s="3" t="b">
        <f>ISNUMBER(MATCH(A717,[1]stockregister!$A$2:$A$2000,0))</f>
        <v>1</v>
      </c>
      <c r="C717" s="3" t="s">
        <v>1668</v>
      </c>
      <c r="D717" s="3" t="str">
        <f>VLOOKUP($C717,[1]stockregister!$B$2:$B$2000,1,0)</f>
        <v>BRAZOS MALBEC 750ML</v>
      </c>
      <c r="E717" s="3" t="str">
        <f>IF(ISNA($D717),VLOOKUP($A717,[2]stockregister!$A$2:$B$2000,2,FALSE),"")</f>
        <v/>
      </c>
      <c r="F717" s="3" t="s">
        <v>21</v>
      </c>
      <c r="G717" s="3">
        <f>_xlfn.IFNA(VLOOKUP($A717,[3]stockregister!$A$2:$L$2000,11,0),0)</f>
        <v>12</v>
      </c>
      <c r="H717" s="3">
        <f>_xlfn.IFNA(VLOOKUP($A717,[3]stockregister!$A$2:$L$2000,11,0),0)-$G717</f>
        <v>0</v>
      </c>
      <c r="I717" s="3">
        <f>_xlfn.IFNA(VLOOKUP($A717,[3]stockregister!$A$2:$L$2000,12,0),0)</f>
        <v>1380</v>
      </c>
      <c r="J717" s="3">
        <f>_xlfn.IFNA(VLOOKUP($A717,[3]stockregister!$A$1:$M$2000,12,0),0)-$I717</f>
        <v>0</v>
      </c>
      <c r="K717" s="3" t="s">
        <v>22</v>
      </c>
      <c r="L717" s="3" t="s">
        <v>23</v>
      </c>
      <c r="M717" s="3">
        <f>_xlfn.IFNA(VLOOKUP($A717,[2]stockregister!$A$2:$H$2000,8,0),0)</f>
        <v>1500</v>
      </c>
      <c r="N717" s="3">
        <f>_xlfn.IFNA(VLOOKUP($A717,[2]stockregister!$A$2:$H$2000,8,0),0)-$M717</f>
        <v>0</v>
      </c>
      <c r="O717" s="3" t="s">
        <v>1669</v>
      </c>
      <c r="P717" s="3" t="s">
        <v>1669</v>
      </c>
      <c r="Q717" s="3" t="s">
        <v>1670</v>
      </c>
      <c r="R717" s="3" t="s">
        <v>68</v>
      </c>
      <c r="S717" s="3" t="s">
        <v>1310</v>
      </c>
    </row>
    <row r="718" spans="1:19">
      <c r="A718" s="3">
        <v>2014</v>
      </c>
      <c r="B718" s="3" t="b">
        <f>ISNUMBER(MATCH(A718,[1]stockregister!$A$2:$A$2000,0))</f>
        <v>1</v>
      </c>
      <c r="C718" s="3" t="s">
        <v>1671</v>
      </c>
      <c r="D718" s="3" t="str">
        <f>VLOOKUP($C718,[1]stockregister!$B$2:$B$2000,1,0)</f>
        <v>TRUMPETER MALBEC 750ML</v>
      </c>
      <c r="E718" s="3" t="str">
        <f>IF(ISNA($D718),VLOOKUP($A718,[2]stockregister!$A$2:$B$2000,2,FALSE),"")</f>
        <v/>
      </c>
      <c r="F718" s="3" t="s">
        <v>21</v>
      </c>
      <c r="G718" s="3">
        <f>_xlfn.IFNA(VLOOKUP($A718,[3]stockregister!$A$2:$L$2000,11,0),0)</f>
        <v>0</v>
      </c>
      <c r="H718" s="3">
        <f>_xlfn.IFNA(VLOOKUP($A718,[3]stockregister!$A$2:$L$2000,11,0),0)-$G718</f>
        <v>0</v>
      </c>
      <c r="I718" s="3">
        <f>_xlfn.IFNA(VLOOKUP($A718,[3]stockregister!$A$2:$L$2000,12,0),0)</f>
        <v>1737.68</v>
      </c>
      <c r="J718" s="3">
        <f>_xlfn.IFNA(VLOOKUP($A718,[3]stockregister!$A$1:$M$2000,12,0),0)-$I718</f>
        <v>0</v>
      </c>
      <c r="K718" s="3" t="s">
        <v>22</v>
      </c>
      <c r="L718" s="3" t="s">
        <v>23</v>
      </c>
      <c r="M718" s="3">
        <f>_xlfn.IFNA(VLOOKUP($A718,[2]stockregister!$A$2:$H$2000,8,0),0)</f>
        <v>1850</v>
      </c>
      <c r="N718" s="3">
        <f>_xlfn.IFNA(VLOOKUP($A718,[2]stockregister!$A$2:$H$2000,8,0),0)-$M718</f>
        <v>0</v>
      </c>
      <c r="O718" s="3" t="s">
        <v>1672</v>
      </c>
      <c r="P718" s="3" t="s">
        <v>1672</v>
      </c>
      <c r="Q718" s="3" t="s">
        <v>1077</v>
      </c>
      <c r="R718" s="3" t="s">
        <v>68</v>
      </c>
      <c r="S718" s="3" t="s">
        <v>1310</v>
      </c>
    </row>
    <row r="719" spans="1:19">
      <c r="A719" s="3">
        <v>2173</v>
      </c>
      <c r="B719" s="3" t="b">
        <f>ISNUMBER(MATCH(A719,[1]stockregister!$A$2:$A$2000,0))</f>
        <v>1</v>
      </c>
      <c r="C719" s="3" t="s">
        <v>1673</v>
      </c>
      <c r="D719" s="3" t="str">
        <f>VLOOKUP($C719,[1]stockregister!$B$2:$B$2000,1,0)</f>
        <v>AG FORTY SEVEN MALBEC SHIRAZ 750ML</v>
      </c>
      <c r="E719" s="3" t="str">
        <f>IF(ISNA($D719),VLOOKUP($A719,[2]stockregister!$A$2:$B$2000,2,FALSE),"")</f>
        <v/>
      </c>
      <c r="F719" s="3" t="s">
        <v>21</v>
      </c>
      <c r="G719" s="3">
        <f>_xlfn.IFNA(VLOOKUP($A719,[3]stockregister!$A$2:$L$2000,11,0),0)</f>
        <v>12</v>
      </c>
      <c r="H719" s="3">
        <f>_xlfn.IFNA(VLOOKUP($A719,[3]stockregister!$A$2:$L$2000,11,0),0)-$G719</f>
        <v>0</v>
      </c>
      <c r="I719" s="3">
        <f>_xlfn.IFNA(VLOOKUP($A719,[3]stockregister!$A$2:$L$2000,12,0),0)</f>
        <v>1600</v>
      </c>
      <c r="J719" s="3">
        <f>_xlfn.IFNA(VLOOKUP($A719,[3]stockregister!$A$1:$M$2000,12,0),0)-$I719</f>
        <v>0</v>
      </c>
      <c r="K719" s="3" t="s">
        <v>22</v>
      </c>
      <c r="L719" s="3" t="s">
        <v>23</v>
      </c>
      <c r="M719" s="3">
        <f>_xlfn.IFNA(VLOOKUP($A719,[2]stockregister!$A$2:$H$2000,8,0),0)</f>
        <v>1700</v>
      </c>
      <c r="N719" s="3">
        <f>_xlfn.IFNA(VLOOKUP($A719,[2]stockregister!$A$2:$H$2000,8,0),0)-$M719</f>
        <v>0</v>
      </c>
      <c r="O719" s="3" t="s">
        <v>1674</v>
      </c>
      <c r="P719" s="3" t="s">
        <v>1674</v>
      </c>
      <c r="Q719" s="3" t="s">
        <v>1675</v>
      </c>
      <c r="R719" s="3" t="s">
        <v>68</v>
      </c>
      <c r="S719" s="3" t="s">
        <v>1676</v>
      </c>
    </row>
    <row r="720" spans="1:19">
      <c r="A720" s="3">
        <v>124</v>
      </c>
      <c r="B720" s="3" t="b">
        <f>ISNUMBER(MATCH(A720,[1]stockregister!$A$2:$A$2000,0))</f>
        <v>1</v>
      </c>
      <c r="C720" s="3" t="s">
        <v>1677</v>
      </c>
      <c r="D720" s="3" t="str">
        <f>VLOOKUP($C720,[1]stockregister!$B$2:$B$2000,1,0)</f>
        <v>ASCONI RED-SEMIDRY WINE 750ML</v>
      </c>
      <c r="E720" s="3" t="str">
        <f>IF(ISNA($D720),VLOOKUP($A720,[2]stockregister!$A$2:$B$2000,2,FALSE),"")</f>
        <v/>
      </c>
      <c r="F720" s="3" t="s">
        <v>21</v>
      </c>
      <c r="G720" s="3">
        <f>_xlfn.IFNA(VLOOKUP($A720,[3]stockregister!$A$2:$L$2000,11,0),0)</f>
        <v>12</v>
      </c>
      <c r="H720" s="3">
        <f>_xlfn.IFNA(VLOOKUP($A720,[3]stockregister!$A$2:$L$2000,11,0),0)-$G720</f>
        <v>0</v>
      </c>
      <c r="I720" s="3">
        <f>_xlfn.IFNA(VLOOKUP($A720,[3]stockregister!$A$2:$L$2000,12,0),0)</f>
        <v>1450</v>
      </c>
      <c r="J720" s="3">
        <f>_xlfn.IFNA(VLOOKUP($A720,[3]stockregister!$A$1:$M$2000,12,0),0)-$I720</f>
        <v>0</v>
      </c>
      <c r="K720" s="3" t="s">
        <v>22</v>
      </c>
      <c r="L720" s="3" t="s">
        <v>23</v>
      </c>
      <c r="M720" s="3">
        <f>_xlfn.IFNA(VLOOKUP($A720,[2]stockregister!$A$2:$H$2000,8,0),0)</f>
        <v>1450</v>
      </c>
      <c r="N720" s="3">
        <f>_xlfn.IFNA(VLOOKUP($A720,[2]stockregister!$A$2:$H$2000,8,0),0)-$M720</f>
        <v>0</v>
      </c>
      <c r="O720" s="3" t="s">
        <v>1678</v>
      </c>
      <c r="P720" s="3" t="s">
        <v>1678</v>
      </c>
      <c r="Q720" s="3" t="s">
        <v>1029</v>
      </c>
      <c r="R720" s="3" t="s">
        <v>68</v>
      </c>
      <c r="S720" s="3" t="s">
        <v>1180</v>
      </c>
    </row>
    <row r="721" spans="1:19">
      <c r="A721" s="3">
        <v>2358</v>
      </c>
      <c r="B721" s="3" t="b">
        <f>ISNUMBER(MATCH(A721,[1]stockregister!$A$2:$A$2000,0))</f>
        <v>1</v>
      </c>
      <c r="C721" s="3" t="s">
        <v>380</v>
      </c>
      <c r="D721" s="3" t="str">
        <f>VLOOKUP($C721,[1]stockregister!$B$2:$B$2000,1,0)</f>
        <v>PENASOL MEDIUM SWEET WHITE 1L</v>
      </c>
      <c r="E721" s="3" t="str">
        <f>IF(ISNA($D721),VLOOKUP($A721,[2]stockregister!$A$2:$B$2000,2,FALSE),"")</f>
        <v/>
      </c>
      <c r="F721" s="3" t="s">
        <v>21</v>
      </c>
      <c r="G721" s="3">
        <f>_xlfn.IFNA(VLOOKUP($A721,[3]stockregister!$A$2:$L$2000,11,0),0)</f>
        <v>12</v>
      </c>
      <c r="H721" s="3">
        <f>_xlfn.IFNA(VLOOKUP($A721,[3]stockregister!$A$2:$L$2000,11,0),0)-$G721</f>
        <v>0</v>
      </c>
      <c r="I721" s="3">
        <f>_xlfn.IFNA(VLOOKUP($A721,[3]stockregister!$A$2:$L$2000,12,0),0)</f>
        <v>750</v>
      </c>
      <c r="J721" s="3">
        <f>_xlfn.IFNA(VLOOKUP($A721,[3]stockregister!$A$1:$M$2000,12,0),0)-$I721</f>
        <v>0</v>
      </c>
      <c r="K721" s="3" t="s">
        <v>22</v>
      </c>
      <c r="L721" s="3" t="s">
        <v>23</v>
      </c>
      <c r="M721" s="3">
        <f>_xlfn.IFNA(VLOOKUP($A721,[2]stockregister!$A$2:$H$2000,8,0),0)</f>
        <v>850</v>
      </c>
      <c r="N721" s="3">
        <f>_xlfn.IFNA(VLOOKUP($A721,[2]stockregister!$A$2:$H$2000,8,0),0)-$M721</f>
        <v>0</v>
      </c>
      <c r="O721" s="3" t="s">
        <v>1679</v>
      </c>
      <c r="P721" s="3" t="s">
        <v>1679</v>
      </c>
      <c r="Q721" s="3" t="s">
        <v>1144</v>
      </c>
      <c r="R721" s="3" t="s">
        <v>537</v>
      </c>
      <c r="S721" s="3" t="s">
        <v>546</v>
      </c>
    </row>
    <row r="722" spans="1:19">
      <c r="A722" s="3">
        <v>1295</v>
      </c>
      <c r="B722" s="3" t="b">
        <f>ISNUMBER(MATCH(A722,[1]stockregister!$A$2:$A$2000,0))</f>
        <v>1</v>
      </c>
      <c r="C722" s="3" t="s">
        <v>1680</v>
      </c>
      <c r="D722" s="3" t="str">
        <f>VLOOKUP($C722,[1]stockregister!$B$2:$B$2000,1,0)</f>
        <v>LODEZ MERLOT RED 750ML</v>
      </c>
      <c r="E722" s="3" t="str">
        <f>IF(ISNA($D722),VLOOKUP($A722,[2]stockregister!$A$2:$B$2000,2,FALSE),"")</f>
        <v/>
      </c>
      <c r="F722" s="3" t="s">
        <v>21</v>
      </c>
      <c r="G722" s="3">
        <f>_xlfn.IFNA(VLOOKUP($A722,[3]stockregister!$A$2:$L$2000,11,0),0)</f>
        <v>12</v>
      </c>
      <c r="H722" s="3">
        <f>_xlfn.IFNA(VLOOKUP($A722,[3]stockregister!$A$2:$L$2000,11,0),0)-$G722</f>
        <v>0</v>
      </c>
      <c r="I722" s="3">
        <f>_xlfn.IFNA(VLOOKUP($A722,[3]stockregister!$A$2:$L$2000,12,0),0)</f>
        <v>1039.6</v>
      </c>
      <c r="J722" s="3">
        <f>_xlfn.IFNA(VLOOKUP($A722,[3]stockregister!$A$1:$M$2000,12,0),0)-$I722</f>
        <v>0</v>
      </c>
      <c r="K722" s="3" t="s">
        <v>22</v>
      </c>
      <c r="L722" s="3" t="s">
        <v>23</v>
      </c>
      <c r="M722" s="3">
        <f>_xlfn.IFNA(VLOOKUP($A722,[2]stockregister!$A$2:$H$2000,8,0),0)</f>
        <v>1130</v>
      </c>
      <c r="N722" s="3">
        <f>_xlfn.IFNA(VLOOKUP($A722,[2]stockregister!$A$2:$H$2000,8,0),0)-$M722</f>
        <v>0</v>
      </c>
      <c r="O722" s="3" t="s">
        <v>1681</v>
      </c>
      <c r="P722" s="3" t="s">
        <v>1681</v>
      </c>
      <c r="Q722" s="3" t="s">
        <v>1456</v>
      </c>
      <c r="R722" s="3" t="s">
        <v>68</v>
      </c>
      <c r="S722" s="3" t="s">
        <v>369</v>
      </c>
    </row>
    <row r="723" spans="1:19">
      <c r="A723" s="3">
        <v>295</v>
      </c>
      <c r="B723" s="3" t="b">
        <f>ISNUMBER(MATCH(A723,[1]stockregister!$A$2:$A$2000,0))</f>
        <v>1</v>
      </c>
      <c r="C723" s="3" t="s">
        <v>1682</v>
      </c>
      <c r="D723" s="3" t="str">
        <f>VLOOKUP($C723,[1]stockregister!$B$2:$B$2000,1,0)</f>
        <v>BRUCE JACK RESERVE PINOTAGE 750ML</v>
      </c>
      <c r="E723" s="3" t="str">
        <f>IF(ISNA($D723),VLOOKUP($A723,[2]stockregister!$A$2:$B$2000,2,FALSE),"")</f>
        <v/>
      </c>
      <c r="F723" s="3" t="s">
        <v>21</v>
      </c>
      <c r="G723" s="3">
        <f>_xlfn.IFNA(VLOOKUP($A723,[3]stockregister!$A$2:$L$2000,11,0),0)</f>
        <v>12</v>
      </c>
      <c r="H723" s="3">
        <f>_xlfn.IFNA(VLOOKUP($A723,[3]stockregister!$A$2:$L$2000,11,0),0)-$G723</f>
        <v>0</v>
      </c>
      <c r="I723" s="3">
        <f>_xlfn.IFNA(VLOOKUP($A723,[3]stockregister!$A$2:$L$2000,12,0),0)</f>
        <v>1380</v>
      </c>
      <c r="J723" s="3">
        <f>_xlfn.IFNA(VLOOKUP($A723,[3]stockregister!$A$1:$M$2000,12,0),0)-$I723</f>
        <v>0</v>
      </c>
      <c r="K723" s="3" t="s">
        <v>22</v>
      </c>
      <c r="L723" s="3" t="s">
        <v>23</v>
      </c>
      <c r="M723" s="3">
        <f>_xlfn.IFNA(VLOOKUP($A723,[2]stockregister!$A$2:$H$2000,8,0),0)</f>
        <v>1500</v>
      </c>
      <c r="N723" s="3">
        <f>_xlfn.IFNA(VLOOKUP($A723,[2]stockregister!$A$2:$H$2000,8,0),0)-$M723</f>
        <v>0</v>
      </c>
      <c r="O723" s="3" t="s">
        <v>1683</v>
      </c>
      <c r="P723" s="3" t="s">
        <v>1683</v>
      </c>
      <c r="Q723" s="3" t="s">
        <v>939</v>
      </c>
      <c r="R723" s="3" t="s">
        <v>68</v>
      </c>
      <c r="S723" s="3" t="s">
        <v>889</v>
      </c>
    </row>
    <row r="724" spans="1:19">
      <c r="A724" s="3">
        <v>2387</v>
      </c>
      <c r="B724" s="3" t="b">
        <f>ISNUMBER(MATCH(A724,[1]stockregister!$A$2:$A$2000,0))</f>
        <v>1</v>
      </c>
      <c r="C724" s="3" t="s">
        <v>1684</v>
      </c>
      <c r="D724" s="3" t="str">
        <f>VLOOKUP($C724,[1]stockregister!$B$2:$B$2000,1,0)</f>
        <v>CHILINERO RED 750ML</v>
      </c>
      <c r="E724" s="3" t="str">
        <f>IF(ISNA($D724),VLOOKUP($A724,[2]stockregister!$A$2:$B$2000,2,FALSE),"")</f>
        <v/>
      </c>
      <c r="F724" s="3" t="s">
        <v>21</v>
      </c>
      <c r="G724" s="3">
        <f>_xlfn.IFNA(VLOOKUP($A724,[3]stockregister!$A$2:$L$2000,11,0),0)</f>
        <v>12</v>
      </c>
      <c r="H724" s="3">
        <f>_xlfn.IFNA(VLOOKUP($A724,[3]stockregister!$A$2:$L$2000,11,0),0)-$G724</f>
        <v>0</v>
      </c>
      <c r="I724" s="3">
        <f>_xlfn.IFNA(VLOOKUP($A724,[3]stockregister!$A$2:$L$2000,12,0),0)</f>
        <v>1000</v>
      </c>
      <c r="J724" s="3">
        <f>_xlfn.IFNA(VLOOKUP($A724,[3]stockregister!$A$1:$M$2000,12,0),0)-$I724</f>
        <v>0</v>
      </c>
      <c r="K724" s="3" t="s">
        <v>22</v>
      </c>
      <c r="L724" s="3" t="s">
        <v>23</v>
      </c>
      <c r="M724" s="3">
        <f>_xlfn.IFNA(VLOOKUP($A724,[2]stockregister!$A$2:$H$2000,8,0),0)</f>
        <v>1200</v>
      </c>
      <c r="N724" s="3">
        <f>_xlfn.IFNA(VLOOKUP($A724,[2]stockregister!$A$2:$H$2000,8,0),0)-$M724</f>
        <v>0</v>
      </c>
      <c r="O724" s="3" t="s">
        <v>1685</v>
      </c>
      <c r="P724" s="3" t="s">
        <v>1685</v>
      </c>
      <c r="Q724" s="3" t="s">
        <v>1686</v>
      </c>
      <c r="R724" s="3" t="s">
        <v>537</v>
      </c>
      <c r="S724" s="3" t="s">
        <v>169</v>
      </c>
    </row>
    <row r="725" spans="1:19">
      <c r="A725" s="3">
        <v>2590</v>
      </c>
      <c r="B725" s="3" t="b">
        <f>ISNUMBER(MATCH(A725,[1]stockregister!$A$2:$A$2000,0))</f>
        <v>1</v>
      </c>
      <c r="C725" s="3" t="s">
        <v>383</v>
      </c>
      <c r="D725" s="3" t="str">
        <f>VLOOKUP($C725,[1]stockregister!$B$2:$B$2000,1,0)</f>
        <v>JP AZEITAO RED 750ML </v>
      </c>
      <c r="E725" s="3" t="str">
        <f>IF(ISNA($D725),VLOOKUP($A725,[2]stockregister!$A$2:$B$2000,2,FALSE),"")</f>
        <v/>
      </c>
      <c r="F725" s="3" t="s">
        <v>21</v>
      </c>
      <c r="G725" s="3">
        <f>_xlfn.IFNA(VLOOKUP($A725,[3]stockregister!$A$2:$L$2000,11,0),0)</f>
        <v>12</v>
      </c>
      <c r="H725" s="3">
        <f>_xlfn.IFNA(VLOOKUP($A725,[3]stockregister!$A$2:$L$2000,11,0),0)-$G725</f>
        <v>0</v>
      </c>
      <c r="I725" s="3">
        <f>_xlfn.IFNA(VLOOKUP($A725,[3]stockregister!$A$2:$L$2000,12,0),0)</f>
        <v>1390</v>
      </c>
      <c r="J725" s="3">
        <f>_xlfn.IFNA(VLOOKUP($A725,[3]stockregister!$A$1:$M$2000,12,0),0)-$I725</f>
        <v>0</v>
      </c>
      <c r="K725" s="3" t="s">
        <v>22</v>
      </c>
      <c r="L725" s="3" t="s">
        <v>23</v>
      </c>
      <c r="M725" s="3">
        <f>_xlfn.IFNA(VLOOKUP($A725,[2]stockregister!$A$2:$H$2000,8,0),0)</f>
        <v>1500</v>
      </c>
      <c r="N725" s="3">
        <f>_xlfn.IFNA(VLOOKUP($A725,[2]stockregister!$A$2:$H$2000,8,0),0)-$M725</f>
        <v>0</v>
      </c>
      <c r="O725" s="3" t="s">
        <v>1687</v>
      </c>
      <c r="P725" s="3" t="s">
        <v>1687</v>
      </c>
      <c r="Q725" s="3" t="s">
        <v>1688</v>
      </c>
      <c r="R725" s="3" t="s">
        <v>537</v>
      </c>
      <c r="S725" s="3" t="s">
        <v>169</v>
      </c>
    </row>
    <row r="726" spans="1:19">
      <c r="A726" s="3">
        <v>1478</v>
      </c>
      <c r="B726" s="3" t="b">
        <f>ISNUMBER(MATCH(A726,[1]stockregister!$A$2:$A$2000,0))</f>
        <v>1</v>
      </c>
      <c r="C726" s="3" t="s">
        <v>1689</v>
      </c>
      <c r="D726" s="3" t="str">
        <f>VLOOKUP($C726,[1]stockregister!$B$2:$B$2000,1,0)</f>
        <v>MOSCATEL DE SETUBAL 750ML</v>
      </c>
      <c r="E726" s="3" t="str">
        <f>IF(ISNA($D726),VLOOKUP($A726,[2]stockregister!$A$2:$B$2000,2,FALSE),"")</f>
        <v/>
      </c>
      <c r="F726" s="3" t="s">
        <v>21</v>
      </c>
      <c r="G726" s="3">
        <f>_xlfn.IFNA(VLOOKUP($A726,[3]stockregister!$A$2:$L$2000,11,0),0)</f>
        <v>12</v>
      </c>
      <c r="H726" s="3">
        <f>_xlfn.IFNA(VLOOKUP($A726,[3]stockregister!$A$2:$L$2000,11,0),0)-$G726</f>
        <v>0</v>
      </c>
      <c r="I726" s="3">
        <f>_xlfn.IFNA(VLOOKUP($A726,[3]stockregister!$A$2:$L$2000,12,0),0)</f>
        <v>1564</v>
      </c>
      <c r="J726" s="3">
        <f>_xlfn.IFNA(VLOOKUP($A726,[3]stockregister!$A$1:$M$2000,12,0),0)-$I726</f>
        <v>0</v>
      </c>
      <c r="K726" s="3" t="s">
        <v>22</v>
      </c>
      <c r="L726" s="3" t="s">
        <v>23</v>
      </c>
      <c r="M726" s="3">
        <f>_xlfn.IFNA(VLOOKUP($A726,[2]stockregister!$A$2:$H$2000,8,0),0)</f>
        <v>1800</v>
      </c>
      <c r="N726" s="3">
        <f>_xlfn.IFNA(VLOOKUP($A726,[2]stockregister!$A$2:$H$2000,8,0),0)-$M726</f>
        <v>0</v>
      </c>
      <c r="O726" s="3" t="s">
        <v>1690</v>
      </c>
      <c r="P726" s="3" t="s">
        <v>1690</v>
      </c>
      <c r="Q726" s="3" t="s">
        <v>1691</v>
      </c>
      <c r="R726" s="3" t="s">
        <v>68</v>
      </c>
      <c r="S726" s="3" t="s">
        <v>169</v>
      </c>
    </row>
    <row r="727" spans="1:19">
      <c r="A727" s="3">
        <v>2080</v>
      </c>
      <c r="B727" s="3" t="b">
        <f>ISNUMBER(MATCH(A727,[1]stockregister!$A$2:$A$2000,0))</f>
        <v>1</v>
      </c>
      <c r="C727" s="3" t="s">
        <v>1692</v>
      </c>
      <c r="D727" s="3" t="str">
        <f>VLOOKUP($C727,[1]stockregister!$B$2:$B$2000,1,0)</f>
        <v>WELMOED ROSÉ 750ML</v>
      </c>
      <c r="E727" s="3" t="str">
        <f>IF(ISNA($D727),VLOOKUP($A727,[2]stockregister!$A$2:$B$2000,2,FALSE),"")</f>
        <v/>
      </c>
      <c r="F727" s="3" t="s">
        <v>21</v>
      </c>
      <c r="G727" s="3">
        <f>_xlfn.IFNA(VLOOKUP($A727,[3]stockregister!$A$2:$L$2000,11,0),0)</f>
        <v>12</v>
      </c>
      <c r="H727" s="3">
        <f>_xlfn.IFNA(VLOOKUP($A727,[3]stockregister!$A$2:$L$2000,11,0),0)-$G727</f>
        <v>0</v>
      </c>
      <c r="I727" s="3">
        <f>_xlfn.IFNA(VLOOKUP($A727,[3]stockregister!$A$2:$L$2000,12,0),0)</f>
        <v>1104</v>
      </c>
      <c r="J727" s="3">
        <f>_xlfn.IFNA(VLOOKUP($A727,[3]stockregister!$A$1:$M$2000,12,0),0)-$I727</f>
        <v>0</v>
      </c>
      <c r="K727" s="3" t="s">
        <v>22</v>
      </c>
      <c r="L727" s="3" t="s">
        <v>23</v>
      </c>
      <c r="M727" s="3">
        <f>_xlfn.IFNA(VLOOKUP($A727,[2]stockregister!$A$2:$H$2000,8,0),0)</f>
        <v>1200</v>
      </c>
      <c r="N727" s="3">
        <f>_xlfn.IFNA(VLOOKUP($A727,[2]stockregister!$A$2:$H$2000,8,0),0)-$M727</f>
        <v>0</v>
      </c>
      <c r="O727" s="3" t="s">
        <v>1693</v>
      </c>
      <c r="P727" s="3" t="s">
        <v>1693</v>
      </c>
      <c r="Q727" s="3" t="s">
        <v>1296</v>
      </c>
      <c r="R727" s="3" t="s">
        <v>68</v>
      </c>
      <c r="S727" s="3" t="s">
        <v>1030</v>
      </c>
    </row>
    <row r="728" spans="1:19">
      <c r="A728" s="3">
        <v>2359</v>
      </c>
      <c r="B728" s="3" t="b">
        <f>ISNUMBER(MATCH(A728,[1]stockregister!$A$2:$A$2000,0))</f>
        <v>1</v>
      </c>
      <c r="C728" s="3" t="s">
        <v>1694</v>
      </c>
      <c r="D728" s="3" t="str">
        <f>VLOOKUP($C728,[1]stockregister!$B$2:$B$2000,1,0)</f>
        <v>POMMERY ROYAL BRUT ROSE 750ML</v>
      </c>
      <c r="E728" s="3" t="str">
        <f>IF(ISNA($D728),VLOOKUP($A728,[2]stockregister!$A$2:$B$2000,2,FALSE),"")</f>
        <v/>
      </c>
      <c r="F728" s="3" t="s">
        <v>21</v>
      </c>
      <c r="G728" s="3">
        <f>_xlfn.IFNA(VLOOKUP($A728,[3]stockregister!$A$2:$L$2000,11,0),0)</f>
        <v>12</v>
      </c>
      <c r="H728" s="3">
        <f>_xlfn.IFNA(VLOOKUP($A728,[3]stockregister!$A$2:$L$2000,11,0),0)-$G728</f>
        <v>0</v>
      </c>
      <c r="I728" s="3">
        <f>_xlfn.IFNA(VLOOKUP($A728,[3]stockregister!$A$2:$L$2000,12,0),0)</f>
        <v>5200</v>
      </c>
      <c r="J728" s="3">
        <f>_xlfn.IFNA(VLOOKUP($A728,[3]stockregister!$A$1:$M$2000,12,0),0)-$I728</f>
        <v>0</v>
      </c>
      <c r="K728" s="3" t="s">
        <v>22</v>
      </c>
      <c r="L728" s="3" t="s">
        <v>23</v>
      </c>
      <c r="M728" s="3">
        <f>_xlfn.IFNA(VLOOKUP($A728,[2]stockregister!$A$2:$H$2000,8,0),0)</f>
        <v>5500</v>
      </c>
      <c r="N728" s="3">
        <f>_xlfn.IFNA(VLOOKUP($A728,[2]stockregister!$A$2:$H$2000,8,0),0)-$M728</f>
        <v>0</v>
      </c>
      <c r="O728" s="3" t="s">
        <v>1695</v>
      </c>
      <c r="P728" s="3" t="s">
        <v>1695</v>
      </c>
      <c r="Q728" s="3" t="s">
        <v>1660</v>
      </c>
      <c r="R728" s="3" t="s">
        <v>537</v>
      </c>
      <c r="S728" s="3" t="s">
        <v>1030</v>
      </c>
    </row>
    <row r="729" spans="1:19">
      <c r="A729" s="3">
        <v>2514</v>
      </c>
      <c r="B729" s="3" t="b">
        <f>ISNUMBER(MATCH(A729,[1]stockregister!$A$2:$A$2000,0))</f>
        <v>1</v>
      </c>
      <c r="C729" s="3" t="s">
        <v>1696</v>
      </c>
      <c r="D729" s="3" t="str">
        <f>VLOOKUP($C729,[1]stockregister!$B$2:$B$2000,1,0)</f>
        <v>ARTHUR METS CREMANT DALSACE ROSE 750ML</v>
      </c>
      <c r="E729" s="3" t="str">
        <f>IF(ISNA($D729),VLOOKUP($A729,[2]stockregister!$A$2:$B$2000,2,FALSE),"")</f>
        <v/>
      </c>
      <c r="F729" s="3" t="s">
        <v>21</v>
      </c>
      <c r="G729" s="3">
        <f>_xlfn.IFNA(VLOOKUP($A729,[3]stockregister!$A$2:$L$2000,11,0),0)</f>
        <v>12</v>
      </c>
      <c r="H729" s="3">
        <f>_xlfn.IFNA(VLOOKUP($A729,[3]stockregister!$A$2:$L$2000,11,0),0)-$G729</f>
        <v>0</v>
      </c>
      <c r="I729" s="3">
        <f>_xlfn.IFNA(VLOOKUP($A729,[3]stockregister!$A$2:$L$2000,12,0),0)</f>
        <v>2230</v>
      </c>
      <c r="J729" s="3">
        <f>_xlfn.IFNA(VLOOKUP($A729,[3]stockregister!$A$1:$M$2000,12,0),0)-$I729</f>
        <v>0</v>
      </c>
      <c r="K729" s="3" t="s">
        <v>22</v>
      </c>
      <c r="L729" s="3" t="s">
        <v>23</v>
      </c>
      <c r="M729" s="3">
        <f>_xlfn.IFNA(VLOOKUP($A729,[2]stockregister!$A$2:$H$2000,8,0),0)</f>
        <v>2450</v>
      </c>
      <c r="N729" s="3">
        <f>_xlfn.IFNA(VLOOKUP($A729,[2]stockregister!$A$2:$H$2000,8,0),0)-$M729</f>
        <v>0</v>
      </c>
      <c r="O729" s="3" t="s">
        <v>1697</v>
      </c>
      <c r="P729" s="3" t="s">
        <v>1697</v>
      </c>
      <c r="Q729" s="3" t="s">
        <v>1698</v>
      </c>
      <c r="R729" s="3" t="s">
        <v>537</v>
      </c>
      <c r="S729" s="3" t="s">
        <v>1030</v>
      </c>
    </row>
    <row r="730" spans="1:19">
      <c r="A730" s="3">
        <v>104</v>
      </c>
      <c r="B730" s="3" t="b">
        <f>ISNUMBER(MATCH(A730,[1]stockregister!$A$2:$A$2000,0))</f>
        <v>1</v>
      </c>
      <c r="C730" s="3" t="s">
        <v>1699</v>
      </c>
      <c r="D730" s="3" t="str">
        <f>VLOOKUP($C730,[1]stockregister!$B$2:$B$2000,1,0)</f>
        <v>ANGOVE SAV BLANC 750ML</v>
      </c>
      <c r="E730" s="3" t="str">
        <f>IF(ISNA($D730),VLOOKUP($A730,[2]stockregister!$A$2:$B$2000,2,FALSE),"")</f>
        <v/>
      </c>
      <c r="F730" s="3" t="s">
        <v>21</v>
      </c>
      <c r="G730" s="3">
        <f>_xlfn.IFNA(VLOOKUP($A730,[3]stockregister!$A$2:$L$2000,11,0),0)</f>
        <v>12</v>
      </c>
      <c r="H730" s="3">
        <f>_xlfn.IFNA(VLOOKUP($A730,[3]stockregister!$A$2:$L$2000,11,0),0)-$G730</f>
        <v>0</v>
      </c>
      <c r="I730" s="3">
        <f>_xlfn.IFNA(VLOOKUP($A730,[3]stockregister!$A$2:$L$2000,12,0),0)</f>
        <v>1300</v>
      </c>
      <c r="J730" s="3">
        <f>_xlfn.IFNA(VLOOKUP($A730,[3]stockregister!$A$1:$M$2000,12,0),0)-$I730</f>
        <v>0</v>
      </c>
      <c r="K730" s="3" t="s">
        <v>22</v>
      </c>
      <c r="L730" s="3" t="s">
        <v>23</v>
      </c>
      <c r="M730" s="3">
        <f>_xlfn.IFNA(VLOOKUP($A730,[2]stockregister!$A$2:$H$2000,8,0),0)</f>
        <v>1500</v>
      </c>
      <c r="N730" s="3">
        <f>_xlfn.IFNA(VLOOKUP($A730,[2]stockregister!$A$2:$H$2000,8,0),0)-$M730</f>
        <v>0</v>
      </c>
      <c r="O730" s="3" t="s">
        <v>1700</v>
      </c>
      <c r="P730" s="3" t="s">
        <v>1700</v>
      </c>
      <c r="Q730" s="3" t="s">
        <v>1701</v>
      </c>
      <c r="R730" s="3" t="s">
        <v>537</v>
      </c>
      <c r="S730" s="3" t="s">
        <v>398</v>
      </c>
    </row>
    <row r="731" spans="1:19">
      <c r="A731" s="3">
        <v>2018</v>
      </c>
      <c r="B731" s="3" t="b">
        <f>ISNUMBER(MATCH(A731,[1]stockregister!$A$2:$A$2000,0))</f>
        <v>1</v>
      </c>
      <c r="C731" s="3" t="s">
        <v>1702</v>
      </c>
      <c r="D731" s="3" t="str">
        <f>VLOOKUP($C731,[1]stockregister!$B$2:$B$2000,1,0)</f>
        <v>TRUMPETER SAUV BLANC 2021 750ML</v>
      </c>
      <c r="E731" s="3" t="str">
        <f>IF(ISNA($D731),VLOOKUP($A731,[2]stockregister!$A$2:$B$2000,2,FALSE),"")</f>
        <v/>
      </c>
      <c r="F731" s="3" t="s">
        <v>21</v>
      </c>
      <c r="G731" s="3">
        <f>_xlfn.IFNA(VLOOKUP($A731,[3]stockregister!$A$2:$L$2000,11,0),0)</f>
        <v>6</v>
      </c>
      <c r="H731" s="3">
        <f>_xlfn.IFNA(VLOOKUP($A731,[3]stockregister!$A$2:$L$2000,11,0),0)-$G731</f>
        <v>0</v>
      </c>
      <c r="I731" s="3">
        <f>_xlfn.IFNA(VLOOKUP($A731,[3]stockregister!$A$2:$L$2000,12,0),0)</f>
        <v>1679.68</v>
      </c>
      <c r="J731" s="3">
        <f>_xlfn.IFNA(VLOOKUP($A731,[3]stockregister!$A$1:$M$2000,12,0),0)-$I731</f>
        <v>0</v>
      </c>
      <c r="K731" s="3" t="s">
        <v>22</v>
      </c>
      <c r="L731" s="3" t="s">
        <v>23</v>
      </c>
      <c r="M731" s="3">
        <f>_xlfn.IFNA(VLOOKUP($A731,[2]stockregister!$A$2:$H$2000,8,0),0)</f>
        <v>1850</v>
      </c>
      <c r="N731" s="3">
        <f>_xlfn.IFNA(VLOOKUP($A731,[2]stockregister!$A$2:$H$2000,8,0),0)-$M731</f>
        <v>0</v>
      </c>
      <c r="O731" s="3" t="s">
        <v>1083</v>
      </c>
      <c r="P731" s="3" t="s">
        <v>1083</v>
      </c>
      <c r="Q731" s="3" t="s">
        <v>1077</v>
      </c>
      <c r="R731" s="3" t="s">
        <v>68</v>
      </c>
      <c r="S731" s="3" t="s">
        <v>398</v>
      </c>
    </row>
    <row r="732" spans="1:19">
      <c r="A732" s="3">
        <v>2505</v>
      </c>
      <c r="B732" s="3" t="b">
        <f>ISNUMBER(MATCH(A732,[1]stockregister!$A$2:$A$2000,0))</f>
        <v>1</v>
      </c>
      <c r="C732" s="3" t="s">
        <v>1703</v>
      </c>
      <c r="D732" s="3" t="str">
        <f>VLOOKUP($C732,[1]stockregister!$B$2:$B$2000,1,0)</f>
        <v>LEOPARDS LEAP SAUV BLANC 750ML</v>
      </c>
      <c r="E732" s="3" t="str">
        <f>IF(ISNA($D732),VLOOKUP($A732,[2]stockregister!$A$2:$B$2000,2,FALSE),"")</f>
        <v/>
      </c>
      <c r="F732" s="3" t="s">
        <v>21</v>
      </c>
      <c r="G732" s="3">
        <f>_xlfn.IFNA(VLOOKUP($A732,[3]stockregister!$A$2:$L$2000,11,0),0)</f>
        <v>12</v>
      </c>
      <c r="H732" s="3">
        <f>_xlfn.IFNA(VLOOKUP($A732,[3]stockregister!$A$2:$L$2000,11,0),0)-$G732</f>
        <v>0</v>
      </c>
      <c r="I732" s="3">
        <f>_xlfn.IFNA(VLOOKUP($A732,[3]stockregister!$A$2:$L$2000,12,0),0)</f>
        <v>1420</v>
      </c>
      <c r="J732" s="3">
        <f>_xlfn.IFNA(VLOOKUP($A732,[3]stockregister!$A$1:$M$2000,12,0),0)-$I732</f>
        <v>0</v>
      </c>
      <c r="K732" s="3" t="s">
        <v>22</v>
      </c>
      <c r="L732" s="3" t="s">
        <v>23</v>
      </c>
      <c r="M732" s="3">
        <f>_xlfn.IFNA(VLOOKUP($A732,[2]stockregister!$A$2:$H$2000,8,0),0)</f>
        <v>1550</v>
      </c>
      <c r="N732" s="3">
        <f>_xlfn.IFNA(VLOOKUP($A732,[2]stockregister!$A$2:$H$2000,8,0),0)-$M732</f>
        <v>0</v>
      </c>
      <c r="O732" s="3" t="s">
        <v>1704</v>
      </c>
      <c r="P732" s="3" t="s">
        <v>1704</v>
      </c>
      <c r="Q732" s="3" t="s">
        <v>1302</v>
      </c>
      <c r="R732" s="3" t="s">
        <v>537</v>
      </c>
      <c r="S732" s="3" t="s">
        <v>398</v>
      </c>
    </row>
    <row r="733" spans="1:19">
      <c r="A733" s="3">
        <v>525</v>
      </c>
      <c r="B733" s="3" t="b">
        <f>ISNUMBER(MATCH(A733,[1]stockregister!$A$2:$A$2000,0))</f>
        <v>1</v>
      </c>
      <c r="C733" s="3" t="s">
        <v>1705</v>
      </c>
      <c r="D733" s="3" t="str">
        <f>VLOOKUP($C733,[1]stockregister!$B$2:$B$2000,1,0)</f>
        <v>CONSIGNIA SHIRAZ 750ML</v>
      </c>
      <c r="E733" s="3" t="str">
        <f>IF(ISNA($D733),VLOOKUP($A733,[2]stockregister!$A$2:$B$2000,2,FALSE),"")</f>
        <v/>
      </c>
      <c r="F733" s="3" t="s">
        <v>21</v>
      </c>
      <c r="G733" s="3">
        <f>_xlfn.IFNA(VLOOKUP($A733,[3]stockregister!$A$2:$L$2000,11,0),0)</f>
        <v>0</v>
      </c>
      <c r="H733" s="3">
        <f>_xlfn.IFNA(VLOOKUP($A733,[3]stockregister!$A$2:$L$2000,11,0),0)-$G733</f>
        <v>0</v>
      </c>
      <c r="I733" s="3">
        <f>_xlfn.IFNA(VLOOKUP($A733,[3]stockregister!$A$2:$L$2000,12,0),0)</f>
        <v>1240</v>
      </c>
      <c r="J733" s="3">
        <f>_xlfn.IFNA(VLOOKUP($A733,[3]stockregister!$A$1:$M$2000,12,0),0)-$I733</f>
        <v>0</v>
      </c>
      <c r="K733" s="3" t="s">
        <v>22</v>
      </c>
      <c r="L733" s="3" t="s">
        <v>23</v>
      </c>
      <c r="M733" s="3">
        <f>_xlfn.IFNA(VLOOKUP($A733,[2]stockregister!$A$2:$H$2000,8,0),0)</f>
        <v>1440</v>
      </c>
      <c r="N733" s="3">
        <f>_xlfn.IFNA(VLOOKUP($A733,[2]stockregister!$A$2:$H$2000,8,0),0)-$M733</f>
        <v>0</v>
      </c>
      <c r="O733" s="3" t="s">
        <v>1706</v>
      </c>
      <c r="P733" s="3" t="s">
        <v>1706</v>
      </c>
      <c r="Q733" s="3" t="s">
        <v>1707</v>
      </c>
      <c r="R733" s="3" t="s">
        <v>68</v>
      </c>
      <c r="S733" s="3" t="s">
        <v>1357</v>
      </c>
    </row>
    <row r="734" spans="1:19">
      <c r="A734" s="3">
        <v>2262</v>
      </c>
      <c r="B734" s="3" t="b">
        <f>ISNUMBER(MATCH(A734,[1]stockregister!$A$2:$A$2000,0))</f>
        <v>1</v>
      </c>
      <c r="C734" s="3" t="s">
        <v>1708</v>
      </c>
      <c r="D734" s="3" t="str">
        <f>VLOOKUP($C734,[1]stockregister!$B$2:$B$2000,1,0)</f>
        <v>BENARD LANCLAS BRUT 750ML</v>
      </c>
      <c r="E734" s="3" t="str">
        <f>IF(ISNA($D734),VLOOKUP($A734,[2]stockregister!$A$2:$B$2000,2,FALSE),"")</f>
        <v/>
      </c>
      <c r="F734" s="3" t="s">
        <v>21</v>
      </c>
      <c r="G734" s="3">
        <f>_xlfn.IFNA(VLOOKUP($A734,[3]stockregister!$A$2:$L$2000,11,0),0)</f>
        <v>12</v>
      </c>
      <c r="H734" s="3">
        <f>_xlfn.IFNA(VLOOKUP($A734,[3]stockregister!$A$2:$L$2000,11,0),0)-$G734</f>
        <v>0</v>
      </c>
      <c r="I734" s="3">
        <f>_xlfn.IFNA(VLOOKUP($A734,[3]stockregister!$A$2:$L$2000,12,0),0)</f>
        <v>900</v>
      </c>
      <c r="J734" s="3">
        <f>_xlfn.IFNA(VLOOKUP($A734,[3]stockregister!$A$1:$M$2000,12,0),0)-$I734</f>
        <v>0</v>
      </c>
      <c r="K734" s="3" t="s">
        <v>22</v>
      </c>
      <c r="L734" s="3" t="s">
        <v>23</v>
      </c>
      <c r="M734" s="3">
        <f>_xlfn.IFNA(VLOOKUP($A734,[2]stockregister!$A$2:$H$2000,8,0),0)</f>
        <v>1000</v>
      </c>
      <c r="N734" s="3">
        <f>_xlfn.IFNA(VLOOKUP($A734,[2]stockregister!$A$2:$H$2000,8,0),0)-$M734</f>
        <v>0</v>
      </c>
      <c r="O734" s="3" t="s">
        <v>1709</v>
      </c>
      <c r="P734" s="3" t="s">
        <v>1709</v>
      </c>
      <c r="Q734" s="3" t="s">
        <v>1710</v>
      </c>
      <c r="R734" s="3" t="s">
        <v>537</v>
      </c>
      <c r="S734" s="3" t="s">
        <v>538</v>
      </c>
    </row>
    <row r="735" spans="1:19">
      <c r="A735" s="3">
        <v>2484</v>
      </c>
      <c r="B735" s="3" t="b">
        <f>ISNUMBER(MATCH(A735,[1]stockregister!$A$2:$A$2000,0))</f>
        <v>1</v>
      </c>
      <c r="C735" s="3" t="s">
        <v>1711</v>
      </c>
      <c r="D735" s="3" t="str">
        <f>VLOOKUP($C735,[1]stockregister!$B$2:$B$2000,1,0)</f>
        <v>BARON DE RUBI SPARKLING WHITE BRUT 750ML</v>
      </c>
      <c r="E735" s="3" t="str">
        <f>IF(ISNA($D735),VLOOKUP($A735,[2]stockregister!$A$2:$B$2000,2,FALSE),"")</f>
        <v/>
      </c>
      <c r="F735" s="3" t="s">
        <v>21</v>
      </c>
      <c r="G735" s="3">
        <f>_xlfn.IFNA(VLOOKUP($A735,[3]stockregister!$A$2:$L$2000,11,0),0)</f>
        <v>12</v>
      </c>
      <c r="H735" s="3">
        <f>_xlfn.IFNA(VLOOKUP($A735,[3]stockregister!$A$2:$L$2000,11,0),0)-$G735</f>
        <v>0</v>
      </c>
      <c r="I735" s="3">
        <f>_xlfn.IFNA(VLOOKUP($A735,[3]stockregister!$A$2:$L$2000,12,0),0)</f>
        <v>902</v>
      </c>
      <c r="J735" s="3">
        <f>_xlfn.IFNA(VLOOKUP($A735,[3]stockregister!$A$1:$M$2000,12,0),0)-$I735</f>
        <v>0</v>
      </c>
      <c r="K735" s="3" t="s">
        <v>22</v>
      </c>
      <c r="L735" s="3" t="s">
        <v>23</v>
      </c>
      <c r="M735" s="3">
        <f>_xlfn.IFNA(VLOOKUP($A735,[2]stockregister!$A$2:$H$2000,8,0),0)</f>
        <v>980</v>
      </c>
      <c r="N735" s="3">
        <f>_xlfn.IFNA(VLOOKUP($A735,[2]stockregister!$A$2:$H$2000,8,0),0)-$M735</f>
        <v>0</v>
      </c>
      <c r="O735" s="3" t="s">
        <v>1712</v>
      </c>
      <c r="P735" s="3" t="s">
        <v>1712</v>
      </c>
      <c r="Q735" s="3" t="s">
        <v>1713</v>
      </c>
      <c r="R735" s="3" t="s">
        <v>537</v>
      </c>
      <c r="S735" s="3" t="s">
        <v>1714</v>
      </c>
    </row>
    <row r="736" spans="1:19">
      <c r="A736" s="3">
        <v>394</v>
      </c>
      <c r="B736" s="3" t="b">
        <f>ISNUMBER(MATCH(A736,[1]stockregister!$A$2:$A$2000,0))</f>
        <v>1</v>
      </c>
      <c r="C736" s="3" t="s">
        <v>1715</v>
      </c>
      <c r="D736" s="3" t="str">
        <f>VLOOKUP($C736,[1]stockregister!$B$2:$B$2000,1,0)</f>
        <v>CARLO ROSSI SWEET RED 3LTR</v>
      </c>
      <c r="E736" s="3" t="str">
        <f>IF(ISNA($D736),VLOOKUP($A736,[2]stockregister!$A$2:$B$2000,2,FALSE),"")</f>
        <v/>
      </c>
      <c r="F736" s="3" t="s">
        <v>21</v>
      </c>
      <c r="G736" s="3">
        <f>_xlfn.IFNA(VLOOKUP($A736,[3]stockregister!$A$2:$L$2000,11,0),0)</f>
        <v>12</v>
      </c>
      <c r="H736" s="3">
        <f>_xlfn.IFNA(VLOOKUP($A736,[3]stockregister!$A$2:$L$2000,11,0),0)-$G736</f>
        <v>0</v>
      </c>
      <c r="I736" s="3">
        <f>_xlfn.IFNA(VLOOKUP($A736,[3]stockregister!$A$2:$L$2000,12,0),0)</f>
        <v>2116</v>
      </c>
      <c r="J736" s="3">
        <f>_xlfn.IFNA(VLOOKUP($A736,[3]stockregister!$A$1:$M$2000,12,0),0)-$I736</f>
        <v>0</v>
      </c>
      <c r="K736" s="3" t="s">
        <v>22</v>
      </c>
      <c r="L736" s="3" t="s">
        <v>23</v>
      </c>
      <c r="M736" s="3">
        <f>_xlfn.IFNA(VLOOKUP($A736,[2]stockregister!$A$2:$H$2000,8,0),0)</f>
        <v>2300</v>
      </c>
      <c r="N736" s="3">
        <f>_xlfn.IFNA(VLOOKUP($A736,[2]stockregister!$A$2:$H$2000,8,0),0)-$M736</f>
        <v>0</v>
      </c>
      <c r="O736" s="3" t="s">
        <v>1716</v>
      </c>
      <c r="P736" s="3" t="s">
        <v>1716</v>
      </c>
      <c r="Q736" s="3" t="s">
        <v>917</v>
      </c>
      <c r="R736" s="3" t="s">
        <v>68</v>
      </c>
      <c r="S736" s="3" t="s">
        <v>88</v>
      </c>
    </row>
    <row r="737" spans="1:19">
      <c r="A737" s="3">
        <v>2333</v>
      </c>
      <c r="B737" s="3" t="b">
        <f>ISNUMBER(MATCH(A737,[1]stockregister!$A$2:$A$2000,0))</f>
        <v>1</v>
      </c>
      <c r="C737" s="3" t="s">
        <v>1717</v>
      </c>
      <c r="D737" s="3" t="str">
        <f>VLOOKUP($C737,[1]stockregister!$B$2:$B$2000,1,0)</f>
        <v>DOMPO SWT ROSE 750ML</v>
      </c>
      <c r="E737" s="3" t="str">
        <f>IF(ISNA($D737),VLOOKUP($A737,[2]stockregister!$A$2:$B$2000,2,FALSE),"")</f>
        <v/>
      </c>
      <c r="F737" s="3" t="s">
        <v>21</v>
      </c>
      <c r="G737" s="3">
        <f>_xlfn.IFNA(VLOOKUP($A737,[3]stockregister!$A$2:$L$2000,11,0),0)</f>
        <v>12</v>
      </c>
      <c r="H737" s="3">
        <f>_xlfn.IFNA(VLOOKUP($A737,[3]stockregister!$A$2:$L$2000,11,0),0)-$G737</f>
        <v>0</v>
      </c>
      <c r="I737" s="3">
        <f>_xlfn.IFNA(VLOOKUP($A737,[3]stockregister!$A$2:$L$2000,12,0),0)</f>
        <v>1060</v>
      </c>
      <c r="J737" s="3">
        <f>_xlfn.IFNA(VLOOKUP($A737,[3]stockregister!$A$1:$M$2000,12,0),0)-$I737</f>
        <v>0</v>
      </c>
      <c r="K737" s="3" t="s">
        <v>22</v>
      </c>
      <c r="L737" s="3" t="s">
        <v>23</v>
      </c>
      <c r="M737" s="3">
        <f>_xlfn.IFNA(VLOOKUP($A737,[2]stockregister!$A$2:$H$2000,8,0),0)</f>
        <v>1150</v>
      </c>
      <c r="N737" s="3">
        <f>_xlfn.IFNA(VLOOKUP($A737,[2]stockregister!$A$2:$H$2000,8,0),0)-$M737</f>
        <v>0</v>
      </c>
      <c r="O737" s="3" t="s">
        <v>1718</v>
      </c>
      <c r="P737" s="3" t="s">
        <v>1718</v>
      </c>
      <c r="Q737" s="3" t="s">
        <v>1719</v>
      </c>
      <c r="R737" s="3" t="s">
        <v>68</v>
      </c>
      <c r="S737" s="3" t="s">
        <v>196</v>
      </c>
    </row>
    <row r="738" spans="1:19">
      <c r="A738" s="3">
        <v>743</v>
      </c>
      <c r="B738" s="3" t="b">
        <f>ISNUMBER(MATCH(A738,[1]stockregister!$A$2:$A$2000,0))</f>
        <v>1</v>
      </c>
      <c r="C738" s="3" t="s">
        <v>1720</v>
      </c>
      <c r="D738" s="3" t="str">
        <f>VLOOKUP($C738,[1]stockregister!$B$2:$B$2000,1,0)</f>
        <v>FORMENTERA WHITE OCEAN SWEET 750ML</v>
      </c>
      <c r="E738" s="3" t="str">
        <f>IF(ISNA($D738),VLOOKUP($A738,[2]stockregister!$A$2:$B$2000,2,FALSE),"")</f>
        <v/>
      </c>
      <c r="F738" s="3" t="s">
        <v>21</v>
      </c>
      <c r="G738" s="3">
        <f>_xlfn.IFNA(VLOOKUP($A738,[3]stockregister!$A$2:$L$2000,11,0),0)</f>
        <v>12</v>
      </c>
      <c r="H738" s="3">
        <f>_xlfn.IFNA(VLOOKUP($A738,[3]stockregister!$A$2:$L$2000,11,0),0)-$G738</f>
        <v>0</v>
      </c>
      <c r="I738" s="3">
        <f>_xlfn.IFNA(VLOOKUP($A738,[3]stockregister!$A$2:$L$2000,12,0),0)</f>
        <v>690</v>
      </c>
      <c r="J738" s="3">
        <f>_xlfn.IFNA(VLOOKUP($A738,[3]stockregister!$A$1:$M$2000,12,0),0)-$I738</f>
        <v>0</v>
      </c>
      <c r="K738" s="3" t="s">
        <v>22</v>
      </c>
      <c r="L738" s="3" t="s">
        <v>23</v>
      </c>
      <c r="M738" s="3">
        <f>_xlfn.IFNA(VLOOKUP($A738,[2]stockregister!$A$2:$H$2000,8,0),0)</f>
        <v>750</v>
      </c>
      <c r="N738" s="3">
        <f>_xlfn.IFNA(VLOOKUP($A738,[2]stockregister!$A$2:$H$2000,8,0),0)-$M738</f>
        <v>0</v>
      </c>
      <c r="O738" s="3" t="s">
        <v>1721</v>
      </c>
      <c r="P738" s="3" t="s">
        <v>1721</v>
      </c>
      <c r="Q738" s="3" t="s">
        <v>1722</v>
      </c>
      <c r="R738" s="3" t="s">
        <v>68</v>
      </c>
      <c r="S738" s="3" t="s">
        <v>69</v>
      </c>
    </row>
    <row r="739" spans="1:19">
      <c r="A739" s="3">
        <v>370</v>
      </c>
      <c r="B739" s="3" t="b">
        <f>ISNUMBER(MATCH(A739,[1]stockregister!$A$2:$A$2000,0))</f>
        <v>1</v>
      </c>
      <c r="C739" s="3" t="s">
        <v>1723</v>
      </c>
      <c r="D739" s="3" t="str">
        <f>VLOOKUP($C739,[1]stockregister!$B$2:$B$2000,1,0)</f>
        <v>CAPRICE NATURAL SWT WHITE 1LTR</v>
      </c>
      <c r="E739" s="3" t="str">
        <f>IF(ISNA($D739),VLOOKUP($A739,[2]stockregister!$A$2:$B$2000,2,FALSE),"")</f>
        <v/>
      </c>
      <c r="F739" s="3" t="s">
        <v>21</v>
      </c>
      <c r="G739" s="3">
        <f>_xlfn.IFNA(VLOOKUP($A739,[3]stockregister!$A$2:$L$2000,11,0),0)</f>
        <v>192</v>
      </c>
      <c r="H739" s="3">
        <f>_xlfn.IFNA(VLOOKUP($A739,[3]stockregister!$A$2:$L$2000,11,0),0)-$G739</f>
        <v>0</v>
      </c>
      <c r="I739" s="3">
        <f>_xlfn.IFNA(VLOOKUP($A739,[3]stockregister!$A$2:$L$2000,12,0),0)</f>
        <v>868.99</v>
      </c>
      <c r="J739" s="3">
        <f>_xlfn.IFNA(VLOOKUP($A739,[3]stockregister!$A$1:$M$2000,12,0),0)-$I739</f>
        <v>0</v>
      </c>
      <c r="K739" s="3" t="s">
        <v>22</v>
      </c>
      <c r="L739" s="3" t="s">
        <v>23</v>
      </c>
      <c r="M739" s="3">
        <f>_xlfn.IFNA(VLOOKUP($A739,[2]stockregister!$A$2:$H$2000,8,0),0)</f>
        <v>880</v>
      </c>
      <c r="N739" s="3">
        <f>_xlfn.IFNA(VLOOKUP($A739,[2]stockregister!$A$2:$H$2000,8,0),0)-$M739</f>
        <v>0</v>
      </c>
      <c r="O739" s="3" t="s">
        <v>1724</v>
      </c>
      <c r="P739" s="3" t="s">
        <v>1724</v>
      </c>
      <c r="Q739" s="3" t="s">
        <v>921</v>
      </c>
      <c r="R739" s="3" t="s">
        <v>68</v>
      </c>
      <c r="S739" s="3" t="s">
        <v>69</v>
      </c>
    </row>
    <row r="740" spans="1:19">
      <c r="A740" s="3">
        <v>648</v>
      </c>
      <c r="B740" s="3" t="b">
        <f>ISNUMBER(MATCH(A740,[1]stockregister!$A$2:$A$2000,0))</f>
        <v>1</v>
      </c>
      <c r="C740" s="3" t="s">
        <v>1725</v>
      </c>
      <c r="D740" s="3" t="str">
        <f>VLOOKUP($C740,[1]stockregister!$B$2:$B$2000,1,0)</f>
        <v>DUCHESALIA FRAGOLINO WHITE 750ML</v>
      </c>
      <c r="E740" s="3" t="str">
        <f>IF(ISNA($D740),VLOOKUP($A740,[2]stockregister!$A$2:$B$2000,2,FALSE),"")</f>
        <v/>
      </c>
      <c r="F740" s="3" t="s">
        <v>21</v>
      </c>
      <c r="G740" s="3">
        <f>_xlfn.IFNA(VLOOKUP($A740,[3]stockregister!$A$2:$L$2000,11,0),0)</f>
        <v>0</v>
      </c>
      <c r="H740" s="3">
        <f>_xlfn.IFNA(VLOOKUP($A740,[3]stockregister!$A$2:$L$2000,11,0),0)-$G740</f>
        <v>0</v>
      </c>
      <c r="I740" s="3">
        <f>_xlfn.IFNA(VLOOKUP($A740,[3]stockregister!$A$2:$L$2000,12,0),0)</f>
        <v>1200</v>
      </c>
      <c r="J740" s="3">
        <f>_xlfn.IFNA(VLOOKUP($A740,[3]stockregister!$A$1:$M$2000,12,0),0)-$I740</f>
        <v>0</v>
      </c>
      <c r="K740" s="3" t="s">
        <v>22</v>
      </c>
      <c r="L740" s="3" t="s">
        <v>23</v>
      </c>
      <c r="M740" s="3">
        <f>_xlfn.IFNA(VLOOKUP($A740,[2]stockregister!$A$2:$H$2000,8,0),0)</f>
        <v>1400</v>
      </c>
      <c r="N740" s="3">
        <f>_xlfn.IFNA(VLOOKUP($A740,[2]stockregister!$A$2:$H$2000,8,0),0)-$M740</f>
        <v>0</v>
      </c>
      <c r="O740" s="3" t="s">
        <v>1726</v>
      </c>
      <c r="P740" s="3" t="s">
        <v>1726</v>
      </c>
      <c r="Q740" s="3" t="s">
        <v>1727</v>
      </c>
      <c r="R740" s="3" t="s">
        <v>68</v>
      </c>
      <c r="S740" s="3" t="s">
        <v>69</v>
      </c>
    </row>
    <row r="741" spans="1:19">
      <c r="A741" s="3">
        <v>2591</v>
      </c>
      <c r="B741" s="3" t="b">
        <f>ISNUMBER(MATCH(A741,[1]stockregister!$A$2:$A$2000,0))</f>
        <v>1</v>
      </c>
      <c r="C741" s="3" t="s">
        <v>386</v>
      </c>
      <c r="D741" s="3" t="str">
        <f>VLOOKUP($C741,[1]stockregister!$B$2:$B$2000,1,0)</f>
        <v>JP AZEITAO WHITE 750ML </v>
      </c>
      <c r="E741" s="3" t="str">
        <f>IF(ISNA($D741),VLOOKUP($A741,[2]stockregister!$A$2:$B$2000,2,FALSE),"")</f>
        <v/>
      </c>
      <c r="F741" s="3" t="s">
        <v>21</v>
      </c>
      <c r="G741" s="3">
        <f>_xlfn.IFNA(VLOOKUP($A741,[3]stockregister!$A$2:$L$2000,11,0),0)</f>
        <v>12</v>
      </c>
      <c r="H741" s="3">
        <f>_xlfn.IFNA(VLOOKUP($A741,[3]stockregister!$A$2:$L$2000,11,0),0)-$G741</f>
        <v>0</v>
      </c>
      <c r="I741" s="3">
        <f>_xlfn.IFNA(VLOOKUP($A741,[3]stockregister!$A$2:$L$2000,12,0),0)</f>
        <v>1390</v>
      </c>
      <c r="J741" s="3">
        <f>_xlfn.IFNA(VLOOKUP($A741,[3]stockregister!$A$1:$M$2000,12,0),0)-$I741</f>
        <v>0</v>
      </c>
      <c r="K741" s="3" t="s">
        <v>22</v>
      </c>
      <c r="L741" s="3" t="s">
        <v>23</v>
      </c>
      <c r="M741" s="3">
        <f>_xlfn.IFNA(VLOOKUP($A741,[2]stockregister!$A$2:$H$2000,8,0),0)</f>
        <v>1500</v>
      </c>
      <c r="N741" s="3">
        <f>_xlfn.IFNA(VLOOKUP($A741,[2]stockregister!$A$2:$H$2000,8,0),0)-$M741</f>
        <v>0</v>
      </c>
      <c r="O741" s="3" t="s">
        <v>1728</v>
      </c>
      <c r="P741" s="3" t="s">
        <v>1728</v>
      </c>
      <c r="Q741" s="3" t="s">
        <v>1688</v>
      </c>
      <c r="R741" s="3" t="s">
        <v>537</v>
      </c>
      <c r="S741" s="3" t="s">
        <v>157</v>
      </c>
    </row>
    <row r="742" spans="1:18">
      <c r="A742" s="3">
        <v>2176</v>
      </c>
      <c r="B742" s="3" t="b">
        <f>ISNUMBER(MATCH(A742,[1]stockregister!$A$2:$A$2000,0))</f>
        <v>1</v>
      </c>
      <c r="C742" s="3" t="s">
        <v>1729</v>
      </c>
      <c r="D742" s="3" t="str">
        <f>VLOOKUP($C742,[1]stockregister!$B$2:$B$2000,1,0)</f>
        <v>ANGOVE RIESLING 750ML</v>
      </c>
      <c r="E742" s="3" t="str">
        <f>IF(ISNA($D742),VLOOKUP($A742,[2]stockregister!$A$2:$B$2000,2,FALSE),"")</f>
        <v/>
      </c>
      <c r="F742" s="3" t="s">
        <v>21</v>
      </c>
      <c r="G742" s="3">
        <f>_xlfn.IFNA(VLOOKUP($A742,[3]stockregister!$A$2:$L$2000,11,0),0)</f>
        <v>12</v>
      </c>
      <c r="H742" s="3">
        <f>_xlfn.IFNA(VLOOKUP($A742,[3]stockregister!$A$2:$L$2000,11,0),0)-$G742</f>
        <v>0</v>
      </c>
      <c r="I742" s="3">
        <f>_xlfn.IFNA(VLOOKUP($A742,[3]stockregister!$A$2:$L$2000,12,0),0)</f>
        <v>1400</v>
      </c>
      <c r="J742" s="3">
        <f>_xlfn.IFNA(VLOOKUP($A742,[3]stockregister!$A$1:$M$2000,12,0),0)-$I742</f>
        <v>0</v>
      </c>
      <c r="K742" s="3" t="s">
        <v>22</v>
      </c>
      <c r="L742" s="3" t="s">
        <v>23</v>
      </c>
      <c r="M742" s="3">
        <f>_xlfn.IFNA(VLOOKUP($A742,[2]stockregister!$A$2:$H$2000,8,0),0)</f>
        <v>1500</v>
      </c>
      <c r="N742" s="3">
        <f>_xlfn.IFNA(VLOOKUP($A742,[2]stockregister!$A$2:$H$2000,8,0),0)-$M742</f>
        <v>0</v>
      </c>
      <c r="O742" s="3" t="s">
        <v>1730</v>
      </c>
      <c r="P742" s="3" t="s">
        <v>1730</v>
      </c>
      <c r="Q742" s="3" t="s">
        <v>1701</v>
      </c>
      <c r="R742" s="3" t="s">
        <v>537</v>
      </c>
    </row>
    <row r="743" spans="1:18">
      <c r="A743" s="3">
        <v>2480</v>
      </c>
      <c r="B743" s="3" t="b">
        <f>ISNUMBER(MATCH(A743,[1]stockregister!$A$2:$A$2000,0))</f>
        <v>1</v>
      </c>
      <c r="C743" s="3" t="s">
        <v>1731</v>
      </c>
      <c r="D743" s="3" t="str">
        <f>VLOOKUP($C743,[1]stockregister!$B$2:$B$2000,1,0)</f>
        <v>ZONIN OG BARBERA VENTO 750ML</v>
      </c>
      <c r="E743" s="3" t="str">
        <f>IF(ISNA($D743),VLOOKUP($A743,[2]stockregister!$A$2:$B$2000,2,FALSE),"")</f>
        <v/>
      </c>
      <c r="F743" s="3" t="s">
        <v>21</v>
      </c>
      <c r="G743" s="3">
        <f>_xlfn.IFNA(VLOOKUP($A743,[3]stockregister!$A$2:$L$2000,11,0),0)</f>
        <v>12</v>
      </c>
      <c r="H743" s="3">
        <f>_xlfn.IFNA(VLOOKUP($A743,[3]stockregister!$A$2:$L$2000,11,0),0)-$G743</f>
        <v>0</v>
      </c>
      <c r="I743" s="3">
        <f>_xlfn.IFNA(VLOOKUP($A743,[3]stockregister!$A$2:$L$2000,12,0),0)</f>
        <v>923</v>
      </c>
      <c r="J743" s="3">
        <f>_xlfn.IFNA(VLOOKUP($A743,[3]stockregister!$A$1:$M$2000,12,0),0)-$I743</f>
        <v>0</v>
      </c>
      <c r="K743" s="3" t="s">
        <v>22</v>
      </c>
      <c r="L743" s="3" t="s">
        <v>23</v>
      </c>
      <c r="M743" s="3">
        <f>_xlfn.IFNA(VLOOKUP($A743,[2]stockregister!$A$2:$H$2000,8,0),0)</f>
        <v>1200</v>
      </c>
      <c r="N743" s="3">
        <f>_xlfn.IFNA(VLOOKUP($A743,[2]stockregister!$A$2:$H$2000,8,0),0)-$M743</f>
        <v>0</v>
      </c>
      <c r="O743" s="3" t="s">
        <v>1732</v>
      </c>
      <c r="P743" s="3" t="s">
        <v>1732</v>
      </c>
      <c r="Q743" s="3" t="s">
        <v>1438</v>
      </c>
      <c r="R743" s="3" t="s">
        <v>537</v>
      </c>
    </row>
    <row r="744" spans="1:18">
      <c r="A744" s="3">
        <v>789</v>
      </c>
      <c r="B744" s="3" t="b">
        <f>ISNUMBER(MATCH(A744,[1]stockregister!$A$2:$A$2000,0))</f>
        <v>1</v>
      </c>
      <c r="C744" s="3" t="s">
        <v>1733</v>
      </c>
      <c r="D744" s="3" t="str">
        <f>VLOOKUP($C744,[1]stockregister!$B$2:$B$2000,1,0)</f>
        <v>FRONTERA LATE HARVEST 750ML</v>
      </c>
      <c r="E744" s="3" t="str">
        <f>IF(ISNA($D744),VLOOKUP($A744,[2]stockregister!$A$2:$B$2000,2,FALSE),"")</f>
        <v/>
      </c>
      <c r="F744" s="3" t="s">
        <v>21</v>
      </c>
      <c r="G744" s="3">
        <f>_xlfn.IFNA(VLOOKUP($A744,[3]stockregister!$A$2:$L$2000,11,0),0)</f>
        <v>12</v>
      </c>
      <c r="H744" s="3">
        <f>_xlfn.IFNA(VLOOKUP($A744,[3]stockregister!$A$2:$L$2000,11,0),0)-$G744</f>
        <v>0</v>
      </c>
      <c r="I744" s="3">
        <f>_xlfn.IFNA(VLOOKUP($A744,[3]stockregister!$A$2:$L$2000,12,0),0)</f>
        <v>978.4</v>
      </c>
      <c r="J744" s="3">
        <f>_xlfn.IFNA(VLOOKUP($A744,[3]stockregister!$A$1:$M$2000,12,0),0)-$I744</f>
        <v>0</v>
      </c>
      <c r="K744" s="3" t="s">
        <v>22</v>
      </c>
      <c r="L744" s="3" t="s">
        <v>23</v>
      </c>
      <c r="M744" s="3">
        <f>_xlfn.IFNA(VLOOKUP($A744,[2]stockregister!$A$2:$H$2000,8,0),0)</f>
        <v>1100</v>
      </c>
      <c r="N744" s="3">
        <f>_xlfn.IFNA(VLOOKUP($A744,[2]stockregister!$A$2:$H$2000,8,0),0)-$M744</f>
        <v>0</v>
      </c>
      <c r="O744" s="3" t="s">
        <v>1734</v>
      </c>
      <c r="P744" s="3" t="s">
        <v>1734</v>
      </c>
      <c r="Q744" s="3" t="s">
        <v>1082</v>
      </c>
      <c r="R744" s="3" t="s">
        <v>68</v>
      </c>
    </row>
    <row r="745" spans="1:18">
      <c r="A745" s="3">
        <v>2437</v>
      </c>
      <c r="B745" s="3" t="b">
        <f>ISNUMBER(MATCH(A745,[1]stockregister!$A$2:$A$2000,0))</f>
        <v>1</v>
      </c>
      <c r="C745" s="3" t="s">
        <v>1735</v>
      </c>
      <c r="D745" s="3" t="str">
        <f>VLOOKUP($C745,[1]stockregister!$B$2:$B$2000,1,0)</f>
        <v>UNDURRAGA CARMENERE</v>
      </c>
      <c r="E745" s="3" t="str">
        <f>IF(ISNA($D745),VLOOKUP($A745,[2]stockregister!$A$2:$B$2000,2,FALSE),"")</f>
        <v/>
      </c>
      <c r="F745" s="3" t="s">
        <v>21</v>
      </c>
      <c r="G745" s="3">
        <f>_xlfn.IFNA(VLOOKUP($A745,[3]stockregister!$A$2:$L$2000,11,0),0)</f>
        <v>12</v>
      </c>
      <c r="H745" s="3">
        <f>_xlfn.IFNA(VLOOKUP($A745,[3]stockregister!$A$2:$L$2000,11,0),0)-$G745</f>
        <v>0</v>
      </c>
      <c r="I745" s="3">
        <f>_xlfn.IFNA(VLOOKUP($A745,[3]stockregister!$A$2:$L$2000,12,0),0)</f>
        <v>1287.6</v>
      </c>
      <c r="J745" s="3">
        <f>_xlfn.IFNA(VLOOKUP($A745,[3]stockregister!$A$1:$M$2000,12,0),0)-$I745</f>
        <v>0</v>
      </c>
      <c r="K745" s="3" t="s">
        <v>22</v>
      </c>
      <c r="L745" s="3" t="s">
        <v>23</v>
      </c>
      <c r="M745" s="3">
        <f>_xlfn.IFNA(VLOOKUP($A745,[2]stockregister!$A$2:$H$2000,8,0),0)</f>
        <v>1390</v>
      </c>
      <c r="N745" s="3">
        <f>_xlfn.IFNA(VLOOKUP($A745,[2]stockregister!$A$2:$H$2000,8,0),0)-$M745</f>
        <v>0</v>
      </c>
      <c r="O745" s="3" t="s">
        <v>1736</v>
      </c>
      <c r="P745" s="3" t="s">
        <v>1736</v>
      </c>
      <c r="Q745" s="3" t="s">
        <v>1288</v>
      </c>
      <c r="R745" s="3" t="s">
        <v>537</v>
      </c>
    </row>
    <row r="746" spans="1:18">
      <c r="A746" s="3">
        <v>2960</v>
      </c>
      <c r="B746" s="3" t="b">
        <f>ISNUMBER(MATCH(A746,[1]stockregister!$A$2:$A$2000,0))</f>
        <v>1</v>
      </c>
      <c r="C746" s="3" t="s">
        <v>1737</v>
      </c>
      <c r="D746" s="3" t="str">
        <f>VLOOKUP($C746,[1]stockregister!$B$2:$B$2000,1,0)</f>
        <v>ICE TROPEZ 275ML</v>
      </c>
      <c r="E746" s="3" t="str">
        <f>IF(ISNA($D746),VLOOKUP($A746,[2]stockregister!$A$2:$B$2000,2,FALSE),"")</f>
        <v/>
      </c>
      <c r="F746" s="3" t="s">
        <v>21</v>
      </c>
      <c r="G746" s="3">
        <f>_xlfn.IFNA(VLOOKUP($A746,[3]stockregister!$A$2:$L$2000,11,0),0)</f>
        <v>12</v>
      </c>
      <c r="H746" s="3">
        <f>_xlfn.IFNA(VLOOKUP($A746,[3]stockregister!$A$2:$L$2000,11,0),0)-$G746</f>
        <v>0</v>
      </c>
      <c r="I746" s="3">
        <f>_xlfn.IFNA(VLOOKUP($A746,[3]stockregister!$A$2:$L$2000,12,0),0)</f>
        <v>300</v>
      </c>
      <c r="J746" s="3">
        <f>_xlfn.IFNA(VLOOKUP($A746,[3]stockregister!$A$1:$M$2000,12,0),0)-$I746</f>
        <v>0</v>
      </c>
      <c r="K746" s="3" t="s">
        <v>22</v>
      </c>
      <c r="L746" s="3" t="s">
        <v>23</v>
      </c>
      <c r="M746" s="3">
        <f>_xlfn.IFNA(VLOOKUP($A746,[2]stockregister!$A$2:$H$2000,8,0),0)</f>
        <v>400</v>
      </c>
      <c r="N746" s="3">
        <f>_xlfn.IFNA(VLOOKUP($A746,[2]stockregister!$A$2:$H$2000,8,0),0)-$M746</f>
        <v>0</v>
      </c>
      <c r="O746" s="3" t="s">
        <v>1738</v>
      </c>
      <c r="P746" s="3" t="s">
        <v>1738</v>
      </c>
      <c r="Q746" s="3" t="s">
        <v>1739</v>
      </c>
      <c r="R746" s="3" t="s">
        <v>126</v>
      </c>
    </row>
    <row r="747" spans="1:18">
      <c r="A747" s="3">
        <v>3000</v>
      </c>
      <c r="B747" s="3" t="b">
        <f>ISNUMBER(MATCH(A747,[1]stockregister!$A$2:$A$2000,0))</f>
        <v>1</v>
      </c>
      <c r="C747" s="3" t="s">
        <v>1740</v>
      </c>
      <c r="D747" s="3" t="str">
        <f>VLOOKUP($C747,[1]stockregister!$B$2:$B$2000,1,0)</f>
        <v>CANADIAN BLACK VELVET 1L</v>
      </c>
      <c r="E747" s="3" t="str">
        <f>IF(ISNA($D747),VLOOKUP($A747,[2]stockregister!$A$2:$B$2000,2,FALSE),"")</f>
        <v/>
      </c>
      <c r="F747" s="3" t="s">
        <v>21</v>
      </c>
      <c r="G747" s="3">
        <f>_xlfn.IFNA(VLOOKUP($A747,[3]stockregister!$A$2:$L$2000,11,0),0)</f>
        <v>12</v>
      </c>
      <c r="H747" s="3">
        <f>_xlfn.IFNA(VLOOKUP($A747,[3]stockregister!$A$2:$L$2000,11,0),0)-$G747</f>
        <v>0</v>
      </c>
      <c r="I747" s="3">
        <f>_xlfn.IFNA(VLOOKUP($A747,[3]stockregister!$A$2:$L$2000,12,0),0)</f>
        <v>1550</v>
      </c>
      <c r="J747" s="3">
        <f>_xlfn.IFNA(VLOOKUP($A747,[3]stockregister!$A$1:$M$2000,12,0),0)-$I747</f>
        <v>0</v>
      </c>
      <c r="K747" s="3" t="s">
        <v>22</v>
      </c>
      <c r="L747" s="3" t="s">
        <v>23</v>
      </c>
      <c r="M747" s="3">
        <f>_xlfn.IFNA(VLOOKUP($A747,[2]stockregister!$A$2:$H$2000,8,0),0)</f>
        <v>1750</v>
      </c>
      <c r="N747" s="3">
        <f>_xlfn.IFNA(VLOOKUP($A747,[2]stockregister!$A$2:$H$2000,8,0),0)-$M747</f>
        <v>0</v>
      </c>
      <c r="O747" s="3" t="s">
        <v>1741</v>
      </c>
      <c r="P747" s="3" t="s">
        <v>1741</v>
      </c>
      <c r="Q747" s="3" t="s">
        <v>1742</v>
      </c>
      <c r="R747" s="3" t="s">
        <v>92</v>
      </c>
    </row>
    <row r="748" spans="1:20">
      <c r="A748" s="3">
        <v>862</v>
      </c>
      <c r="B748" s="3" t="b">
        <f>ISNUMBER(MATCH(A748,[1]stockregister!$A$2:$A$2000,0))</f>
        <v>1</v>
      </c>
      <c r="C748" s="3" t="s">
        <v>1743</v>
      </c>
      <c r="D748" s="3" t="str">
        <f>VLOOKUP($C748,[1]stockregister!$B$2:$B$2000,1,0)</f>
        <v>GLENGRANT 12YRS  MALT SCOTCH WHISKY 700ML</v>
      </c>
      <c r="E748" s="3" t="str">
        <f>IF(ISNA($D748),VLOOKUP($A748,[2]stockregister!$A$2:$B$2000,2,FALSE),"")</f>
        <v/>
      </c>
      <c r="F748" s="3" t="s">
        <v>21</v>
      </c>
      <c r="G748" s="3">
        <f>_xlfn.IFNA(VLOOKUP($A748,[3]stockregister!$A$2:$L$2000,11,0),0)</f>
        <v>12</v>
      </c>
      <c r="H748" s="3">
        <f>_xlfn.IFNA(VLOOKUP($A748,[3]stockregister!$A$2:$L$2000,11,0),0)-$G748</f>
        <v>0</v>
      </c>
      <c r="I748" s="3">
        <f>_xlfn.IFNA(VLOOKUP($A748,[3]stockregister!$A$2:$L$2000,12,0),0)</f>
        <v>4000</v>
      </c>
      <c r="J748" s="3">
        <f>_xlfn.IFNA(VLOOKUP($A748,[3]stockregister!$A$1:$M$2000,12,0),0)-$I748</f>
        <v>0</v>
      </c>
      <c r="K748" s="3" t="s">
        <v>22</v>
      </c>
      <c r="L748" s="3" t="s">
        <v>23</v>
      </c>
      <c r="M748" s="3">
        <f>_xlfn.IFNA(VLOOKUP($A748,[2]stockregister!$A$2:$H$2000,8,0),0)</f>
        <v>5200</v>
      </c>
      <c r="N748" s="3">
        <f>_xlfn.IFNA(VLOOKUP($A748,[2]stockregister!$A$2:$H$2000,8,0),0)-$M748</f>
        <v>0</v>
      </c>
      <c r="O748" s="3" t="s">
        <v>1744</v>
      </c>
      <c r="P748" s="3" t="s">
        <v>1744</v>
      </c>
      <c r="Q748" s="3" t="s">
        <v>1745</v>
      </c>
      <c r="R748" s="3" t="s">
        <v>92</v>
      </c>
      <c r="S748" s="3" t="s">
        <v>93</v>
      </c>
      <c r="T748" s="3">
        <v>12</v>
      </c>
    </row>
    <row r="749" spans="1:18">
      <c r="A749" s="3">
        <v>1469</v>
      </c>
      <c r="B749" s="3" t="b">
        <f>ISNUMBER(MATCH(A749,[1]stockregister!$A$2:$A$2000,0))</f>
        <v>1</v>
      </c>
      <c r="C749" s="3" t="s">
        <v>1746</v>
      </c>
      <c r="D749" s="3" t="str">
        <f>VLOOKUP($C749,[1]stockregister!$B$2:$B$2000,1,0)</f>
        <v>MONKEY 47 DRY GIN 500ML</v>
      </c>
      <c r="E749" s="3" t="str">
        <f>IF(ISNA($D749),VLOOKUP($A749,[2]stockregister!$A$2:$B$2000,2,FALSE),"")</f>
        <v/>
      </c>
      <c r="F749" s="3" t="s">
        <v>21</v>
      </c>
      <c r="G749" s="3">
        <f>_xlfn.IFNA(VLOOKUP($A749,[3]stockregister!$A$2:$L$2000,11,0),0)</f>
        <v>11</v>
      </c>
      <c r="H749" s="3">
        <f>_xlfn.IFNA(VLOOKUP($A749,[3]stockregister!$A$2:$L$2000,11,0),0)-$G749</f>
        <v>0</v>
      </c>
      <c r="I749" s="3">
        <f>_xlfn.IFNA(VLOOKUP($A749,[3]stockregister!$A$2:$L$2000,12,0),0)</f>
        <v>4416</v>
      </c>
      <c r="J749" s="3">
        <f>_xlfn.IFNA(VLOOKUP($A749,[3]stockregister!$A$1:$M$2000,12,0),0)-$I749</f>
        <v>0</v>
      </c>
      <c r="K749" s="3" t="s">
        <v>22</v>
      </c>
      <c r="L749" s="3" t="s">
        <v>23</v>
      </c>
      <c r="M749" s="3">
        <f>_xlfn.IFNA(VLOOKUP($A749,[2]stockregister!$A$2:$H$2000,8,0),0)</f>
        <v>4800</v>
      </c>
      <c r="N749" s="3">
        <f>_xlfn.IFNA(VLOOKUP($A749,[2]stockregister!$A$2:$H$2000,8,0),0)-$M749</f>
        <v>0</v>
      </c>
      <c r="O749" s="3" t="s">
        <v>1747</v>
      </c>
      <c r="P749" s="3" t="s">
        <v>1747</v>
      </c>
      <c r="Q749" s="3" t="s">
        <v>1748</v>
      </c>
      <c r="R749" s="3" t="s">
        <v>78</v>
      </c>
    </row>
    <row r="750" spans="1:18">
      <c r="A750" s="3">
        <v>1226</v>
      </c>
      <c r="B750" s="3" t="b">
        <f>ISNUMBER(MATCH(A750,[1]stockregister!$A$2:$A$2000,0))</f>
        <v>1</v>
      </c>
      <c r="C750" s="3" t="s">
        <v>1749</v>
      </c>
      <c r="D750" s="3" t="str">
        <f>VLOOKUP($C750,[1]stockregister!$B$2:$B$2000,1,0)</f>
        <v>KO TAMBUZI GIN 750ML</v>
      </c>
      <c r="E750" s="3" t="str">
        <f>IF(ISNA($D750),VLOOKUP($A750,[2]stockregister!$A$2:$B$2000,2,FALSE),"")</f>
        <v/>
      </c>
      <c r="F750" s="3" t="s">
        <v>21</v>
      </c>
      <c r="G750" s="3">
        <f>_xlfn.IFNA(VLOOKUP($A750,[3]stockregister!$A$2:$L$2000,11,0),0)</f>
        <v>11</v>
      </c>
      <c r="H750" s="3">
        <f>_xlfn.IFNA(VLOOKUP($A750,[3]stockregister!$A$2:$L$2000,11,0),0)-$G750</f>
        <v>0</v>
      </c>
      <c r="I750" s="3">
        <f>_xlfn.IFNA(VLOOKUP($A750,[3]stockregister!$A$2:$L$2000,12,0),0)</f>
        <v>1748</v>
      </c>
      <c r="J750" s="3">
        <f>_xlfn.IFNA(VLOOKUP($A750,[3]stockregister!$A$1:$M$2000,12,0),0)-$I750</f>
        <v>0</v>
      </c>
      <c r="K750" s="3" t="s">
        <v>22</v>
      </c>
      <c r="L750" s="3" t="s">
        <v>23</v>
      </c>
      <c r="M750" s="3">
        <f>_xlfn.IFNA(VLOOKUP($A750,[2]stockregister!$A$2:$H$2000,8,0),0)</f>
        <v>1900</v>
      </c>
      <c r="N750" s="3">
        <f>_xlfn.IFNA(VLOOKUP($A750,[2]stockregister!$A$2:$H$2000,8,0),0)-$M750</f>
        <v>0</v>
      </c>
      <c r="O750" s="3" t="s">
        <v>1750</v>
      </c>
      <c r="P750" s="3" t="s">
        <v>1750</v>
      </c>
      <c r="Q750" s="3" t="s">
        <v>129</v>
      </c>
      <c r="R750" s="3" t="s">
        <v>78</v>
      </c>
    </row>
    <row r="751" spans="1:19">
      <c r="A751" s="3">
        <v>1749</v>
      </c>
      <c r="B751" s="3" t="b">
        <f>ISNUMBER(MATCH(A751,[1]stockregister!$A$2:$A$2000,0))</f>
        <v>1</v>
      </c>
      <c r="C751" s="3" t="s">
        <v>1751</v>
      </c>
      <c r="D751" s="3" t="str">
        <f>VLOOKUP($C751,[1]stockregister!$B$2:$B$2000,1,0)</f>
        <v>SANDEMAN FINE WHITE 1ltr</v>
      </c>
      <c r="E751" s="3" t="str">
        <f>IF(ISNA($D751),VLOOKUP($A751,[2]stockregister!$A$2:$B$2000,2,FALSE),"")</f>
        <v/>
      </c>
      <c r="F751" s="3" t="s">
        <v>21</v>
      </c>
      <c r="G751" s="3">
        <f>_xlfn.IFNA(VLOOKUP($A751,[3]stockregister!$A$2:$L$2000,11,0),0)</f>
        <v>11</v>
      </c>
      <c r="H751" s="3">
        <f>_xlfn.IFNA(VLOOKUP($A751,[3]stockregister!$A$2:$L$2000,11,0),0)-$G751</f>
        <v>0</v>
      </c>
      <c r="I751" s="3">
        <f>_xlfn.IFNA(VLOOKUP($A751,[3]stockregister!$A$2:$L$2000,12,0),0)</f>
        <v>1840</v>
      </c>
      <c r="J751" s="3">
        <f>_xlfn.IFNA(VLOOKUP($A751,[3]stockregister!$A$1:$M$2000,12,0),0)-$I751</f>
        <v>0</v>
      </c>
      <c r="K751" s="3" t="s">
        <v>22</v>
      </c>
      <c r="L751" s="3" t="s">
        <v>23</v>
      </c>
      <c r="M751" s="3">
        <f>_xlfn.IFNA(VLOOKUP($A751,[2]stockregister!$A$2:$H$2000,8,0),0)</f>
        <v>2000</v>
      </c>
      <c r="N751" s="3">
        <f>_xlfn.IFNA(VLOOKUP($A751,[2]stockregister!$A$2:$H$2000,8,0),0)-$M751</f>
        <v>0</v>
      </c>
      <c r="O751" s="3" t="s">
        <v>1752</v>
      </c>
      <c r="P751" s="3" t="s">
        <v>1752</v>
      </c>
      <c r="Q751" s="3" t="s">
        <v>1753</v>
      </c>
      <c r="R751" s="3" t="s">
        <v>68</v>
      </c>
      <c r="S751" s="3" t="s">
        <v>157</v>
      </c>
    </row>
    <row r="752" spans="1:20">
      <c r="A752" s="3">
        <v>1973</v>
      </c>
      <c r="B752" s="3" t="b">
        <f>ISNUMBER(MATCH(A752,[1]stockregister!$A$2:$A$2000,0))</f>
        <v>1</v>
      </c>
      <c r="C752" s="3" t="s">
        <v>1754</v>
      </c>
      <c r="D752" s="3" t="str">
        <f>VLOOKUP($C752,[1]stockregister!$B$2:$B$2000,1,0)</f>
        <v>THE GLENLIVET 21 YO 43% 700ML</v>
      </c>
      <c r="E752" s="3" t="str">
        <f>IF(ISNA($D752),VLOOKUP($A752,[2]stockregister!$A$2:$B$2000,2,FALSE),"")</f>
        <v/>
      </c>
      <c r="F752" s="3" t="s">
        <v>21</v>
      </c>
      <c r="G752" s="3">
        <f>_xlfn.IFNA(VLOOKUP($A752,[3]stockregister!$A$2:$L$2000,11,0),0)</f>
        <v>11</v>
      </c>
      <c r="H752" s="3">
        <f>_xlfn.IFNA(VLOOKUP($A752,[3]stockregister!$A$2:$L$2000,11,0),0)-$G752</f>
        <v>0</v>
      </c>
      <c r="I752" s="3">
        <f>_xlfn.IFNA(VLOOKUP($A752,[3]stockregister!$A$2:$L$2000,12,0),0)</f>
        <v>33120</v>
      </c>
      <c r="J752" s="3">
        <f>_xlfn.IFNA(VLOOKUP($A752,[3]stockregister!$A$1:$M$2000,12,0),0)-$I752</f>
        <v>0</v>
      </c>
      <c r="K752" s="3" t="s">
        <v>22</v>
      </c>
      <c r="L752" s="3" t="s">
        <v>23</v>
      </c>
      <c r="M752" s="3">
        <f>_xlfn.IFNA(VLOOKUP($A752,[2]stockregister!$A$2:$H$2000,8,0),0)</f>
        <v>36000</v>
      </c>
      <c r="N752" s="3">
        <f>_xlfn.IFNA(VLOOKUP($A752,[2]stockregister!$A$2:$H$2000,8,0),0)-$M752</f>
        <v>0</v>
      </c>
      <c r="O752" s="3" t="s">
        <v>1755</v>
      </c>
      <c r="P752" s="3" t="s">
        <v>1755</v>
      </c>
      <c r="Q752" s="3" t="s">
        <v>628</v>
      </c>
      <c r="R752" s="3" t="s">
        <v>92</v>
      </c>
      <c r="T752" s="3">
        <v>21</v>
      </c>
    </row>
    <row r="753" spans="1:19">
      <c r="A753" s="3">
        <v>1990</v>
      </c>
      <c r="B753" s="3" t="b">
        <f>ISNUMBER(MATCH(A753,[1]stockregister!$A$2:$A$2000,0))</f>
        <v>1</v>
      </c>
      <c r="C753" s="3" t="s">
        <v>1756</v>
      </c>
      <c r="D753" s="3" t="str">
        <f>VLOOKUP($C753,[1]stockregister!$B$2:$B$2000,1,0)</f>
        <v>TIA MARIA COFFEE LIQUOR 1LT</v>
      </c>
      <c r="E753" s="3" t="str">
        <f>IF(ISNA($D753),VLOOKUP($A753,[2]stockregister!$A$2:$B$2000,2,FALSE),"")</f>
        <v/>
      </c>
      <c r="F753" s="3" t="s">
        <v>21</v>
      </c>
      <c r="G753" s="3">
        <f>_xlfn.IFNA(VLOOKUP($A753,[3]stockregister!$A$2:$L$2000,11,0),0)</f>
        <v>10</v>
      </c>
      <c r="H753" s="3">
        <f>_xlfn.IFNA(VLOOKUP($A753,[3]stockregister!$A$2:$L$2000,11,0),0)-$G753</f>
        <v>0</v>
      </c>
      <c r="I753" s="3">
        <f>_xlfn.IFNA(VLOOKUP($A753,[3]stockregister!$A$2:$L$2000,12,0),0)</f>
        <v>2760</v>
      </c>
      <c r="J753" s="3">
        <f>_xlfn.IFNA(VLOOKUP($A753,[3]stockregister!$A$1:$M$2000,12,0),0)-$I753</f>
        <v>0</v>
      </c>
      <c r="K753" s="3" t="s">
        <v>22</v>
      </c>
      <c r="L753" s="3" t="s">
        <v>23</v>
      </c>
      <c r="M753" s="3">
        <f>_xlfn.IFNA(VLOOKUP($A753,[2]stockregister!$A$2:$H$2000,8,0),0)</f>
        <v>3000</v>
      </c>
      <c r="N753" s="3">
        <f>_xlfn.IFNA(VLOOKUP($A753,[2]stockregister!$A$2:$H$2000,8,0),0)-$M753</f>
        <v>0</v>
      </c>
      <c r="O753" s="3" t="s">
        <v>1757</v>
      </c>
      <c r="P753" s="3" t="s">
        <v>1757</v>
      </c>
      <c r="Q753" s="3" t="s">
        <v>1758</v>
      </c>
      <c r="R753" s="3" t="s">
        <v>126</v>
      </c>
      <c r="S753" s="3" t="s">
        <v>1759</v>
      </c>
    </row>
    <row r="754" spans="1:20">
      <c r="A754" s="3">
        <v>873</v>
      </c>
      <c r="B754" s="3" t="b">
        <f>ISNUMBER(MATCH(A754,[1]stockregister!$A$2:$A$2000,0))</f>
        <v>1</v>
      </c>
      <c r="C754" s="3" t="s">
        <v>1760</v>
      </c>
      <c r="D754" s="3" t="str">
        <f>VLOOKUP($C754,[1]stockregister!$B$2:$B$2000,1,0)</f>
        <v>GLENMORANGIE 10YRS ORIGINAL WHISKY 750ML</v>
      </c>
      <c r="E754" s="3" t="str">
        <f>IF(ISNA($D754),VLOOKUP($A754,[2]stockregister!$A$2:$B$2000,2,FALSE),"")</f>
        <v/>
      </c>
      <c r="F754" s="3" t="s">
        <v>21</v>
      </c>
      <c r="G754" s="3">
        <f>_xlfn.IFNA(VLOOKUP($A754,[3]stockregister!$A$2:$L$2000,11,0),0)</f>
        <v>0</v>
      </c>
      <c r="H754" s="3">
        <f>_xlfn.IFNA(VLOOKUP($A754,[3]stockregister!$A$2:$L$2000,11,0),0)-$G754</f>
        <v>0</v>
      </c>
      <c r="I754" s="3">
        <f>_xlfn.IFNA(VLOOKUP($A754,[3]stockregister!$A$2:$L$2000,12,0),0)</f>
        <v>4600</v>
      </c>
      <c r="J754" s="3">
        <f>_xlfn.IFNA(VLOOKUP($A754,[3]stockregister!$A$1:$M$2000,12,0),0)-$I754</f>
        <v>0</v>
      </c>
      <c r="K754" s="3" t="s">
        <v>22</v>
      </c>
      <c r="L754" s="3" t="s">
        <v>23</v>
      </c>
      <c r="M754" s="3">
        <f>_xlfn.IFNA(VLOOKUP($A754,[2]stockregister!$A$2:$H$2000,8,0),0)</f>
        <v>5000</v>
      </c>
      <c r="N754" s="3">
        <f>_xlfn.IFNA(VLOOKUP($A754,[2]stockregister!$A$2:$H$2000,8,0),0)-$M754</f>
        <v>0</v>
      </c>
      <c r="O754" s="3" t="s">
        <v>1761</v>
      </c>
      <c r="P754" s="3" t="s">
        <v>1761</v>
      </c>
      <c r="Q754" s="3" t="s">
        <v>780</v>
      </c>
      <c r="R754" s="3" t="s">
        <v>113</v>
      </c>
      <c r="S754" s="3" t="s">
        <v>114</v>
      </c>
      <c r="T754" s="3">
        <v>10</v>
      </c>
    </row>
    <row r="755" spans="1:18">
      <c r="A755" s="3">
        <v>1281</v>
      </c>
      <c r="B755" s="3" t="b">
        <f>ISNUMBER(MATCH(A755,[1]stockregister!$A$2:$A$2000,0))</f>
        <v>1</v>
      </c>
      <c r="C755" s="3" t="s">
        <v>1762</v>
      </c>
      <c r="D755" s="3" t="str">
        <f>VLOOKUP($C755,[1]stockregister!$B$2:$B$2000,1,0)</f>
        <v>LEGENDE BLACK 750ML</v>
      </c>
      <c r="E755" s="3" t="str">
        <f>IF(ISNA($D755),VLOOKUP($A755,[2]stockregister!$A$2:$B$2000,2,FALSE),"")</f>
        <v/>
      </c>
      <c r="F755" s="3" t="s">
        <v>21</v>
      </c>
      <c r="G755" s="3">
        <f>_xlfn.IFNA(VLOOKUP($A755,[3]stockregister!$A$2:$L$2000,11,0),0)</f>
        <v>10</v>
      </c>
      <c r="H755" s="3">
        <f>_xlfn.IFNA(VLOOKUP($A755,[3]stockregister!$A$2:$L$2000,11,0),0)-$G755</f>
        <v>0</v>
      </c>
      <c r="I755" s="3">
        <f>_xlfn.IFNA(VLOOKUP($A755,[3]stockregister!$A$2:$L$2000,12,0),0)</f>
        <v>500</v>
      </c>
      <c r="J755" s="3">
        <f>_xlfn.IFNA(VLOOKUP($A755,[3]stockregister!$A$1:$M$2000,12,0),0)-$I755</f>
        <v>0</v>
      </c>
      <c r="K755" s="3" t="s">
        <v>22</v>
      </c>
      <c r="L755" s="3" t="s">
        <v>23</v>
      </c>
      <c r="M755" s="3">
        <f>_xlfn.IFNA(VLOOKUP($A755,[2]stockregister!$A$2:$H$2000,8,0),0)</f>
        <v>640</v>
      </c>
      <c r="N755" s="3">
        <f>_xlfn.IFNA(VLOOKUP($A755,[2]stockregister!$A$2:$H$2000,8,0),0)-$M755</f>
        <v>0</v>
      </c>
      <c r="O755" s="3" t="s">
        <v>1763</v>
      </c>
      <c r="P755" s="3" t="s">
        <v>1763</v>
      </c>
      <c r="Q755" s="3" t="s">
        <v>1764</v>
      </c>
      <c r="R755" s="3" t="s">
        <v>113</v>
      </c>
    </row>
    <row r="756" spans="1:19">
      <c r="A756" s="3">
        <v>2537</v>
      </c>
      <c r="B756" s="3" t="b">
        <f>ISNUMBER(MATCH(A756,[1]stockregister!$A$2:$A$2000,0))</f>
        <v>1</v>
      </c>
      <c r="C756" s="3" t="s">
        <v>1765</v>
      </c>
      <c r="D756" s="3" t="str">
        <f>VLOOKUP($C756,[1]stockregister!$B$2:$B$2000,1,0)</f>
        <v>ALPACA CHARDONNAY 750ML</v>
      </c>
      <c r="E756" s="3" t="str">
        <f>IF(ISNA($D756),VLOOKUP($A756,[2]stockregister!$A$2:$B$2000,2,FALSE),"")</f>
        <v/>
      </c>
      <c r="F756" s="3" t="s">
        <v>21</v>
      </c>
      <c r="G756" s="3">
        <f>_xlfn.IFNA(VLOOKUP($A756,[3]stockregister!$A$2:$L$2000,11,0),0)</f>
        <v>10</v>
      </c>
      <c r="H756" s="3">
        <f>_xlfn.IFNA(VLOOKUP($A756,[3]stockregister!$A$2:$L$2000,11,0),0)-$G756</f>
        <v>0</v>
      </c>
      <c r="I756" s="3">
        <f>_xlfn.IFNA(VLOOKUP($A756,[3]stockregister!$A$2:$L$2000,12,0),0)</f>
        <v>1143</v>
      </c>
      <c r="J756" s="3">
        <f>_xlfn.IFNA(VLOOKUP($A756,[3]stockregister!$A$1:$M$2000,12,0),0)-$I756</f>
        <v>0</v>
      </c>
      <c r="K756" s="3" t="s">
        <v>22</v>
      </c>
      <c r="L756" s="3" t="s">
        <v>23</v>
      </c>
      <c r="M756" s="3">
        <f>_xlfn.IFNA(VLOOKUP($A756,[2]stockregister!$A$2:$H$2000,8,0),0)</f>
        <v>1250</v>
      </c>
      <c r="N756" s="3">
        <f>_xlfn.IFNA(VLOOKUP($A756,[2]stockregister!$A$2:$H$2000,8,0),0)-$M756</f>
        <v>0</v>
      </c>
      <c r="O756" s="3" t="s">
        <v>1766</v>
      </c>
      <c r="P756" s="3" t="s">
        <v>1766</v>
      </c>
      <c r="Q756" s="3" t="s">
        <v>1540</v>
      </c>
      <c r="R756" s="3" t="s">
        <v>537</v>
      </c>
      <c r="S756" s="3" t="s">
        <v>940</v>
      </c>
    </row>
    <row r="757" spans="1:19">
      <c r="A757" s="3">
        <v>614</v>
      </c>
      <c r="B757" s="3" t="b">
        <f>ISNUMBER(MATCH(A757,[1]stockregister!$A$2:$A$2000,0))</f>
        <v>1</v>
      </c>
      <c r="C757" s="3" t="s">
        <v>1767</v>
      </c>
      <c r="D757" s="3" t="str">
        <f>VLOOKUP($C757,[1]stockregister!$B$2:$B$2000,1,0)</f>
        <v>DOM PERIGNON ROSE 750ML</v>
      </c>
      <c r="E757" s="3" t="str">
        <f>IF(ISNA($D757),VLOOKUP($A757,[2]stockregister!$A$2:$B$2000,2,FALSE),"")</f>
        <v/>
      </c>
      <c r="F757" s="3" t="s">
        <v>21</v>
      </c>
      <c r="G757" s="3">
        <f>_xlfn.IFNA(VLOOKUP($A757,[3]stockregister!$A$2:$L$2000,11,0),0)</f>
        <v>10</v>
      </c>
      <c r="H757" s="3">
        <f>_xlfn.IFNA(VLOOKUP($A757,[3]stockregister!$A$2:$L$2000,11,0),0)-$G757</f>
        <v>0</v>
      </c>
      <c r="I757" s="3">
        <f>_xlfn.IFNA(VLOOKUP($A757,[3]stockregister!$A$2:$L$2000,12,0),0)</f>
        <v>47840</v>
      </c>
      <c r="J757" s="3">
        <f>_xlfn.IFNA(VLOOKUP($A757,[3]stockregister!$A$1:$M$2000,12,0),0)-$I757</f>
        <v>0</v>
      </c>
      <c r="K757" s="3" t="s">
        <v>22</v>
      </c>
      <c r="L757" s="3" t="s">
        <v>23</v>
      </c>
      <c r="M757" s="3">
        <f>_xlfn.IFNA(VLOOKUP($A757,[2]stockregister!$A$2:$H$2000,8,0),0)</f>
        <v>50000</v>
      </c>
      <c r="N757" s="3">
        <f>_xlfn.IFNA(VLOOKUP($A757,[2]stockregister!$A$2:$H$2000,8,0),0)-$M757</f>
        <v>0</v>
      </c>
      <c r="O757" s="3" t="s">
        <v>1768</v>
      </c>
      <c r="P757" s="3" t="s">
        <v>1768</v>
      </c>
      <c r="Q757" s="3" t="s">
        <v>1769</v>
      </c>
      <c r="R757" s="3" t="s">
        <v>68</v>
      </c>
      <c r="S757" s="3" t="s">
        <v>1030</v>
      </c>
    </row>
    <row r="758" spans="1:19">
      <c r="A758" s="3">
        <v>752</v>
      </c>
      <c r="B758" s="3" t="b">
        <f>ISNUMBER(MATCH(A758,[1]stockregister!$A$2:$A$2000,0))</f>
        <v>1</v>
      </c>
      <c r="C758" s="3" t="s">
        <v>1770</v>
      </c>
      <c r="D758" s="3" t="str">
        <f>VLOOKUP($C758,[1]stockregister!$B$2:$B$2000,1,0)</f>
        <v>FOUR COUSINS SAUV BLANC 750ml</v>
      </c>
      <c r="E758" s="3" t="str">
        <f>IF(ISNA($D758),VLOOKUP($A758,[2]stockregister!$A$2:$B$2000,2,FALSE),"")</f>
        <v/>
      </c>
      <c r="F758" s="3" t="s">
        <v>21</v>
      </c>
      <c r="G758" s="3">
        <f>_xlfn.IFNA(VLOOKUP($A758,[3]stockregister!$A$2:$L$2000,11,0),0)</f>
        <v>10</v>
      </c>
      <c r="H758" s="3">
        <f>_xlfn.IFNA(VLOOKUP($A758,[3]stockregister!$A$2:$L$2000,11,0),0)-$G758</f>
        <v>0</v>
      </c>
      <c r="I758" s="3">
        <f>_xlfn.IFNA(VLOOKUP($A758,[3]stockregister!$A$2:$L$2000,12,0),0)</f>
        <v>1012</v>
      </c>
      <c r="J758" s="3">
        <f>_xlfn.IFNA(VLOOKUP($A758,[3]stockregister!$A$1:$M$2000,12,0),0)-$I758</f>
        <v>0</v>
      </c>
      <c r="K758" s="3" t="s">
        <v>22</v>
      </c>
      <c r="L758" s="3" t="s">
        <v>23</v>
      </c>
      <c r="M758" s="3">
        <f>_xlfn.IFNA(VLOOKUP($A758,[2]stockregister!$A$2:$H$2000,8,0),0)</f>
        <v>1100</v>
      </c>
      <c r="N758" s="3">
        <f>_xlfn.IFNA(VLOOKUP($A758,[2]stockregister!$A$2:$H$2000,8,0),0)-$M758</f>
        <v>0</v>
      </c>
      <c r="O758" s="3" t="s">
        <v>1771</v>
      </c>
      <c r="P758" s="3" t="s">
        <v>1771</v>
      </c>
      <c r="Q758" s="3" t="s">
        <v>137</v>
      </c>
      <c r="R758" s="3" t="s">
        <v>68</v>
      </c>
      <c r="S758" s="3" t="s">
        <v>398</v>
      </c>
    </row>
    <row r="759" spans="1:19">
      <c r="A759" s="3">
        <v>760</v>
      </c>
      <c r="B759" s="3" t="b">
        <f>ISNUMBER(MATCH(A759,[1]stockregister!$A$2:$A$2000,0))</f>
        <v>1</v>
      </c>
      <c r="C759" s="3" t="s">
        <v>1772</v>
      </c>
      <c r="D759" s="3" t="str">
        <f>VLOOKUP($C759,[1]stockregister!$B$2:$B$2000,1,0)</f>
        <v>FOUR PILLARS BLOODY GIN 700ML</v>
      </c>
      <c r="E759" s="3" t="str">
        <f>IF(ISNA($D759),VLOOKUP($A759,[2]stockregister!$A$2:$B$2000,2,FALSE),"")</f>
        <v/>
      </c>
      <c r="F759" s="3" t="s">
        <v>21</v>
      </c>
      <c r="G759" s="3">
        <f>_xlfn.IFNA(VLOOKUP($A759,[3]stockregister!$A$2:$L$2000,11,0),0)</f>
        <v>9</v>
      </c>
      <c r="H759" s="3">
        <f>_xlfn.IFNA(VLOOKUP($A759,[3]stockregister!$A$2:$L$2000,11,0),0)-$G759</f>
        <v>0</v>
      </c>
      <c r="I759" s="3">
        <f>_xlfn.IFNA(VLOOKUP($A759,[3]stockregister!$A$2:$L$2000,12,0),0)</f>
        <v>4140</v>
      </c>
      <c r="J759" s="3">
        <f>_xlfn.IFNA(VLOOKUP($A759,[3]stockregister!$A$1:$M$2000,12,0),0)-$I759</f>
        <v>0</v>
      </c>
      <c r="K759" s="3" t="s">
        <v>22</v>
      </c>
      <c r="L759" s="3" t="s">
        <v>23</v>
      </c>
      <c r="M759" s="3">
        <f>_xlfn.IFNA(VLOOKUP($A759,[2]stockregister!$A$2:$H$2000,8,0),0)</f>
        <v>4500</v>
      </c>
      <c r="N759" s="3">
        <f>_xlfn.IFNA(VLOOKUP($A759,[2]stockregister!$A$2:$H$2000,8,0),0)-$M759</f>
        <v>0</v>
      </c>
      <c r="O759" s="3" t="s">
        <v>1773</v>
      </c>
      <c r="P759" s="3" t="s">
        <v>1773</v>
      </c>
      <c r="Q759" s="3" t="s">
        <v>1353</v>
      </c>
      <c r="R759" s="3" t="s">
        <v>78</v>
      </c>
      <c r="S759" s="3" t="s">
        <v>1774</v>
      </c>
    </row>
    <row r="760" spans="1:19">
      <c r="A760" s="3">
        <v>2812</v>
      </c>
      <c r="B760" s="3" t="b">
        <f>ISNUMBER(MATCH(A760,[1]stockregister!$A$2:$A$2000,0))</f>
        <v>1</v>
      </c>
      <c r="C760" s="3" t="s">
        <v>1775</v>
      </c>
      <c r="D760" s="3" t="str">
        <f>VLOOKUP($C760,[1]stockregister!$B$2:$B$2000,1,0)</f>
        <v>BOMBAY SAPPHIRE SUNSET SPERCIAL 500ML</v>
      </c>
      <c r="E760" s="3" t="str">
        <f>IF(ISNA($D760),VLOOKUP($A760,[2]stockregister!$A$2:$B$2000,2,FALSE),"")</f>
        <v/>
      </c>
      <c r="F760" s="3" t="s">
        <v>21</v>
      </c>
      <c r="G760" s="3">
        <f>_xlfn.IFNA(VLOOKUP($A760,[3]stockregister!$A$2:$L$2000,11,0),0)</f>
        <v>9</v>
      </c>
      <c r="H760" s="3">
        <f>_xlfn.IFNA(VLOOKUP($A760,[3]stockregister!$A$2:$L$2000,11,0),0)-$G760</f>
        <v>0</v>
      </c>
      <c r="I760" s="3">
        <f>_xlfn.IFNA(VLOOKUP($A760,[3]stockregister!$A$2:$L$2000,12,0),0)</f>
        <v>1540</v>
      </c>
      <c r="J760" s="3">
        <f>_xlfn.IFNA(VLOOKUP($A760,[3]stockregister!$A$1:$M$2000,12,0),0)-$I760</f>
        <v>0</v>
      </c>
      <c r="K760" s="3" t="s">
        <v>22</v>
      </c>
      <c r="L760" s="3" t="s">
        <v>23</v>
      </c>
      <c r="M760" s="3">
        <f>_xlfn.IFNA(VLOOKUP($A760,[2]stockregister!$A$2:$H$2000,8,0),0)</f>
        <v>2000</v>
      </c>
      <c r="N760" s="3">
        <f>_xlfn.IFNA(VLOOKUP($A760,[2]stockregister!$A$2:$H$2000,8,0),0)-$M760</f>
        <v>0</v>
      </c>
      <c r="O760" s="3" t="s">
        <v>1776</v>
      </c>
      <c r="P760" s="3" t="s">
        <v>1776</v>
      </c>
      <c r="Q760" s="3" t="s">
        <v>1585</v>
      </c>
      <c r="R760" s="3" t="s">
        <v>78</v>
      </c>
      <c r="S760" s="3" t="s">
        <v>256</v>
      </c>
    </row>
    <row r="761" spans="1:18">
      <c r="A761" s="3">
        <v>764</v>
      </c>
      <c r="B761" s="3" t="b">
        <f>ISNUMBER(MATCH(A761,[1]stockregister!$A$2:$A$2000,0))</f>
        <v>1</v>
      </c>
      <c r="C761" s="3" t="s">
        <v>1777</v>
      </c>
      <c r="D761" s="3" t="str">
        <f>VLOOKUP($C761,[1]stockregister!$B$2:$B$2000,1,0)</f>
        <v>FOUR PILLARS SPICED NEGRONI GIN 700ML</v>
      </c>
      <c r="E761" s="3" t="str">
        <f>IF(ISNA($D761),VLOOKUP($A761,[2]stockregister!$A$2:$B$2000,2,FALSE),"")</f>
        <v/>
      </c>
      <c r="F761" s="3" t="s">
        <v>21</v>
      </c>
      <c r="G761" s="3">
        <f>_xlfn.IFNA(VLOOKUP($A761,[3]stockregister!$A$2:$L$2000,11,0),0)</f>
        <v>9</v>
      </c>
      <c r="H761" s="3">
        <f>_xlfn.IFNA(VLOOKUP($A761,[3]stockregister!$A$2:$L$2000,11,0),0)-$G761</f>
        <v>0</v>
      </c>
      <c r="I761" s="3">
        <f>_xlfn.IFNA(VLOOKUP($A761,[3]stockregister!$A$2:$L$2000,12,0),0)</f>
        <v>4140</v>
      </c>
      <c r="J761" s="3">
        <f>_xlfn.IFNA(VLOOKUP($A761,[3]stockregister!$A$1:$M$2000,12,0),0)-$I761</f>
        <v>0</v>
      </c>
      <c r="K761" s="3" t="s">
        <v>22</v>
      </c>
      <c r="L761" s="3" t="s">
        <v>23</v>
      </c>
      <c r="M761" s="3">
        <f>_xlfn.IFNA(VLOOKUP($A761,[2]stockregister!$A$2:$H$2000,8,0),0)</f>
        <v>4500</v>
      </c>
      <c r="N761" s="3">
        <f>_xlfn.IFNA(VLOOKUP($A761,[2]stockregister!$A$2:$H$2000,8,0),0)-$M761</f>
        <v>0</v>
      </c>
      <c r="O761" s="3" t="s">
        <v>1778</v>
      </c>
      <c r="P761" s="3" t="s">
        <v>1778</v>
      </c>
      <c r="Q761" s="3" t="s">
        <v>1353</v>
      </c>
      <c r="R761" s="3" t="s">
        <v>78</v>
      </c>
    </row>
    <row r="762" spans="1:19">
      <c r="A762" s="3">
        <v>42</v>
      </c>
      <c r="B762" s="3" t="b">
        <f>ISNUMBER(MATCH(A762,[1]stockregister!$A$2:$A$2000,0))</f>
        <v>1</v>
      </c>
      <c r="C762" s="3" t="s">
        <v>1779</v>
      </c>
      <c r="D762" s="3" t="str">
        <f>VLOOKUP($C762,[1]stockregister!$B$2:$B$2000,1,0)</f>
        <v>ABSOLUT CITRON VODKA 750ML</v>
      </c>
      <c r="E762" s="3" t="str">
        <f>IF(ISNA($D762),VLOOKUP($A762,[2]stockregister!$A$2:$B$2000,2,FALSE),"")</f>
        <v/>
      </c>
      <c r="F762" s="3" t="s">
        <v>21</v>
      </c>
      <c r="G762" s="3">
        <f>_xlfn.IFNA(VLOOKUP($A762,[3]stockregister!$A$2:$L$2000,11,0),0)</f>
        <v>9</v>
      </c>
      <c r="H762" s="3">
        <f>_xlfn.IFNA(VLOOKUP($A762,[3]stockregister!$A$2:$L$2000,11,0),0)-$G762</f>
        <v>0</v>
      </c>
      <c r="I762" s="3">
        <f>_xlfn.IFNA(VLOOKUP($A762,[3]stockregister!$A$2:$L$2000,12,0),0)</f>
        <v>1380</v>
      </c>
      <c r="J762" s="3">
        <f>_xlfn.IFNA(VLOOKUP($A762,[3]stockregister!$A$1:$M$2000,12,0),0)-$I762</f>
        <v>0</v>
      </c>
      <c r="K762" s="3" t="s">
        <v>22</v>
      </c>
      <c r="L762" s="3" t="s">
        <v>23</v>
      </c>
      <c r="M762" s="3">
        <f>_xlfn.IFNA(VLOOKUP($A762,[2]stockregister!$A$2:$H$2000,8,0),0)</f>
        <v>1500</v>
      </c>
      <c r="N762" s="3">
        <f>_xlfn.IFNA(VLOOKUP($A762,[2]stockregister!$A$2:$H$2000,8,0),0)-$M762</f>
        <v>0</v>
      </c>
      <c r="O762" s="3" t="s">
        <v>1780</v>
      </c>
      <c r="P762" s="3" t="s">
        <v>1780</v>
      </c>
      <c r="Q762" s="3" t="s">
        <v>358</v>
      </c>
      <c r="R762" s="3" t="s">
        <v>318</v>
      </c>
      <c r="S762" s="3" t="s">
        <v>1507</v>
      </c>
    </row>
    <row r="763" spans="1:20">
      <c r="A763" s="3">
        <v>468</v>
      </c>
      <c r="B763" s="3" t="b">
        <f>ISNUMBER(MATCH(A763,[1]stockregister!$A$2:$A$2000,0))</f>
        <v>1</v>
      </c>
      <c r="C763" s="3" t="s">
        <v>1781</v>
      </c>
      <c r="D763" s="3" t="str">
        <f>VLOOKUP($C763,[1]stockregister!$B$2:$B$2000,1,0)</f>
        <v>CHIVAS REGAL XV 15YRS WHISKY 750ML</v>
      </c>
      <c r="E763" s="3" t="str">
        <f>IF(ISNA($D763),VLOOKUP($A763,[2]stockregister!$A$2:$B$2000,2,FALSE),"")</f>
        <v/>
      </c>
      <c r="F763" s="3" t="s">
        <v>21</v>
      </c>
      <c r="G763" s="3">
        <f>_xlfn.IFNA(VLOOKUP($A763,[3]stockregister!$A$2:$L$2000,11,0),0)</f>
        <v>9</v>
      </c>
      <c r="H763" s="3">
        <f>_xlfn.IFNA(VLOOKUP($A763,[3]stockregister!$A$2:$L$2000,11,0),0)-$G763</f>
        <v>0</v>
      </c>
      <c r="I763" s="3">
        <f>_xlfn.IFNA(VLOOKUP($A763,[3]stockregister!$A$2:$L$2000,12,0),0)</f>
        <v>5040</v>
      </c>
      <c r="J763" s="3">
        <f>_xlfn.IFNA(VLOOKUP($A763,[3]stockregister!$A$1:$M$2000,12,0),0)-$I763</f>
        <v>0</v>
      </c>
      <c r="K763" s="3" t="s">
        <v>22</v>
      </c>
      <c r="L763" s="3" t="s">
        <v>23</v>
      </c>
      <c r="M763" s="3">
        <f>_xlfn.IFNA(VLOOKUP($A763,[2]stockregister!$A$2:$H$2000,8,0),0)</f>
        <v>5500</v>
      </c>
      <c r="N763" s="3">
        <f>_xlfn.IFNA(VLOOKUP($A763,[2]stockregister!$A$2:$H$2000,8,0),0)-$M763</f>
        <v>0</v>
      </c>
      <c r="O763" s="3" t="s">
        <v>1782</v>
      </c>
      <c r="P763" s="3" t="s">
        <v>1782</v>
      </c>
      <c r="Q763" s="3" t="s">
        <v>1783</v>
      </c>
      <c r="R763" s="3" t="s">
        <v>113</v>
      </c>
      <c r="S763" s="3" t="s">
        <v>114</v>
      </c>
      <c r="T763" s="3">
        <v>15</v>
      </c>
    </row>
    <row r="764" spans="1:20">
      <c r="A764" s="3">
        <v>274</v>
      </c>
      <c r="B764" s="3" t="b">
        <f>ISNUMBER(MATCH(A764,[1]stockregister!$A$2:$A$2000,0))</f>
        <v>1</v>
      </c>
      <c r="C764" s="3" t="s">
        <v>387</v>
      </c>
      <c r="D764" s="3" t="str">
        <f>VLOOKUP($C764,[1]stockregister!$B$2:$B$2000,1,0)</f>
        <v>BOWMORE 12YRS WHISKY 700ML </v>
      </c>
      <c r="E764" s="3" t="str">
        <f>IF(ISNA($D764),VLOOKUP($A764,[2]stockregister!$A$2:$B$2000,2,FALSE),"")</f>
        <v/>
      </c>
      <c r="F764" s="3" t="s">
        <v>21</v>
      </c>
      <c r="G764" s="3">
        <f>_xlfn.IFNA(VLOOKUP($A764,[3]stockregister!$A$2:$L$2000,11,0),0)</f>
        <v>9</v>
      </c>
      <c r="H764" s="3">
        <f>_xlfn.IFNA(VLOOKUP($A764,[3]stockregister!$A$2:$L$2000,11,0),0)-$G764</f>
        <v>0</v>
      </c>
      <c r="I764" s="3">
        <f>_xlfn.IFNA(VLOOKUP($A764,[3]stockregister!$A$2:$L$2000,12,0),0)</f>
        <v>4600</v>
      </c>
      <c r="J764" s="3">
        <f>_xlfn.IFNA(VLOOKUP($A764,[3]stockregister!$A$1:$M$2000,12,0),0)-$I764</f>
        <v>0</v>
      </c>
      <c r="K764" s="3" t="s">
        <v>22</v>
      </c>
      <c r="L764" s="3" t="s">
        <v>23</v>
      </c>
      <c r="M764" s="3">
        <f>_xlfn.IFNA(VLOOKUP($A764,[2]stockregister!$A$2:$H$2000,8,0),0)</f>
        <v>5000</v>
      </c>
      <c r="N764" s="3">
        <f>_xlfn.IFNA(VLOOKUP($A764,[2]stockregister!$A$2:$H$2000,8,0),0)-$M764</f>
        <v>0</v>
      </c>
      <c r="O764" s="3" t="s">
        <v>1784</v>
      </c>
      <c r="P764" s="3" t="s">
        <v>1784</v>
      </c>
      <c r="Q764" s="3" t="s">
        <v>1528</v>
      </c>
      <c r="R764" s="3" t="s">
        <v>92</v>
      </c>
      <c r="S764" s="3" t="s">
        <v>93</v>
      </c>
      <c r="T764" s="3">
        <v>12</v>
      </c>
    </row>
    <row r="765" spans="1:19">
      <c r="A765" s="3">
        <v>176</v>
      </c>
      <c r="B765" s="3" t="b">
        <f>ISNUMBER(MATCH(A765,[1]stockregister!$A$2:$A$2000,0))</f>
        <v>1</v>
      </c>
      <c r="C765" s="3" t="s">
        <v>1785</v>
      </c>
      <c r="D765" s="3" t="str">
        <f>VLOOKUP($C765,[1]stockregister!$B$2:$B$2000,1,0)</f>
        <v>BAREFOOT CHARDONNAY 750ML</v>
      </c>
      <c r="E765" s="3" t="str">
        <f>IF(ISNA($D765),VLOOKUP($A765,[2]stockregister!$A$2:$B$2000,2,FALSE),"")</f>
        <v/>
      </c>
      <c r="F765" s="3" t="s">
        <v>21</v>
      </c>
      <c r="G765" s="3">
        <f>_xlfn.IFNA(VLOOKUP($A765,[3]stockregister!$A$2:$L$2000,11,0),0)</f>
        <v>9</v>
      </c>
      <c r="H765" s="3">
        <f>_xlfn.IFNA(VLOOKUP($A765,[3]stockregister!$A$2:$L$2000,11,0),0)-$G765</f>
        <v>0</v>
      </c>
      <c r="I765" s="3">
        <f>_xlfn.IFNA(VLOOKUP($A765,[3]stockregister!$A$2:$L$2000,12,0),0)</f>
        <v>1104</v>
      </c>
      <c r="J765" s="3">
        <f>_xlfn.IFNA(VLOOKUP($A765,[3]stockregister!$A$1:$M$2000,12,0),0)-$I765</f>
        <v>0</v>
      </c>
      <c r="K765" s="3" t="s">
        <v>22</v>
      </c>
      <c r="L765" s="3" t="s">
        <v>23</v>
      </c>
      <c r="M765" s="3">
        <f>_xlfn.IFNA(VLOOKUP($A765,[2]stockregister!$A$2:$H$2000,8,0),0)</f>
        <v>1200</v>
      </c>
      <c r="N765" s="3">
        <f>_xlfn.IFNA(VLOOKUP($A765,[2]stockregister!$A$2:$H$2000,8,0),0)-$M765</f>
        <v>0</v>
      </c>
      <c r="O765" s="3" t="s">
        <v>1786</v>
      </c>
      <c r="P765" s="3" t="s">
        <v>1786</v>
      </c>
      <c r="Q765" s="3" t="s">
        <v>1787</v>
      </c>
      <c r="R765" s="3" t="s">
        <v>68</v>
      </c>
      <c r="S765" s="3" t="s">
        <v>940</v>
      </c>
    </row>
    <row r="766" spans="1:19">
      <c r="A766" s="3">
        <v>553</v>
      </c>
      <c r="B766" s="3" t="b">
        <f>ISNUMBER(MATCH(A766,[1]stockregister!$A$2:$A$2000,0))</f>
        <v>1</v>
      </c>
      <c r="C766" s="3" t="s">
        <v>1788</v>
      </c>
      <c r="D766" s="3" t="str">
        <f>VLOOKUP($C766,[1]stockregister!$B$2:$B$2000,1,0)</f>
        <v>CULEMBORG S.A RED 750ML</v>
      </c>
      <c r="E766" s="3" t="str">
        <f>IF(ISNA($D766),VLOOKUP($A766,[2]stockregister!$A$2:$B$2000,2,FALSE),"")</f>
        <v/>
      </c>
      <c r="F766" s="3" t="s">
        <v>21</v>
      </c>
      <c r="G766" s="3">
        <f>_xlfn.IFNA(VLOOKUP($A766,[3]stockregister!$A$2:$L$2000,11,0),0)</f>
        <v>9</v>
      </c>
      <c r="H766" s="3">
        <f>_xlfn.IFNA(VLOOKUP($A766,[3]stockregister!$A$2:$L$2000,11,0),0)-$G766</f>
        <v>0</v>
      </c>
      <c r="I766" s="3">
        <f>_xlfn.IFNA(VLOOKUP($A766,[3]stockregister!$A$2:$L$2000,12,0),0)</f>
        <v>782</v>
      </c>
      <c r="J766" s="3">
        <f>_xlfn.IFNA(VLOOKUP($A766,[3]stockregister!$A$1:$M$2000,12,0),0)-$I766</f>
        <v>0</v>
      </c>
      <c r="K766" s="3" t="s">
        <v>22</v>
      </c>
      <c r="L766" s="3" t="s">
        <v>23</v>
      </c>
      <c r="M766" s="3">
        <f>_xlfn.IFNA(VLOOKUP($A766,[2]stockregister!$A$2:$H$2000,8,0),0)</f>
        <v>850</v>
      </c>
      <c r="N766" s="3">
        <f>_xlfn.IFNA(VLOOKUP($A766,[2]stockregister!$A$2:$H$2000,8,0),0)-$M766</f>
        <v>0</v>
      </c>
      <c r="O766" s="3" t="s">
        <v>1789</v>
      </c>
      <c r="P766" s="3" t="s">
        <v>1789</v>
      </c>
      <c r="Q766" s="3" t="s">
        <v>1790</v>
      </c>
      <c r="R766" s="3" t="s">
        <v>68</v>
      </c>
      <c r="S766" s="3" t="s">
        <v>169</v>
      </c>
    </row>
    <row r="767" spans="1:19">
      <c r="A767" s="3">
        <v>2184</v>
      </c>
      <c r="B767" s="3" t="b">
        <f>ISNUMBER(MATCH(A767,[1]stockregister!$A$2:$A$2000,0))</f>
        <v>1</v>
      </c>
      <c r="C767" s="3" t="s">
        <v>1791</v>
      </c>
      <c r="D767" s="3" t="str">
        <f>VLOOKUP($C767,[1]stockregister!$B$2:$B$2000,1,0)</f>
        <v>CHILINERO WHITE 750ML</v>
      </c>
      <c r="E767" s="3" t="str">
        <f>IF(ISNA($D767),VLOOKUP($A767,[2]stockregister!$A$2:$B$2000,2,FALSE),"")</f>
        <v/>
      </c>
      <c r="F767" s="3" t="s">
        <v>21</v>
      </c>
      <c r="G767" s="3">
        <f>_xlfn.IFNA(VLOOKUP($A767,[3]stockregister!$A$2:$L$2000,11,0),0)</f>
        <v>9</v>
      </c>
      <c r="H767" s="3">
        <f>_xlfn.IFNA(VLOOKUP($A767,[3]stockregister!$A$2:$L$2000,11,0),0)-$G767</f>
        <v>0</v>
      </c>
      <c r="I767" s="3">
        <f>_xlfn.IFNA(VLOOKUP($A767,[3]stockregister!$A$2:$L$2000,12,0),0)</f>
        <v>850</v>
      </c>
      <c r="J767" s="3">
        <f>_xlfn.IFNA(VLOOKUP($A767,[3]stockregister!$A$1:$M$2000,12,0),0)-$I767</f>
        <v>0</v>
      </c>
      <c r="K767" s="3" t="s">
        <v>22</v>
      </c>
      <c r="L767" s="3" t="s">
        <v>23</v>
      </c>
      <c r="M767" s="3">
        <f>_xlfn.IFNA(VLOOKUP($A767,[2]stockregister!$A$2:$H$2000,8,0),0)</f>
        <v>900</v>
      </c>
      <c r="N767" s="3">
        <f>_xlfn.IFNA(VLOOKUP($A767,[2]stockregister!$A$2:$H$2000,8,0),0)-$M767</f>
        <v>0</v>
      </c>
      <c r="O767" s="3" t="s">
        <v>1792</v>
      </c>
      <c r="P767" s="3" t="s">
        <v>1792</v>
      </c>
      <c r="Q767" s="3" t="s">
        <v>1686</v>
      </c>
      <c r="R767" s="3" t="s">
        <v>68</v>
      </c>
      <c r="S767" s="3" t="s">
        <v>157</v>
      </c>
    </row>
    <row r="768" spans="1:18">
      <c r="A768" s="3">
        <v>762</v>
      </c>
      <c r="B768" s="3" t="b">
        <f>ISNUMBER(MATCH(A768,[1]stockregister!$A$2:$A$2000,0))</f>
        <v>1</v>
      </c>
      <c r="C768" s="3" t="s">
        <v>1793</v>
      </c>
      <c r="D768" s="3" t="str">
        <f>VLOOKUP($C768,[1]stockregister!$B$2:$B$2000,1,0)</f>
        <v>FOUR PILLARS OLIVE LEAF GIN 700ML</v>
      </c>
      <c r="E768" s="3" t="str">
        <f>IF(ISNA($D768),VLOOKUP($A768,[2]stockregister!$A$2:$B$2000,2,FALSE),"")</f>
        <v/>
      </c>
      <c r="F768" s="3" t="s">
        <v>21</v>
      </c>
      <c r="G768" s="3">
        <f>_xlfn.IFNA(VLOOKUP($A768,[3]stockregister!$A$2:$L$2000,11,0),0)</f>
        <v>9</v>
      </c>
      <c r="H768" s="3">
        <f>_xlfn.IFNA(VLOOKUP($A768,[3]stockregister!$A$2:$L$2000,11,0),0)-$G768</f>
        <v>0</v>
      </c>
      <c r="I768" s="3">
        <f>_xlfn.IFNA(VLOOKUP($A768,[3]stockregister!$A$2:$L$2000,12,0),0)</f>
        <v>4140</v>
      </c>
      <c r="J768" s="3">
        <f>_xlfn.IFNA(VLOOKUP($A768,[3]stockregister!$A$1:$M$2000,12,0),0)-$I768</f>
        <v>0</v>
      </c>
      <c r="K768" s="3" t="s">
        <v>22</v>
      </c>
      <c r="L768" s="3" t="s">
        <v>23</v>
      </c>
      <c r="M768" s="3">
        <f>_xlfn.IFNA(VLOOKUP($A768,[2]stockregister!$A$2:$H$2000,8,0),0)</f>
        <v>4500</v>
      </c>
      <c r="N768" s="3">
        <f>_xlfn.IFNA(VLOOKUP($A768,[2]stockregister!$A$2:$H$2000,8,0),0)-$M768</f>
        <v>0</v>
      </c>
      <c r="O768" s="3" t="s">
        <v>1794</v>
      </c>
      <c r="P768" s="3" t="s">
        <v>1794</v>
      </c>
      <c r="Q768" s="3" t="s">
        <v>1795</v>
      </c>
      <c r="R768" s="3" t="s">
        <v>78</v>
      </c>
    </row>
    <row r="769" spans="1:19">
      <c r="A769" s="3">
        <v>536</v>
      </c>
      <c r="B769" s="3" t="b">
        <f>ISNUMBER(MATCH(A769,[1]stockregister!$A$2:$A$2000,0))</f>
        <v>1</v>
      </c>
      <c r="C769" s="3" t="s">
        <v>1796</v>
      </c>
      <c r="D769" s="3" t="str">
        <f>VLOOKUP($C769,[1]stockregister!$B$2:$B$2000,1,0)</f>
        <v>COURVOISIER V.S 1LTR</v>
      </c>
      <c r="E769" s="3" t="str">
        <f>IF(ISNA($D769),VLOOKUP($A769,[2]stockregister!$A$2:$B$2000,2,FALSE),"")</f>
        <v/>
      </c>
      <c r="F769" s="3" t="s">
        <v>21</v>
      </c>
      <c r="G769" s="3">
        <f>_xlfn.IFNA(VLOOKUP($A769,[3]stockregister!$A$2:$L$2000,11,0),0)</f>
        <v>0</v>
      </c>
      <c r="H769" s="3">
        <f>_xlfn.IFNA(VLOOKUP($A769,[3]stockregister!$A$2:$L$2000,11,0),0)-$G769</f>
        <v>0</v>
      </c>
      <c r="I769" s="3">
        <f>_xlfn.IFNA(VLOOKUP($A769,[3]stockregister!$A$2:$L$2000,12,0),0)</f>
        <v>3723</v>
      </c>
      <c r="J769" s="3">
        <f>_xlfn.IFNA(VLOOKUP($A769,[3]stockregister!$A$1:$M$2000,12,0),0)-$I769</f>
        <v>0</v>
      </c>
      <c r="K769" s="3" t="s">
        <v>22</v>
      </c>
      <c r="L769" s="3" t="s">
        <v>23</v>
      </c>
      <c r="M769" s="3">
        <f>_xlfn.IFNA(VLOOKUP($A769,[2]stockregister!$A$2:$H$2000,8,0),0)</f>
        <v>6500</v>
      </c>
      <c r="N769" s="3">
        <f>_xlfn.IFNA(VLOOKUP($A769,[2]stockregister!$A$2:$H$2000,8,0),0)-$M769</f>
        <v>0</v>
      </c>
      <c r="O769" s="3" t="s">
        <v>1797</v>
      </c>
      <c r="P769" s="3" t="s">
        <v>1797</v>
      </c>
      <c r="Q769" s="3" t="s">
        <v>813</v>
      </c>
      <c r="R769" s="3" t="s">
        <v>102</v>
      </c>
      <c r="S769" s="3" t="s">
        <v>103</v>
      </c>
    </row>
    <row r="770" spans="1:18">
      <c r="A770" s="3">
        <v>146</v>
      </c>
      <c r="B770" s="3" t="b">
        <f>ISNUMBER(MATCH(A770,[1]stockregister!$A$2:$A$2000,0))</f>
        <v>1</v>
      </c>
      <c r="C770" s="3" t="s">
        <v>390</v>
      </c>
      <c r="D770" s="3" t="str">
        <f>VLOOKUP($C770,[1]stockregister!$B$2:$B$2000,1,0)</f>
        <v>BACARDI SUPERIOR  350ML</v>
      </c>
      <c r="E770" s="3" t="str">
        <f>IF(ISNA($D770),VLOOKUP($A770,[2]stockregister!$A$2:$B$2000,2,FALSE),"")</f>
        <v/>
      </c>
      <c r="F770" s="3" t="s">
        <v>21</v>
      </c>
      <c r="G770" s="3">
        <f>_xlfn.IFNA(VLOOKUP($A770,[3]stockregister!$A$2:$L$2000,11,0),0)</f>
        <v>8</v>
      </c>
      <c r="H770" s="3">
        <f>_xlfn.IFNA(VLOOKUP($A770,[3]stockregister!$A$2:$L$2000,11,0),0)-$G770</f>
        <v>0</v>
      </c>
      <c r="I770" s="3">
        <f>_xlfn.IFNA(VLOOKUP($A770,[3]stockregister!$A$2:$L$2000,12,0),0)</f>
        <v>644</v>
      </c>
      <c r="J770" s="3">
        <f>_xlfn.IFNA(VLOOKUP($A770,[3]stockregister!$A$1:$M$2000,12,0),0)-$I770</f>
        <v>0</v>
      </c>
      <c r="K770" s="3" t="s">
        <v>22</v>
      </c>
      <c r="L770" s="3" t="s">
        <v>23</v>
      </c>
      <c r="M770" s="3">
        <f>_xlfn.IFNA(VLOOKUP($A770,[2]stockregister!$A$2:$H$2000,8,0),0)</f>
        <v>700</v>
      </c>
      <c r="N770" s="3">
        <f>_xlfn.IFNA(VLOOKUP($A770,[2]stockregister!$A$2:$H$2000,8,0),0)-$M770</f>
        <v>0</v>
      </c>
      <c r="O770" s="3" t="s">
        <v>1798</v>
      </c>
      <c r="P770" s="3" t="s">
        <v>1798</v>
      </c>
      <c r="Q770" s="3" t="s">
        <v>155</v>
      </c>
      <c r="R770" s="3" t="s">
        <v>156</v>
      </c>
    </row>
    <row r="771" spans="1:19">
      <c r="A771" s="3">
        <v>2916</v>
      </c>
      <c r="B771" s="3" t="b">
        <f>ISNUMBER(MATCH(A771,[1]stockregister!$A$2:$A$2000,0))</f>
        <v>1</v>
      </c>
      <c r="C771" s="3" t="s">
        <v>394</v>
      </c>
      <c r="D771" s="3" t="str">
        <f>VLOOKUP($C771,[1]stockregister!$B$2:$B$2000,1,0)</f>
        <v>WOOSH 9000 PUFFS COLA LIME</v>
      </c>
      <c r="E771" s="3" t="str">
        <f>IF(ISNA($D771),VLOOKUP($A771,[2]stockregister!$A$2:$B$2000,2,FALSE),"")</f>
        <v/>
      </c>
      <c r="F771" s="3" t="s">
        <v>21</v>
      </c>
      <c r="G771" s="3">
        <f>_xlfn.IFNA(VLOOKUP($A771,[3]stockregister!$A$2:$L$2000,11,0),0)</f>
        <v>8</v>
      </c>
      <c r="H771" s="3">
        <f>_xlfn.IFNA(VLOOKUP($A771,[3]stockregister!$A$2:$L$2000,11,0),0)-$G771</f>
        <v>0</v>
      </c>
      <c r="I771" s="3">
        <f>_xlfn.IFNA(VLOOKUP($A771,[3]stockregister!$A$2:$L$2000,12,0),0)</f>
        <v>1077</v>
      </c>
      <c r="J771" s="3">
        <f>_xlfn.IFNA(VLOOKUP($A771,[3]stockregister!$A$1:$M$2000,12,0),0)-$I771</f>
        <v>0</v>
      </c>
      <c r="K771" s="3" t="s">
        <v>22</v>
      </c>
      <c r="L771" s="3" t="s">
        <v>23</v>
      </c>
      <c r="M771" s="3">
        <f>_xlfn.IFNA(VLOOKUP($A771,[2]stockregister!$A$2:$H$2000,8,0),0)</f>
        <v>1200</v>
      </c>
      <c r="N771" s="3">
        <f>_xlfn.IFNA(VLOOKUP($A771,[2]stockregister!$A$2:$H$2000,8,0),0)-$M771</f>
        <v>0</v>
      </c>
      <c r="O771" s="3" t="s">
        <v>1799</v>
      </c>
      <c r="P771" s="3" t="s">
        <v>1799</v>
      </c>
      <c r="Q771" s="3">
        <v>0</v>
      </c>
      <c r="R771" s="3" t="s">
        <v>39</v>
      </c>
      <c r="S771" s="3" t="s">
        <v>1800</v>
      </c>
    </row>
    <row r="772" spans="1:18">
      <c r="A772" s="3">
        <v>210</v>
      </c>
      <c r="B772" s="3" t="b">
        <f>ISNUMBER(MATCH(A772,[1]stockregister!$A$2:$A$2000,0))</f>
        <v>1</v>
      </c>
      <c r="C772" s="3" t="s">
        <v>1801</v>
      </c>
      <c r="D772" s="3" t="str">
        <f>VLOOKUP($C772,[1]stockregister!$B$2:$B$2000,1,0)</f>
        <v>BELVEDERE VODKA 750ML</v>
      </c>
      <c r="E772" s="3" t="str">
        <f>IF(ISNA($D772),VLOOKUP($A772,[2]stockregister!$A$2:$B$2000,2,FALSE),"")</f>
        <v/>
      </c>
      <c r="F772" s="3" t="s">
        <v>21</v>
      </c>
      <c r="G772" s="3">
        <f>_xlfn.IFNA(VLOOKUP($A772,[3]stockregister!$A$2:$L$2000,11,0),0)</f>
        <v>0</v>
      </c>
      <c r="H772" s="3">
        <f>_xlfn.IFNA(VLOOKUP($A772,[3]stockregister!$A$2:$L$2000,11,0),0)-$G772</f>
        <v>0</v>
      </c>
      <c r="I772" s="3">
        <f>_xlfn.IFNA(VLOOKUP($A772,[3]stockregister!$A$2:$L$2000,12,0),0)</f>
        <v>4048</v>
      </c>
      <c r="J772" s="3">
        <f>_xlfn.IFNA(VLOOKUP($A772,[3]stockregister!$A$1:$M$2000,12,0),0)-$I772</f>
        <v>0</v>
      </c>
      <c r="K772" s="3" t="s">
        <v>22</v>
      </c>
      <c r="L772" s="3" t="s">
        <v>23</v>
      </c>
      <c r="M772" s="3">
        <f>_xlfn.IFNA(VLOOKUP($A772,[2]stockregister!$A$2:$H$2000,8,0),0)</f>
        <v>4400</v>
      </c>
      <c r="N772" s="3">
        <f>_xlfn.IFNA(VLOOKUP($A772,[2]stockregister!$A$2:$H$2000,8,0),0)-$M772</f>
        <v>0</v>
      </c>
      <c r="O772" s="3" t="s">
        <v>1802</v>
      </c>
      <c r="P772" s="3" t="s">
        <v>1802</v>
      </c>
      <c r="Q772" s="3" t="s">
        <v>776</v>
      </c>
      <c r="R772" s="3" t="s">
        <v>318</v>
      </c>
    </row>
    <row r="773" spans="1:20">
      <c r="A773" s="3">
        <v>2355</v>
      </c>
      <c r="B773" s="3" t="b">
        <f>ISNUMBER(MATCH(A773,[1]stockregister!$A$2:$A$2000,0))</f>
        <v>1</v>
      </c>
      <c r="C773" s="3" t="s">
        <v>1803</v>
      </c>
      <c r="D773" s="3" t="str">
        <f>VLOOKUP($C773,[1]stockregister!$B$2:$B$2000,1,0)</f>
        <v>JOHNNIE WALKER GREEN LABEL AGED 15YRS 750ML</v>
      </c>
      <c r="E773" s="3" t="str">
        <f>IF(ISNA($D773),VLOOKUP($A773,[2]stockregister!$A$2:$B$2000,2,FALSE),"")</f>
        <v/>
      </c>
      <c r="F773" s="3" t="s">
        <v>21</v>
      </c>
      <c r="G773" s="3">
        <f>_xlfn.IFNA(VLOOKUP($A773,[3]stockregister!$A$2:$L$2000,11,0),0)</f>
        <v>2</v>
      </c>
      <c r="H773" s="3">
        <f>_xlfn.IFNA(VLOOKUP($A773,[3]stockregister!$A$2:$L$2000,11,0),0)-$G773</f>
        <v>0</v>
      </c>
      <c r="I773" s="3">
        <f>_xlfn.IFNA(VLOOKUP($A773,[3]stockregister!$A$2:$L$2000,12,0),0)</f>
        <v>6524</v>
      </c>
      <c r="J773" s="3">
        <f>_xlfn.IFNA(VLOOKUP($A773,[3]stockregister!$A$1:$M$2000,12,0),0)-$I773</f>
        <v>0</v>
      </c>
      <c r="K773" s="3" t="s">
        <v>22</v>
      </c>
      <c r="L773" s="3" t="s">
        <v>23</v>
      </c>
      <c r="M773" s="3">
        <f>_xlfn.IFNA(VLOOKUP($A773,[2]stockregister!$A$2:$H$2000,8,0),0)</f>
        <v>6700</v>
      </c>
      <c r="N773" s="3">
        <f>_xlfn.IFNA(VLOOKUP($A773,[2]stockregister!$A$2:$H$2000,8,0),0)-$M773</f>
        <v>0</v>
      </c>
      <c r="O773" s="3" t="s">
        <v>1804</v>
      </c>
      <c r="P773" s="3" t="s">
        <v>1804</v>
      </c>
      <c r="Q773" s="3" t="s">
        <v>687</v>
      </c>
      <c r="R773" s="3" t="s">
        <v>113</v>
      </c>
      <c r="S773" s="3" t="s">
        <v>114</v>
      </c>
      <c r="T773" s="3">
        <v>15</v>
      </c>
    </row>
    <row r="774" spans="1:19">
      <c r="A774" s="3">
        <v>1242</v>
      </c>
      <c r="B774" s="3" t="b">
        <f>ISNUMBER(MATCH(A774,[1]stockregister!$A$2:$A$2000,0))</f>
        <v>1</v>
      </c>
      <c r="C774" s="3" t="s">
        <v>1805</v>
      </c>
      <c r="D774" s="3" t="str">
        <f>VLOOKUP($C774,[1]stockregister!$B$2:$B$2000,1,0)</f>
        <v>KWV CLASSIC CHARDONNAY 750ML</v>
      </c>
      <c r="E774" s="3" t="str">
        <f>IF(ISNA($D774),VLOOKUP($A774,[2]stockregister!$A$2:$B$2000,2,FALSE),"")</f>
        <v/>
      </c>
      <c r="F774" s="3" t="s">
        <v>21</v>
      </c>
      <c r="G774" s="3">
        <f>_xlfn.IFNA(VLOOKUP($A774,[3]stockregister!$A$2:$L$2000,11,0),0)</f>
        <v>2</v>
      </c>
      <c r="H774" s="3">
        <f>_xlfn.IFNA(VLOOKUP($A774,[3]stockregister!$A$2:$L$2000,11,0),0)-$G774</f>
        <v>0</v>
      </c>
      <c r="I774" s="3">
        <f>_xlfn.IFNA(VLOOKUP($A774,[3]stockregister!$A$2:$L$2000,12,0),0)</f>
        <v>1196</v>
      </c>
      <c r="J774" s="3">
        <f>_xlfn.IFNA(VLOOKUP($A774,[3]stockregister!$A$1:$M$2000,12,0),0)-$I774</f>
        <v>0</v>
      </c>
      <c r="K774" s="3" t="s">
        <v>22</v>
      </c>
      <c r="L774" s="3" t="s">
        <v>23</v>
      </c>
      <c r="M774" s="3">
        <f>_xlfn.IFNA(VLOOKUP($A774,[2]stockregister!$A$2:$H$2000,8,0),0)</f>
        <v>1200</v>
      </c>
      <c r="N774" s="3">
        <f>_xlfn.IFNA(VLOOKUP($A774,[2]stockregister!$A$2:$H$2000,8,0),0)-$M774</f>
        <v>0</v>
      </c>
      <c r="O774" s="3" t="s">
        <v>1806</v>
      </c>
      <c r="P774" s="3" t="s">
        <v>1806</v>
      </c>
      <c r="Q774" s="3" t="s">
        <v>872</v>
      </c>
      <c r="R774" s="3" t="s">
        <v>68</v>
      </c>
      <c r="S774" s="3" t="s">
        <v>940</v>
      </c>
    </row>
    <row r="775" spans="1:19">
      <c r="A775" s="3">
        <v>2386</v>
      </c>
      <c r="B775" s="3" t="b">
        <f>ISNUMBER(MATCH(A775,[1]stockregister!$A$2:$A$2000,0))</f>
        <v>1</v>
      </c>
      <c r="C775" s="3" t="s">
        <v>1807</v>
      </c>
      <c r="D775" s="3" t="str">
        <f>VLOOKUP($C775,[1]stockregister!$B$2:$B$2000,1,0)</f>
        <v>AUSTRALIAN BUSH CHARDONNAY 3LTR</v>
      </c>
      <c r="E775" s="3" t="str">
        <f>IF(ISNA($D775),VLOOKUP($A775,[2]stockregister!$A$2:$B$2000,2,FALSE),"")</f>
        <v/>
      </c>
      <c r="F775" s="3" t="s">
        <v>21</v>
      </c>
      <c r="G775" s="3">
        <f>_xlfn.IFNA(VLOOKUP($A775,[3]stockregister!$A$2:$L$2000,11,0),0)</f>
        <v>8</v>
      </c>
      <c r="H775" s="3">
        <f>_xlfn.IFNA(VLOOKUP($A775,[3]stockregister!$A$2:$L$2000,11,0),0)-$G775</f>
        <v>0</v>
      </c>
      <c r="I775" s="3">
        <f>_xlfn.IFNA(VLOOKUP($A775,[3]stockregister!$A$2:$L$2000,12,0),0)</f>
        <v>2300</v>
      </c>
      <c r="J775" s="3">
        <f>_xlfn.IFNA(VLOOKUP($A775,[3]stockregister!$A$1:$M$2000,12,0),0)-$I775</f>
        <v>0</v>
      </c>
      <c r="K775" s="3" t="s">
        <v>22</v>
      </c>
      <c r="L775" s="3" t="s">
        <v>23</v>
      </c>
      <c r="M775" s="3">
        <f>_xlfn.IFNA(VLOOKUP($A775,[2]stockregister!$A$2:$H$2000,8,0),0)</f>
        <v>2500</v>
      </c>
      <c r="N775" s="3">
        <f>_xlfn.IFNA(VLOOKUP($A775,[2]stockregister!$A$2:$H$2000,8,0),0)-$M775</f>
        <v>0</v>
      </c>
      <c r="O775" s="3" t="s">
        <v>1808</v>
      </c>
      <c r="P775" s="3" t="s">
        <v>1808</v>
      </c>
      <c r="Q775" s="3" t="s">
        <v>1809</v>
      </c>
      <c r="R775" s="3" t="s">
        <v>68</v>
      </c>
      <c r="S775" s="3" t="s">
        <v>940</v>
      </c>
    </row>
    <row r="776" spans="1:19">
      <c r="A776" s="3">
        <v>2210</v>
      </c>
      <c r="B776" s="3" t="b">
        <f>ISNUMBER(MATCH(A776,[1]stockregister!$A$2:$A$2000,0))</f>
        <v>1</v>
      </c>
      <c r="C776" s="3" t="s">
        <v>1810</v>
      </c>
      <c r="D776" s="3" t="str">
        <f>VLOOKUP($C776,[1]stockregister!$B$2:$B$2000,1,0)</f>
        <v>BELLINGHAM HOMESTEAD GRAND CRU 750ML</v>
      </c>
      <c r="E776" s="3" t="str">
        <f>IF(ISNA($D776),VLOOKUP($A776,[2]stockregister!$A$2:$B$2000,2,FALSE),"")</f>
        <v/>
      </c>
      <c r="F776" s="3" t="s">
        <v>21</v>
      </c>
      <c r="G776" s="3">
        <f>_xlfn.IFNA(VLOOKUP($A776,[3]stockregister!$A$2:$L$2000,11,0),0)</f>
        <v>8</v>
      </c>
      <c r="H776" s="3">
        <f>_xlfn.IFNA(VLOOKUP($A776,[3]stockregister!$A$2:$L$2000,11,0),0)-$G776</f>
        <v>0</v>
      </c>
      <c r="I776" s="3">
        <f>_xlfn.IFNA(VLOOKUP($A776,[3]stockregister!$A$2:$L$2000,12,0),0)</f>
        <v>1700</v>
      </c>
      <c r="J776" s="3">
        <f>_xlfn.IFNA(VLOOKUP($A776,[3]stockregister!$A$1:$M$2000,12,0),0)-$I776</f>
        <v>0</v>
      </c>
      <c r="K776" s="3" t="s">
        <v>22</v>
      </c>
      <c r="L776" s="3" t="s">
        <v>23</v>
      </c>
      <c r="M776" s="3">
        <f>_xlfn.IFNA(VLOOKUP($A776,[2]stockregister!$A$2:$H$2000,8,0),0)</f>
        <v>1800</v>
      </c>
      <c r="N776" s="3">
        <f>_xlfn.IFNA(VLOOKUP($A776,[2]stockregister!$A$2:$H$2000,8,0),0)-$M776</f>
        <v>0</v>
      </c>
      <c r="O776" s="3" t="s">
        <v>1811</v>
      </c>
      <c r="P776" s="3" t="s">
        <v>1811</v>
      </c>
      <c r="Q776" s="3" t="s">
        <v>1812</v>
      </c>
      <c r="R776" s="3" t="s">
        <v>537</v>
      </c>
      <c r="S776" s="3" t="s">
        <v>549</v>
      </c>
    </row>
    <row r="777" spans="1:19">
      <c r="A777" s="3">
        <v>133</v>
      </c>
      <c r="B777" s="3" t="b">
        <f>ISNUMBER(MATCH(A777,[1]stockregister!$A$2:$A$2000,0))</f>
        <v>1</v>
      </c>
      <c r="C777" s="3" t="s">
        <v>1813</v>
      </c>
      <c r="D777" s="3" t="str">
        <f>VLOOKUP($C777,[1]stockregister!$B$2:$B$2000,1,0)</f>
        <v>AUSTRALIAN BUSH SHIRAZ 3LTR</v>
      </c>
      <c r="E777" s="3" t="str">
        <f>IF(ISNA($D777),VLOOKUP($A777,[2]stockregister!$A$2:$B$2000,2,FALSE),"")</f>
        <v/>
      </c>
      <c r="F777" s="3" t="s">
        <v>21</v>
      </c>
      <c r="G777" s="3">
        <f>_xlfn.IFNA(VLOOKUP($A777,[3]stockregister!$A$2:$L$2000,11,0),0)</f>
        <v>8</v>
      </c>
      <c r="H777" s="3">
        <f>_xlfn.IFNA(VLOOKUP($A777,[3]stockregister!$A$2:$L$2000,11,0),0)-$G777</f>
        <v>0</v>
      </c>
      <c r="I777" s="3">
        <f>_xlfn.IFNA(VLOOKUP($A777,[3]stockregister!$A$2:$L$2000,12,0),0)</f>
        <v>1840</v>
      </c>
      <c r="J777" s="3">
        <f>_xlfn.IFNA(VLOOKUP($A777,[3]stockregister!$A$1:$M$2000,12,0),0)-$I777</f>
        <v>0</v>
      </c>
      <c r="K777" s="3" t="s">
        <v>22</v>
      </c>
      <c r="L777" s="3" t="s">
        <v>23</v>
      </c>
      <c r="M777" s="3">
        <f>_xlfn.IFNA(VLOOKUP($A777,[2]stockregister!$A$2:$H$2000,8,0),0)</f>
        <v>2000</v>
      </c>
      <c r="N777" s="3">
        <f>_xlfn.IFNA(VLOOKUP($A777,[2]stockregister!$A$2:$H$2000,8,0),0)-$M777</f>
        <v>0</v>
      </c>
      <c r="O777" s="3" t="s">
        <v>1814</v>
      </c>
      <c r="P777" s="3" t="s">
        <v>1814</v>
      </c>
      <c r="Q777" s="3" t="s">
        <v>1299</v>
      </c>
      <c r="R777" s="3" t="s">
        <v>68</v>
      </c>
      <c r="S777" s="3" t="s">
        <v>1357</v>
      </c>
    </row>
    <row r="778" spans="1:18">
      <c r="A778" s="3">
        <v>2375</v>
      </c>
      <c r="B778" s="3" t="b">
        <f>ISNUMBER(MATCH(A778,[1]stockregister!$A$2:$A$2000,0))</f>
        <v>1</v>
      </c>
      <c r="C778" s="3" t="s">
        <v>1815</v>
      </c>
      <c r="D778" s="3" t="str">
        <f>VLOOKUP($C778,[1]stockregister!$B$2:$B$2000,1,0)</f>
        <v>SUNRISE 3LTR</v>
      </c>
      <c r="E778" s="3" t="str">
        <f>IF(ISNA($D778),VLOOKUP($A778,[2]stockregister!$A$2:$B$2000,2,FALSE),"")</f>
        <v/>
      </c>
      <c r="F778" s="3" t="s">
        <v>21</v>
      </c>
      <c r="G778" s="3">
        <f>_xlfn.IFNA(VLOOKUP($A778,[3]stockregister!$A$2:$L$2000,11,0),0)</f>
        <v>8</v>
      </c>
      <c r="H778" s="3">
        <f>_xlfn.IFNA(VLOOKUP($A778,[3]stockregister!$A$2:$L$2000,11,0),0)-$G778</f>
        <v>0</v>
      </c>
      <c r="I778" s="3">
        <f>_xlfn.IFNA(VLOOKUP($A778,[3]stockregister!$A$2:$L$2000,12,0),0)</f>
        <v>2300</v>
      </c>
      <c r="J778" s="3">
        <f>_xlfn.IFNA(VLOOKUP($A778,[3]stockregister!$A$1:$M$2000,12,0),0)-$I778</f>
        <v>0</v>
      </c>
      <c r="K778" s="3" t="s">
        <v>22</v>
      </c>
      <c r="L778" s="3" t="s">
        <v>23</v>
      </c>
      <c r="M778" s="3">
        <f>_xlfn.IFNA(VLOOKUP($A778,[2]stockregister!$A$2:$H$2000,8,0),0)</f>
        <v>2500</v>
      </c>
      <c r="N778" s="3">
        <f>_xlfn.IFNA(VLOOKUP($A778,[2]stockregister!$A$2:$H$2000,8,0),0)-$M778</f>
        <v>0</v>
      </c>
      <c r="O778" s="3">
        <v>0</v>
      </c>
      <c r="P778" s="3">
        <v>0</v>
      </c>
      <c r="Q778" s="3" t="s">
        <v>1816</v>
      </c>
      <c r="R778" s="3" t="s">
        <v>537</v>
      </c>
    </row>
    <row r="779" spans="1:19">
      <c r="A779" s="3">
        <v>1399</v>
      </c>
      <c r="B779" s="3" t="b">
        <f>ISNUMBER(MATCH(A779,[1]stockregister!$A$2:$A$2000,0))</f>
        <v>1</v>
      </c>
      <c r="C779" s="3" t="s">
        <v>396</v>
      </c>
      <c r="D779" s="3" t="str">
        <f>VLOOKUP($C779,[1]stockregister!$B$2:$B$2000,1,0)</f>
        <v>MARTINI  BIANCO 1LTR</v>
      </c>
      <c r="E779" s="3" t="str">
        <f>IF(ISNA($D779),VLOOKUP($A779,[2]stockregister!$A$2:$B$2000,2,FALSE),"")</f>
        <v/>
      </c>
      <c r="F779" s="3" t="s">
        <v>21</v>
      </c>
      <c r="G779" s="3">
        <f>_xlfn.IFNA(VLOOKUP($A779,[3]stockregister!$A$2:$L$2000,11,0),0)</f>
        <v>7</v>
      </c>
      <c r="H779" s="3">
        <f>_xlfn.IFNA(VLOOKUP($A779,[3]stockregister!$A$2:$L$2000,11,0),0)-$G779</f>
        <v>0</v>
      </c>
      <c r="I779" s="3">
        <f>_xlfn.IFNA(VLOOKUP($A779,[3]stockregister!$A$2:$L$2000,12,0),0)</f>
        <v>1472</v>
      </c>
      <c r="J779" s="3">
        <f>_xlfn.IFNA(VLOOKUP($A779,[3]stockregister!$A$1:$M$2000,12,0),0)-$I779</f>
        <v>0</v>
      </c>
      <c r="K779" s="3" t="s">
        <v>22</v>
      </c>
      <c r="L779" s="3" t="s">
        <v>23</v>
      </c>
      <c r="M779" s="3">
        <f>_xlfn.IFNA(VLOOKUP($A779,[2]stockregister!$A$2:$H$2000,8,0),0)</f>
        <v>1600</v>
      </c>
      <c r="N779" s="3">
        <f>_xlfn.IFNA(VLOOKUP($A779,[2]stockregister!$A$2:$H$2000,8,0),0)-$M779</f>
        <v>0</v>
      </c>
      <c r="O779" s="3" t="s">
        <v>1817</v>
      </c>
      <c r="P779" s="3" t="s">
        <v>1817</v>
      </c>
      <c r="Q779" s="3" t="s">
        <v>801</v>
      </c>
      <c r="R779" s="3" t="s">
        <v>802</v>
      </c>
      <c r="S779" s="3" t="s">
        <v>1818</v>
      </c>
    </row>
    <row r="780" spans="1:20">
      <c r="A780" s="3">
        <v>836</v>
      </c>
      <c r="B780" s="3" t="b">
        <f>ISNUMBER(MATCH(A780,[1]stockregister!$A$2:$A$2000,0))</f>
        <v>1</v>
      </c>
      <c r="C780" s="3" t="s">
        <v>1819</v>
      </c>
      <c r="D780" s="3" t="str">
        <f>VLOOKUP($C780,[1]stockregister!$B$2:$B$2000,1,0)</f>
        <v>GLENFIDDICH 12YRS 750ML GIFT PACK</v>
      </c>
      <c r="E780" s="3" t="str">
        <f>IF(ISNA($D780),VLOOKUP($A780,[2]stockregister!$A$2:$B$2000,2,FALSE),"")</f>
        <v/>
      </c>
      <c r="F780" s="3" t="s">
        <v>21</v>
      </c>
      <c r="G780" s="3">
        <f>_xlfn.IFNA(VLOOKUP($A780,[3]stockregister!$A$2:$L$2000,11,0),0)</f>
        <v>7</v>
      </c>
      <c r="H780" s="3">
        <f>_xlfn.IFNA(VLOOKUP($A780,[3]stockregister!$A$2:$L$2000,11,0),0)-$G780</f>
        <v>0</v>
      </c>
      <c r="I780" s="3">
        <f>_xlfn.IFNA(VLOOKUP($A780,[3]stockregister!$A$2:$L$2000,12,0),0)</f>
        <v>6440</v>
      </c>
      <c r="J780" s="3">
        <f>_xlfn.IFNA(VLOOKUP($A780,[3]stockregister!$A$1:$M$2000,12,0),0)-$I780</f>
        <v>0</v>
      </c>
      <c r="K780" s="3" t="s">
        <v>22</v>
      </c>
      <c r="L780" s="3" t="s">
        <v>23</v>
      </c>
      <c r="M780" s="3">
        <f>_xlfn.IFNA(VLOOKUP($A780,[2]stockregister!$A$2:$H$2000,8,0),0)</f>
        <v>7000</v>
      </c>
      <c r="N780" s="3">
        <f>_xlfn.IFNA(VLOOKUP($A780,[2]stockregister!$A$2:$H$2000,8,0),0)-$M780</f>
        <v>0</v>
      </c>
      <c r="O780" s="3" t="s">
        <v>1820</v>
      </c>
      <c r="P780" s="3" t="s">
        <v>1820</v>
      </c>
      <c r="Q780" s="3" t="s">
        <v>365</v>
      </c>
      <c r="R780" s="3" t="s">
        <v>92</v>
      </c>
      <c r="S780" s="3" t="s">
        <v>134</v>
      </c>
      <c r="T780" s="3">
        <v>12</v>
      </c>
    </row>
    <row r="781" spans="1:19">
      <c r="A781" s="3">
        <v>1034</v>
      </c>
      <c r="B781" s="3" t="b">
        <f>ISNUMBER(MATCH(A781,[1]stockregister!$A$2:$A$2000,0))</f>
        <v>1</v>
      </c>
      <c r="C781" s="3" t="s">
        <v>399</v>
      </c>
      <c r="D781" s="3" t="str">
        <f>VLOOKUP($C781,[1]stockregister!$B$2:$B$2000,1,0)</f>
        <v>JACK DANIELS SINATRA  1LTR</v>
      </c>
      <c r="E781" s="3" t="str">
        <f>IF(ISNA($D781),VLOOKUP($A781,[2]stockregister!$A$2:$B$2000,2,FALSE),"")</f>
        <v/>
      </c>
      <c r="F781" s="3" t="s">
        <v>21</v>
      </c>
      <c r="G781" s="3">
        <f>_xlfn.IFNA(VLOOKUP($A781,[3]stockregister!$A$2:$L$2000,11,0),0)</f>
        <v>7</v>
      </c>
      <c r="H781" s="3">
        <f>_xlfn.IFNA(VLOOKUP($A781,[3]stockregister!$A$2:$L$2000,11,0),0)-$G781</f>
        <v>0</v>
      </c>
      <c r="I781" s="3">
        <f>_xlfn.IFNA(VLOOKUP($A781,[3]stockregister!$A$2:$L$2000,12,0),0)</f>
        <v>15640</v>
      </c>
      <c r="J781" s="3">
        <f>_xlfn.IFNA(VLOOKUP($A781,[3]stockregister!$A$1:$M$2000,12,0),0)-$I781</f>
        <v>0</v>
      </c>
      <c r="K781" s="3" t="s">
        <v>22</v>
      </c>
      <c r="L781" s="3" t="s">
        <v>23</v>
      </c>
      <c r="M781" s="3">
        <f>_xlfn.IFNA(VLOOKUP($A781,[2]stockregister!$A$2:$H$2000,8,0),0)</f>
        <v>16000</v>
      </c>
      <c r="N781" s="3">
        <f>_xlfn.IFNA(VLOOKUP($A781,[2]stockregister!$A$2:$H$2000,8,0),0)-$M781</f>
        <v>0</v>
      </c>
      <c r="O781" s="3" t="s">
        <v>1821</v>
      </c>
      <c r="P781" s="3" t="s">
        <v>1821</v>
      </c>
      <c r="Q781" s="3" t="s">
        <v>236</v>
      </c>
      <c r="R781" s="3" t="s">
        <v>92</v>
      </c>
      <c r="S781" s="3" t="s">
        <v>1822</v>
      </c>
    </row>
    <row r="782" spans="1:19">
      <c r="A782" s="3">
        <v>1448</v>
      </c>
      <c r="B782" s="3" t="b">
        <f>ISNUMBER(MATCH(A782,[1]stockregister!$A$2:$A$2000,0))</f>
        <v>1</v>
      </c>
      <c r="C782" s="3" t="s">
        <v>1823</v>
      </c>
      <c r="D782" s="3" t="str">
        <f>VLOOKUP($C782,[1]stockregister!$B$2:$B$2000,1,0)</f>
        <v>MOET &amp; CHANDON ROSE 1.5LTR</v>
      </c>
      <c r="E782" s="3" t="str">
        <f>IF(ISNA($D782),VLOOKUP($A782,[2]stockregister!$A$2:$B$2000,2,FALSE),"")</f>
        <v/>
      </c>
      <c r="F782" s="3" t="s">
        <v>21</v>
      </c>
      <c r="G782" s="3">
        <f>_xlfn.IFNA(VLOOKUP($A782,[3]stockregister!$A$2:$L$2000,11,0),0)</f>
        <v>7</v>
      </c>
      <c r="H782" s="3">
        <f>_xlfn.IFNA(VLOOKUP($A782,[3]stockregister!$A$2:$L$2000,11,0),0)-$G782</f>
        <v>0</v>
      </c>
      <c r="I782" s="3">
        <f>_xlfn.IFNA(VLOOKUP($A782,[3]stockregister!$A$2:$L$2000,12,0),0)</f>
        <v>13800</v>
      </c>
      <c r="J782" s="3">
        <f>_xlfn.IFNA(VLOOKUP($A782,[3]stockregister!$A$1:$M$2000,12,0),0)-$I782</f>
        <v>0</v>
      </c>
      <c r="K782" s="3" t="s">
        <v>22</v>
      </c>
      <c r="L782" s="3" t="s">
        <v>23</v>
      </c>
      <c r="M782" s="3">
        <f>_xlfn.IFNA(VLOOKUP($A782,[2]stockregister!$A$2:$H$2000,8,0),0)</f>
        <v>15000</v>
      </c>
      <c r="N782" s="3">
        <f>_xlfn.IFNA(VLOOKUP($A782,[2]stockregister!$A$2:$H$2000,8,0),0)-$M782</f>
        <v>0</v>
      </c>
      <c r="O782" s="3" t="s">
        <v>1824</v>
      </c>
      <c r="P782" s="3" t="s">
        <v>1824</v>
      </c>
      <c r="Q782" s="3" t="s">
        <v>420</v>
      </c>
      <c r="R782" s="3" t="s">
        <v>68</v>
      </c>
      <c r="S782" s="3" t="s">
        <v>750</v>
      </c>
    </row>
    <row r="783" spans="1:19">
      <c r="A783" s="3">
        <v>2337</v>
      </c>
      <c r="B783" s="3" t="b">
        <f>ISNUMBER(MATCH(A783,[1]stockregister!$A$2:$A$2000,0))</f>
        <v>1</v>
      </c>
      <c r="C783" s="3" t="s">
        <v>1825</v>
      </c>
      <c r="D783" s="3" t="str">
        <f>VLOOKUP($C783,[1]stockregister!$B$2:$B$2000,1,0)</f>
        <v>THE GUV'NOR WHITE 750ML</v>
      </c>
      <c r="E783" s="3" t="str">
        <f>IF(ISNA($D783),VLOOKUP($A783,[2]stockregister!$A$2:$B$2000,2,FALSE),"")</f>
        <v/>
      </c>
      <c r="F783" s="3" t="s">
        <v>21</v>
      </c>
      <c r="G783" s="3">
        <f>_xlfn.IFNA(VLOOKUP($A783,[3]stockregister!$A$2:$L$2000,11,0),0)</f>
        <v>7</v>
      </c>
      <c r="H783" s="3">
        <f>_xlfn.IFNA(VLOOKUP($A783,[3]stockregister!$A$2:$L$2000,11,0),0)-$G783</f>
        <v>0</v>
      </c>
      <c r="I783" s="3">
        <f>_xlfn.IFNA(VLOOKUP($A783,[3]stockregister!$A$2:$L$2000,12,0),0)</f>
        <v>1650</v>
      </c>
      <c r="J783" s="3">
        <f>_xlfn.IFNA(VLOOKUP($A783,[3]stockregister!$A$1:$M$2000,12,0),0)-$I783</f>
        <v>0</v>
      </c>
      <c r="K783" s="3" t="s">
        <v>22</v>
      </c>
      <c r="L783" s="3" t="s">
        <v>23</v>
      </c>
      <c r="M783" s="3">
        <f>_xlfn.IFNA(VLOOKUP($A783,[2]stockregister!$A$2:$H$2000,8,0),0)</f>
        <v>1700</v>
      </c>
      <c r="N783" s="3">
        <f>_xlfn.IFNA(VLOOKUP($A783,[2]stockregister!$A$2:$H$2000,8,0),0)-$M783</f>
        <v>0</v>
      </c>
      <c r="O783" s="3" t="s">
        <v>1826</v>
      </c>
      <c r="P783" s="3" t="s">
        <v>1826</v>
      </c>
      <c r="Q783" s="3" t="s">
        <v>942</v>
      </c>
      <c r="R783" s="3" t="s">
        <v>537</v>
      </c>
      <c r="S783" s="3" t="s">
        <v>88</v>
      </c>
    </row>
    <row r="784" spans="1:19">
      <c r="A784" s="3">
        <v>1747</v>
      </c>
      <c r="B784" s="3" t="b">
        <f>ISNUMBER(MATCH(A784,[1]stockregister!$A$2:$A$2000,0))</f>
        <v>1</v>
      </c>
      <c r="C784" s="3" t="s">
        <v>1827</v>
      </c>
      <c r="D784" s="3" t="str">
        <f>VLOOKUP($C784,[1]stockregister!$B$2:$B$2000,1,0)</f>
        <v>SANDEMAN FINE RUBY 700ML</v>
      </c>
      <c r="E784" s="3" t="str">
        <f>IF(ISNA($D784),VLOOKUP($A784,[2]stockregister!$A$2:$B$2000,2,FALSE),"")</f>
        <v/>
      </c>
      <c r="F784" s="3" t="s">
        <v>21</v>
      </c>
      <c r="G784" s="3">
        <f>_xlfn.IFNA(VLOOKUP($A784,[3]stockregister!$A$2:$L$2000,11,0),0)</f>
        <v>6</v>
      </c>
      <c r="H784" s="3">
        <f>_xlfn.IFNA(VLOOKUP($A784,[3]stockregister!$A$2:$L$2000,11,0),0)-$G784</f>
        <v>0</v>
      </c>
      <c r="I784" s="3">
        <f>_xlfn.IFNA(VLOOKUP($A784,[3]stockregister!$A$2:$L$2000,12,0),0)</f>
        <v>2600</v>
      </c>
      <c r="J784" s="3">
        <f>_xlfn.IFNA(VLOOKUP($A784,[3]stockregister!$A$1:$M$2000,12,0),0)-$I784</f>
        <v>0</v>
      </c>
      <c r="K784" s="3" t="s">
        <v>22</v>
      </c>
      <c r="L784" s="3" t="s">
        <v>23</v>
      </c>
      <c r="M784" s="3">
        <f>_xlfn.IFNA(VLOOKUP($A784,[2]stockregister!$A$2:$H$2000,8,0),0)</f>
        <v>2860</v>
      </c>
      <c r="N784" s="3">
        <f>_xlfn.IFNA(VLOOKUP($A784,[2]stockregister!$A$2:$H$2000,8,0),0)-$M784</f>
        <v>0</v>
      </c>
      <c r="O784" s="3" t="s">
        <v>1828</v>
      </c>
      <c r="P784" s="3" t="s">
        <v>1828</v>
      </c>
      <c r="Q784" s="3" t="s">
        <v>1829</v>
      </c>
      <c r="R784" s="3" t="s">
        <v>109</v>
      </c>
      <c r="S784" s="3" t="s">
        <v>1830</v>
      </c>
    </row>
    <row r="785" spans="1:19">
      <c r="A785" s="3">
        <v>2810</v>
      </c>
      <c r="B785" s="3" t="b">
        <f>ISNUMBER(MATCH(A785,[1]stockregister!$A$2:$A$2000,0))</f>
        <v>1</v>
      </c>
      <c r="C785" s="3" t="s">
        <v>1831</v>
      </c>
      <c r="D785" s="3" t="str">
        <f>VLOOKUP($C785,[1]stockregister!$B$2:$B$2000,1,0)</f>
        <v>MENARD VSOP 700ML</v>
      </c>
      <c r="E785" s="3" t="str">
        <f>IF(ISNA($D785),VLOOKUP($A785,[2]stockregister!$A$2:$B$2000,2,FALSE),"")</f>
        <v/>
      </c>
      <c r="F785" s="3" t="s">
        <v>21</v>
      </c>
      <c r="G785" s="3">
        <f>_xlfn.IFNA(VLOOKUP($A785,[3]stockregister!$A$2:$L$2000,11,0),0)</f>
        <v>6</v>
      </c>
      <c r="H785" s="3">
        <f>_xlfn.IFNA(VLOOKUP($A785,[3]stockregister!$A$2:$L$2000,11,0),0)-$G785</f>
        <v>0</v>
      </c>
      <c r="I785" s="3">
        <f>_xlfn.IFNA(VLOOKUP($A785,[3]stockregister!$A$2:$L$2000,12,0),0)</f>
        <v>3531</v>
      </c>
      <c r="J785" s="3">
        <f>_xlfn.IFNA(VLOOKUP($A785,[3]stockregister!$A$1:$M$2000,12,0),0)-$I785</f>
        <v>0</v>
      </c>
      <c r="K785" s="3" t="s">
        <v>22</v>
      </c>
      <c r="L785" s="3" t="s">
        <v>23</v>
      </c>
      <c r="M785" s="3">
        <f>_xlfn.IFNA(VLOOKUP($A785,[2]stockregister!$A$2:$H$2000,8,0),0)</f>
        <v>5000</v>
      </c>
      <c r="N785" s="3">
        <f>_xlfn.IFNA(VLOOKUP($A785,[2]stockregister!$A$2:$H$2000,8,0),0)-$M785</f>
        <v>0</v>
      </c>
      <c r="O785" s="3" t="s">
        <v>1832</v>
      </c>
      <c r="P785" s="3" t="s">
        <v>1832</v>
      </c>
      <c r="Q785" s="3" t="s">
        <v>1833</v>
      </c>
      <c r="R785" s="3" t="s">
        <v>35</v>
      </c>
      <c r="S785" s="3" t="s">
        <v>36</v>
      </c>
    </row>
    <row r="786" spans="1:18">
      <c r="A786" s="3">
        <v>2570</v>
      </c>
      <c r="B786" s="3" t="b">
        <f>ISNUMBER(MATCH(A786,[1]stockregister!$A$2:$A$2000,0))</f>
        <v>1</v>
      </c>
      <c r="C786" s="3" t="s">
        <v>402</v>
      </c>
      <c r="D786" s="3" t="str">
        <f>VLOOKUP($C786,[1]stockregister!$B$2:$B$2000,1,0)</f>
        <v>SIX  DOGS KAROO 750ML</v>
      </c>
      <c r="E786" s="3" t="str">
        <f>IF(ISNA($D786),VLOOKUP($A786,[2]stockregister!$A$2:$B$2000,2,FALSE),"")</f>
        <v/>
      </c>
      <c r="F786" s="3" t="s">
        <v>21</v>
      </c>
      <c r="G786" s="3">
        <f>_xlfn.IFNA(VLOOKUP($A786,[3]stockregister!$A$2:$L$2000,11,0),0)</f>
        <v>6</v>
      </c>
      <c r="H786" s="3">
        <f>_xlfn.IFNA(VLOOKUP($A786,[3]stockregister!$A$2:$L$2000,11,0),0)-$G786</f>
        <v>0</v>
      </c>
      <c r="I786" s="3">
        <f>_xlfn.IFNA(VLOOKUP($A786,[3]stockregister!$A$2:$L$2000,12,0),0)</f>
        <v>4000</v>
      </c>
      <c r="J786" s="3">
        <f>_xlfn.IFNA(VLOOKUP($A786,[3]stockregister!$A$1:$M$2000,12,0),0)-$I786</f>
        <v>0</v>
      </c>
      <c r="K786" s="3" t="s">
        <v>22</v>
      </c>
      <c r="L786" s="3" t="s">
        <v>23</v>
      </c>
      <c r="M786" s="3">
        <f>_xlfn.IFNA(VLOOKUP($A786,[2]stockregister!$A$2:$H$2000,8,0),0)</f>
        <v>5500</v>
      </c>
      <c r="N786" s="3">
        <f>_xlfn.IFNA(VLOOKUP($A786,[2]stockregister!$A$2:$H$2000,8,0),0)-$M786</f>
        <v>0</v>
      </c>
      <c r="O786" s="3" t="s">
        <v>1834</v>
      </c>
      <c r="P786" s="3" t="s">
        <v>1834</v>
      </c>
      <c r="Q786" s="3" t="s">
        <v>1835</v>
      </c>
      <c r="R786" s="3" t="s">
        <v>78</v>
      </c>
    </row>
    <row r="787" spans="1:18">
      <c r="A787" s="3">
        <v>2284</v>
      </c>
      <c r="B787" s="3" t="b">
        <f>ISNUMBER(MATCH(A787,[1]stockregister!$A$2:$A$2000,0))</f>
        <v>1</v>
      </c>
      <c r="C787" s="3" t="s">
        <v>1836</v>
      </c>
      <c r="D787" s="3" t="str">
        <f>VLOOKUP($C787,[1]stockregister!$B$2:$B$2000,1,0)</f>
        <v>SIPSMITH LONDON DRY GIN 1LTR</v>
      </c>
      <c r="E787" s="3" t="str">
        <f>IF(ISNA($D787),VLOOKUP($A787,[2]stockregister!$A$2:$B$2000,2,FALSE),"")</f>
        <v/>
      </c>
      <c r="F787" s="3" t="s">
        <v>21</v>
      </c>
      <c r="G787" s="3">
        <f>_xlfn.IFNA(VLOOKUP($A787,[3]stockregister!$A$2:$L$2000,11,0),0)</f>
        <v>6</v>
      </c>
      <c r="H787" s="3">
        <f>_xlfn.IFNA(VLOOKUP($A787,[3]stockregister!$A$2:$L$2000,11,0),0)-$G787</f>
        <v>0</v>
      </c>
      <c r="I787" s="3">
        <f>_xlfn.IFNA(VLOOKUP($A787,[3]stockregister!$A$2:$L$2000,12,0),0)</f>
        <v>4800</v>
      </c>
      <c r="J787" s="3">
        <f>_xlfn.IFNA(VLOOKUP($A787,[3]stockregister!$A$1:$M$2000,12,0),0)-$I787</f>
        <v>0</v>
      </c>
      <c r="K787" s="3" t="s">
        <v>22</v>
      </c>
      <c r="L787" s="3" t="s">
        <v>23</v>
      </c>
      <c r="M787" s="3">
        <f>_xlfn.IFNA(VLOOKUP($A787,[2]stockregister!$A$2:$H$2000,8,0),0)</f>
        <v>5000</v>
      </c>
      <c r="N787" s="3">
        <f>_xlfn.IFNA(VLOOKUP($A787,[2]stockregister!$A$2:$H$2000,8,0),0)-$M787</f>
        <v>0</v>
      </c>
      <c r="O787" s="3" t="s">
        <v>1837</v>
      </c>
      <c r="P787" s="3" t="s">
        <v>1837</v>
      </c>
      <c r="Q787" s="3" t="s">
        <v>1838</v>
      </c>
      <c r="R787" s="3" t="s">
        <v>78</v>
      </c>
    </row>
    <row r="788" spans="1:18">
      <c r="A788" s="3">
        <v>281</v>
      </c>
      <c r="B788" s="3" t="b">
        <f>ISNUMBER(MATCH(A788,[1]stockregister!$A$2:$A$2000,0))</f>
        <v>1</v>
      </c>
      <c r="C788" s="3" t="s">
        <v>1839</v>
      </c>
      <c r="D788" s="3" t="str">
        <f>VLOOKUP($C788,[1]stockregister!$B$2:$B$2000,1,0)</f>
        <v>BROKERS GIN 700ml</v>
      </c>
      <c r="E788" s="3" t="str">
        <f>IF(ISNA($D788),VLOOKUP($A788,[2]stockregister!$A$2:$B$2000,2,FALSE),"")</f>
        <v/>
      </c>
      <c r="F788" s="3" t="s">
        <v>21</v>
      </c>
      <c r="G788" s="3">
        <f>_xlfn.IFNA(VLOOKUP($A788,[3]stockregister!$A$2:$L$2000,11,0),0)</f>
        <v>6</v>
      </c>
      <c r="H788" s="3">
        <f>_xlfn.IFNA(VLOOKUP($A788,[3]stockregister!$A$2:$L$2000,11,0),0)-$G788</f>
        <v>0</v>
      </c>
      <c r="I788" s="3">
        <f>_xlfn.IFNA(VLOOKUP($A788,[3]stockregister!$A$2:$L$2000,12,0),0)</f>
        <v>2024</v>
      </c>
      <c r="J788" s="3">
        <f>_xlfn.IFNA(VLOOKUP($A788,[3]stockregister!$A$1:$M$2000,12,0),0)-$I788</f>
        <v>0</v>
      </c>
      <c r="K788" s="3" t="s">
        <v>22</v>
      </c>
      <c r="L788" s="3" t="s">
        <v>23</v>
      </c>
      <c r="M788" s="3">
        <f>_xlfn.IFNA(VLOOKUP($A788,[2]stockregister!$A$2:$H$2000,8,0),0)</f>
        <v>2200</v>
      </c>
      <c r="N788" s="3">
        <f>_xlfn.IFNA(VLOOKUP($A788,[2]stockregister!$A$2:$H$2000,8,0),0)-$M788</f>
        <v>0</v>
      </c>
      <c r="O788" s="3" t="s">
        <v>1840</v>
      </c>
      <c r="P788" s="3" t="s">
        <v>1840</v>
      </c>
      <c r="Q788" s="3" t="s">
        <v>1388</v>
      </c>
      <c r="R788" s="3" t="s">
        <v>78</v>
      </c>
    </row>
    <row r="789" spans="1:18">
      <c r="A789" s="3">
        <v>1997</v>
      </c>
      <c r="B789" s="3" t="b">
        <f>ISNUMBER(MATCH(A789,[1]stockregister!$A$2:$A$2000,0))</f>
        <v>1</v>
      </c>
      <c r="C789" s="3" t="s">
        <v>1841</v>
      </c>
      <c r="D789" s="3" t="str">
        <f>VLOOKUP($C789,[1]stockregister!$B$2:$B$2000,1,0)</f>
        <v>TOBERMORY GIN 750ML</v>
      </c>
      <c r="E789" s="3" t="str">
        <f>IF(ISNA($D789),VLOOKUP($A789,[2]stockregister!$A$2:$B$2000,2,FALSE),"")</f>
        <v/>
      </c>
      <c r="F789" s="3" t="s">
        <v>21</v>
      </c>
      <c r="G789" s="3">
        <f>_xlfn.IFNA(VLOOKUP($A789,[3]stockregister!$A$2:$L$2000,11,0),0)</f>
        <v>6</v>
      </c>
      <c r="H789" s="3">
        <f>_xlfn.IFNA(VLOOKUP($A789,[3]stockregister!$A$2:$L$2000,11,0),0)-$G789</f>
        <v>0</v>
      </c>
      <c r="I789" s="3">
        <f>_xlfn.IFNA(VLOOKUP($A789,[3]stockregister!$A$2:$L$2000,12,0),0)</f>
        <v>2300</v>
      </c>
      <c r="J789" s="3">
        <f>_xlfn.IFNA(VLOOKUP($A789,[3]stockregister!$A$1:$M$2000,12,0),0)-$I789</f>
        <v>0</v>
      </c>
      <c r="K789" s="3" t="s">
        <v>22</v>
      </c>
      <c r="L789" s="3" t="s">
        <v>23</v>
      </c>
      <c r="M789" s="3">
        <f>_xlfn.IFNA(VLOOKUP($A789,[2]stockregister!$A$2:$H$2000,8,0),0)</f>
        <v>2500</v>
      </c>
      <c r="N789" s="3">
        <f>_xlfn.IFNA(VLOOKUP($A789,[2]stockregister!$A$2:$H$2000,8,0),0)-$M789</f>
        <v>0</v>
      </c>
      <c r="O789" s="3" t="s">
        <v>1842</v>
      </c>
      <c r="P789" s="3" t="s">
        <v>1842</v>
      </c>
      <c r="Q789" s="3" t="s">
        <v>1843</v>
      </c>
      <c r="R789" s="3" t="s">
        <v>78</v>
      </c>
    </row>
    <row r="790" spans="1:18">
      <c r="A790" s="3">
        <v>1087</v>
      </c>
      <c r="B790" s="3" t="b">
        <f>ISNUMBER(MATCH(A790,[1]stockregister!$A$2:$A$2000,0))</f>
        <v>1</v>
      </c>
      <c r="C790" s="3" t="s">
        <v>1844</v>
      </c>
      <c r="D790" s="3" t="str">
        <f>VLOOKUP($C790,[1]stockregister!$B$2:$B$2000,1,0)</f>
        <v>JJ WHITLEY NEIL LONDON DRY GIN 750ML</v>
      </c>
      <c r="E790" s="3" t="str">
        <f>IF(ISNA($D790),VLOOKUP($A790,[2]stockregister!$A$2:$B$2000,2,FALSE),"")</f>
        <v/>
      </c>
      <c r="F790" s="3" t="s">
        <v>21</v>
      </c>
      <c r="G790" s="3">
        <f>_xlfn.IFNA(VLOOKUP($A790,[3]stockregister!$A$2:$L$2000,11,0),0)</f>
        <v>6</v>
      </c>
      <c r="H790" s="3">
        <f>_xlfn.IFNA(VLOOKUP($A790,[3]stockregister!$A$2:$L$2000,11,0),0)-$G790</f>
        <v>0</v>
      </c>
      <c r="I790" s="3">
        <f>_xlfn.IFNA(VLOOKUP($A790,[3]stockregister!$A$2:$L$2000,12,0),0)</f>
        <v>2576</v>
      </c>
      <c r="J790" s="3">
        <f>_xlfn.IFNA(VLOOKUP($A790,[3]stockregister!$A$1:$M$2000,12,0),0)-$I790</f>
        <v>0</v>
      </c>
      <c r="K790" s="3" t="s">
        <v>22</v>
      </c>
      <c r="L790" s="3" t="s">
        <v>23</v>
      </c>
      <c r="M790" s="3">
        <f>_xlfn.IFNA(VLOOKUP($A790,[2]stockregister!$A$2:$H$2000,8,0),0)</f>
        <v>2800</v>
      </c>
      <c r="N790" s="3">
        <f>_xlfn.IFNA(VLOOKUP($A790,[2]stockregister!$A$2:$H$2000,8,0),0)-$M790</f>
        <v>0</v>
      </c>
      <c r="O790" s="3" t="s">
        <v>1845</v>
      </c>
      <c r="P790" s="3" t="s">
        <v>1845</v>
      </c>
      <c r="Q790" s="3" t="s">
        <v>1061</v>
      </c>
      <c r="R790" s="3" t="s">
        <v>78</v>
      </c>
    </row>
    <row r="791" spans="1:18">
      <c r="A791" s="3">
        <v>279</v>
      </c>
      <c r="B791" s="3" t="b">
        <f>ISNUMBER(MATCH(A791,[1]stockregister!$A$2:$A$2000,0))</f>
        <v>1</v>
      </c>
      <c r="C791" s="3" t="s">
        <v>1846</v>
      </c>
      <c r="D791" s="3" t="str">
        <f>VLOOKUP($C791,[1]stockregister!$B$2:$B$2000,1,0)</f>
        <v>BROKER'S GIN 1ltr</v>
      </c>
      <c r="E791" s="3" t="str">
        <f>IF(ISNA($D791),VLOOKUP($A791,[2]stockregister!$A$2:$B$2000,2,FALSE),"")</f>
        <v/>
      </c>
      <c r="F791" s="3" t="s">
        <v>21</v>
      </c>
      <c r="G791" s="3">
        <f>_xlfn.IFNA(VLOOKUP($A791,[3]stockregister!$A$2:$L$2000,11,0),0)</f>
        <v>6</v>
      </c>
      <c r="H791" s="3">
        <f>_xlfn.IFNA(VLOOKUP($A791,[3]stockregister!$A$2:$L$2000,11,0),0)-$G791</f>
        <v>0</v>
      </c>
      <c r="I791" s="3">
        <f>_xlfn.IFNA(VLOOKUP($A791,[3]stockregister!$A$2:$L$2000,12,0),0)</f>
        <v>2208</v>
      </c>
      <c r="J791" s="3">
        <f>_xlfn.IFNA(VLOOKUP($A791,[3]stockregister!$A$1:$M$2000,12,0),0)-$I791</f>
        <v>0</v>
      </c>
      <c r="K791" s="3" t="s">
        <v>22</v>
      </c>
      <c r="L791" s="3" t="s">
        <v>23</v>
      </c>
      <c r="M791" s="3">
        <f>_xlfn.IFNA(VLOOKUP($A791,[2]stockregister!$A$2:$H$2000,8,0),0)</f>
        <v>2400</v>
      </c>
      <c r="N791" s="3">
        <f>_xlfn.IFNA(VLOOKUP($A791,[2]stockregister!$A$2:$H$2000,8,0),0)-$M791</f>
        <v>0</v>
      </c>
      <c r="O791" s="3" t="s">
        <v>1847</v>
      </c>
      <c r="P791" s="3" t="s">
        <v>1847</v>
      </c>
      <c r="Q791" s="3" t="s">
        <v>1848</v>
      </c>
      <c r="R791" s="3" t="s">
        <v>78</v>
      </c>
    </row>
    <row r="792" spans="1:18">
      <c r="A792" s="3">
        <v>769</v>
      </c>
      <c r="B792" s="3" t="b">
        <f>ISNUMBER(MATCH(A792,[1]stockregister!$A$2:$A$2000,0))</f>
        <v>1</v>
      </c>
      <c r="C792" s="3" t="s">
        <v>1849</v>
      </c>
      <c r="D792" s="3" t="str">
        <f>VLOOKUP($C792,[1]stockregister!$B$2:$B$2000,1,0)</f>
        <v>FRANGELICO LIQUEUR 750ML</v>
      </c>
      <c r="E792" s="3" t="str">
        <f>IF(ISNA($D792),VLOOKUP($A792,[2]stockregister!$A$2:$B$2000,2,FALSE),"")</f>
        <v/>
      </c>
      <c r="F792" s="3" t="s">
        <v>21</v>
      </c>
      <c r="G792" s="3">
        <f>_xlfn.IFNA(VLOOKUP($A792,[3]stockregister!$A$2:$L$2000,11,0),0)</f>
        <v>6</v>
      </c>
      <c r="H792" s="3">
        <f>_xlfn.IFNA(VLOOKUP($A792,[3]stockregister!$A$2:$L$2000,11,0),0)-$G792</f>
        <v>0</v>
      </c>
      <c r="I792" s="3">
        <f>_xlfn.IFNA(VLOOKUP($A792,[3]stockregister!$A$2:$L$2000,12,0),0)</f>
        <v>1840</v>
      </c>
      <c r="J792" s="3">
        <f>_xlfn.IFNA(VLOOKUP($A792,[3]stockregister!$A$1:$M$2000,12,0),0)-$I792</f>
        <v>0</v>
      </c>
      <c r="K792" s="3" t="s">
        <v>22</v>
      </c>
      <c r="L792" s="3" t="s">
        <v>23</v>
      </c>
      <c r="M792" s="3">
        <f>_xlfn.IFNA(VLOOKUP($A792,[2]stockregister!$A$2:$H$2000,8,0),0)</f>
        <v>2000</v>
      </c>
      <c r="N792" s="3">
        <f>_xlfn.IFNA(VLOOKUP($A792,[2]stockregister!$A$2:$H$2000,8,0),0)-$M792</f>
        <v>0</v>
      </c>
      <c r="O792" s="3" t="s">
        <v>794</v>
      </c>
      <c r="P792" s="3" t="s">
        <v>794</v>
      </c>
      <c r="Q792" s="3" t="s">
        <v>1850</v>
      </c>
      <c r="R792" s="3" t="s">
        <v>126</v>
      </c>
    </row>
    <row r="793" spans="1:19">
      <c r="A793" s="3">
        <v>39</v>
      </c>
      <c r="B793" s="3" t="b">
        <f>ISNUMBER(MATCH(A793,[1]stockregister!$A$2:$A$2000,0))</f>
        <v>1</v>
      </c>
      <c r="C793" s="3" t="s">
        <v>1851</v>
      </c>
      <c r="D793" s="3" t="str">
        <f>VLOOKUP($C793,[1]stockregister!$B$2:$B$2000,1,0)</f>
        <v>ABSOLUT BLUE VODKA 4.5LTR</v>
      </c>
      <c r="E793" s="3" t="str">
        <f>IF(ISNA($D793),VLOOKUP($A793,[2]stockregister!$A$2:$B$2000,2,FALSE),"")</f>
        <v/>
      </c>
      <c r="F793" s="3" t="s">
        <v>21</v>
      </c>
      <c r="G793" s="3">
        <f>_xlfn.IFNA(VLOOKUP($A793,[3]stockregister!$A$2:$L$2000,11,0),0)</f>
        <v>6</v>
      </c>
      <c r="H793" s="3">
        <f>_xlfn.IFNA(VLOOKUP($A793,[3]stockregister!$A$2:$L$2000,11,0),0)-$G793</f>
        <v>0</v>
      </c>
      <c r="I793" s="3">
        <f>_xlfn.IFNA(VLOOKUP($A793,[3]stockregister!$A$2:$L$2000,12,0),0)</f>
        <v>6900</v>
      </c>
      <c r="J793" s="3">
        <f>_xlfn.IFNA(VLOOKUP($A793,[3]stockregister!$A$1:$M$2000,12,0),0)-$I793</f>
        <v>0</v>
      </c>
      <c r="K793" s="3" t="s">
        <v>22</v>
      </c>
      <c r="L793" s="3" t="s">
        <v>23</v>
      </c>
      <c r="M793" s="3">
        <f>_xlfn.IFNA(VLOOKUP($A793,[2]stockregister!$A$2:$H$2000,8,0),0)</f>
        <v>7500</v>
      </c>
      <c r="N793" s="3">
        <f>_xlfn.IFNA(VLOOKUP($A793,[2]stockregister!$A$2:$H$2000,8,0),0)-$M793</f>
        <v>0</v>
      </c>
      <c r="O793" s="3" t="s">
        <v>1852</v>
      </c>
      <c r="P793" s="3" t="s">
        <v>1852</v>
      </c>
      <c r="Q793" s="3" t="s">
        <v>358</v>
      </c>
      <c r="R793" s="3" t="s">
        <v>318</v>
      </c>
      <c r="S793" s="3" t="s">
        <v>359</v>
      </c>
    </row>
    <row r="794" spans="1:19">
      <c r="A794" s="3">
        <v>1891</v>
      </c>
      <c r="B794" s="3" t="b">
        <f>ISNUMBER(MATCH(A794,[1]stockregister!$A$2:$A$2000,0))</f>
        <v>1</v>
      </c>
      <c r="C794" s="3" t="s">
        <v>1853</v>
      </c>
      <c r="D794" s="3" t="str">
        <f>VLOOKUP($C794,[1]stockregister!$B$2:$B$2000,1,0)</f>
        <v>STOLICHNAYA VANILLA 750ML</v>
      </c>
      <c r="E794" s="3" t="str">
        <f>IF(ISNA($D794),VLOOKUP($A794,[2]stockregister!$A$2:$B$2000,2,FALSE),"")</f>
        <v/>
      </c>
      <c r="F794" s="3" t="s">
        <v>21</v>
      </c>
      <c r="G794" s="3">
        <f>_xlfn.IFNA(VLOOKUP($A794,[3]stockregister!$A$2:$L$2000,11,0),0)</f>
        <v>6</v>
      </c>
      <c r="H794" s="3">
        <f>_xlfn.IFNA(VLOOKUP($A794,[3]stockregister!$A$2:$L$2000,11,0),0)-$G794</f>
        <v>0</v>
      </c>
      <c r="I794" s="3">
        <f>_xlfn.IFNA(VLOOKUP($A794,[3]stockregister!$A$2:$L$2000,12,0),0)</f>
        <v>920</v>
      </c>
      <c r="J794" s="3">
        <f>_xlfn.IFNA(VLOOKUP($A794,[3]stockregister!$A$1:$M$2000,12,0),0)-$I794</f>
        <v>0</v>
      </c>
      <c r="K794" s="3" t="s">
        <v>22</v>
      </c>
      <c r="L794" s="3" t="s">
        <v>23</v>
      </c>
      <c r="M794" s="3">
        <f>_xlfn.IFNA(VLOOKUP($A794,[2]stockregister!$A$2:$H$2000,8,0),0)</f>
        <v>1000</v>
      </c>
      <c r="N794" s="3">
        <f>_xlfn.IFNA(VLOOKUP($A794,[2]stockregister!$A$2:$H$2000,8,0),0)-$M794</f>
        <v>0</v>
      </c>
      <c r="O794" s="3" t="s">
        <v>1854</v>
      </c>
      <c r="P794" s="3" t="s">
        <v>1854</v>
      </c>
      <c r="Q794" s="3" t="s">
        <v>1855</v>
      </c>
      <c r="R794" s="3" t="s">
        <v>318</v>
      </c>
      <c r="S794" s="3" t="s">
        <v>844</v>
      </c>
    </row>
    <row r="795" spans="1:18">
      <c r="A795" s="3">
        <v>2393</v>
      </c>
      <c r="B795" s="3" t="b">
        <f>ISNUMBER(MATCH(A795,[1]stockregister!$A$2:$A$2000,0))</f>
        <v>1</v>
      </c>
      <c r="C795" s="3" t="s">
        <v>1856</v>
      </c>
      <c r="D795" s="3" t="str">
        <f>VLOOKUP($C795,[1]stockregister!$B$2:$B$2000,1,0)</f>
        <v>RUSSIAN BEAR ENERGY FUDION EXPORT 750ML</v>
      </c>
      <c r="E795" s="3" t="str">
        <f>IF(ISNA($D795),VLOOKUP($A795,[2]stockregister!$A$2:$B$2000,2,FALSE),"")</f>
        <v/>
      </c>
      <c r="F795" s="3" t="s">
        <v>21</v>
      </c>
      <c r="G795" s="3">
        <f>_xlfn.IFNA(VLOOKUP($A795,[3]stockregister!$A$2:$L$2000,11,0),0)</f>
        <v>6</v>
      </c>
      <c r="H795" s="3">
        <f>_xlfn.IFNA(VLOOKUP($A795,[3]stockregister!$A$2:$L$2000,11,0),0)-$G795</f>
        <v>0</v>
      </c>
      <c r="I795" s="3">
        <f>_xlfn.IFNA(VLOOKUP($A795,[3]stockregister!$A$2:$L$2000,12,0),0)</f>
        <v>1000</v>
      </c>
      <c r="J795" s="3">
        <f>_xlfn.IFNA(VLOOKUP($A795,[3]stockregister!$A$1:$M$2000,12,0),0)-$I795</f>
        <v>0</v>
      </c>
      <c r="K795" s="3" t="s">
        <v>22</v>
      </c>
      <c r="L795" s="3" t="s">
        <v>23</v>
      </c>
      <c r="M795" s="3">
        <f>_xlfn.IFNA(VLOOKUP($A795,[2]stockregister!$A$2:$H$2000,8,0),0)</f>
        <v>1100</v>
      </c>
      <c r="N795" s="3">
        <f>_xlfn.IFNA(VLOOKUP($A795,[2]stockregister!$A$2:$H$2000,8,0),0)-$M795</f>
        <v>0</v>
      </c>
      <c r="O795" s="3" t="s">
        <v>1857</v>
      </c>
      <c r="P795" s="3" t="s">
        <v>1857</v>
      </c>
      <c r="Q795" s="3" t="s">
        <v>1096</v>
      </c>
      <c r="R795" s="3" t="s">
        <v>1097</v>
      </c>
    </row>
    <row r="796" spans="1:18">
      <c r="A796" s="3">
        <v>2395</v>
      </c>
      <c r="B796" s="3" t="b">
        <f>ISNUMBER(MATCH(A796,[1]stockregister!$A$2:$A$2000,0))</f>
        <v>1</v>
      </c>
      <c r="C796" s="3" t="s">
        <v>1858</v>
      </c>
      <c r="D796" s="3" t="str">
        <f>VLOOKUP($C796,[1]stockregister!$B$2:$B$2000,1,0)</f>
        <v>RUSSIAN BEAR PASSION FRUIT 750ML</v>
      </c>
      <c r="E796" s="3" t="str">
        <f>IF(ISNA($D796),VLOOKUP($A796,[2]stockregister!$A$2:$B$2000,2,FALSE),"")</f>
        <v/>
      </c>
      <c r="F796" s="3" t="s">
        <v>21</v>
      </c>
      <c r="G796" s="3">
        <f>_xlfn.IFNA(VLOOKUP($A796,[3]stockregister!$A$2:$L$2000,11,0),0)</f>
        <v>6</v>
      </c>
      <c r="H796" s="3">
        <f>_xlfn.IFNA(VLOOKUP($A796,[3]stockregister!$A$2:$L$2000,11,0),0)-$G796</f>
        <v>0</v>
      </c>
      <c r="I796" s="3">
        <f>_xlfn.IFNA(VLOOKUP($A796,[3]stockregister!$A$2:$L$2000,12,0),0)</f>
        <v>1000</v>
      </c>
      <c r="J796" s="3">
        <f>_xlfn.IFNA(VLOOKUP($A796,[3]stockregister!$A$1:$M$2000,12,0),0)-$I796</f>
        <v>0</v>
      </c>
      <c r="K796" s="3" t="s">
        <v>22</v>
      </c>
      <c r="L796" s="3" t="s">
        <v>23</v>
      </c>
      <c r="M796" s="3">
        <f>_xlfn.IFNA(VLOOKUP($A796,[2]stockregister!$A$2:$H$2000,8,0),0)</f>
        <v>1100</v>
      </c>
      <c r="N796" s="3">
        <f>_xlfn.IFNA(VLOOKUP($A796,[2]stockregister!$A$2:$H$2000,8,0),0)-$M796</f>
        <v>0</v>
      </c>
      <c r="O796" s="3" t="s">
        <v>1859</v>
      </c>
      <c r="P796" s="3" t="s">
        <v>1859</v>
      </c>
      <c r="Q796" s="3" t="s">
        <v>1096</v>
      </c>
      <c r="R796" s="3" t="s">
        <v>1097</v>
      </c>
    </row>
    <row r="797" spans="1:18">
      <c r="A797" s="3">
        <v>2471</v>
      </c>
      <c r="B797" s="3" t="b">
        <f>ISNUMBER(MATCH(A797,[1]stockregister!$A$2:$A$2000,0))</f>
        <v>1</v>
      </c>
      <c r="C797" s="3" t="s">
        <v>1860</v>
      </c>
      <c r="D797" s="3" t="str">
        <f>VLOOKUP($C797,[1]stockregister!$B$2:$B$2000,1,0)</f>
        <v>CIROC LIMONATA 700ML</v>
      </c>
      <c r="E797" s="3" t="str">
        <f>IF(ISNA($D797),VLOOKUP($A797,[2]stockregister!$A$2:$B$2000,2,FALSE),"")</f>
        <v/>
      </c>
      <c r="F797" s="3" t="s">
        <v>21</v>
      </c>
      <c r="G797" s="3">
        <f>_xlfn.IFNA(VLOOKUP($A797,[3]stockregister!$A$2:$L$2000,11,0),0)</f>
        <v>6</v>
      </c>
      <c r="H797" s="3">
        <f>_xlfn.IFNA(VLOOKUP($A797,[3]stockregister!$A$2:$L$2000,11,0),0)-$G797</f>
        <v>0</v>
      </c>
      <c r="I797" s="3">
        <f>_xlfn.IFNA(VLOOKUP($A797,[3]stockregister!$A$2:$L$2000,12,0),0)</f>
        <v>3440</v>
      </c>
      <c r="J797" s="3">
        <f>_xlfn.IFNA(VLOOKUP($A797,[3]stockregister!$A$1:$M$2000,12,0),0)-$I797</f>
        <v>0</v>
      </c>
      <c r="K797" s="3" t="s">
        <v>22</v>
      </c>
      <c r="L797" s="3" t="s">
        <v>23</v>
      </c>
      <c r="M797" s="3">
        <f>_xlfn.IFNA(VLOOKUP($A797,[2]stockregister!$A$2:$H$2000,8,0),0)</f>
        <v>4300</v>
      </c>
      <c r="N797" s="3">
        <f>_xlfn.IFNA(VLOOKUP($A797,[2]stockregister!$A$2:$H$2000,8,0),0)-$M797</f>
        <v>0</v>
      </c>
      <c r="O797" s="3" t="s">
        <v>1861</v>
      </c>
      <c r="P797" s="3" t="s">
        <v>1861</v>
      </c>
      <c r="Q797" s="3" t="s">
        <v>655</v>
      </c>
      <c r="R797" s="3" t="s">
        <v>318</v>
      </c>
    </row>
    <row r="798" spans="1:18">
      <c r="A798" s="3">
        <v>2470</v>
      </c>
      <c r="B798" s="3" t="b">
        <f>ISNUMBER(MATCH(A798,[1]stockregister!$A$2:$A$2000,0))</f>
        <v>1</v>
      </c>
      <c r="C798" s="3" t="s">
        <v>1862</v>
      </c>
      <c r="D798" s="3" t="str">
        <f>VLOOKUP($C798,[1]stockregister!$B$2:$B$2000,1,0)</f>
        <v>CIROC COCONUT 700ML</v>
      </c>
      <c r="E798" s="3" t="str">
        <f>IF(ISNA($D798),VLOOKUP($A798,[2]stockregister!$A$2:$B$2000,2,FALSE),"")</f>
        <v/>
      </c>
      <c r="F798" s="3" t="s">
        <v>21</v>
      </c>
      <c r="G798" s="3">
        <f>_xlfn.IFNA(VLOOKUP($A798,[3]stockregister!$A$2:$L$2000,11,0),0)</f>
        <v>6</v>
      </c>
      <c r="H798" s="3">
        <f>_xlfn.IFNA(VLOOKUP($A798,[3]stockregister!$A$2:$L$2000,11,0),0)-$G798</f>
        <v>0</v>
      </c>
      <c r="I798" s="3">
        <f>_xlfn.IFNA(VLOOKUP($A798,[3]stockregister!$A$2:$L$2000,12,0),0)</f>
        <v>3160</v>
      </c>
      <c r="J798" s="3">
        <f>_xlfn.IFNA(VLOOKUP($A798,[3]stockregister!$A$1:$M$2000,12,0),0)-$I798</f>
        <v>0</v>
      </c>
      <c r="K798" s="3" t="s">
        <v>22</v>
      </c>
      <c r="L798" s="3" t="s">
        <v>23</v>
      </c>
      <c r="M798" s="3">
        <f>_xlfn.IFNA(VLOOKUP($A798,[2]stockregister!$A$2:$H$2000,8,0),0)</f>
        <v>3600</v>
      </c>
      <c r="N798" s="3">
        <f>_xlfn.IFNA(VLOOKUP($A798,[2]stockregister!$A$2:$H$2000,8,0),0)-$M798</f>
        <v>0</v>
      </c>
      <c r="O798" s="3" t="s">
        <v>1863</v>
      </c>
      <c r="P798" s="3" t="s">
        <v>1863</v>
      </c>
      <c r="Q798" s="3" t="s">
        <v>655</v>
      </c>
      <c r="R798" s="3" t="s">
        <v>318</v>
      </c>
    </row>
    <row r="799" spans="1:19">
      <c r="A799" s="3">
        <v>1261</v>
      </c>
      <c r="B799" s="3" t="b">
        <f>ISNUMBER(MATCH(A799,[1]stockregister!$A$2:$A$2000,0))</f>
        <v>1</v>
      </c>
      <c r="C799" s="3" t="s">
        <v>1864</v>
      </c>
      <c r="D799" s="3" t="str">
        <f>VLOOKUP($C799,[1]stockregister!$B$2:$B$2000,1,0)</f>
        <v>LAPHROAIG QUARTER CASK 750ML</v>
      </c>
      <c r="E799" s="3" t="str">
        <f>IF(ISNA($D799),VLOOKUP($A799,[2]stockregister!$A$2:$B$2000,2,FALSE),"")</f>
        <v/>
      </c>
      <c r="F799" s="3" t="s">
        <v>21</v>
      </c>
      <c r="G799" s="3">
        <f>_xlfn.IFNA(VLOOKUP($A799,[3]stockregister!$A$2:$L$2000,11,0),0)</f>
        <v>6</v>
      </c>
      <c r="H799" s="3">
        <f>_xlfn.IFNA(VLOOKUP($A799,[3]stockregister!$A$2:$L$2000,11,0),0)-$G799</f>
        <v>0</v>
      </c>
      <c r="I799" s="3">
        <f>_xlfn.IFNA(VLOOKUP($A799,[3]stockregister!$A$2:$L$2000,12,0),0)</f>
        <v>5980</v>
      </c>
      <c r="J799" s="3">
        <f>_xlfn.IFNA(VLOOKUP($A799,[3]stockregister!$A$1:$M$2000,12,0),0)-$I799</f>
        <v>0</v>
      </c>
      <c r="K799" s="3" t="s">
        <v>22</v>
      </c>
      <c r="L799" s="3" t="s">
        <v>23</v>
      </c>
      <c r="M799" s="3">
        <f>_xlfn.IFNA(VLOOKUP($A799,[2]stockregister!$A$2:$H$2000,8,0),0)</f>
        <v>6500</v>
      </c>
      <c r="N799" s="3">
        <f>_xlfn.IFNA(VLOOKUP($A799,[2]stockregister!$A$2:$H$2000,8,0),0)-$M799</f>
        <v>0</v>
      </c>
      <c r="O799" s="3" t="s">
        <v>1865</v>
      </c>
      <c r="P799" s="3" t="s">
        <v>1865</v>
      </c>
      <c r="Q799" s="3" t="s">
        <v>1100</v>
      </c>
      <c r="R799" s="3" t="s">
        <v>113</v>
      </c>
      <c r="S799" s="3" t="s">
        <v>114</v>
      </c>
    </row>
    <row r="800" spans="1:19">
      <c r="A800" s="3">
        <v>2438</v>
      </c>
      <c r="B800" s="3" t="b">
        <f>ISNUMBER(MATCH(A800,[1]stockregister!$A$2:$A$2000,0))</f>
        <v>1</v>
      </c>
      <c r="C800" s="3" t="s">
        <v>1866</v>
      </c>
      <c r="D800" s="3" t="str">
        <f>VLOOKUP($C800,[1]stockregister!$B$2:$B$2000,1,0)</f>
        <v>JURA 18YEARS 700ML</v>
      </c>
      <c r="E800" s="3" t="str">
        <f>IF(ISNA($D800),VLOOKUP($A800,[2]stockregister!$A$2:$B$2000,2,FALSE),"")</f>
        <v/>
      </c>
      <c r="F800" s="3" t="s">
        <v>21</v>
      </c>
      <c r="G800" s="3">
        <f>_xlfn.IFNA(VLOOKUP($A800,[3]stockregister!$A$2:$L$2000,11,0),0)</f>
        <v>6</v>
      </c>
      <c r="H800" s="3">
        <f>_xlfn.IFNA(VLOOKUP($A800,[3]stockregister!$A$2:$L$2000,11,0),0)-$G800</f>
        <v>0</v>
      </c>
      <c r="I800" s="3">
        <f>_xlfn.IFNA(VLOOKUP($A800,[3]stockregister!$A$2:$L$2000,12,0),0)</f>
        <v>7000</v>
      </c>
      <c r="J800" s="3">
        <f>_xlfn.IFNA(VLOOKUP($A800,[3]stockregister!$A$1:$M$2000,12,0),0)-$I800</f>
        <v>0</v>
      </c>
      <c r="K800" s="3" t="s">
        <v>22</v>
      </c>
      <c r="L800" s="3" t="s">
        <v>23</v>
      </c>
      <c r="M800" s="3">
        <f>_xlfn.IFNA(VLOOKUP($A800,[2]stockregister!$A$2:$H$2000,8,0),0)</f>
        <v>9500</v>
      </c>
      <c r="N800" s="3">
        <f>_xlfn.IFNA(VLOOKUP($A800,[2]stockregister!$A$2:$H$2000,8,0),0)-$M800</f>
        <v>0</v>
      </c>
      <c r="O800" s="3" t="s">
        <v>1867</v>
      </c>
      <c r="P800" s="3" t="s">
        <v>1867</v>
      </c>
      <c r="Q800" s="3" t="s">
        <v>1868</v>
      </c>
      <c r="R800" s="3" t="s">
        <v>113</v>
      </c>
      <c r="S800" s="3" t="s">
        <v>114</v>
      </c>
    </row>
    <row r="801" spans="1:19">
      <c r="A801" s="3">
        <v>2116</v>
      </c>
      <c r="B801" s="3" t="b">
        <f>ISNUMBER(MATCH(A801,[1]stockregister!$A$2:$A$2000,0))</f>
        <v>1</v>
      </c>
      <c r="C801" s="3" t="s">
        <v>1869</v>
      </c>
      <c r="D801" s="3" t="str">
        <f>VLOOKUP($C801,[1]stockregister!$B$2:$B$2000,1,0)</f>
        <v>WILD TURKEY 750ML</v>
      </c>
      <c r="E801" s="3" t="str">
        <f>IF(ISNA($D801),VLOOKUP($A801,[2]stockregister!$A$2:$B$2000,2,FALSE),"")</f>
        <v/>
      </c>
      <c r="F801" s="3" t="s">
        <v>21</v>
      </c>
      <c r="G801" s="3">
        <f>_xlfn.IFNA(VLOOKUP($A801,[3]stockregister!$A$2:$L$2000,11,0),0)</f>
        <v>6</v>
      </c>
      <c r="H801" s="3">
        <f>_xlfn.IFNA(VLOOKUP($A801,[3]stockregister!$A$2:$L$2000,11,0),0)-$G801</f>
        <v>0</v>
      </c>
      <c r="I801" s="3">
        <f>_xlfn.IFNA(VLOOKUP($A801,[3]stockregister!$A$2:$L$2000,12,0),0)</f>
        <v>2300</v>
      </c>
      <c r="J801" s="3">
        <f>_xlfn.IFNA(VLOOKUP($A801,[3]stockregister!$A$1:$M$2000,12,0),0)-$I801</f>
        <v>0</v>
      </c>
      <c r="K801" s="3" t="s">
        <v>22</v>
      </c>
      <c r="L801" s="3" t="s">
        <v>23</v>
      </c>
      <c r="M801" s="3">
        <f>_xlfn.IFNA(VLOOKUP($A801,[2]stockregister!$A$2:$H$2000,8,0),0)</f>
        <v>2500</v>
      </c>
      <c r="N801" s="3">
        <f>_xlfn.IFNA(VLOOKUP($A801,[2]stockregister!$A$2:$H$2000,8,0),0)-$M801</f>
        <v>0</v>
      </c>
      <c r="O801" s="3" t="s">
        <v>1870</v>
      </c>
      <c r="P801" s="3" t="s">
        <v>1870</v>
      </c>
      <c r="Q801" s="3" t="s">
        <v>1871</v>
      </c>
      <c r="R801" s="3" t="s">
        <v>92</v>
      </c>
      <c r="S801" s="3" t="s">
        <v>1193</v>
      </c>
    </row>
    <row r="802" spans="1:19">
      <c r="A802" s="3">
        <v>28</v>
      </c>
      <c r="B802" s="3" t="b">
        <f>ISNUMBER(MATCH(A802,[1]stockregister!$A$2:$A$2000,0))</f>
        <v>1</v>
      </c>
      <c r="C802" s="3" t="s">
        <v>1872</v>
      </c>
      <c r="D802" s="3" t="str">
        <f>VLOOKUP($C802,[1]stockregister!$B$2:$B$2000,1,0)</f>
        <v>8PM WHISKY HONEY 750ML</v>
      </c>
      <c r="E802" s="3" t="str">
        <f>IF(ISNA($D802),VLOOKUP($A802,[2]stockregister!$A$2:$B$2000,2,FALSE),"")</f>
        <v/>
      </c>
      <c r="F802" s="3" t="s">
        <v>21</v>
      </c>
      <c r="G802" s="3">
        <f>_xlfn.IFNA(VLOOKUP($A802,[3]stockregister!$A$2:$L$2000,11,0),0)</f>
        <v>6</v>
      </c>
      <c r="H802" s="3">
        <f>_xlfn.IFNA(VLOOKUP($A802,[3]stockregister!$A$2:$L$2000,11,0),0)-$G802</f>
        <v>0</v>
      </c>
      <c r="I802" s="3">
        <f>_xlfn.IFNA(VLOOKUP($A802,[3]stockregister!$A$2:$L$2000,12,0),0)</f>
        <v>990</v>
      </c>
      <c r="J802" s="3">
        <f>_xlfn.IFNA(VLOOKUP($A802,[3]stockregister!$A$1:$M$2000,12,0),0)-$I802</f>
        <v>0</v>
      </c>
      <c r="K802" s="3" t="s">
        <v>22</v>
      </c>
      <c r="L802" s="3" t="s">
        <v>23</v>
      </c>
      <c r="M802" s="3">
        <f>_xlfn.IFNA(VLOOKUP($A802,[2]stockregister!$A$2:$H$2000,8,0),0)</f>
        <v>1100</v>
      </c>
      <c r="N802" s="3">
        <f>_xlfn.IFNA(VLOOKUP($A802,[2]stockregister!$A$2:$H$2000,8,0),0)-$M802</f>
        <v>0</v>
      </c>
      <c r="O802" s="3" t="s">
        <v>1873</v>
      </c>
      <c r="P802" s="3" t="s">
        <v>1873</v>
      </c>
      <c r="Q802" s="3" t="s">
        <v>1874</v>
      </c>
      <c r="R802" s="3" t="s">
        <v>113</v>
      </c>
      <c r="S802" s="3" t="s">
        <v>867</v>
      </c>
    </row>
    <row r="803" spans="1:19">
      <c r="A803" s="3">
        <v>846</v>
      </c>
      <c r="B803" s="3" t="b">
        <f>ISNUMBER(MATCH(A803,[1]stockregister!$A$2:$A$2000,0))</f>
        <v>1</v>
      </c>
      <c r="C803" s="3" t="s">
        <v>1875</v>
      </c>
      <c r="D803" s="3" t="str">
        <f>VLOOKUP($C803,[1]stockregister!$B$2:$B$2000,1,0)</f>
        <v>GLENFIDDICH FIRE &amp; CANE WHISKY 700ML</v>
      </c>
      <c r="E803" s="3" t="str">
        <f>IF(ISNA($D803),VLOOKUP($A803,[2]stockregister!$A$2:$B$2000,2,FALSE),"")</f>
        <v/>
      </c>
      <c r="F803" s="3" t="s">
        <v>21</v>
      </c>
      <c r="G803" s="3">
        <f>_xlfn.IFNA(VLOOKUP($A803,[3]stockregister!$A$2:$L$2000,11,0),0)</f>
        <v>6</v>
      </c>
      <c r="H803" s="3">
        <f>_xlfn.IFNA(VLOOKUP($A803,[3]stockregister!$A$2:$L$2000,11,0),0)-$G803</f>
        <v>0</v>
      </c>
      <c r="I803" s="3">
        <f>_xlfn.IFNA(VLOOKUP($A803,[3]stockregister!$A$2:$L$2000,12,0),0)</f>
        <v>5980</v>
      </c>
      <c r="J803" s="3">
        <f>_xlfn.IFNA(VLOOKUP($A803,[3]stockregister!$A$1:$M$2000,12,0),0)-$I803</f>
        <v>0</v>
      </c>
      <c r="K803" s="3" t="s">
        <v>22</v>
      </c>
      <c r="L803" s="3" t="s">
        <v>23</v>
      </c>
      <c r="M803" s="3">
        <f>_xlfn.IFNA(VLOOKUP($A803,[2]stockregister!$A$2:$H$2000,8,0),0)</f>
        <v>6500</v>
      </c>
      <c r="N803" s="3">
        <f>_xlfn.IFNA(VLOOKUP($A803,[2]stockregister!$A$2:$H$2000,8,0),0)-$M803</f>
        <v>0</v>
      </c>
      <c r="O803" s="3" t="s">
        <v>1876</v>
      </c>
      <c r="P803" s="3" t="s">
        <v>1876</v>
      </c>
      <c r="Q803" s="3" t="s">
        <v>365</v>
      </c>
      <c r="R803" s="3" t="s">
        <v>92</v>
      </c>
      <c r="S803" s="3" t="s">
        <v>93</v>
      </c>
    </row>
    <row r="804" spans="1:19">
      <c r="A804" s="3">
        <v>1161</v>
      </c>
      <c r="B804" s="3" t="b">
        <f>ISNUMBER(MATCH(A804,[1]stockregister!$A$2:$A$2000,0))</f>
        <v>1</v>
      </c>
      <c r="C804" s="3" t="s">
        <v>1877</v>
      </c>
      <c r="D804" s="3" t="str">
        <f>VLOOKUP($C804,[1]stockregister!$B$2:$B$2000,1,0)</f>
        <v>JURA FRENCH OAK 700ML</v>
      </c>
      <c r="E804" s="3" t="str">
        <f>IF(ISNA($D804),VLOOKUP($A804,[2]stockregister!$A$2:$B$2000,2,FALSE),"")</f>
        <v/>
      </c>
      <c r="F804" s="3" t="s">
        <v>21</v>
      </c>
      <c r="G804" s="3">
        <f>_xlfn.IFNA(VLOOKUP($A804,[3]stockregister!$A$2:$L$2000,11,0),0)</f>
        <v>6</v>
      </c>
      <c r="H804" s="3">
        <f>_xlfn.IFNA(VLOOKUP($A804,[3]stockregister!$A$2:$L$2000,11,0),0)-$G804</f>
        <v>0</v>
      </c>
      <c r="I804" s="3">
        <f>_xlfn.IFNA(VLOOKUP($A804,[3]stockregister!$A$2:$L$2000,12,0),0)</f>
        <v>4800</v>
      </c>
      <c r="J804" s="3">
        <f>_xlfn.IFNA(VLOOKUP($A804,[3]stockregister!$A$1:$M$2000,12,0),0)-$I804</f>
        <v>0</v>
      </c>
      <c r="K804" s="3" t="s">
        <v>22</v>
      </c>
      <c r="L804" s="3" t="s">
        <v>23</v>
      </c>
      <c r="M804" s="3">
        <f>_xlfn.IFNA(VLOOKUP($A804,[2]stockregister!$A$2:$H$2000,8,0),0)</f>
        <v>5000</v>
      </c>
      <c r="N804" s="3">
        <f>_xlfn.IFNA(VLOOKUP($A804,[2]stockregister!$A$2:$H$2000,8,0),0)-$M804</f>
        <v>0</v>
      </c>
      <c r="O804" s="3" t="s">
        <v>1878</v>
      </c>
      <c r="P804" s="3" t="s">
        <v>1878</v>
      </c>
      <c r="Q804" s="3" t="s">
        <v>1868</v>
      </c>
      <c r="R804" s="3" t="s">
        <v>92</v>
      </c>
      <c r="S804" s="3" t="s">
        <v>1131</v>
      </c>
    </row>
    <row r="805" spans="1:19">
      <c r="A805" s="3">
        <v>2259</v>
      </c>
      <c r="B805" s="3" t="b">
        <f>ISNUMBER(MATCH(A805,[1]stockregister!$A$2:$A$2000,0))</f>
        <v>1</v>
      </c>
      <c r="C805" s="3" t="s">
        <v>404</v>
      </c>
      <c r="D805" s="3" t="str">
        <f>VLOOKUP($C805,[1]stockregister!$B$2:$B$2000,1,0)</f>
        <v>AUCHENTOSHAN AMERICAN  OAK 700ML</v>
      </c>
      <c r="E805" s="3" t="str">
        <f>IF(ISNA($D805),VLOOKUP($A805,[2]stockregister!$A$2:$B$2000,2,FALSE),"")</f>
        <v/>
      </c>
      <c r="F805" s="3" t="s">
        <v>21</v>
      </c>
      <c r="G805" s="3">
        <f>_xlfn.IFNA(VLOOKUP($A805,[3]stockregister!$A$2:$L$2000,11,0),0)</f>
        <v>6</v>
      </c>
      <c r="H805" s="3">
        <f>_xlfn.IFNA(VLOOKUP($A805,[3]stockregister!$A$2:$L$2000,11,0),0)-$G805</f>
        <v>0</v>
      </c>
      <c r="I805" s="3">
        <f>_xlfn.IFNA(VLOOKUP($A805,[3]stockregister!$A$2:$L$2000,12,0),0)</f>
        <v>6700</v>
      </c>
      <c r="J805" s="3">
        <f>_xlfn.IFNA(VLOOKUP($A805,[3]stockregister!$A$1:$M$2000,12,0),0)-$I805</f>
        <v>0</v>
      </c>
      <c r="K805" s="3" t="s">
        <v>22</v>
      </c>
      <c r="L805" s="3" t="s">
        <v>23</v>
      </c>
      <c r="M805" s="3">
        <f>_xlfn.IFNA(VLOOKUP($A805,[2]stockregister!$A$2:$H$2000,8,0),0)</f>
        <v>6900</v>
      </c>
      <c r="N805" s="3">
        <f>_xlfn.IFNA(VLOOKUP($A805,[2]stockregister!$A$2:$H$2000,8,0),0)-$M805</f>
        <v>0</v>
      </c>
      <c r="O805" s="3" t="s">
        <v>1879</v>
      </c>
      <c r="P805" s="3" t="s">
        <v>1879</v>
      </c>
      <c r="Q805" s="3" t="s">
        <v>1645</v>
      </c>
      <c r="R805" s="3" t="s">
        <v>92</v>
      </c>
      <c r="S805" s="3" t="s">
        <v>252</v>
      </c>
    </row>
    <row r="806" spans="1:19">
      <c r="A806" s="3">
        <v>1470</v>
      </c>
      <c r="B806" s="3" t="b">
        <f>ISNUMBER(MATCH(A806,[1]stockregister!$A$2:$A$2000,0))</f>
        <v>1</v>
      </c>
      <c r="C806" s="3" t="s">
        <v>1880</v>
      </c>
      <c r="D806" s="3" t="str">
        <f>VLOOKUP($C806,[1]stockregister!$B$2:$B$2000,1,0)</f>
        <v>MONKEY SHOULDER 1LT</v>
      </c>
      <c r="E806" s="3" t="str">
        <f>IF(ISNA($D806),VLOOKUP($A806,[2]stockregister!$A$2:$B$2000,2,FALSE),"")</f>
        <v/>
      </c>
      <c r="F806" s="3" t="s">
        <v>21</v>
      </c>
      <c r="G806" s="3">
        <f>_xlfn.IFNA(VLOOKUP($A806,[3]stockregister!$A$2:$L$2000,11,0),0)</f>
        <v>0</v>
      </c>
      <c r="H806" s="3">
        <f>_xlfn.IFNA(VLOOKUP($A806,[3]stockregister!$A$2:$L$2000,11,0),0)-$G806</f>
        <v>0</v>
      </c>
      <c r="I806" s="3">
        <f>_xlfn.IFNA(VLOOKUP($A806,[3]stockregister!$A$2:$L$2000,12,0),0)</f>
        <v>3742</v>
      </c>
      <c r="J806" s="3">
        <f>_xlfn.IFNA(VLOOKUP($A806,[3]stockregister!$A$1:$M$2000,12,0),0)-$I806</f>
        <v>0</v>
      </c>
      <c r="K806" s="3" t="s">
        <v>22</v>
      </c>
      <c r="L806" s="3" t="s">
        <v>23</v>
      </c>
      <c r="M806" s="3">
        <f>_xlfn.IFNA(VLOOKUP($A806,[2]stockregister!$A$2:$H$2000,8,0),0)</f>
        <v>5000</v>
      </c>
      <c r="N806" s="3">
        <f>_xlfn.IFNA(VLOOKUP($A806,[2]stockregister!$A$2:$H$2000,8,0),0)-$M806</f>
        <v>0</v>
      </c>
      <c r="O806" s="3" t="s">
        <v>1881</v>
      </c>
      <c r="P806" s="3" t="s">
        <v>1881</v>
      </c>
      <c r="Q806" s="3" t="s">
        <v>735</v>
      </c>
      <c r="R806" s="3" t="s">
        <v>92</v>
      </c>
      <c r="S806" s="3" t="s">
        <v>134</v>
      </c>
    </row>
    <row r="807" spans="1:19">
      <c r="A807" s="3">
        <v>1917</v>
      </c>
      <c r="B807" s="3" t="b">
        <f>ISNUMBER(MATCH(A807,[1]stockregister!$A$2:$A$2000,0))</f>
        <v>1</v>
      </c>
      <c r="C807" s="3" t="s">
        <v>407</v>
      </c>
      <c r="D807" s="3" t="str">
        <f>VLOOKUP($C807,[1]stockregister!$B$2:$B$2000,1,0)</f>
        <v>TALISKER  PORT RUIGHE WHISKY 700ML</v>
      </c>
      <c r="E807" s="3" t="str">
        <f>IF(ISNA($D807),VLOOKUP($A807,[2]stockregister!$A$2:$B$2000,2,FALSE),"")</f>
        <v/>
      </c>
      <c r="F807" s="3" t="s">
        <v>21</v>
      </c>
      <c r="G807" s="3">
        <f>_xlfn.IFNA(VLOOKUP($A807,[3]stockregister!$A$2:$L$2000,11,0),0)</f>
        <v>6</v>
      </c>
      <c r="H807" s="3">
        <f>_xlfn.IFNA(VLOOKUP($A807,[3]stockregister!$A$2:$L$2000,11,0),0)-$G807</f>
        <v>0</v>
      </c>
      <c r="I807" s="3">
        <f>_xlfn.IFNA(VLOOKUP($A807,[3]stockregister!$A$2:$L$2000,12,0),0)</f>
        <v>3818</v>
      </c>
      <c r="J807" s="3">
        <f>_xlfn.IFNA(VLOOKUP($A807,[3]stockregister!$A$1:$M$2000,12,0),0)-$I807</f>
        <v>0</v>
      </c>
      <c r="K807" s="3" t="s">
        <v>22</v>
      </c>
      <c r="L807" s="3" t="s">
        <v>23</v>
      </c>
      <c r="M807" s="3">
        <f>_xlfn.IFNA(VLOOKUP($A807,[2]stockregister!$A$2:$H$2000,8,0),0)</f>
        <v>6000</v>
      </c>
      <c r="N807" s="3">
        <f>_xlfn.IFNA(VLOOKUP($A807,[2]stockregister!$A$2:$H$2000,8,0),0)-$M807</f>
        <v>0</v>
      </c>
      <c r="O807" s="3" t="s">
        <v>1882</v>
      </c>
      <c r="P807" s="3" t="s">
        <v>1882</v>
      </c>
      <c r="Q807" s="3" t="s">
        <v>1052</v>
      </c>
      <c r="R807" s="3" t="s">
        <v>92</v>
      </c>
      <c r="S807" s="3" t="s">
        <v>134</v>
      </c>
    </row>
    <row r="808" spans="1:20">
      <c r="A808" s="3">
        <v>1918</v>
      </c>
      <c r="B808" s="3" t="b">
        <f>ISNUMBER(MATCH(A808,[1]stockregister!$A$2:$A$2000,0))</f>
        <v>1</v>
      </c>
      <c r="C808" s="3" t="s">
        <v>1883</v>
      </c>
      <c r="D808" s="3" t="str">
        <f>VLOOKUP($C808,[1]stockregister!$B$2:$B$2000,1,0)</f>
        <v>TALISKER 10YRS WHISKY 1LTR</v>
      </c>
      <c r="E808" s="3" t="str">
        <f>IF(ISNA($D808),VLOOKUP($A808,[2]stockregister!$A$2:$B$2000,2,FALSE),"")</f>
        <v/>
      </c>
      <c r="F808" s="3" t="s">
        <v>21</v>
      </c>
      <c r="G808" s="3">
        <f>_xlfn.IFNA(VLOOKUP($A808,[3]stockregister!$A$2:$L$2000,11,0),0)</f>
        <v>6</v>
      </c>
      <c r="H808" s="3">
        <f>_xlfn.IFNA(VLOOKUP($A808,[3]stockregister!$A$2:$L$2000,11,0),0)-$G808</f>
        <v>0</v>
      </c>
      <c r="I808" s="3">
        <f>_xlfn.IFNA(VLOOKUP($A808,[3]stockregister!$A$2:$L$2000,12,0),0)</f>
        <v>7820</v>
      </c>
      <c r="J808" s="3">
        <f>_xlfn.IFNA(VLOOKUP($A808,[3]stockregister!$A$1:$M$2000,12,0),0)-$I808</f>
        <v>0</v>
      </c>
      <c r="K808" s="3" t="s">
        <v>22</v>
      </c>
      <c r="L808" s="3" t="s">
        <v>23</v>
      </c>
      <c r="M808" s="3">
        <f>_xlfn.IFNA(VLOOKUP($A808,[2]stockregister!$A$2:$H$2000,8,0),0)</f>
        <v>8500</v>
      </c>
      <c r="N808" s="3">
        <f>_xlfn.IFNA(VLOOKUP($A808,[2]stockregister!$A$2:$H$2000,8,0),0)-$M808</f>
        <v>0</v>
      </c>
      <c r="O808" s="3" t="s">
        <v>1884</v>
      </c>
      <c r="P808" s="3" t="s">
        <v>1884</v>
      </c>
      <c r="Q808" s="3" t="s">
        <v>1052</v>
      </c>
      <c r="R808" s="3" t="s">
        <v>92</v>
      </c>
      <c r="S808" s="3" t="s">
        <v>134</v>
      </c>
      <c r="T808" s="3">
        <v>10</v>
      </c>
    </row>
    <row r="809" spans="1:19">
      <c r="A809" s="3">
        <v>1004</v>
      </c>
      <c r="B809" s="3" t="b">
        <f>ISNUMBER(MATCH(A809,[1]stockregister!$A$2:$A$2000,0))</f>
        <v>1</v>
      </c>
      <c r="C809" s="3" t="s">
        <v>1885</v>
      </c>
      <c r="D809" s="3" t="str">
        <f>VLOOKUP($C809,[1]stockregister!$B$2:$B$2000,1,0)</f>
        <v>HUNTING LODGE WHISKY 750ML</v>
      </c>
      <c r="E809" s="3" t="str">
        <f>IF(ISNA($D809),VLOOKUP($A809,[2]stockregister!$A$2:$B$2000,2,FALSE),"")</f>
        <v/>
      </c>
      <c r="F809" s="3" t="s">
        <v>21</v>
      </c>
      <c r="G809" s="3">
        <f>_xlfn.IFNA(VLOOKUP($A809,[3]stockregister!$A$2:$L$2000,11,0),0)</f>
        <v>6</v>
      </c>
      <c r="H809" s="3">
        <f>_xlfn.IFNA(VLOOKUP($A809,[3]stockregister!$A$2:$L$2000,11,0),0)-$G809</f>
        <v>0</v>
      </c>
      <c r="I809" s="3">
        <f>_xlfn.IFNA(VLOOKUP($A809,[3]stockregister!$A$2:$L$2000,12,0),0)</f>
        <v>865</v>
      </c>
      <c r="J809" s="3">
        <f>_xlfn.IFNA(VLOOKUP($A809,[3]stockregister!$A$1:$M$2000,12,0),0)-$I809</f>
        <v>0</v>
      </c>
      <c r="K809" s="3" t="s">
        <v>22</v>
      </c>
      <c r="L809" s="3" t="s">
        <v>23</v>
      </c>
      <c r="M809" s="3">
        <f>_xlfn.IFNA(VLOOKUP($A809,[2]stockregister!$A$2:$H$2000,8,0),0)</f>
        <v>1200</v>
      </c>
      <c r="N809" s="3">
        <f>_xlfn.IFNA(VLOOKUP($A809,[2]stockregister!$A$2:$H$2000,8,0),0)-$M809</f>
        <v>0</v>
      </c>
      <c r="O809" s="3" t="s">
        <v>1886</v>
      </c>
      <c r="P809" s="3" t="s">
        <v>1886</v>
      </c>
      <c r="Q809" s="3" t="s">
        <v>1887</v>
      </c>
      <c r="R809" s="3" t="s">
        <v>92</v>
      </c>
      <c r="S809" s="3" t="s">
        <v>134</v>
      </c>
    </row>
    <row r="810" spans="1:20">
      <c r="A810" s="3">
        <v>458</v>
      </c>
      <c r="B810" s="3" t="b">
        <f>ISNUMBER(MATCH(A810,[1]stockregister!$A$2:$A$2000,0))</f>
        <v>1</v>
      </c>
      <c r="C810" s="3" t="s">
        <v>1888</v>
      </c>
      <c r="D810" s="3" t="str">
        <f>VLOOKUP($C810,[1]stockregister!$B$2:$B$2000,1,0)</f>
        <v>CHIVAS REGAL 12YRS WHISKY 750ML</v>
      </c>
      <c r="E810" s="3" t="str">
        <f>IF(ISNA($D810),VLOOKUP($A810,[2]stockregister!$A$2:$B$2000,2,FALSE),"")</f>
        <v/>
      </c>
      <c r="F810" s="3" t="s">
        <v>21</v>
      </c>
      <c r="G810" s="3">
        <f>_xlfn.IFNA(VLOOKUP($A810,[3]stockregister!$A$2:$L$2000,11,0),0)</f>
        <v>6</v>
      </c>
      <c r="H810" s="3">
        <f>_xlfn.IFNA(VLOOKUP($A810,[3]stockregister!$A$2:$L$2000,11,0),0)-$G810</f>
        <v>0</v>
      </c>
      <c r="I810" s="3">
        <f>_xlfn.IFNA(VLOOKUP($A810,[3]stockregister!$A$2:$L$2000,12,0),0)</f>
        <v>3128</v>
      </c>
      <c r="J810" s="3">
        <f>_xlfn.IFNA(VLOOKUP($A810,[3]stockregister!$A$1:$M$2000,12,0),0)-$I810</f>
        <v>0</v>
      </c>
      <c r="K810" s="3" t="s">
        <v>22</v>
      </c>
      <c r="L810" s="3" t="s">
        <v>23</v>
      </c>
      <c r="M810" s="3">
        <f>_xlfn.IFNA(VLOOKUP($A810,[2]stockregister!$A$2:$H$2000,8,0),0)</f>
        <v>3270</v>
      </c>
      <c r="N810" s="3">
        <f>_xlfn.IFNA(VLOOKUP($A810,[2]stockregister!$A$2:$H$2000,8,0),0)-$M810</f>
        <v>0</v>
      </c>
      <c r="O810" s="3" t="s">
        <v>1889</v>
      </c>
      <c r="P810" s="3" t="s">
        <v>1889</v>
      </c>
      <c r="Q810" s="3" t="s">
        <v>164</v>
      </c>
      <c r="R810" s="3" t="s">
        <v>92</v>
      </c>
      <c r="S810" s="3" t="s">
        <v>134</v>
      </c>
      <c r="T810" s="3">
        <v>12</v>
      </c>
    </row>
    <row r="811" spans="1:20">
      <c r="A811" s="3">
        <v>843</v>
      </c>
      <c r="B811" s="3" t="b">
        <f>ISNUMBER(MATCH(A811,[1]stockregister!$A$2:$A$2000,0))</f>
        <v>1</v>
      </c>
      <c r="C811" s="3" t="s">
        <v>1890</v>
      </c>
      <c r="D811" s="3" t="str">
        <f>VLOOKUP($C811,[1]stockregister!$B$2:$B$2000,1,0)</f>
        <v>GLENFIDDICH 21YRS WHISKY 700ML</v>
      </c>
      <c r="E811" s="3" t="str">
        <f>IF(ISNA($D811),VLOOKUP($A811,[2]stockregister!$A$2:$B$2000,2,FALSE),"")</f>
        <v/>
      </c>
      <c r="F811" s="3" t="s">
        <v>21</v>
      </c>
      <c r="G811" s="3">
        <f>_xlfn.IFNA(VLOOKUP($A811,[3]stockregister!$A$2:$L$2000,11,0),0)</f>
        <v>6</v>
      </c>
      <c r="H811" s="3">
        <f>_xlfn.IFNA(VLOOKUP($A811,[3]stockregister!$A$2:$L$2000,11,0),0)-$G811</f>
        <v>0</v>
      </c>
      <c r="I811" s="3">
        <f>_xlfn.IFNA(VLOOKUP($A811,[3]stockregister!$A$2:$L$2000,12,0),0)</f>
        <v>27600</v>
      </c>
      <c r="J811" s="3">
        <f>_xlfn.IFNA(VLOOKUP($A811,[3]stockregister!$A$1:$M$2000,12,0),0)-$I811</f>
        <v>0</v>
      </c>
      <c r="K811" s="3" t="s">
        <v>22</v>
      </c>
      <c r="L811" s="3" t="s">
        <v>23</v>
      </c>
      <c r="M811" s="3">
        <f>_xlfn.IFNA(VLOOKUP($A811,[2]stockregister!$A$2:$H$2000,8,0),0)</f>
        <v>30000</v>
      </c>
      <c r="N811" s="3">
        <f>_xlfn.IFNA(VLOOKUP($A811,[2]stockregister!$A$2:$H$2000,8,0),0)-$M811</f>
        <v>0</v>
      </c>
      <c r="O811" s="3" t="s">
        <v>1891</v>
      </c>
      <c r="P811" s="3" t="s">
        <v>1891</v>
      </c>
      <c r="Q811" s="3" t="s">
        <v>1892</v>
      </c>
      <c r="R811" s="3" t="s">
        <v>92</v>
      </c>
      <c r="S811" s="3" t="s">
        <v>134</v>
      </c>
      <c r="T811" s="3">
        <v>21</v>
      </c>
    </row>
    <row r="812" spans="1:18">
      <c r="A812" s="3">
        <v>2476</v>
      </c>
      <c r="B812" s="3" t="b">
        <f>ISNUMBER(MATCH(A812,[1]stockregister!$A$2:$A$2000,0))</f>
        <v>1</v>
      </c>
      <c r="C812" s="3" t="s">
        <v>1893</v>
      </c>
      <c r="D812" s="3" t="str">
        <f>VLOOKUP($C812,[1]stockregister!$B$2:$B$2000,1,0)</f>
        <v>HAVANA CLUB RHUM ESPECIA LITRE</v>
      </c>
      <c r="E812" s="3" t="str">
        <f>IF(ISNA($D812),VLOOKUP($A812,[2]stockregister!$A$2:$B$2000,2,FALSE),"")</f>
        <v/>
      </c>
      <c r="F812" s="3" t="s">
        <v>21</v>
      </c>
      <c r="G812" s="3">
        <f>_xlfn.IFNA(VLOOKUP($A812,[3]stockregister!$A$2:$L$2000,11,0),0)</f>
        <v>6</v>
      </c>
      <c r="H812" s="3">
        <f>_xlfn.IFNA(VLOOKUP($A812,[3]stockregister!$A$2:$L$2000,11,0),0)-$G812</f>
        <v>0</v>
      </c>
      <c r="I812" s="3">
        <f>_xlfn.IFNA(VLOOKUP($A812,[3]stockregister!$A$2:$L$2000,12,0),0)</f>
        <v>2350</v>
      </c>
      <c r="J812" s="3">
        <f>_xlfn.IFNA(VLOOKUP($A812,[3]stockregister!$A$1:$M$2000,12,0),0)-$I812</f>
        <v>0</v>
      </c>
      <c r="K812" s="3" t="s">
        <v>22</v>
      </c>
      <c r="L812" s="3" t="s">
        <v>23</v>
      </c>
      <c r="M812" s="3">
        <f>_xlfn.IFNA(VLOOKUP($A812,[2]stockregister!$A$2:$H$2000,8,0),0)</f>
        <v>2000</v>
      </c>
      <c r="N812" s="3">
        <f>_xlfn.IFNA(VLOOKUP($A812,[2]stockregister!$A$2:$H$2000,8,0),0)-$M812</f>
        <v>0</v>
      </c>
      <c r="O812" s="3" t="s">
        <v>1894</v>
      </c>
      <c r="P812" s="3" t="s">
        <v>1894</v>
      </c>
      <c r="Q812" s="3" t="s">
        <v>1895</v>
      </c>
      <c r="R812" s="3" t="s">
        <v>113</v>
      </c>
    </row>
    <row r="813" spans="1:20">
      <c r="A813" s="3">
        <v>2475</v>
      </c>
      <c r="B813" s="3" t="b">
        <f>ISNUMBER(MATCH(A813,[1]stockregister!$A$2:$A$2000,0))</f>
        <v>1</v>
      </c>
      <c r="C813" s="3" t="s">
        <v>1896</v>
      </c>
      <c r="D813" s="3" t="str">
        <f>VLOOKUP($C813,[1]stockregister!$B$2:$B$2000,1,0)</f>
        <v>HAVANA CLUB RHUM ANEJO 3YRS LITRE</v>
      </c>
      <c r="E813" s="3" t="str">
        <f>IF(ISNA($D813),VLOOKUP($A813,[2]stockregister!$A$2:$B$2000,2,FALSE),"")</f>
        <v/>
      </c>
      <c r="F813" s="3" t="s">
        <v>21</v>
      </c>
      <c r="G813" s="3">
        <f>_xlfn.IFNA(VLOOKUP($A813,[3]stockregister!$A$2:$L$2000,11,0),0)</f>
        <v>6</v>
      </c>
      <c r="H813" s="3">
        <f>_xlfn.IFNA(VLOOKUP($A813,[3]stockregister!$A$2:$L$2000,11,0),0)-$G813</f>
        <v>0</v>
      </c>
      <c r="I813" s="3">
        <f>_xlfn.IFNA(VLOOKUP($A813,[3]stockregister!$A$2:$L$2000,12,0),0)</f>
        <v>2250</v>
      </c>
      <c r="J813" s="3">
        <f>_xlfn.IFNA(VLOOKUP($A813,[3]stockregister!$A$1:$M$2000,12,0),0)-$I813</f>
        <v>0</v>
      </c>
      <c r="K813" s="3" t="s">
        <v>22</v>
      </c>
      <c r="L813" s="3" t="s">
        <v>23</v>
      </c>
      <c r="M813" s="3">
        <f>_xlfn.IFNA(VLOOKUP($A813,[2]stockregister!$A$2:$H$2000,8,0),0)</f>
        <v>1930</v>
      </c>
      <c r="N813" s="3">
        <f>_xlfn.IFNA(VLOOKUP($A813,[2]stockregister!$A$2:$H$2000,8,0),0)-$M813</f>
        <v>0</v>
      </c>
      <c r="O813" s="3" t="s">
        <v>1897</v>
      </c>
      <c r="P813" s="3" t="s">
        <v>1897</v>
      </c>
      <c r="Q813" s="3" t="s">
        <v>1895</v>
      </c>
      <c r="R813" s="3" t="s">
        <v>113</v>
      </c>
      <c r="T813" s="3">
        <v>3</v>
      </c>
    </row>
    <row r="814" spans="1:19">
      <c r="A814" s="3">
        <v>1496</v>
      </c>
      <c r="B814" s="3" t="b">
        <f>ISNUMBER(MATCH(A814,[1]stockregister!$A$2:$A$2000,0))</f>
        <v>1</v>
      </c>
      <c r="C814" s="3" t="s">
        <v>1898</v>
      </c>
      <c r="D814" s="3" t="str">
        <f>VLOOKUP($C814,[1]stockregister!$B$2:$B$2000,1,0)</f>
        <v>NAMAQUA BLANC DE BLANC 5LTR</v>
      </c>
      <c r="E814" s="3" t="str">
        <f>IF(ISNA($D814),VLOOKUP($A814,[2]stockregister!$A$2:$B$2000,2,FALSE),"")</f>
        <v/>
      </c>
      <c r="F814" s="3" t="s">
        <v>21</v>
      </c>
      <c r="G814" s="3">
        <f>_xlfn.IFNA(VLOOKUP($A814,[3]stockregister!$A$2:$L$2000,11,0),0)</f>
        <v>6</v>
      </c>
      <c r="H814" s="3">
        <f>_xlfn.IFNA(VLOOKUP($A814,[3]stockregister!$A$2:$L$2000,11,0),0)-$G814</f>
        <v>0</v>
      </c>
      <c r="I814" s="3">
        <f>_xlfn.IFNA(VLOOKUP($A814,[3]stockregister!$A$2:$L$2000,12,0),0)</f>
        <v>2760</v>
      </c>
      <c r="J814" s="3">
        <f>_xlfn.IFNA(VLOOKUP($A814,[3]stockregister!$A$1:$M$2000,12,0),0)-$I814</f>
        <v>0</v>
      </c>
      <c r="K814" s="3" t="s">
        <v>22</v>
      </c>
      <c r="L814" s="3" t="s">
        <v>23</v>
      </c>
      <c r="M814" s="3">
        <f>_xlfn.IFNA(VLOOKUP($A814,[2]stockregister!$A$2:$H$2000,8,0),0)</f>
        <v>3000</v>
      </c>
      <c r="N814" s="3">
        <f>_xlfn.IFNA(VLOOKUP($A814,[2]stockregister!$A$2:$H$2000,8,0),0)-$M814</f>
        <v>0</v>
      </c>
      <c r="O814" s="3" t="s">
        <v>1899</v>
      </c>
      <c r="P814" s="3" t="s">
        <v>1899</v>
      </c>
      <c r="Q814" s="3" t="s">
        <v>1900</v>
      </c>
      <c r="R814" s="3" t="s">
        <v>68</v>
      </c>
      <c r="S814" s="3" t="s">
        <v>1135</v>
      </c>
    </row>
    <row r="815" spans="1:19">
      <c r="A815" s="3">
        <v>71</v>
      </c>
      <c r="B815" s="3" t="b">
        <f>ISNUMBER(MATCH(A815,[1]stockregister!$A$2:$A$2000,0))</f>
        <v>1</v>
      </c>
      <c r="C815" s="3" t="s">
        <v>1901</v>
      </c>
      <c r="D815" s="3" t="str">
        <f>VLOOKUP($C815,[1]stockregister!$B$2:$B$2000,1,0)</f>
        <v>ALAMOS CAB SAUV 750ML</v>
      </c>
      <c r="E815" s="3" t="str">
        <f>IF(ISNA($D815),VLOOKUP($A815,[2]stockregister!$A$2:$B$2000,2,FALSE),"")</f>
        <v/>
      </c>
      <c r="F815" s="3" t="s">
        <v>21</v>
      </c>
      <c r="G815" s="3">
        <f>_xlfn.IFNA(VLOOKUP($A815,[3]stockregister!$A$2:$L$2000,11,0),0)</f>
        <v>6</v>
      </c>
      <c r="H815" s="3">
        <f>_xlfn.IFNA(VLOOKUP($A815,[3]stockregister!$A$2:$L$2000,11,0),0)-$G815</f>
        <v>0</v>
      </c>
      <c r="I815" s="3">
        <f>_xlfn.IFNA(VLOOKUP($A815,[3]stockregister!$A$2:$L$2000,12,0),0)</f>
        <v>900</v>
      </c>
      <c r="J815" s="3">
        <f>_xlfn.IFNA(VLOOKUP($A815,[3]stockregister!$A$1:$M$2000,12,0),0)-$I815</f>
        <v>0</v>
      </c>
      <c r="K815" s="3" t="s">
        <v>22</v>
      </c>
      <c r="L815" s="3" t="s">
        <v>23</v>
      </c>
      <c r="M815" s="3">
        <f>_xlfn.IFNA(VLOOKUP($A815,[2]stockregister!$A$2:$H$2000,8,0),0)</f>
        <v>1400</v>
      </c>
      <c r="N815" s="3">
        <f>_xlfn.IFNA(VLOOKUP($A815,[2]stockregister!$A$2:$H$2000,8,0),0)-$M815</f>
        <v>0</v>
      </c>
      <c r="O815" s="3" t="s">
        <v>1902</v>
      </c>
      <c r="P815" s="3" t="s">
        <v>1902</v>
      </c>
      <c r="Q815" s="3" t="s">
        <v>1903</v>
      </c>
      <c r="R815" s="3" t="s">
        <v>68</v>
      </c>
      <c r="S815" s="3" t="s">
        <v>206</v>
      </c>
    </row>
    <row r="816" spans="1:19">
      <c r="A816" s="3">
        <v>2312</v>
      </c>
      <c r="B816" s="3" t="b">
        <f>ISNUMBER(MATCH(A816,[1]stockregister!$A$2:$A$2000,0))</f>
        <v>1</v>
      </c>
      <c r="C816" s="3" t="s">
        <v>1904</v>
      </c>
      <c r="D816" s="3" t="str">
        <f>VLOOKUP($C816,[1]stockregister!$B$2:$B$2000,1,0)</f>
        <v>PAINTED WOLF CAB SAUV 750ML</v>
      </c>
      <c r="E816" s="3" t="str">
        <f>IF(ISNA($D816),VLOOKUP($A816,[2]stockregister!$A$2:$B$2000,2,FALSE),"")</f>
        <v/>
      </c>
      <c r="F816" s="3" t="s">
        <v>21</v>
      </c>
      <c r="G816" s="3">
        <f>_xlfn.IFNA(VLOOKUP($A816,[3]stockregister!$A$2:$L$2000,11,0),0)</f>
        <v>6</v>
      </c>
      <c r="H816" s="3">
        <f>_xlfn.IFNA(VLOOKUP($A816,[3]stockregister!$A$2:$L$2000,11,0),0)-$G816</f>
        <v>0</v>
      </c>
      <c r="I816" s="3">
        <f>_xlfn.IFNA(VLOOKUP($A816,[3]stockregister!$A$2:$L$2000,12,0),0)</f>
        <v>1100</v>
      </c>
      <c r="J816" s="3">
        <f>_xlfn.IFNA(VLOOKUP($A816,[3]stockregister!$A$1:$M$2000,12,0),0)-$I816</f>
        <v>0</v>
      </c>
      <c r="K816" s="3" t="s">
        <v>22</v>
      </c>
      <c r="L816" s="3" t="s">
        <v>23</v>
      </c>
      <c r="M816" s="3">
        <f>_xlfn.IFNA(VLOOKUP($A816,[2]stockregister!$A$2:$H$2000,8,0),0)</f>
        <v>1200</v>
      </c>
      <c r="N816" s="3">
        <f>_xlfn.IFNA(VLOOKUP($A816,[2]stockregister!$A$2:$H$2000,8,0),0)-$M816</f>
        <v>0</v>
      </c>
      <c r="O816" s="3" t="s">
        <v>1905</v>
      </c>
      <c r="P816" s="3" t="s">
        <v>1905</v>
      </c>
      <c r="Q816" s="3" t="s">
        <v>1906</v>
      </c>
      <c r="R816" s="3" t="s">
        <v>68</v>
      </c>
      <c r="S816" s="3" t="s">
        <v>206</v>
      </c>
    </row>
    <row r="817" spans="1:19">
      <c r="A817" s="3">
        <v>2255</v>
      </c>
      <c r="B817" s="3" t="b">
        <f>ISNUMBER(MATCH(A817,[1]stockregister!$A$2:$A$2000,0))</f>
        <v>1</v>
      </c>
      <c r="C817" s="3" t="s">
        <v>1907</v>
      </c>
      <c r="D817" s="3" t="str">
        <f>VLOOKUP($C817,[1]stockregister!$B$2:$B$2000,1,0)</f>
        <v>VAN LOVEREN CAB SAUV 700ML</v>
      </c>
      <c r="E817" s="3" t="str">
        <f>IF(ISNA($D817),VLOOKUP($A817,[2]stockregister!$A$2:$B$2000,2,FALSE),"")</f>
        <v/>
      </c>
      <c r="F817" s="3" t="s">
        <v>21</v>
      </c>
      <c r="G817" s="3">
        <f>_xlfn.IFNA(VLOOKUP($A817,[3]stockregister!$A$2:$L$2000,11,0),0)</f>
        <v>6</v>
      </c>
      <c r="H817" s="3">
        <f>_xlfn.IFNA(VLOOKUP($A817,[3]stockregister!$A$2:$L$2000,11,0),0)-$G817</f>
        <v>0</v>
      </c>
      <c r="I817" s="3">
        <f>_xlfn.IFNA(VLOOKUP($A817,[3]stockregister!$A$2:$L$2000,12,0),0)</f>
        <v>3100</v>
      </c>
      <c r="J817" s="3">
        <f>_xlfn.IFNA(VLOOKUP($A817,[3]stockregister!$A$1:$M$2000,12,0),0)-$I817</f>
        <v>0</v>
      </c>
      <c r="K817" s="3" t="s">
        <v>22</v>
      </c>
      <c r="L817" s="3" t="s">
        <v>23</v>
      </c>
      <c r="M817" s="3">
        <f>_xlfn.IFNA(VLOOKUP($A817,[2]stockregister!$A$2:$H$2000,8,0),0)</f>
        <v>3200</v>
      </c>
      <c r="N817" s="3">
        <f>_xlfn.IFNA(VLOOKUP($A817,[2]stockregister!$A$2:$H$2000,8,0),0)-$M817</f>
        <v>0</v>
      </c>
      <c r="O817" s="3" t="s">
        <v>1908</v>
      </c>
      <c r="P817" s="3" t="s">
        <v>1908</v>
      </c>
      <c r="Q817" s="3" t="s">
        <v>1909</v>
      </c>
      <c r="R817" s="3" t="s">
        <v>68</v>
      </c>
      <c r="S817" s="3" t="s">
        <v>206</v>
      </c>
    </row>
    <row r="818" spans="1:19">
      <c r="A818" s="3">
        <v>1925</v>
      </c>
      <c r="B818" s="3" t="b">
        <f>ISNUMBER(MATCH(A818,[1]stockregister!$A$2:$A$2000,0))</f>
        <v>1</v>
      </c>
      <c r="C818" s="3" t="s">
        <v>1910</v>
      </c>
      <c r="D818" s="3" t="str">
        <f>VLOOKUP($C818,[1]stockregister!$B$2:$B$2000,1,0)</f>
        <v>TALL HORSE - CARB.SAUV. 750ML</v>
      </c>
      <c r="E818" s="3" t="str">
        <f>IF(ISNA($D818),VLOOKUP($A818,[2]stockregister!$A$2:$B$2000,2,FALSE),"")</f>
        <v/>
      </c>
      <c r="F818" s="3" t="s">
        <v>21</v>
      </c>
      <c r="G818" s="3">
        <f>_xlfn.IFNA(VLOOKUP($A818,[3]stockregister!$A$2:$L$2000,11,0),0)</f>
        <v>6</v>
      </c>
      <c r="H818" s="3">
        <f>_xlfn.IFNA(VLOOKUP($A818,[3]stockregister!$A$2:$L$2000,11,0),0)-$G818</f>
        <v>0</v>
      </c>
      <c r="I818" s="3">
        <f>_xlfn.IFNA(VLOOKUP($A818,[3]stockregister!$A$2:$L$2000,12,0),0)</f>
        <v>1104</v>
      </c>
      <c r="J818" s="3">
        <f>_xlfn.IFNA(VLOOKUP($A818,[3]stockregister!$A$1:$M$2000,12,0),0)-$I818</f>
        <v>0</v>
      </c>
      <c r="K818" s="3" t="s">
        <v>22</v>
      </c>
      <c r="L818" s="3" t="s">
        <v>23</v>
      </c>
      <c r="M818" s="3">
        <f>_xlfn.IFNA(VLOOKUP($A818,[2]stockregister!$A$2:$H$2000,8,0),0)</f>
        <v>1200</v>
      </c>
      <c r="N818" s="3">
        <f>_xlfn.IFNA(VLOOKUP($A818,[2]stockregister!$A$2:$H$2000,8,0),0)-$M818</f>
        <v>0</v>
      </c>
      <c r="O818" s="3" t="s">
        <v>1911</v>
      </c>
      <c r="P818" s="3" t="s">
        <v>1911</v>
      </c>
      <c r="Q818" s="3" t="s">
        <v>888</v>
      </c>
      <c r="R818" s="3" t="s">
        <v>68</v>
      </c>
      <c r="S818" s="3" t="s">
        <v>206</v>
      </c>
    </row>
    <row r="819" spans="1:19">
      <c r="A819" s="3">
        <v>1441</v>
      </c>
      <c r="B819" s="3" t="b">
        <f>ISNUMBER(MATCH(A819,[1]stockregister!$A$2:$A$2000,0))</f>
        <v>1</v>
      </c>
      <c r="C819" s="3" t="s">
        <v>1912</v>
      </c>
      <c r="D819" s="3" t="str">
        <f>VLOOKUP($C819,[1]stockregister!$B$2:$B$2000,1,0)</f>
        <v>MOET &amp; CHANDON - GRAND VINTAGE 750ML</v>
      </c>
      <c r="E819" s="3" t="str">
        <f>IF(ISNA($D819),VLOOKUP($A819,[2]stockregister!$A$2:$B$2000,2,FALSE),"")</f>
        <v/>
      </c>
      <c r="F819" s="3" t="s">
        <v>21</v>
      </c>
      <c r="G819" s="3">
        <f>_xlfn.IFNA(VLOOKUP($A819,[3]stockregister!$A$2:$L$2000,11,0),0)</f>
        <v>6</v>
      </c>
      <c r="H819" s="3">
        <f>_xlfn.IFNA(VLOOKUP($A819,[3]stockregister!$A$2:$L$2000,11,0),0)-$G819</f>
        <v>0</v>
      </c>
      <c r="I819" s="3">
        <f>_xlfn.IFNA(VLOOKUP($A819,[3]stockregister!$A$2:$L$2000,12,0),0)</f>
        <v>8740</v>
      </c>
      <c r="J819" s="3">
        <f>_xlfn.IFNA(VLOOKUP($A819,[3]stockregister!$A$1:$M$2000,12,0),0)-$I819</f>
        <v>0</v>
      </c>
      <c r="K819" s="3" t="s">
        <v>22</v>
      </c>
      <c r="L819" s="3" t="s">
        <v>23</v>
      </c>
      <c r="M819" s="3">
        <f>_xlfn.IFNA(VLOOKUP($A819,[2]stockregister!$A$2:$H$2000,8,0),0)</f>
        <v>9500</v>
      </c>
      <c r="N819" s="3">
        <f>_xlfn.IFNA(VLOOKUP($A819,[2]stockregister!$A$2:$H$2000,8,0),0)-$M819</f>
        <v>0</v>
      </c>
      <c r="O819" s="3" t="s">
        <v>1913</v>
      </c>
      <c r="P819" s="3" t="s">
        <v>1913</v>
      </c>
      <c r="Q819" s="3" t="s">
        <v>420</v>
      </c>
      <c r="R819" s="3" t="s">
        <v>68</v>
      </c>
      <c r="S819" s="3" t="s">
        <v>750</v>
      </c>
    </row>
    <row r="820" spans="1:19">
      <c r="A820" s="3">
        <v>2303</v>
      </c>
      <c r="B820" s="3" t="b">
        <f>ISNUMBER(MATCH(A820,[1]stockregister!$A$2:$A$2000,0))</f>
        <v>1</v>
      </c>
      <c r="C820" s="3" t="s">
        <v>1914</v>
      </c>
      <c r="D820" s="3" t="str">
        <f>VLOOKUP($C820,[1]stockregister!$B$2:$B$2000,1,0)</f>
        <v>LANSON CHAMPAIGN 750ML</v>
      </c>
      <c r="E820" s="3" t="str">
        <f>IF(ISNA($D820),VLOOKUP($A820,[2]stockregister!$A$2:$B$2000,2,FALSE),"")</f>
        <v/>
      </c>
      <c r="F820" s="3" t="s">
        <v>21</v>
      </c>
      <c r="G820" s="3">
        <f>_xlfn.IFNA(VLOOKUP($A820,[3]stockregister!$A$2:$L$2000,11,0),0)</f>
        <v>6</v>
      </c>
      <c r="H820" s="3">
        <f>_xlfn.IFNA(VLOOKUP($A820,[3]stockregister!$A$2:$L$2000,11,0),0)-$G820</f>
        <v>0</v>
      </c>
      <c r="I820" s="3">
        <f>_xlfn.IFNA(VLOOKUP($A820,[3]stockregister!$A$2:$L$2000,12,0),0)</f>
        <v>9200</v>
      </c>
      <c r="J820" s="3">
        <f>_xlfn.IFNA(VLOOKUP($A820,[3]stockregister!$A$1:$M$2000,12,0),0)-$I820</f>
        <v>0</v>
      </c>
      <c r="K820" s="3" t="s">
        <v>22</v>
      </c>
      <c r="L820" s="3" t="s">
        <v>23</v>
      </c>
      <c r="M820" s="3">
        <f>_xlfn.IFNA(VLOOKUP($A820,[2]stockregister!$A$2:$H$2000,8,0),0)</f>
        <v>9500</v>
      </c>
      <c r="N820" s="3">
        <f>_xlfn.IFNA(VLOOKUP($A820,[2]stockregister!$A$2:$H$2000,8,0),0)-$M820</f>
        <v>0</v>
      </c>
      <c r="O820" s="3" t="s">
        <v>1915</v>
      </c>
      <c r="P820" s="3" t="s">
        <v>1915</v>
      </c>
      <c r="Q820" s="3" t="s">
        <v>1916</v>
      </c>
      <c r="R820" s="3" t="s">
        <v>68</v>
      </c>
      <c r="S820" s="3" t="s">
        <v>750</v>
      </c>
    </row>
    <row r="821" spans="1:19">
      <c r="A821" s="3">
        <v>1629</v>
      </c>
      <c r="B821" s="3" t="b">
        <f>ISNUMBER(MATCH(A821,[1]stockregister!$A$2:$A$2000,0))</f>
        <v>1</v>
      </c>
      <c r="C821" s="3" t="s">
        <v>1917</v>
      </c>
      <c r="D821" s="3" t="str">
        <f>VLOOKUP($C821,[1]stockregister!$B$2:$B$2000,1,0)</f>
        <v>PIPER HEIDSIECK BRUT CHAMPAGNE 750ML</v>
      </c>
      <c r="E821" s="3" t="str">
        <f>IF(ISNA($D821),VLOOKUP($A821,[2]stockregister!$A$2:$B$2000,2,FALSE),"")</f>
        <v/>
      </c>
      <c r="F821" s="3" t="s">
        <v>21</v>
      </c>
      <c r="G821" s="3">
        <f>_xlfn.IFNA(VLOOKUP($A821,[3]stockregister!$A$2:$L$2000,11,0),0)</f>
        <v>6</v>
      </c>
      <c r="H821" s="3">
        <f>_xlfn.IFNA(VLOOKUP($A821,[3]stockregister!$A$2:$L$2000,11,0),0)-$G821</f>
        <v>0</v>
      </c>
      <c r="I821" s="3">
        <f>_xlfn.IFNA(VLOOKUP($A821,[3]stockregister!$A$2:$L$2000,12,0),0)</f>
        <v>5520</v>
      </c>
      <c r="J821" s="3">
        <f>_xlfn.IFNA(VLOOKUP($A821,[3]stockregister!$A$1:$M$2000,12,0),0)-$I821</f>
        <v>0</v>
      </c>
      <c r="K821" s="3" t="s">
        <v>22</v>
      </c>
      <c r="L821" s="3" t="s">
        <v>23</v>
      </c>
      <c r="M821" s="3">
        <f>_xlfn.IFNA(VLOOKUP($A821,[2]stockregister!$A$2:$H$2000,8,0),0)</f>
        <v>6000</v>
      </c>
      <c r="N821" s="3">
        <f>_xlfn.IFNA(VLOOKUP($A821,[2]stockregister!$A$2:$H$2000,8,0),0)-$M821</f>
        <v>0</v>
      </c>
      <c r="O821" s="3" t="s">
        <v>1918</v>
      </c>
      <c r="P821" s="3" t="s">
        <v>1918</v>
      </c>
      <c r="Q821" s="3" t="s">
        <v>1919</v>
      </c>
      <c r="R821" s="3" t="s">
        <v>68</v>
      </c>
      <c r="S821" s="3" t="s">
        <v>750</v>
      </c>
    </row>
    <row r="822" spans="1:19">
      <c r="A822" s="3">
        <v>2374</v>
      </c>
      <c r="B822" s="3" t="b">
        <f>ISNUMBER(MATCH(A822,[1]stockregister!$A$2:$A$2000,0))</f>
        <v>1</v>
      </c>
      <c r="C822" s="3" t="s">
        <v>1920</v>
      </c>
      <c r="D822" s="3" t="str">
        <f>VLOOKUP($C822,[1]stockregister!$B$2:$B$2000,1,0)</f>
        <v>LUC BELAIRE ROSE 1.5LTR</v>
      </c>
      <c r="E822" s="3" t="str">
        <f>IF(ISNA($D822),VLOOKUP($A822,[2]stockregister!$A$2:$B$2000,2,FALSE),"")</f>
        <v/>
      </c>
      <c r="F822" s="3" t="s">
        <v>21</v>
      </c>
      <c r="G822" s="3">
        <f>_xlfn.IFNA(VLOOKUP($A822,[3]stockregister!$A$2:$L$2000,11,0),0)</f>
        <v>6</v>
      </c>
      <c r="H822" s="3">
        <f>_xlfn.IFNA(VLOOKUP($A822,[3]stockregister!$A$2:$L$2000,11,0),0)-$G822</f>
        <v>0</v>
      </c>
      <c r="I822" s="3">
        <f>_xlfn.IFNA(VLOOKUP($A822,[3]stockregister!$A$2:$L$2000,12,0),0)</f>
        <v>7500</v>
      </c>
      <c r="J822" s="3">
        <f>_xlfn.IFNA(VLOOKUP($A822,[3]stockregister!$A$1:$M$2000,12,0),0)-$I822</f>
        <v>0</v>
      </c>
      <c r="K822" s="3" t="s">
        <v>22</v>
      </c>
      <c r="L822" s="3" t="s">
        <v>23</v>
      </c>
      <c r="M822" s="3">
        <f>_xlfn.IFNA(VLOOKUP($A822,[2]stockregister!$A$2:$H$2000,8,0),0)</f>
        <v>8000</v>
      </c>
      <c r="N822" s="3">
        <f>_xlfn.IFNA(VLOOKUP($A822,[2]stockregister!$A$2:$H$2000,8,0),0)-$M822</f>
        <v>0</v>
      </c>
      <c r="O822" s="3" t="s">
        <v>1921</v>
      </c>
      <c r="P822" s="3" t="s">
        <v>1921</v>
      </c>
      <c r="Q822" s="3" t="s">
        <v>1922</v>
      </c>
      <c r="R822" s="3" t="s">
        <v>68</v>
      </c>
      <c r="S822" s="3" t="s">
        <v>750</v>
      </c>
    </row>
    <row r="823" spans="1:19">
      <c r="A823" s="3">
        <v>2497</v>
      </c>
      <c r="B823" s="3" t="b">
        <f>ISNUMBER(MATCH(A823,[1]stockregister!$A$2:$A$2000,0))</f>
        <v>1</v>
      </c>
      <c r="C823" s="3" t="s">
        <v>1923</v>
      </c>
      <c r="D823" s="3" t="str">
        <f>VLOOKUP($C823,[1]stockregister!$B$2:$B$2000,1,0)</f>
        <v>HAUTE CABRIERE UNWOODED CHARDONNAY 750ML</v>
      </c>
      <c r="E823" s="3" t="str">
        <f>IF(ISNA($D823),VLOOKUP($A823,[2]stockregister!$A$2:$B$2000,2,FALSE),"")</f>
        <v/>
      </c>
      <c r="F823" s="3" t="s">
        <v>21</v>
      </c>
      <c r="G823" s="3">
        <f>_xlfn.IFNA(VLOOKUP($A823,[3]stockregister!$A$2:$L$2000,11,0),0)</f>
        <v>6</v>
      </c>
      <c r="H823" s="3">
        <f>_xlfn.IFNA(VLOOKUP($A823,[3]stockregister!$A$2:$L$2000,11,0),0)-$G823</f>
        <v>0</v>
      </c>
      <c r="I823" s="3">
        <f>_xlfn.IFNA(VLOOKUP($A823,[3]stockregister!$A$2:$L$2000,12,0),0)</f>
        <v>1505</v>
      </c>
      <c r="J823" s="3">
        <f>_xlfn.IFNA(VLOOKUP($A823,[3]stockregister!$A$1:$M$2000,12,0),0)-$I823</f>
        <v>0</v>
      </c>
      <c r="K823" s="3" t="s">
        <v>22</v>
      </c>
      <c r="L823" s="3" t="s">
        <v>23</v>
      </c>
      <c r="M823" s="3">
        <f>_xlfn.IFNA(VLOOKUP($A823,[2]stockregister!$A$2:$H$2000,8,0),0)</f>
        <v>1650</v>
      </c>
      <c r="N823" s="3">
        <f>_xlfn.IFNA(VLOOKUP($A823,[2]stockregister!$A$2:$H$2000,8,0),0)-$M823</f>
        <v>0</v>
      </c>
      <c r="O823" s="3" t="s">
        <v>1924</v>
      </c>
      <c r="P823" s="3" t="s">
        <v>1924</v>
      </c>
      <c r="Q823" s="3" t="s">
        <v>1925</v>
      </c>
      <c r="R823" s="3" t="s">
        <v>537</v>
      </c>
      <c r="S823" s="3" t="s">
        <v>940</v>
      </c>
    </row>
    <row r="824" spans="1:19">
      <c r="A824" s="3">
        <v>2512</v>
      </c>
      <c r="B824" s="3" t="b">
        <f>ISNUMBER(MATCH(A824,[1]stockregister!$A$2:$A$2000,0))</f>
        <v>1</v>
      </c>
      <c r="C824" s="3" t="s">
        <v>409</v>
      </c>
      <c r="D824" s="3" t="str">
        <f>VLOOKUP($C824,[1]stockregister!$B$2:$B$2000,1,0)</f>
        <v>HAUTE CABRIERE CHARDONNAY  PINOT 750ML750ML</v>
      </c>
      <c r="E824" s="3" t="str">
        <f>IF(ISNA($D824),VLOOKUP($A824,[2]stockregister!$A$2:$B$2000,2,FALSE),"")</f>
        <v/>
      </c>
      <c r="F824" s="3" t="s">
        <v>21</v>
      </c>
      <c r="G824" s="3">
        <f>_xlfn.IFNA(VLOOKUP($A824,[3]stockregister!$A$2:$L$2000,11,0),0)</f>
        <v>6</v>
      </c>
      <c r="H824" s="3">
        <f>_xlfn.IFNA(VLOOKUP($A824,[3]stockregister!$A$2:$L$2000,11,0),0)-$G824</f>
        <v>0</v>
      </c>
      <c r="I824" s="3">
        <f>_xlfn.IFNA(VLOOKUP($A824,[3]stockregister!$A$2:$L$2000,12,0),0)</f>
        <v>1625</v>
      </c>
      <c r="J824" s="3">
        <f>_xlfn.IFNA(VLOOKUP($A824,[3]stockregister!$A$1:$M$2000,12,0),0)-$I824</f>
        <v>0</v>
      </c>
      <c r="K824" s="3" t="s">
        <v>22</v>
      </c>
      <c r="L824" s="3" t="s">
        <v>23</v>
      </c>
      <c r="M824" s="3">
        <f>_xlfn.IFNA(VLOOKUP($A824,[2]stockregister!$A$2:$H$2000,8,0),0)</f>
        <v>1800</v>
      </c>
      <c r="N824" s="3">
        <f>_xlfn.IFNA(VLOOKUP($A824,[2]stockregister!$A$2:$H$2000,8,0),0)-$M824</f>
        <v>0</v>
      </c>
      <c r="O824" s="3" t="s">
        <v>1926</v>
      </c>
      <c r="P824" s="3" t="s">
        <v>1926</v>
      </c>
      <c r="Q824" s="3" t="s">
        <v>1925</v>
      </c>
      <c r="R824" s="3" t="s">
        <v>537</v>
      </c>
      <c r="S824" s="3" t="s">
        <v>940</v>
      </c>
    </row>
    <row r="825" spans="1:19">
      <c r="A825" s="3">
        <v>2077</v>
      </c>
      <c r="B825" s="3" t="b">
        <f>ISNUMBER(MATCH(A825,[1]stockregister!$A$2:$A$2000,0))</f>
        <v>1</v>
      </c>
      <c r="C825" s="3" t="s">
        <v>1927</v>
      </c>
      <c r="D825" s="3" t="str">
        <f>VLOOKUP($C825,[1]stockregister!$B$2:$B$2000,1,0)</f>
        <v>WELMOED CHENIN BLANC 750ML</v>
      </c>
      <c r="E825" s="3" t="str">
        <f>IF(ISNA($D825),VLOOKUP($A825,[2]stockregister!$A$2:$B$2000,2,FALSE),"")</f>
        <v/>
      </c>
      <c r="F825" s="3" t="s">
        <v>21</v>
      </c>
      <c r="G825" s="3">
        <f>_xlfn.IFNA(VLOOKUP($A825,[3]stockregister!$A$2:$L$2000,11,0),0)</f>
        <v>6</v>
      </c>
      <c r="H825" s="3">
        <f>_xlfn.IFNA(VLOOKUP($A825,[3]stockregister!$A$2:$L$2000,11,0),0)-$G825</f>
        <v>0</v>
      </c>
      <c r="I825" s="3">
        <f>_xlfn.IFNA(VLOOKUP($A825,[3]stockregister!$A$2:$L$2000,12,0),0)</f>
        <v>1200</v>
      </c>
      <c r="J825" s="3">
        <f>_xlfn.IFNA(VLOOKUP($A825,[3]stockregister!$A$1:$M$2000,12,0),0)-$I825</f>
        <v>0</v>
      </c>
      <c r="K825" s="3" t="s">
        <v>22</v>
      </c>
      <c r="L825" s="3" t="s">
        <v>23</v>
      </c>
      <c r="M825" s="3">
        <f>_xlfn.IFNA(VLOOKUP($A825,[2]stockregister!$A$2:$H$2000,8,0),0)</f>
        <v>1320</v>
      </c>
      <c r="N825" s="3">
        <f>_xlfn.IFNA(VLOOKUP($A825,[2]stockregister!$A$2:$H$2000,8,0),0)-$M825</f>
        <v>0</v>
      </c>
      <c r="O825" s="3" t="s">
        <v>1928</v>
      </c>
      <c r="P825" s="3" t="s">
        <v>1928</v>
      </c>
      <c r="Q825" s="3" t="s">
        <v>1296</v>
      </c>
      <c r="R825" s="3" t="s">
        <v>68</v>
      </c>
      <c r="S825" s="3" t="s">
        <v>1303</v>
      </c>
    </row>
    <row r="826" spans="1:19">
      <c r="A826" s="3">
        <v>1531</v>
      </c>
      <c r="B826" s="3" t="b">
        <f>ISNUMBER(MATCH(A826,[1]stockregister!$A$2:$A$2000,0))</f>
        <v>1</v>
      </c>
      <c r="C826" s="3" t="s">
        <v>1929</v>
      </c>
      <c r="D826" s="3" t="str">
        <f>VLOOKUP($C826,[1]stockregister!$B$2:$B$2000,1,0)</f>
        <v>NOBLE DRY RED 750ML</v>
      </c>
      <c r="E826" s="3" t="str">
        <f>IF(ISNA($D826),VLOOKUP($A826,[2]stockregister!$A$2:$B$2000,2,FALSE),"")</f>
        <v/>
      </c>
      <c r="F826" s="3" t="s">
        <v>21</v>
      </c>
      <c r="G826" s="3">
        <f>_xlfn.IFNA(VLOOKUP($A826,[3]stockregister!$A$2:$L$2000,11,0),0)</f>
        <v>6</v>
      </c>
      <c r="H826" s="3">
        <f>_xlfn.IFNA(VLOOKUP($A826,[3]stockregister!$A$2:$L$2000,11,0),0)-$G826</f>
        <v>0</v>
      </c>
      <c r="I826" s="3">
        <f>_xlfn.IFNA(VLOOKUP($A826,[3]stockregister!$A$2:$L$2000,12,0),0)</f>
        <v>920</v>
      </c>
      <c r="J826" s="3">
        <f>_xlfn.IFNA(VLOOKUP($A826,[3]stockregister!$A$1:$M$2000,12,0),0)-$I826</f>
        <v>0</v>
      </c>
      <c r="K826" s="3" t="s">
        <v>22</v>
      </c>
      <c r="L826" s="3" t="s">
        <v>23</v>
      </c>
      <c r="M826" s="3">
        <f>_xlfn.IFNA(VLOOKUP($A826,[2]stockregister!$A$2:$H$2000,8,0),0)</f>
        <v>1000</v>
      </c>
      <c r="N826" s="3">
        <f>_xlfn.IFNA(VLOOKUP($A826,[2]stockregister!$A$2:$H$2000,8,0),0)-$M826</f>
        <v>0</v>
      </c>
      <c r="O826" s="3" t="s">
        <v>1930</v>
      </c>
      <c r="P826" s="3" t="s">
        <v>1930</v>
      </c>
      <c r="Q826" s="3" t="s">
        <v>1931</v>
      </c>
      <c r="R826" s="3" t="s">
        <v>68</v>
      </c>
      <c r="S826" s="3" t="s">
        <v>82</v>
      </c>
    </row>
    <row r="827" spans="1:19">
      <c r="A827" s="3">
        <v>2896</v>
      </c>
      <c r="B827" s="3" t="b">
        <f>ISNUMBER(MATCH(A827,[1]stockregister!$A$2:$A$2000,0))</f>
        <v>1</v>
      </c>
      <c r="C827" s="3" t="s">
        <v>1932</v>
      </c>
      <c r="D827" s="3" t="str">
        <f>VLOOKUP($C827,[1]stockregister!$B$2:$B$2000,1,0)</f>
        <v>Asconi Sweet Flavored Grapefruit Red Wine</v>
      </c>
      <c r="E827" s="3" t="str">
        <f>IF(ISNA($D827),VLOOKUP($A827,[2]stockregister!$A$2:$B$2000,2,FALSE),"")</f>
        <v/>
      </c>
      <c r="F827" s="3" t="s">
        <v>21</v>
      </c>
      <c r="G827" s="3">
        <f>_xlfn.IFNA(VLOOKUP($A827,[3]stockregister!$A$2:$L$2000,11,0),0)</f>
        <v>6</v>
      </c>
      <c r="H827" s="3">
        <f>_xlfn.IFNA(VLOOKUP($A827,[3]stockregister!$A$2:$L$2000,11,0),0)-$G827</f>
        <v>0</v>
      </c>
      <c r="I827" s="3">
        <f>_xlfn.IFNA(VLOOKUP($A827,[3]stockregister!$A$2:$L$2000,12,0),0)</f>
        <v>1530</v>
      </c>
      <c r="J827" s="3">
        <f>_xlfn.IFNA(VLOOKUP($A827,[3]stockregister!$A$1:$M$2000,12,0),0)-$I827</f>
        <v>0</v>
      </c>
      <c r="K827" s="3" t="s">
        <v>22</v>
      </c>
      <c r="L827" s="3" t="s">
        <v>23</v>
      </c>
      <c r="M827" s="3">
        <f>_xlfn.IFNA(VLOOKUP($A827,[2]stockregister!$A$2:$H$2000,8,0),0)</f>
        <v>1630</v>
      </c>
      <c r="N827" s="3">
        <f>_xlfn.IFNA(VLOOKUP($A827,[2]stockregister!$A$2:$H$2000,8,0),0)-$M827</f>
        <v>0</v>
      </c>
      <c r="O827" s="3" t="s">
        <v>1933</v>
      </c>
      <c r="P827" s="3" t="s">
        <v>1933</v>
      </c>
      <c r="Q827" s="3" t="s">
        <v>966</v>
      </c>
      <c r="R827" s="3" t="s">
        <v>537</v>
      </c>
      <c r="S827" s="3" t="s">
        <v>1934</v>
      </c>
    </row>
    <row r="828" spans="1:19">
      <c r="A828" s="3">
        <v>111</v>
      </c>
      <c r="B828" s="3" t="b">
        <f>ISNUMBER(MATCH(A828,[1]stockregister!$A$2:$A$2000,0))</f>
        <v>1</v>
      </c>
      <c r="C828" s="3" t="s">
        <v>1935</v>
      </c>
      <c r="D828" s="3" t="str">
        <f>VLOOKUP($C828,[1]stockregister!$B$2:$B$2000,1,0)</f>
        <v>ARGENTO RESERVA MALBEC 750ml</v>
      </c>
      <c r="E828" s="3" t="str">
        <f>IF(ISNA($D828),VLOOKUP($A828,[2]stockregister!$A$2:$B$2000,2,FALSE),"")</f>
        <v/>
      </c>
      <c r="F828" s="3" t="s">
        <v>21</v>
      </c>
      <c r="G828" s="3">
        <f>_xlfn.IFNA(VLOOKUP($A828,[3]stockregister!$A$2:$L$2000,11,0),0)</f>
        <v>6</v>
      </c>
      <c r="H828" s="3">
        <f>_xlfn.IFNA(VLOOKUP($A828,[3]stockregister!$A$2:$L$2000,11,0),0)-$G828</f>
        <v>0</v>
      </c>
      <c r="I828" s="3">
        <f>_xlfn.IFNA(VLOOKUP($A828,[3]stockregister!$A$2:$L$2000,12,0),0)</f>
        <v>1380</v>
      </c>
      <c r="J828" s="3">
        <f>_xlfn.IFNA(VLOOKUP($A828,[3]stockregister!$A$1:$M$2000,12,0),0)-$I828</f>
        <v>0</v>
      </c>
      <c r="K828" s="3" t="s">
        <v>22</v>
      </c>
      <c r="L828" s="3" t="s">
        <v>23</v>
      </c>
      <c r="M828" s="3">
        <f>_xlfn.IFNA(VLOOKUP($A828,[2]stockregister!$A$2:$H$2000,8,0),0)</f>
        <v>1500</v>
      </c>
      <c r="N828" s="3">
        <f>_xlfn.IFNA(VLOOKUP($A828,[2]stockregister!$A$2:$H$2000,8,0),0)-$M828</f>
        <v>0</v>
      </c>
      <c r="O828" s="3" t="s">
        <v>1936</v>
      </c>
      <c r="P828" s="3" t="s">
        <v>1936</v>
      </c>
      <c r="Q828" s="3" t="s">
        <v>1309</v>
      </c>
      <c r="R828" s="3" t="s">
        <v>537</v>
      </c>
      <c r="S828" s="3" t="s">
        <v>1310</v>
      </c>
    </row>
    <row r="829" spans="1:19">
      <c r="A829" s="3">
        <v>1736</v>
      </c>
      <c r="B829" s="3" t="b">
        <f>ISNUMBER(MATCH(A829,[1]stockregister!$A$2:$A$2000,0))</f>
        <v>1</v>
      </c>
      <c r="C829" s="3" t="s">
        <v>1937</v>
      </c>
      <c r="D829" s="3" t="str">
        <f>VLOOKUP($C829,[1]stockregister!$B$2:$B$2000,1,0)</f>
        <v>SAN FELIPE OAK MALBEC 750ML</v>
      </c>
      <c r="E829" s="3" t="str">
        <f>IF(ISNA($D829),VLOOKUP($A829,[2]stockregister!$A$2:$B$2000,2,FALSE),"")</f>
        <v/>
      </c>
      <c r="F829" s="3" t="s">
        <v>21</v>
      </c>
      <c r="G829" s="3">
        <f>_xlfn.IFNA(VLOOKUP($A829,[3]stockregister!$A$2:$L$2000,11,0),0)</f>
        <v>6</v>
      </c>
      <c r="H829" s="3">
        <f>_xlfn.IFNA(VLOOKUP($A829,[3]stockregister!$A$2:$L$2000,11,0),0)-$G829</f>
        <v>0</v>
      </c>
      <c r="I829" s="3">
        <f>_xlfn.IFNA(VLOOKUP($A829,[3]stockregister!$A$2:$L$2000,12,0),0)</f>
        <v>1426</v>
      </c>
      <c r="J829" s="3">
        <f>_xlfn.IFNA(VLOOKUP($A829,[3]stockregister!$A$1:$M$2000,12,0),0)-$I829</f>
        <v>0</v>
      </c>
      <c r="K829" s="3" t="s">
        <v>22</v>
      </c>
      <c r="L829" s="3" t="s">
        <v>23</v>
      </c>
      <c r="M829" s="3">
        <f>_xlfn.IFNA(VLOOKUP($A829,[2]stockregister!$A$2:$H$2000,8,0),0)</f>
        <v>1550</v>
      </c>
      <c r="N829" s="3">
        <f>_xlfn.IFNA(VLOOKUP($A829,[2]stockregister!$A$2:$H$2000,8,0),0)-$M829</f>
        <v>0</v>
      </c>
      <c r="O829" s="3" t="s">
        <v>1938</v>
      </c>
      <c r="P829" s="3" t="s">
        <v>1938</v>
      </c>
      <c r="Q829" s="3" t="s">
        <v>1453</v>
      </c>
      <c r="R829" s="3" t="s">
        <v>68</v>
      </c>
      <c r="S829" s="3" t="s">
        <v>1310</v>
      </c>
    </row>
    <row r="830" spans="1:19">
      <c r="A830" s="3">
        <v>1750</v>
      </c>
      <c r="B830" s="3" t="b">
        <f>ISNUMBER(MATCH(A830,[1]stockregister!$A$2:$A$2000,0))</f>
        <v>1</v>
      </c>
      <c r="C830" s="3" t="s">
        <v>1939</v>
      </c>
      <c r="D830" s="3" t="str">
        <f>VLOOKUP($C830,[1]stockregister!$B$2:$B$2000,1,0)</f>
        <v>SANDEMAN SEMI SWEET 750ML</v>
      </c>
      <c r="E830" s="3" t="str">
        <f>IF(ISNA($D830),VLOOKUP($A830,[2]stockregister!$A$2:$B$2000,2,FALSE),"")</f>
        <v/>
      </c>
      <c r="F830" s="3" t="s">
        <v>21</v>
      </c>
      <c r="G830" s="3">
        <f>_xlfn.IFNA(VLOOKUP($A830,[3]stockregister!$A$2:$L$2000,11,0),0)</f>
        <v>6</v>
      </c>
      <c r="H830" s="3">
        <f>_xlfn.IFNA(VLOOKUP($A830,[3]stockregister!$A$2:$L$2000,11,0),0)-$G830</f>
        <v>0</v>
      </c>
      <c r="I830" s="3">
        <f>_xlfn.IFNA(VLOOKUP($A830,[3]stockregister!$A$2:$L$2000,12,0),0)</f>
        <v>2300</v>
      </c>
      <c r="J830" s="3">
        <f>_xlfn.IFNA(VLOOKUP($A830,[3]stockregister!$A$1:$M$2000,12,0),0)-$I830</f>
        <v>0</v>
      </c>
      <c r="K830" s="3" t="s">
        <v>22</v>
      </c>
      <c r="L830" s="3" t="s">
        <v>23</v>
      </c>
      <c r="M830" s="3">
        <f>_xlfn.IFNA(VLOOKUP($A830,[2]stockregister!$A$2:$H$2000,8,0),0)</f>
        <v>2500</v>
      </c>
      <c r="N830" s="3">
        <f>_xlfn.IFNA(VLOOKUP($A830,[2]stockregister!$A$2:$H$2000,8,0),0)-$M830</f>
        <v>0</v>
      </c>
      <c r="O830" s="3" t="s">
        <v>1940</v>
      </c>
      <c r="P830" s="3" t="s">
        <v>1940</v>
      </c>
      <c r="Q830" s="3" t="s">
        <v>1829</v>
      </c>
      <c r="R830" s="3" t="s">
        <v>68</v>
      </c>
      <c r="S830" s="3" t="s">
        <v>1941</v>
      </c>
    </row>
    <row r="831" spans="1:19">
      <c r="A831" s="3">
        <v>2790</v>
      </c>
      <c r="B831" s="3" t="b">
        <f>ISNUMBER(MATCH(A831,[1]stockregister!$A$2:$A$2000,0))</f>
        <v>1</v>
      </c>
      <c r="C831" s="3" t="s">
        <v>1942</v>
      </c>
      <c r="D831" s="3" t="str">
        <f>VLOOKUP($C831,[1]stockregister!$B$2:$B$2000,1,0)</f>
        <v>ZAPALLARES MERLOT 1500ML</v>
      </c>
      <c r="E831" s="3" t="str">
        <f>IF(ISNA($D831),VLOOKUP($A831,[2]stockregister!$A$2:$B$2000,2,FALSE),"")</f>
        <v/>
      </c>
      <c r="F831" s="3" t="s">
        <v>21</v>
      </c>
      <c r="G831" s="3">
        <f>_xlfn.IFNA(VLOOKUP($A831,[3]stockregister!$A$2:$L$2000,11,0),0)</f>
        <v>6</v>
      </c>
      <c r="H831" s="3">
        <f>_xlfn.IFNA(VLOOKUP($A831,[3]stockregister!$A$2:$L$2000,11,0),0)-$G831</f>
        <v>0</v>
      </c>
      <c r="I831" s="3">
        <f>_xlfn.IFNA(VLOOKUP($A831,[3]stockregister!$A$2:$L$2000,12,0),0)</f>
        <v>1767.24</v>
      </c>
      <c r="J831" s="3">
        <f>_xlfn.IFNA(VLOOKUP($A831,[3]stockregister!$A$1:$M$2000,12,0),0)-$I831</f>
        <v>0</v>
      </c>
      <c r="K831" s="3" t="s">
        <v>22</v>
      </c>
      <c r="L831" s="3" t="s">
        <v>23</v>
      </c>
      <c r="M831" s="3">
        <f>_xlfn.IFNA(VLOOKUP($A831,[2]stockregister!$A$2:$H$2000,8,0),0)</f>
        <v>2300</v>
      </c>
      <c r="N831" s="3">
        <f>_xlfn.IFNA(VLOOKUP($A831,[2]stockregister!$A$2:$H$2000,8,0),0)-$M831</f>
        <v>0</v>
      </c>
      <c r="O831" s="3" t="s">
        <v>1943</v>
      </c>
      <c r="P831" s="3" t="s">
        <v>1943</v>
      </c>
      <c r="Q831" s="3" t="s">
        <v>1944</v>
      </c>
      <c r="R831" s="3" t="s">
        <v>537</v>
      </c>
      <c r="S831" s="3" t="s">
        <v>369</v>
      </c>
    </row>
    <row r="832" spans="1:19">
      <c r="A832" s="3">
        <v>120</v>
      </c>
      <c r="B832" s="3" t="b">
        <f>ISNUMBER(MATCH(A832,[1]stockregister!$A$2:$A$2000,0))</f>
        <v>1</v>
      </c>
      <c r="C832" s="3" t="s">
        <v>1945</v>
      </c>
      <c r="D832" s="3" t="str">
        <f>VLOOKUP($C832,[1]stockregister!$B$2:$B$2000,1,0)</f>
        <v>ASCONI KISS ME NOW MERLOT 750ML</v>
      </c>
      <c r="E832" s="3" t="str">
        <f>IF(ISNA($D832),VLOOKUP($A832,[2]stockregister!$A$2:$B$2000,2,FALSE),"")</f>
        <v/>
      </c>
      <c r="F832" s="3" t="s">
        <v>21</v>
      </c>
      <c r="G832" s="3">
        <f>_xlfn.IFNA(VLOOKUP($A832,[3]stockregister!$A$2:$L$2000,11,0),0)</f>
        <v>6</v>
      </c>
      <c r="H832" s="3">
        <f>_xlfn.IFNA(VLOOKUP($A832,[3]stockregister!$A$2:$L$2000,11,0),0)-$G832</f>
        <v>0</v>
      </c>
      <c r="I832" s="3">
        <f>_xlfn.IFNA(VLOOKUP($A832,[3]stockregister!$A$2:$L$2000,12,0),0)</f>
        <v>1550</v>
      </c>
      <c r="J832" s="3">
        <f>_xlfn.IFNA(VLOOKUP($A832,[3]stockregister!$A$1:$M$2000,12,0),0)-$I832</f>
        <v>0</v>
      </c>
      <c r="K832" s="3" t="s">
        <v>22</v>
      </c>
      <c r="L832" s="3" t="s">
        <v>23</v>
      </c>
      <c r="M832" s="3">
        <f>_xlfn.IFNA(VLOOKUP($A832,[2]stockregister!$A$2:$H$2000,8,0),0)</f>
        <v>1650</v>
      </c>
      <c r="N832" s="3">
        <f>_xlfn.IFNA(VLOOKUP($A832,[2]stockregister!$A$2:$H$2000,8,0),0)-$M832</f>
        <v>0</v>
      </c>
      <c r="O832" s="3" t="s">
        <v>1946</v>
      </c>
      <c r="P832" s="3" t="s">
        <v>1946</v>
      </c>
      <c r="Q832" s="3" t="s">
        <v>966</v>
      </c>
      <c r="R832" s="3" t="s">
        <v>537</v>
      </c>
      <c r="S832" s="3" t="s">
        <v>369</v>
      </c>
    </row>
    <row r="833" spans="1:19">
      <c r="A833" s="3">
        <v>1151</v>
      </c>
      <c r="B833" s="3" t="b">
        <f>ISNUMBER(MATCH(A833,[1]stockregister!$A$2:$A$2000,0))</f>
        <v>1</v>
      </c>
      <c r="C833" s="3" t="s">
        <v>1947</v>
      </c>
      <c r="D833" s="3" t="str">
        <f>VLOOKUP($C833,[1]stockregister!$B$2:$B$2000,1,0)</f>
        <v>JP CHENET ORIGINAL MERLOT ORIGINAL 750ML</v>
      </c>
      <c r="E833" s="3" t="str">
        <f>IF(ISNA($D833),VLOOKUP($A833,[2]stockregister!$A$2:$B$2000,2,FALSE),"")</f>
        <v/>
      </c>
      <c r="F833" s="3" t="s">
        <v>21</v>
      </c>
      <c r="G833" s="3">
        <f>_xlfn.IFNA(VLOOKUP($A833,[3]stockregister!$A$2:$L$2000,11,0),0)</f>
        <v>6</v>
      </c>
      <c r="H833" s="3">
        <f>_xlfn.IFNA(VLOOKUP($A833,[3]stockregister!$A$2:$L$2000,11,0),0)-$G833</f>
        <v>0</v>
      </c>
      <c r="I833" s="3">
        <f>_xlfn.IFNA(VLOOKUP($A833,[3]stockregister!$A$2:$L$2000,12,0),0)</f>
        <v>950</v>
      </c>
      <c r="J833" s="3">
        <f>_xlfn.IFNA(VLOOKUP($A833,[3]stockregister!$A$1:$M$2000,12,0),0)-$I833</f>
        <v>0</v>
      </c>
      <c r="K833" s="3" t="s">
        <v>22</v>
      </c>
      <c r="L833" s="3" t="s">
        <v>23</v>
      </c>
      <c r="M833" s="3">
        <f>_xlfn.IFNA(VLOOKUP($A833,[2]stockregister!$A$2:$H$2000,8,0),0)</f>
        <v>950</v>
      </c>
      <c r="N833" s="3">
        <f>_xlfn.IFNA(VLOOKUP($A833,[2]stockregister!$A$2:$H$2000,8,0),0)-$M833</f>
        <v>0</v>
      </c>
      <c r="O833" s="3" t="s">
        <v>1948</v>
      </c>
      <c r="P833" s="3" t="s">
        <v>1948</v>
      </c>
      <c r="Q833" s="3" t="s">
        <v>1328</v>
      </c>
      <c r="R833" s="3" t="s">
        <v>68</v>
      </c>
      <c r="S833" s="3" t="s">
        <v>369</v>
      </c>
    </row>
    <row r="834" spans="1:19">
      <c r="A834" s="3">
        <v>2400</v>
      </c>
      <c r="B834" s="3" t="b">
        <f>ISNUMBER(MATCH(A834,[1]stockregister!$A$2:$A$2000,0))</f>
        <v>1</v>
      </c>
      <c r="C834" s="3" t="s">
        <v>1949</v>
      </c>
      <c r="D834" s="3" t="str">
        <f>VLOOKUP($C834,[1]stockregister!$B$2:$B$2000,1,0)</f>
        <v>MAISON CASTEL MERLOT 750ML</v>
      </c>
      <c r="E834" s="3" t="str">
        <f>IF(ISNA($D834),VLOOKUP($A834,[2]stockregister!$A$2:$B$2000,2,FALSE),"")</f>
        <v/>
      </c>
      <c r="F834" s="3" t="s">
        <v>21</v>
      </c>
      <c r="G834" s="3">
        <f>_xlfn.IFNA(VLOOKUP($A834,[3]stockregister!$A$2:$L$2000,11,0),0)</f>
        <v>6</v>
      </c>
      <c r="H834" s="3">
        <f>_xlfn.IFNA(VLOOKUP($A834,[3]stockregister!$A$2:$L$2000,11,0),0)-$G834</f>
        <v>0</v>
      </c>
      <c r="I834" s="3">
        <f>_xlfn.IFNA(VLOOKUP($A834,[3]stockregister!$A$2:$L$2000,12,0),0)</f>
        <v>1196</v>
      </c>
      <c r="J834" s="3">
        <f>_xlfn.IFNA(VLOOKUP($A834,[3]stockregister!$A$1:$M$2000,12,0),0)-$I834</f>
        <v>0</v>
      </c>
      <c r="K834" s="3" t="s">
        <v>22</v>
      </c>
      <c r="L834" s="3" t="s">
        <v>23</v>
      </c>
      <c r="M834" s="3">
        <f>_xlfn.IFNA(VLOOKUP($A834,[2]stockregister!$A$2:$H$2000,8,0),0)</f>
        <v>1300</v>
      </c>
      <c r="N834" s="3">
        <f>_xlfn.IFNA(VLOOKUP($A834,[2]stockregister!$A$2:$H$2000,8,0),0)-$M834</f>
        <v>0</v>
      </c>
      <c r="O834" s="3" t="s">
        <v>1950</v>
      </c>
      <c r="P834" s="3" t="s">
        <v>1950</v>
      </c>
      <c r="Q834" s="3" t="s">
        <v>1137</v>
      </c>
      <c r="R834" s="3" t="s">
        <v>537</v>
      </c>
      <c r="S834" s="3" t="s">
        <v>369</v>
      </c>
    </row>
    <row r="835" spans="1:19">
      <c r="A835" s="3">
        <v>1928</v>
      </c>
      <c r="B835" s="3" t="b">
        <f>ISNUMBER(MATCH(A835,[1]stockregister!$A$2:$A$2000,0))</f>
        <v>1</v>
      </c>
      <c r="C835" s="3" t="s">
        <v>1951</v>
      </c>
      <c r="D835" s="3" t="str">
        <f>VLOOKUP($C835,[1]stockregister!$B$2:$B$2000,1,0)</f>
        <v>TALL HORSE MERLOT 750ML</v>
      </c>
      <c r="E835" s="3" t="str">
        <f>IF(ISNA($D835),VLOOKUP($A835,[2]stockregister!$A$2:$B$2000,2,FALSE),"")</f>
        <v/>
      </c>
      <c r="F835" s="3" t="s">
        <v>21</v>
      </c>
      <c r="G835" s="3">
        <f>_xlfn.IFNA(VLOOKUP($A835,[3]stockregister!$A$2:$L$2000,11,0),0)</f>
        <v>6</v>
      </c>
      <c r="H835" s="3">
        <f>_xlfn.IFNA(VLOOKUP($A835,[3]stockregister!$A$2:$L$2000,11,0),0)-$G835</f>
        <v>0</v>
      </c>
      <c r="I835" s="3">
        <f>_xlfn.IFNA(VLOOKUP($A835,[3]stockregister!$A$2:$L$2000,12,0),0)</f>
        <v>1104</v>
      </c>
      <c r="J835" s="3">
        <f>_xlfn.IFNA(VLOOKUP($A835,[3]stockregister!$A$1:$M$2000,12,0),0)-$I835</f>
        <v>0</v>
      </c>
      <c r="K835" s="3" t="s">
        <v>22</v>
      </c>
      <c r="L835" s="3" t="s">
        <v>23</v>
      </c>
      <c r="M835" s="3">
        <f>_xlfn.IFNA(VLOOKUP($A835,[2]stockregister!$A$2:$H$2000,8,0),0)</f>
        <v>1200</v>
      </c>
      <c r="N835" s="3">
        <f>_xlfn.IFNA(VLOOKUP($A835,[2]stockregister!$A$2:$H$2000,8,0),0)-$M835</f>
        <v>0</v>
      </c>
      <c r="O835" s="3" t="s">
        <v>1952</v>
      </c>
      <c r="P835" s="3" t="s">
        <v>1952</v>
      </c>
      <c r="Q835" s="3" t="s">
        <v>888</v>
      </c>
      <c r="R835" s="3" t="s">
        <v>68</v>
      </c>
      <c r="S835" s="3" t="s">
        <v>369</v>
      </c>
    </row>
    <row r="836" spans="1:19">
      <c r="A836" s="3">
        <v>2897</v>
      </c>
      <c r="B836" s="3" t="b">
        <f>ISNUMBER(MATCH(A836,[1]stockregister!$A$2:$A$2000,0))</f>
        <v>1</v>
      </c>
      <c r="C836" s="3" t="s">
        <v>1953</v>
      </c>
      <c r="D836" s="3" t="str">
        <f>VLOOKUP($C836,[1]stockregister!$B$2:$B$2000,1,0)</f>
        <v>Asconi Sweet Flavored Passion Fruit White Wine</v>
      </c>
      <c r="E836" s="3" t="str">
        <f>IF(ISNA($D836),VLOOKUP($A836,[2]stockregister!$A$2:$B$2000,2,FALSE),"")</f>
        <v/>
      </c>
      <c r="F836" s="3" t="s">
        <v>21</v>
      </c>
      <c r="G836" s="3">
        <f>_xlfn.IFNA(VLOOKUP($A836,[3]stockregister!$A$2:$L$2000,11,0),0)</f>
        <v>6</v>
      </c>
      <c r="H836" s="3">
        <f>_xlfn.IFNA(VLOOKUP($A836,[3]stockregister!$A$2:$L$2000,11,0),0)-$G836</f>
        <v>0</v>
      </c>
      <c r="I836" s="3">
        <f>_xlfn.IFNA(VLOOKUP($A836,[3]stockregister!$A$2:$L$2000,12,0),0)</f>
        <v>1530</v>
      </c>
      <c r="J836" s="3">
        <f>_xlfn.IFNA(VLOOKUP($A836,[3]stockregister!$A$1:$M$2000,12,0),0)-$I836</f>
        <v>0</v>
      </c>
      <c r="K836" s="3" t="s">
        <v>22</v>
      </c>
      <c r="L836" s="3" t="s">
        <v>23</v>
      </c>
      <c r="M836" s="3">
        <f>_xlfn.IFNA(VLOOKUP($A836,[2]stockregister!$A$2:$H$2000,8,0),0)</f>
        <v>1630</v>
      </c>
      <c r="N836" s="3">
        <f>_xlfn.IFNA(VLOOKUP($A836,[2]stockregister!$A$2:$H$2000,8,0),0)-$M836</f>
        <v>0</v>
      </c>
      <c r="O836" s="3" t="s">
        <v>1954</v>
      </c>
      <c r="P836" s="3" t="s">
        <v>1954</v>
      </c>
      <c r="Q836" s="3" t="s">
        <v>966</v>
      </c>
      <c r="R836" s="3" t="s">
        <v>537</v>
      </c>
      <c r="S836" s="3" t="s">
        <v>48</v>
      </c>
    </row>
    <row r="837" spans="1:19">
      <c r="A837" s="3">
        <v>196</v>
      </c>
      <c r="B837" s="3" t="b">
        <f>ISNUMBER(MATCH(A837,[1]stockregister!$A$2:$A$2000,0))</f>
        <v>1</v>
      </c>
      <c r="C837" s="3" t="s">
        <v>1955</v>
      </c>
      <c r="D837" s="3" t="str">
        <f>VLOOKUP($C837,[1]stockregister!$B$2:$B$2000,1,0)</f>
        <v>BELLINGHAM HOMESTEAD PINOTAGE 750ML</v>
      </c>
      <c r="E837" s="3" t="str">
        <f>IF(ISNA($D837),VLOOKUP($A837,[2]stockregister!$A$2:$B$2000,2,FALSE),"")</f>
        <v/>
      </c>
      <c r="F837" s="3" t="s">
        <v>21</v>
      </c>
      <c r="G837" s="3">
        <f>_xlfn.IFNA(VLOOKUP($A837,[3]stockregister!$A$2:$L$2000,11,0),0)</f>
        <v>6</v>
      </c>
      <c r="H837" s="3">
        <f>_xlfn.IFNA(VLOOKUP($A837,[3]stockregister!$A$2:$L$2000,11,0),0)-$G837</f>
        <v>0</v>
      </c>
      <c r="I837" s="3">
        <f>_xlfn.IFNA(VLOOKUP($A837,[3]stockregister!$A$2:$L$2000,12,0),0)</f>
        <v>1550</v>
      </c>
      <c r="J837" s="3">
        <f>_xlfn.IFNA(VLOOKUP($A837,[3]stockregister!$A$1:$M$2000,12,0),0)-$I837</f>
        <v>0</v>
      </c>
      <c r="K837" s="3" t="s">
        <v>22</v>
      </c>
      <c r="L837" s="3" t="s">
        <v>23</v>
      </c>
      <c r="M837" s="3">
        <f>_xlfn.IFNA(VLOOKUP($A837,[2]stockregister!$A$2:$H$2000,8,0),0)</f>
        <v>1900</v>
      </c>
      <c r="N837" s="3">
        <f>_xlfn.IFNA(VLOOKUP($A837,[2]stockregister!$A$2:$H$2000,8,0),0)-$M837</f>
        <v>0</v>
      </c>
      <c r="O837" s="3" t="s">
        <v>1956</v>
      </c>
      <c r="P837" s="3" t="s">
        <v>1956</v>
      </c>
      <c r="Q837" s="3" t="s">
        <v>1147</v>
      </c>
      <c r="R837" s="3" t="s">
        <v>68</v>
      </c>
      <c r="S837" s="3" t="s">
        <v>889</v>
      </c>
    </row>
    <row r="838" spans="1:19">
      <c r="A838" s="3">
        <v>114</v>
      </c>
      <c r="B838" s="3" t="b">
        <f>ISNUMBER(MATCH(A838,[1]stockregister!$A$2:$A$2000,0))</f>
        <v>1</v>
      </c>
      <c r="C838" s="3" t="s">
        <v>1957</v>
      </c>
      <c r="D838" s="3" t="str">
        <f>VLOOKUP($C838,[1]stockregister!$B$2:$B$2000,1,0)</f>
        <v>ARNEGUI RIOJA 750ML</v>
      </c>
      <c r="E838" s="3" t="str">
        <f>IF(ISNA($D838),VLOOKUP($A838,[2]stockregister!$A$2:$B$2000,2,FALSE),"")</f>
        <v/>
      </c>
      <c r="F838" s="3" t="s">
        <v>21</v>
      </c>
      <c r="G838" s="3">
        <f>_xlfn.IFNA(VLOOKUP($A838,[3]stockregister!$A$2:$L$2000,11,0),0)</f>
        <v>6</v>
      </c>
      <c r="H838" s="3">
        <f>_xlfn.IFNA(VLOOKUP($A838,[3]stockregister!$A$2:$L$2000,11,0),0)-$G838</f>
        <v>0</v>
      </c>
      <c r="I838" s="3">
        <f>_xlfn.IFNA(VLOOKUP($A838,[3]stockregister!$A$2:$L$2000,12,0),0)</f>
        <v>1500</v>
      </c>
      <c r="J838" s="3">
        <f>_xlfn.IFNA(VLOOKUP($A838,[3]stockregister!$A$1:$M$2000,12,0),0)-$I838</f>
        <v>0</v>
      </c>
      <c r="K838" s="3" t="s">
        <v>22</v>
      </c>
      <c r="L838" s="3" t="s">
        <v>23</v>
      </c>
      <c r="M838" s="3">
        <f>_xlfn.IFNA(VLOOKUP($A838,[2]stockregister!$A$2:$H$2000,8,0),0)</f>
        <v>1700</v>
      </c>
      <c r="N838" s="3">
        <f>_xlfn.IFNA(VLOOKUP($A838,[2]stockregister!$A$2:$H$2000,8,0),0)-$M838</f>
        <v>0</v>
      </c>
      <c r="O838" s="3" t="s">
        <v>1958</v>
      </c>
      <c r="P838" s="3" t="s">
        <v>1958</v>
      </c>
      <c r="Q838" s="3" t="s">
        <v>1959</v>
      </c>
      <c r="R838" s="3" t="s">
        <v>68</v>
      </c>
      <c r="S838" s="3" t="s">
        <v>169</v>
      </c>
    </row>
    <row r="839" spans="1:19">
      <c r="A839" s="3">
        <v>181</v>
      </c>
      <c r="B839" s="3" t="b">
        <f>ISNUMBER(MATCH(A839,[1]stockregister!$A$2:$A$2000,0))</f>
        <v>1</v>
      </c>
      <c r="C839" s="3" t="s">
        <v>1960</v>
      </c>
      <c r="D839" s="3" t="str">
        <f>VLOOKUP($C839,[1]stockregister!$B$2:$B$2000,1,0)</f>
        <v>BARON DE LESTAC BORDEAUX 750ML</v>
      </c>
      <c r="E839" s="3" t="str">
        <f>IF(ISNA($D839),VLOOKUP($A839,[2]stockregister!$A$2:$B$2000,2,FALSE),"")</f>
        <v/>
      </c>
      <c r="F839" s="3" t="s">
        <v>21</v>
      </c>
      <c r="G839" s="3">
        <f>_xlfn.IFNA(VLOOKUP($A839,[3]stockregister!$A$2:$L$2000,11,0),0)</f>
        <v>6</v>
      </c>
      <c r="H839" s="3">
        <f>_xlfn.IFNA(VLOOKUP($A839,[3]stockregister!$A$2:$L$2000,11,0),0)-$G839</f>
        <v>0</v>
      </c>
      <c r="I839" s="3">
        <f>_xlfn.IFNA(VLOOKUP($A839,[3]stockregister!$A$2:$L$2000,12,0),0)</f>
        <v>1900</v>
      </c>
      <c r="J839" s="3">
        <f>_xlfn.IFNA(VLOOKUP($A839,[3]stockregister!$A$1:$M$2000,12,0),0)-$I839</f>
        <v>0</v>
      </c>
      <c r="K839" s="3" t="s">
        <v>22</v>
      </c>
      <c r="L839" s="3" t="s">
        <v>23</v>
      </c>
      <c r="M839" s="3">
        <f>_xlfn.IFNA(VLOOKUP($A839,[2]stockregister!$A$2:$H$2000,8,0),0)</f>
        <v>2100</v>
      </c>
      <c r="N839" s="3">
        <f>_xlfn.IFNA(VLOOKUP($A839,[2]stockregister!$A$2:$H$2000,8,0),0)-$M839</f>
        <v>0</v>
      </c>
      <c r="O839" s="3" t="s">
        <v>1961</v>
      </c>
      <c r="P839" s="3" t="s">
        <v>1961</v>
      </c>
      <c r="Q839" s="3" t="s">
        <v>1134</v>
      </c>
      <c r="R839" s="3" t="s">
        <v>68</v>
      </c>
      <c r="S839" s="3" t="s">
        <v>1962</v>
      </c>
    </row>
    <row r="840" spans="1:19">
      <c r="A840" s="3">
        <v>2466</v>
      </c>
      <c r="B840" s="3" t="b">
        <f>ISNUMBER(MATCH(A840,[1]stockregister!$A$2:$A$2000,0))</f>
        <v>1</v>
      </c>
      <c r="C840" s="3" t="s">
        <v>1963</v>
      </c>
      <c r="D840" s="3" t="str">
        <f>VLOOKUP($C840,[1]stockregister!$B$2:$B$2000,1,0)</f>
        <v>B&amp;G MERLOT IGP PAYS DOC 750ML</v>
      </c>
      <c r="E840" s="3" t="str">
        <f>IF(ISNA($D840),VLOOKUP($A840,[2]stockregister!$A$2:$B$2000,2,FALSE),"")</f>
        <v/>
      </c>
      <c r="F840" s="3" t="s">
        <v>21</v>
      </c>
      <c r="G840" s="3">
        <f>_xlfn.IFNA(VLOOKUP($A840,[3]stockregister!$A$2:$L$2000,11,0),0)</f>
        <v>6</v>
      </c>
      <c r="H840" s="3">
        <f>_xlfn.IFNA(VLOOKUP($A840,[3]stockregister!$A$2:$L$2000,11,0),0)-$G840</f>
        <v>0</v>
      </c>
      <c r="I840" s="3">
        <f>_xlfn.IFNA(VLOOKUP($A840,[3]stockregister!$A$2:$L$2000,12,0),0)</f>
        <v>1030</v>
      </c>
      <c r="J840" s="3">
        <f>_xlfn.IFNA(VLOOKUP($A840,[3]stockregister!$A$1:$M$2000,12,0),0)-$I840</f>
        <v>0</v>
      </c>
      <c r="K840" s="3" t="s">
        <v>22</v>
      </c>
      <c r="L840" s="3" t="s">
        <v>23</v>
      </c>
      <c r="M840" s="3">
        <f>_xlfn.IFNA(VLOOKUP($A840,[2]stockregister!$A$2:$H$2000,8,0),0)</f>
        <v>1300</v>
      </c>
      <c r="N840" s="3">
        <f>_xlfn.IFNA(VLOOKUP($A840,[2]stockregister!$A$2:$H$2000,8,0),0)-$M840</f>
        <v>0</v>
      </c>
      <c r="O840" s="3" t="s">
        <v>1964</v>
      </c>
      <c r="P840" s="3" t="s">
        <v>1964</v>
      </c>
      <c r="Q840" s="3" t="s">
        <v>1140</v>
      </c>
      <c r="R840" s="3" t="s">
        <v>537</v>
      </c>
      <c r="S840" s="3" t="s">
        <v>169</v>
      </c>
    </row>
    <row r="841" spans="1:19">
      <c r="A841" s="3">
        <v>407</v>
      </c>
      <c r="B841" s="3" t="b">
        <f>ISNUMBER(MATCH(A841,[1]stockregister!$A$2:$A$2000,0))</f>
        <v>1</v>
      </c>
      <c r="C841" s="3" t="s">
        <v>1965</v>
      </c>
      <c r="D841" s="3" t="str">
        <f>VLOOKUP($C841,[1]stockregister!$B$2:$B$2000,1,0)</f>
        <v>CASAL MENDES RED 750ML</v>
      </c>
      <c r="E841" s="3" t="str">
        <f>IF(ISNA($D841),VLOOKUP($A841,[2]stockregister!$A$2:$B$2000,2,FALSE),"")</f>
        <v/>
      </c>
      <c r="F841" s="3" t="s">
        <v>21</v>
      </c>
      <c r="G841" s="3">
        <f>_xlfn.IFNA(VLOOKUP($A841,[3]stockregister!$A$2:$L$2000,11,0),0)</f>
        <v>6</v>
      </c>
      <c r="H841" s="3">
        <f>_xlfn.IFNA(VLOOKUP($A841,[3]stockregister!$A$2:$L$2000,11,0),0)-$G841</f>
        <v>0</v>
      </c>
      <c r="I841" s="3">
        <f>_xlfn.IFNA(VLOOKUP($A841,[3]stockregister!$A$2:$L$2000,12,0),0)</f>
        <v>1000</v>
      </c>
      <c r="J841" s="3">
        <f>_xlfn.IFNA(VLOOKUP($A841,[3]stockregister!$A$1:$M$2000,12,0),0)-$I841</f>
        <v>0</v>
      </c>
      <c r="K841" s="3" t="s">
        <v>22</v>
      </c>
      <c r="L841" s="3" t="s">
        <v>23</v>
      </c>
      <c r="M841" s="3">
        <f>_xlfn.IFNA(VLOOKUP($A841,[2]stockregister!$A$2:$H$2000,8,0),0)</f>
        <v>1200</v>
      </c>
      <c r="N841" s="3">
        <f>_xlfn.IFNA(VLOOKUP($A841,[2]stockregister!$A$2:$H$2000,8,0),0)-$M841</f>
        <v>0</v>
      </c>
      <c r="O841" s="3" t="s">
        <v>1966</v>
      </c>
      <c r="P841" s="3" t="s">
        <v>1966</v>
      </c>
      <c r="Q841" s="3" t="s">
        <v>1967</v>
      </c>
      <c r="R841" s="3" t="s">
        <v>537</v>
      </c>
      <c r="S841" s="3" t="s">
        <v>169</v>
      </c>
    </row>
    <row r="842" spans="1:19">
      <c r="A842" s="3">
        <v>2587</v>
      </c>
      <c r="B842" s="3" t="b">
        <f>ISNUMBER(MATCH(A842,[1]stockregister!$A$2:$A$2000,0))</f>
        <v>1</v>
      </c>
      <c r="C842" s="3" t="s">
        <v>1968</v>
      </c>
      <c r="D842" s="3" t="str">
        <f>VLOOKUP($C842,[1]stockregister!$B$2:$B$2000,1,0)</f>
        <v>TONS DE DUORUM ROSE 750</v>
      </c>
      <c r="E842" s="3" t="str">
        <f>IF(ISNA($D842),VLOOKUP($A842,[2]stockregister!$A$2:$B$2000,2,FALSE),"")</f>
        <v/>
      </c>
      <c r="F842" s="3" t="s">
        <v>21</v>
      </c>
      <c r="G842" s="3">
        <f>_xlfn.IFNA(VLOOKUP($A842,[3]stockregister!$A$2:$L$2000,11,0),0)</f>
        <v>6</v>
      </c>
      <c r="H842" s="3">
        <f>_xlfn.IFNA(VLOOKUP($A842,[3]stockregister!$A$2:$L$2000,11,0),0)-$G842</f>
        <v>0</v>
      </c>
      <c r="I842" s="3">
        <f>_xlfn.IFNA(VLOOKUP($A842,[3]stockregister!$A$2:$L$2000,12,0),0)</f>
        <v>1200</v>
      </c>
      <c r="J842" s="3">
        <f>_xlfn.IFNA(VLOOKUP($A842,[3]stockregister!$A$1:$M$2000,12,0),0)-$I842</f>
        <v>0</v>
      </c>
      <c r="K842" s="3" t="s">
        <v>22</v>
      </c>
      <c r="L842" s="3" t="s">
        <v>23</v>
      </c>
      <c r="M842" s="3">
        <f>_xlfn.IFNA(VLOOKUP($A842,[2]stockregister!$A$2:$H$2000,8,0),0)</f>
        <v>1400</v>
      </c>
      <c r="N842" s="3">
        <f>_xlfn.IFNA(VLOOKUP($A842,[2]stockregister!$A$2:$H$2000,8,0),0)-$M842</f>
        <v>0</v>
      </c>
      <c r="O842" s="3" t="s">
        <v>1969</v>
      </c>
      <c r="P842" s="3" t="s">
        <v>1969</v>
      </c>
      <c r="Q842" s="3" t="s">
        <v>1212</v>
      </c>
      <c r="R842" s="3" t="s">
        <v>537</v>
      </c>
      <c r="S842" s="3" t="s">
        <v>1030</v>
      </c>
    </row>
    <row r="843" spans="1:19">
      <c r="A843" s="3">
        <v>296</v>
      </c>
      <c r="B843" s="3" t="b">
        <f>ISNUMBER(MATCH(A843,[1]stockregister!$A$2:$A$2000,0))</f>
        <v>1</v>
      </c>
      <c r="C843" s="3" t="s">
        <v>1970</v>
      </c>
      <c r="D843" s="3" t="str">
        <f>VLOOKUP($C843,[1]stockregister!$B$2:$B$2000,1,0)</f>
        <v>BRUCE JACK RESERVE SAUV BLANC 750ML</v>
      </c>
      <c r="E843" s="3" t="str">
        <f>IF(ISNA($D843),VLOOKUP($A843,[2]stockregister!$A$2:$B$2000,2,FALSE),"")</f>
        <v/>
      </c>
      <c r="F843" s="3" t="s">
        <v>21</v>
      </c>
      <c r="G843" s="3">
        <f>_xlfn.IFNA(VLOOKUP($A843,[3]stockregister!$A$2:$L$2000,11,0),0)</f>
        <v>6</v>
      </c>
      <c r="H843" s="3">
        <f>_xlfn.IFNA(VLOOKUP($A843,[3]stockregister!$A$2:$L$2000,11,0),0)-$G843</f>
        <v>0</v>
      </c>
      <c r="I843" s="3">
        <f>_xlfn.IFNA(VLOOKUP($A843,[3]stockregister!$A$2:$L$2000,12,0),0)</f>
        <v>1380</v>
      </c>
      <c r="J843" s="3">
        <f>_xlfn.IFNA(VLOOKUP($A843,[3]stockregister!$A$1:$M$2000,12,0),0)-$I843</f>
        <v>0</v>
      </c>
      <c r="K843" s="3" t="s">
        <v>22</v>
      </c>
      <c r="L843" s="3" t="s">
        <v>23</v>
      </c>
      <c r="M843" s="3">
        <f>_xlfn.IFNA(VLOOKUP($A843,[2]stockregister!$A$2:$H$2000,8,0),0)</f>
        <v>1500</v>
      </c>
      <c r="N843" s="3">
        <f>_xlfn.IFNA(VLOOKUP($A843,[2]stockregister!$A$2:$H$2000,8,0),0)-$M843</f>
        <v>0</v>
      </c>
      <c r="O843" s="3" t="s">
        <v>1971</v>
      </c>
      <c r="P843" s="3" t="s">
        <v>1971</v>
      </c>
      <c r="Q843" s="3" t="s">
        <v>939</v>
      </c>
      <c r="R843" s="3" t="s">
        <v>68</v>
      </c>
      <c r="S843" s="3" t="s">
        <v>398</v>
      </c>
    </row>
    <row r="844" spans="1:19">
      <c r="A844" s="3">
        <v>1684</v>
      </c>
      <c r="B844" s="3" t="b">
        <f>ISNUMBER(MATCH(A844,[1]stockregister!$A$2:$A$2000,0))</f>
        <v>1</v>
      </c>
      <c r="C844" s="3" t="s">
        <v>1972</v>
      </c>
      <c r="D844" s="3" t="str">
        <f>VLOOKUP($C844,[1]stockregister!$B$2:$B$2000,1,0)</f>
        <v>ROCHE MAZET SAUVIGNON 750ML</v>
      </c>
      <c r="E844" s="3" t="str">
        <f>IF(ISNA($D844),VLOOKUP($A844,[2]stockregister!$A$2:$B$2000,2,FALSE),"")</f>
        <v/>
      </c>
      <c r="F844" s="3" t="s">
        <v>21</v>
      </c>
      <c r="G844" s="3">
        <f>_xlfn.IFNA(VLOOKUP($A844,[3]stockregister!$A$2:$L$2000,11,0),0)</f>
        <v>6</v>
      </c>
      <c r="H844" s="3">
        <f>_xlfn.IFNA(VLOOKUP($A844,[3]stockregister!$A$2:$L$2000,11,0),0)-$G844</f>
        <v>0</v>
      </c>
      <c r="I844" s="3">
        <f>_xlfn.IFNA(VLOOKUP($A844,[3]stockregister!$A$2:$L$2000,12,0),0)</f>
        <v>1104</v>
      </c>
      <c r="J844" s="3">
        <f>_xlfn.IFNA(VLOOKUP($A844,[3]stockregister!$A$1:$M$2000,12,0),0)-$I844</f>
        <v>0</v>
      </c>
      <c r="K844" s="3" t="s">
        <v>22</v>
      </c>
      <c r="L844" s="3" t="s">
        <v>23</v>
      </c>
      <c r="M844" s="3">
        <f>_xlfn.IFNA(VLOOKUP($A844,[2]stockregister!$A$2:$H$2000,8,0),0)</f>
        <v>1200</v>
      </c>
      <c r="N844" s="3">
        <f>_xlfn.IFNA(VLOOKUP($A844,[2]stockregister!$A$2:$H$2000,8,0),0)-$M844</f>
        <v>0</v>
      </c>
      <c r="O844" s="3" t="s">
        <v>1973</v>
      </c>
      <c r="P844" s="3" t="s">
        <v>1973</v>
      </c>
      <c r="Q844" s="3" t="s">
        <v>874</v>
      </c>
      <c r="R844" s="3" t="s">
        <v>68</v>
      </c>
      <c r="S844" s="3" t="s">
        <v>398</v>
      </c>
    </row>
    <row r="845" spans="1:19">
      <c r="A845" s="3">
        <v>134</v>
      </c>
      <c r="B845" s="3" t="b">
        <f>ISNUMBER(MATCH(A845,[1]stockregister!$A$2:$A$2000,0))</f>
        <v>1</v>
      </c>
      <c r="C845" s="3" t="s">
        <v>1974</v>
      </c>
      <c r="D845" s="3" t="str">
        <f>VLOOKUP($C845,[1]stockregister!$B$2:$B$2000,1,0)</f>
        <v>AUSTRALIAN BUSH SHIRAZ 750ML</v>
      </c>
      <c r="E845" s="3" t="str">
        <f>IF(ISNA($D845),VLOOKUP($A845,[2]stockregister!$A$2:$B$2000,2,FALSE),"")</f>
        <v/>
      </c>
      <c r="F845" s="3" t="s">
        <v>21</v>
      </c>
      <c r="G845" s="3">
        <f>_xlfn.IFNA(VLOOKUP($A845,[3]stockregister!$A$2:$L$2000,11,0),0)</f>
        <v>6</v>
      </c>
      <c r="H845" s="3">
        <f>_xlfn.IFNA(VLOOKUP($A845,[3]stockregister!$A$2:$L$2000,11,0),0)-$G845</f>
        <v>0</v>
      </c>
      <c r="I845" s="3">
        <f>_xlfn.IFNA(VLOOKUP($A845,[3]stockregister!$A$2:$L$2000,12,0),0)</f>
        <v>920</v>
      </c>
      <c r="J845" s="3">
        <f>_xlfn.IFNA(VLOOKUP($A845,[3]stockregister!$A$1:$M$2000,12,0),0)-$I845</f>
        <v>0</v>
      </c>
      <c r="K845" s="3" t="s">
        <v>22</v>
      </c>
      <c r="L845" s="3" t="s">
        <v>23</v>
      </c>
      <c r="M845" s="3">
        <f>_xlfn.IFNA(VLOOKUP($A845,[2]stockregister!$A$2:$H$2000,8,0),0)</f>
        <v>1000</v>
      </c>
      <c r="N845" s="3">
        <f>_xlfn.IFNA(VLOOKUP($A845,[2]stockregister!$A$2:$H$2000,8,0),0)-$M845</f>
        <v>0</v>
      </c>
      <c r="O845" s="3" t="s">
        <v>1975</v>
      </c>
      <c r="P845" s="3" t="s">
        <v>1975</v>
      </c>
      <c r="Q845" s="3" t="s">
        <v>1299</v>
      </c>
      <c r="R845" s="3" t="s">
        <v>68</v>
      </c>
      <c r="S845" s="3" t="s">
        <v>1357</v>
      </c>
    </row>
    <row r="846" spans="1:19">
      <c r="A846" s="3">
        <v>2058</v>
      </c>
      <c r="B846" s="3" t="b">
        <f>ISNUMBER(MATCH(A846,[1]stockregister!$A$2:$A$2000,0))</f>
        <v>1</v>
      </c>
      <c r="C846" s="3" t="s">
        <v>1976</v>
      </c>
      <c r="D846" s="3" t="str">
        <f>VLOOKUP($C846,[1]stockregister!$B$2:$B$2000,1,0)</f>
        <v>VEUVE DU VERNAY BRUT ROSE 750ML</v>
      </c>
      <c r="E846" s="3" t="str">
        <f>IF(ISNA($D846),VLOOKUP($A846,[2]stockregister!$A$2:$B$2000,2,FALSE),"")</f>
        <v/>
      </c>
      <c r="F846" s="3" t="s">
        <v>21</v>
      </c>
      <c r="G846" s="3">
        <f>_xlfn.IFNA(VLOOKUP($A846,[3]stockregister!$A$2:$L$2000,11,0),0)</f>
        <v>6</v>
      </c>
      <c r="H846" s="3">
        <f>_xlfn.IFNA(VLOOKUP($A846,[3]stockregister!$A$2:$L$2000,11,0),0)-$G846</f>
        <v>0</v>
      </c>
      <c r="I846" s="3">
        <f>_xlfn.IFNA(VLOOKUP($A846,[3]stockregister!$A$2:$L$2000,12,0),0)</f>
        <v>6900</v>
      </c>
      <c r="J846" s="3">
        <f>_xlfn.IFNA(VLOOKUP($A846,[3]stockregister!$A$1:$M$2000,12,0),0)-$I846</f>
        <v>0</v>
      </c>
      <c r="K846" s="3" t="s">
        <v>22</v>
      </c>
      <c r="L846" s="3" t="s">
        <v>23</v>
      </c>
      <c r="M846" s="3">
        <f>_xlfn.IFNA(VLOOKUP($A846,[2]stockregister!$A$2:$H$2000,8,0),0)</f>
        <v>7500</v>
      </c>
      <c r="N846" s="3">
        <f>_xlfn.IFNA(VLOOKUP($A846,[2]stockregister!$A$2:$H$2000,8,0),0)-$M846</f>
        <v>0</v>
      </c>
      <c r="O846" s="3" t="s">
        <v>1977</v>
      </c>
      <c r="P846" s="3" t="s">
        <v>1977</v>
      </c>
      <c r="Q846" s="3" t="s">
        <v>1978</v>
      </c>
      <c r="R846" s="3" t="s">
        <v>68</v>
      </c>
      <c r="S846" s="3" t="s">
        <v>828</v>
      </c>
    </row>
    <row r="847" spans="1:19">
      <c r="A847" s="3">
        <v>1742</v>
      </c>
      <c r="B847" s="3" t="b">
        <f>ISNUMBER(MATCH(A847,[1]stockregister!$A$2:$A$2000,0))</f>
        <v>1</v>
      </c>
      <c r="C847" s="3" t="s">
        <v>1979</v>
      </c>
      <c r="D847" s="3" t="str">
        <f>VLOOKUP($C847,[1]stockregister!$B$2:$B$2000,1,0)</f>
        <v>SANDARA Premium Sparkling Sangria 750ML</v>
      </c>
      <c r="E847" s="3" t="str">
        <f>IF(ISNA($D847),VLOOKUP($A847,[2]stockregister!$A$2:$B$2000,2,FALSE),"")</f>
        <v/>
      </c>
      <c r="F847" s="3" t="s">
        <v>21</v>
      </c>
      <c r="G847" s="3">
        <f>_xlfn.IFNA(VLOOKUP($A847,[3]stockregister!$A$2:$L$2000,11,0),0)</f>
        <v>6</v>
      </c>
      <c r="H847" s="3">
        <f>_xlfn.IFNA(VLOOKUP($A847,[3]stockregister!$A$2:$L$2000,11,0),0)-$G847</f>
        <v>0</v>
      </c>
      <c r="I847" s="3">
        <f>_xlfn.IFNA(VLOOKUP($A847,[3]stockregister!$A$2:$L$2000,12,0),0)</f>
        <v>1012</v>
      </c>
      <c r="J847" s="3">
        <f>_xlfn.IFNA(VLOOKUP($A847,[3]stockregister!$A$1:$M$2000,12,0),0)-$I847</f>
        <v>0</v>
      </c>
      <c r="K847" s="3" t="s">
        <v>22</v>
      </c>
      <c r="L847" s="3" t="s">
        <v>23</v>
      </c>
      <c r="M847" s="3">
        <f>_xlfn.IFNA(VLOOKUP($A847,[2]stockregister!$A$2:$H$2000,8,0),0)</f>
        <v>1100</v>
      </c>
      <c r="N847" s="3">
        <f>_xlfn.IFNA(VLOOKUP($A847,[2]stockregister!$A$2:$H$2000,8,0),0)-$M847</f>
        <v>0</v>
      </c>
      <c r="O847" s="3" t="s">
        <v>1980</v>
      </c>
      <c r="P847" s="3" t="s">
        <v>1980</v>
      </c>
      <c r="Q847" s="3" t="s">
        <v>1981</v>
      </c>
      <c r="R847" s="3" t="s">
        <v>68</v>
      </c>
      <c r="S847" s="3" t="s">
        <v>828</v>
      </c>
    </row>
    <row r="848" spans="1:19">
      <c r="A848" s="3">
        <v>2494</v>
      </c>
      <c r="B848" s="3" t="b">
        <f>ISNUMBER(MATCH(A848,[1]stockregister!$A$2:$A$2000,0))</f>
        <v>1</v>
      </c>
      <c r="C848" s="3" t="s">
        <v>1982</v>
      </c>
      <c r="D848" s="3" t="str">
        <f>VLOOKUP($C848,[1]stockregister!$B$2:$B$2000,1,0)</f>
        <v>EXPRESION BRUT SPARKLING 750ML</v>
      </c>
      <c r="E848" s="3" t="str">
        <f>IF(ISNA($D848),VLOOKUP($A848,[2]stockregister!$A$2:$B$2000,2,FALSE),"")</f>
        <v/>
      </c>
      <c r="F848" s="3" t="s">
        <v>21</v>
      </c>
      <c r="G848" s="3">
        <f>_xlfn.IFNA(VLOOKUP($A848,[3]stockregister!$A$2:$L$2000,11,0),0)</f>
        <v>6</v>
      </c>
      <c r="H848" s="3">
        <f>_xlfn.IFNA(VLOOKUP($A848,[3]stockregister!$A$2:$L$2000,11,0),0)-$G848</f>
        <v>0</v>
      </c>
      <c r="I848" s="3">
        <f>_xlfn.IFNA(VLOOKUP($A848,[3]stockregister!$A$2:$L$2000,12,0),0)</f>
        <v>1200</v>
      </c>
      <c r="J848" s="3">
        <f>_xlfn.IFNA(VLOOKUP($A848,[3]stockregister!$A$1:$M$2000,12,0),0)-$I848</f>
        <v>0</v>
      </c>
      <c r="K848" s="3" t="s">
        <v>22</v>
      </c>
      <c r="L848" s="3" t="s">
        <v>23</v>
      </c>
      <c r="M848" s="3">
        <f>_xlfn.IFNA(VLOOKUP($A848,[2]stockregister!$A$2:$H$2000,8,0),0)</f>
        <v>1400</v>
      </c>
      <c r="N848" s="3">
        <f>_xlfn.IFNA(VLOOKUP($A848,[2]stockregister!$A$2:$H$2000,8,0),0)-$M848</f>
        <v>0</v>
      </c>
      <c r="O848" s="3" t="s">
        <v>1983</v>
      </c>
      <c r="P848" s="3" t="s">
        <v>1983</v>
      </c>
      <c r="Q848" s="3" t="s">
        <v>925</v>
      </c>
      <c r="R848" s="3" t="s">
        <v>537</v>
      </c>
      <c r="S848" s="3" t="s">
        <v>1714</v>
      </c>
    </row>
    <row r="849" spans="1:19">
      <c r="A849" s="3">
        <v>2501</v>
      </c>
      <c r="B849" s="3" t="b">
        <f>ISNUMBER(MATCH(A849,[1]stockregister!$A$2:$A$2000,0))</f>
        <v>1</v>
      </c>
      <c r="C849" s="3" t="s">
        <v>1984</v>
      </c>
      <c r="D849" s="3" t="str">
        <f>VLOOKUP($C849,[1]stockregister!$B$2:$B$2000,1,0)</f>
        <v>PIERRE JOURDAN TRANQUILLE 750ML</v>
      </c>
      <c r="E849" s="3" t="str">
        <f>IF(ISNA($D849),VLOOKUP($A849,[2]stockregister!$A$2:$B$2000,2,FALSE),"")</f>
        <v/>
      </c>
      <c r="F849" s="3" t="s">
        <v>21</v>
      </c>
      <c r="G849" s="3">
        <f>_xlfn.IFNA(VLOOKUP($A849,[3]stockregister!$A$2:$L$2000,11,0),0)</f>
        <v>6</v>
      </c>
      <c r="H849" s="3">
        <f>_xlfn.IFNA(VLOOKUP($A849,[3]stockregister!$A$2:$L$2000,11,0),0)-$G849</f>
        <v>0</v>
      </c>
      <c r="I849" s="3">
        <f>_xlfn.IFNA(VLOOKUP($A849,[3]stockregister!$A$2:$L$2000,12,0),0)</f>
        <v>1570</v>
      </c>
      <c r="J849" s="3">
        <f>_xlfn.IFNA(VLOOKUP($A849,[3]stockregister!$A$1:$M$2000,12,0),0)-$I849</f>
        <v>0</v>
      </c>
      <c r="K849" s="3" t="s">
        <v>22</v>
      </c>
      <c r="L849" s="3" t="s">
        <v>23</v>
      </c>
      <c r="M849" s="3">
        <f>_xlfn.IFNA(VLOOKUP($A849,[2]stockregister!$A$2:$H$2000,8,0),0)</f>
        <v>1730</v>
      </c>
      <c r="N849" s="3">
        <f>_xlfn.IFNA(VLOOKUP($A849,[2]stockregister!$A$2:$H$2000,8,0),0)-$M849</f>
        <v>0</v>
      </c>
      <c r="O849" s="3" t="s">
        <v>1985</v>
      </c>
      <c r="P849" s="3" t="s">
        <v>1985</v>
      </c>
      <c r="Q849" s="3" t="s">
        <v>1986</v>
      </c>
      <c r="R849" s="3" t="s">
        <v>537</v>
      </c>
      <c r="S849" s="3" t="s">
        <v>68</v>
      </c>
    </row>
    <row r="850" spans="1:18">
      <c r="A850" s="3">
        <v>2958</v>
      </c>
      <c r="B850" s="3" t="b">
        <f>ISNUMBER(MATCH(A850,[1]stockregister!$A$2:$A$2000,0))</f>
        <v>1</v>
      </c>
      <c r="C850" s="3" t="s">
        <v>1987</v>
      </c>
      <c r="D850" s="3" t="str">
        <f>VLOOKUP($C850,[1]stockregister!$B$2:$B$2000,1,0)</f>
        <v>TEELING WHISKY 700ML</v>
      </c>
      <c r="E850" s="3" t="str">
        <f>IF(ISNA($D850),VLOOKUP($A850,[2]stockregister!$A$2:$B$2000,2,FALSE),"")</f>
        <v/>
      </c>
      <c r="F850" s="3" t="s">
        <v>21</v>
      </c>
      <c r="G850" s="3">
        <f>_xlfn.IFNA(VLOOKUP($A850,[3]stockregister!$A$2:$L$2000,11,0),0)</f>
        <v>6</v>
      </c>
      <c r="H850" s="3">
        <f>_xlfn.IFNA(VLOOKUP($A850,[3]stockregister!$A$2:$L$2000,11,0),0)-$G850</f>
        <v>0</v>
      </c>
      <c r="I850" s="3">
        <f>_xlfn.IFNA(VLOOKUP($A850,[3]stockregister!$A$2:$L$2000,12,0),0)</f>
        <v>2120</v>
      </c>
      <c r="J850" s="3">
        <f>_xlfn.IFNA(VLOOKUP($A850,[3]stockregister!$A$1:$M$2000,12,0),0)-$I850</f>
        <v>0</v>
      </c>
      <c r="K850" s="3" t="s">
        <v>22</v>
      </c>
      <c r="L850" s="3" t="s">
        <v>23</v>
      </c>
      <c r="M850" s="3">
        <f>_xlfn.IFNA(VLOOKUP($A850,[2]stockregister!$A$2:$H$2000,8,0),0)</f>
        <v>2800</v>
      </c>
      <c r="N850" s="3">
        <f>_xlfn.IFNA(VLOOKUP($A850,[2]stockregister!$A$2:$H$2000,8,0),0)-$M850</f>
        <v>0</v>
      </c>
      <c r="O850" s="3" t="s">
        <v>1988</v>
      </c>
      <c r="P850" s="3" t="s">
        <v>1988</v>
      </c>
      <c r="Q850" s="3" t="s">
        <v>1989</v>
      </c>
      <c r="R850" s="3" t="s">
        <v>92</v>
      </c>
    </row>
    <row r="851" spans="1:20">
      <c r="A851" s="3">
        <v>2954</v>
      </c>
      <c r="B851" s="3" t="b">
        <f>ISNUMBER(MATCH(A851,[1]stockregister!$A$2:$A$2000,0))</f>
        <v>1</v>
      </c>
      <c r="C851" s="3" t="s">
        <v>1990</v>
      </c>
      <c r="D851" s="3" t="str">
        <f>VLOOKUP($C851,[1]stockregister!$B$2:$B$2000,1,0)</f>
        <v>THE YAMAZAKI 12YRS 700ML</v>
      </c>
      <c r="E851" s="3" t="str">
        <f>IF(ISNA($D851),VLOOKUP($A851,[2]stockregister!$A$2:$B$2000,2,FALSE),"")</f>
        <v/>
      </c>
      <c r="F851" s="3" t="s">
        <v>21</v>
      </c>
      <c r="G851" s="3">
        <f>_xlfn.IFNA(VLOOKUP($A851,[3]stockregister!$A$2:$L$2000,11,0),0)</f>
        <v>6</v>
      </c>
      <c r="H851" s="3">
        <f>_xlfn.IFNA(VLOOKUP($A851,[3]stockregister!$A$2:$L$2000,11,0),0)-$G851</f>
        <v>0</v>
      </c>
      <c r="I851" s="3">
        <f>_xlfn.IFNA(VLOOKUP($A851,[3]stockregister!$A$2:$L$2000,12,0),0)</f>
        <v>16600</v>
      </c>
      <c r="J851" s="3">
        <f>_xlfn.IFNA(VLOOKUP($A851,[3]stockregister!$A$1:$M$2000,12,0),0)-$I851</f>
        <v>0</v>
      </c>
      <c r="K851" s="3" t="s">
        <v>22</v>
      </c>
      <c r="L851" s="3" t="s">
        <v>23</v>
      </c>
      <c r="M851" s="3">
        <f>_xlfn.IFNA(VLOOKUP($A851,[2]stockregister!$A$2:$H$2000,8,0),0)</f>
        <v>22500</v>
      </c>
      <c r="N851" s="3">
        <f>_xlfn.IFNA(VLOOKUP($A851,[2]stockregister!$A$2:$H$2000,8,0),0)-$M851</f>
        <v>0</v>
      </c>
      <c r="O851" s="3" t="s">
        <v>1991</v>
      </c>
      <c r="P851" s="3" t="s">
        <v>1991</v>
      </c>
      <c r="Q851" s="3" t="s">
        <v>1992</v>
      </c>
      <c r="R851" s="3" t="s">
        <v>92</v>
      </c>
      <c r="T851" s="3">
        <v>12</v>
      </c>
    </row>
    <row r="852" spans="1:19">
      <c r="A852" s="3">
        <v>2999</v>
      </c>
      <c r="B852" s="3" t="b">
        <f>ISNUMBER(MATCH(A852,[1]stockregister!$A$2:$A$2000,0))</f>
        <v>1</v>
      </c>
      <c r="C852" s="3" t="s">
        <v>1993</v>
      </c>
      <c r="D852" s="3" t="str">
        <f>VLOOKUP($C852,[1]stockregister!$B$2:$B$2000,1,0)</f>
        <v>FANTINEL SPUMANTE ZUCCOLO PROSECCO EXTRA-DRY 750ML</v>
      </c>
      <c r="E852" s="3" t="str">
        <f>IF(ISNA($D852),VLOOKUP($A852,[2]stockregister!$A$2:$B$2000,2,FALSE),"")</f>
        <v/>
      </c>
      <c r="F852" s="3" t="s">
        <v>21</v>
      </c>
      <c r="G852" s="3">
        <f>_xlfn.IFNA(VLOOKUP($A852,[3]stockregister!$A$2:$L$2000,11,0),0)</f>
        <v>6</v>
      </c>
      <c r="H852" s="3">
        <f>_xlfn.IFNA(VLOOKUP($A852,[3]stockregister!$A$2:$L$2000,11,0),0)-$G852</f>
        <v>0</v>
      </c>
      <c r="I852" s="3">
        <f>_xlfn.IFNA(VLOOKUP($A852,[3]stockregister!$A$2:$L$2000,12,0),0)</f>
        <v>1419</v>
      </c>
      <c r="J852" s="3">
        <f>_xlfn.IFNA(VLOOKUP($A852,[3]stockregister!$A$1:$M$2000,12,0),0)-$I852</f>
        <v>0</v>
      </c>
      <c r="K852" s="3" t="s">
        <v>22</v>
      </c>
      <c r="L852" s="3" t="s">
        <v>23</v>
      </c>
      <c r="M852" s="3">
        <f>_xlfn.IFNA(VLOOKUP($A852,[2]stockregister!$A$2:$H$2000,8,0),0)</f>
        <v>1550</v>
      </c>
      <c r="N852" s="3">
        <f>_xlfn.IFNA(VLOOKUP($A852,[2]stockregister!$A$2:$H$2000,8,0),0)-$M852</f>
        <v>0</v>
      </c>
      <c r="O852" s="3" t="s">
        <v>1994</v>
      </c>
      <c r="P852" s="3" t="s">
        <v>1994</v>
      </c>
      <c r="Q852" s="3" t="s">
        <v>1995</v>
      </c>
      <c r="R852" s="3" t="s">
        <v>68</v>
      </c>
      <c r="S852" s="3" t="s">
        <v>1161</v>
      </c>
    </row>
    <row r="853" spans="1:18">
      <c r="A853" s="3">
        <v>1627</v>
      </c>
      <c r="B853" s="3" t="b">
        <f>ISNUMBER(MATCH(A853,[1]stockregister!$A$2:$A$2000,0))</f>
        <v>1</v>
      </c>
      <c r="C853" s="3" t="s">
        <v>1996</v>
      </c>
      <c r="D853" s="3" t="str">
        <f>VLOOKUP($C853,[1]stockregister!$B$2:$B$2000,1,0)</f>
        <v>PIMMS LIQUEUR 1LTR</v>
      </c>
      <c r="E853" s="3" t="str">
        <f>IF(ISNA($D853),VLOOKUP($A853,[2]stockregister!$A$2:$B$2000,2,FALSE),"")</f>
        <v/>
      </c>
      <c r="F853" s="3" t="s">
        <v>21</v>
      </c>
      <c r="G853" s="3">
        <f>_xlfn.IFNA(VLOOKUP($A853,[3]stockregister!$A$2:$L$2000,11,0),0)</f>
        <v>5</v>
      </c>
      <c r="H853" s="3">
        <f>_xlfn.IFNA(VLOOKUP($A853,[3]stockregister!$A$2:$L$2000,11,0),0)-$G853</f>
        <v>0</v>
      </c>
      <c r="I853" s="3">
        <f>_xlfn.IFNA(VLOOKUP($A853,[3]stockregister!$A$2:$L$2000,12,0),0)</f>
        <v>2116</v>
      </c>
      <c r="J853" s="3">
        <f>_xlfn.IFNA(VLOOKUP($A853,[3]stockregister!$A$1:$M$2000,12,0),0)-$I853</f>
        <v>0</v>
      </c>
      <c r="K853" s="3" t="s">
        <v>22</v>
      </c>
      <c r="L853" s="3" t="s">
        <v>23</v>
      </c>
      <c r="M853" s="3">
        <f>_xlfn.IFNA(VLOOKUP($A853,[2]stockregister!$A$2:$H$2000,8,0),0)</f>
        <v>2300</v>
      </c>
      <c r="N853" s="3">
        <f>_xlfn.IFNA(VLOOKUP($A853,[2]stockregister!$A$2:$H$2000,8,0),0)-$M853</f>
        <v>0</v>
      </c>
      <c r="O853" s="3" t="s">
        <v>1997</v>
      </c>
      <c r="P853" s="3" t="s">
        <v>1997</v>
      </c>
      <c r="Q853" s="3" t="s">
        <v>836</v>
      </c>
      <c r="R853" s="3" t="s">
        <v>126</v>
      </c>
    </row>
    <row r="854" spans="1:18">
      <c r="A854" s="3">
        <v>2323</v>
      </c>
      <c r="B854" s="3" t="b">
        <f>ISNUMBER(MATCH(A854,[1]stockregister!$A$2:$A$2000,0))</f>
        <v>1</v>
      </c>
      <c r="C854" s="3" t="s">
        <v>1998</v>
      </c>
      <c r="D854" s="3" t="str">
        <f>VLOOKUP($C854,[1]stockregister!$B$2:$B$2000,1,0)</f>
        <v>NEGRITA BARDINET ORIGINAL CARIBEAN RUM 1LTR</v>
      </c>
      <c r="E854" s="3" t="str">
        <f>IF(ISNA($D854),VLOOKUP($A854,[2]stockregister!$A$2:$B$2000,2,FALSE),"")</f>
        <v/>
      </c>
      <c r="F854" s="3" t="s">
        <v>21</v>
      </c>
      <c r="G854" s="3">
        <f>_xlfn.IFNA(VLOOKUP($A854,[3]stockregister!$A$2:$L$2000,11,0),0)</f>
        <v>5</v>
      </c>
      <c r="H854" s="3">
        <f>_xlfn.IFNA(VLOOKUP($A854,[3]stockregister!$A$2:$L$2000,11,0),0)-$G854</f>
        <v>0</v>
      </c>
      <c r="I854" s="3">
        <f>_xlfn.IFNA(VLOOKUP($A854,[3]stockregister!$A$2:$L$2000,12,0),0)</f>
        <v>1400</v>
      </c>
      <c r="J854" s="3">
        <f>_xlfn.IFNA(VLOOKUP($A854,[3]stockregister!$A$1:$M$2000,12,0),0)-$I854</f>
        <v>0</v>
      </c>
      <c r="K854" s="3" t="s">
        <v>22</v>
      </c>
      <c r="L854" s="3" t="s">
        <v>23</v>
      </c>
      <c r="M854" s="3">
        <f>_xlfn.IFNA(VLOOKUP($A854,[2]stockregister!$A$2:$H$2000,8,0),0)</f>
        <v>1500</v>
      </c>
      <c r="N854" s="3">
        <f>_xlfn.IFNA(VLOOKUP($A854,[2]stockregister!$A$2:$H$2000,8,0),0)-$M854</f>
        <v>0</v>
      </c>
      <c r="O854" s="3" t="s">
        <v>1999</v>
      </c>
      <c r="P854" s="3" t="s">
        <v>1999</v>
      </c>
      <c r="Q854" s="3" t="s">
        <v>1616</v>
      </c>
      <c r="R854" s="3" t="s">
        <v>156</v>
      </c>
    </row>
    <row r="855" spans="1:20">
      <c r="A855" s="3">
        <v>1124</v>
      </c>
      <c r="B855" s="3" t="b">
        <f>ISNUMBER(MATCH(A855,[1]stockregister!$A$2:$A$2000,0))</f>
        <v>1</v>
      </c>
      <c r="C855" s="3" t="s">
        <v>2000</v>
      </c>
      <c r="D855" s="3" t="str">
        <f>VLOOKUP($C855,[1]stockregister!$B$2:$B$2000,1,0)</f>
        <v>JOHNNIE WALKER XR 21YRS WHISKY 700ML</v>
      </c>
      <c r="E855" s="3" t="str">
        <f>IF(ISNA($D855),VLOOKUP($A855,[2]stockregister!$A$2:$B$2000,2,FALSE),"")</f>
        <v/>
      </c>
      <c r="F855" s="3" t="s">
        <v>21</v>
      </c>
      <c r="G855" s="3">
        <f>_xlfn.IFNA(VLOOKUP($A855,[3]stockregister!$A$2:$L$2000,11,0),0)</f>
        <v>5</v>
      </c>
      <c r="H855" s="3">
        <f>_xlfn.IFNA(VLOOKUP($A855,[3]stockregister!$A$2:$L$2000,11,0),0)-$G855</f>
        <v>0</v>
      </c>
      <c r="I855" s="3">
        <f>_xlfn.IFNA(VLOOKUP($A855,[3]stockregister!$A$2:$L$2000,12,0),0)</f>
        <v>14000</v>
      </c>
      <c r="J855" s="3">
        <f>_xlfn.IFNA(VLOOKUP($A855,[3]stockregister!$A$1:$M$2000,12,0),0)-$I855</f>
        <v>0</v>
      </c>
      <c r="K855" s="3" t="s">
        <v>22</v>
      </c>
      <c r="L855" s="3" t="s">
        <v>23</v>
      </c>
      <c r="M855" s="3">
        <f>_xlfn.IFNA(VLOOKUP($A855,[2]stockregister!$A$2:$H$2000,8,0),0)</f>
        <v>15000</v>
      </c>
      <c r="N855" s="3">
        <f>_xlfn.IFNA(VLOOKUP($A855,[2]stockregister!$A$2:$H$2000,8,0),0)-$M855</f>
        <v>0</v>
      </c>
      <c r="O855" s="3" t="s">
        <v>2001</v>
      </c>
      <c r="P855" s="3" t="s">
        <v>2001</v>
      </c>
      <c r="Q855" s="3" t="s">
        <v>133</v>
      </c>
      <c r="R855" s="3" t="s">
        <v>92</v>
      </c>
      <c r="S855" s="3" t="s">
        <v>134</v>
      </c>
      <c r="T855" s="3">
        <v>21</v>
      </c>
    </row>
    <row r="856" spans="1:19">
      <c r="A856" s="3">
        <v>2349</v>
      </c>
      <c r="B856" s="3" t="b">
        <f>ISNUMBER(MATCH(A856,[1]stockregister!$A$2:$A$2000,0))</f>
        <v>1</v>
      </c>
      <c r="C856" s="3" t="s">
        <v>2002</v>
      </c>
      <c r="D856" s="3" t="str">
        <f>VLOOKUP($C856,[1]stockregister!$B$2:$B$2000,1,0)</f>
        <v>18 CAB SAUV 750ML</v>
      </c>
      <c r="E856" s="3" t="str">
        <f>IF(ISNA($D856),VLOOKUP($A856,[2]stockregister!$A$2:$B$2000,2,FALSE),"")</f>
        <v/>
      </c>
      <c r="F856" s="3" t="s">
        <v>21</v>
      </c>
      <c r="G856" s="3">
        <f>_xlfn.IFNA(VLOOKUP($A856,[3]stockregister!$A$2:$L$2000,11,0),0)</f>
        <v>5</v>
      </c>
      <c r="H856" s="3">
        <f>_xlfn.IFNA(VLOOKUP($A856,[3]stockregister!$A$2:$L$2000,11,0),0)-$G856</f>
        <v>0</v>
      </c>
      <c r="I856" s="3">
        <f>_xlfn.IFNA(VLOOKUP($A856,[3]stockregister!$A$2:$L$2000,12,0),0)</f>
        <v>1100</v>
      </c>
      <c r="J856" s="3">
        <f>_xlfn.IFNA(VLOOKUP($A856,[3]stockregister!$A$1:$M$2000,12,0),0)-$I856</f>
        <v>0</v>
      </c>
      <c r="K856" s="3" t="s">
        <v>22</v>
      </c>
      <c r="L856" s="3" t="s">
        <v>23</v>
      </c>
      <c r="M856" s="3">
        <f>_xlfn.IFNA(VLOOKUP($A856,[2]stockregister!$A$2:$H$2000,8,0),0)</f>
        <v>1200</v>
      </c>
      <c r="N856" s="3">
        <f>_xlfn.IFNA(VLOOKUP($A856,[2]stockregister!$A$2:$H$2000,8,0),0)-$M856</f>
        <v>0</v>
      </c>
      <c r="O856" s="3" t="s">
        <v>2003</v>
      </c>
      <c r="P856" s="3" t="s">
        <v>2003</v>
      </c>
      <c r="Q856" s="3">
        <v>18</v>
      </c>
      <c r="R856" s="3" t="s">
        <v>68</v>
      </c>
      <c r="S856" s="3" t="s">
        <v>206</v>
      </c>
    </row>
    <row r="857" spans="1:19">
      <c r="A857" s="3">
        <v>1425</v>
      </c>
      <c r="B857" s="3" t="b">
        <f>ISNUMBER(MATCH(A857,[1]stockregister!$A$2:$A$2000,0))</f>
        <v>1</v>
      </c>
      <c r="C857" s="3" t="s">
        <v>2004</v>
      </c>
      <c r="D857" s="3" t="str">
        <f>VLOOKUP($C857,[1]stockregister!$B$2:$B$2000,1,0)</f>
        <v>MICHEL TORINO COLECCION MALBEC 750ML</v>
      </c>
      <c r="E857" s="3" t="str">
        <f>IF(ISNA($D857),VLOOKUP($A857,[2]stockregister!$A$2:$B$2000,2,FALSE),"")</f>
        <v/>
      </c>
      <c r="F857" s="3" t="s">
        <v>21</v>
      </c>
      <c r="G857" s="3">
        <f>_xlfn.IFNA(VLOOKUP($A857,[3]stockregister!$A$2:$L$2000,11,0),0)</f>
        <v>5</v>
      </c>
      <c r="H857" s="3">
        <f>_xlfn.IFNA(VLOOKUP($A857,[3]stockregister!$A$2:$L$2000,11,0),0)-$G857</f>
        <v>0</v>
      </c>
      <c r="I857" s="3">
        <f>_xlfn.IFNA(VLOOKUP($A857,[3]stockregister!$A$2:$L$2000,12,0),0)</f>
        <v>984.4</v>
      </c>
      <c r="J857" s="3">
        <f>_xlfn.IFNA(VLOOKUP($A857,[3]stockregister!$A$1:$M$2000,12,0),0)-$I857</f>
        <v>0</v>
      </c>
      <c r="K857" s="3" t="s">
        <v>22</v>
      </c>
      <c r="L857" s="3" t="s">
        <v>23</v>
      </c>
      <c r="M857" s="3">
        <f>_xlfn.IFNA(VLOOKUP($A857,[2]stockregister!$A$2:$H$2000,8,0),0)</f>
        <v>1070</v>
      </c>
      <c r="N857" s="3">
        <f>_xlfn.IFNA(VLOOKUP($A857,[2]stockregister!$A$2:$H$2000,8,0),0)-$M857</f>
        <v>0</v>
      </c>
      <c r="O857" s="3" t="s">
        <v>2005</v>
      </c>
      <c r="P857" s="3" t="s">
        <v>2005</v>
      </c>
      <c r="Q857" s="3" t="s">
        <v>2006</v>
      </c>
      <c r="R857" s="3" t="s">
        <v>68</v>
      </c>
      <c r="S857" s="3" t="s">
        <v>1310</v>
      </c>
    </row>
    <row r="858" spans="1:19">
      <c r="A858" s="3">
        <v>2229</v>
      </c>
      <c r="B858" s="3" t="b">
        <f>ISNUMBER(MATCH(A858,[1]stockregister!$A$2:$A$2000,0))</f>
        <v>1</v>
      </c>
      <c r="C858" s="3" t="s">
        <v>2007</v>
      </c>
      <c r="D858" s="3" t="str">
        <f>VLOOKUP($C858,[1]stockregister!$B$2:$B$2000,1,0)</f>
        <v>LA CAPRA MERLOT 750ML</v>
      </c>
      <c r="E858" s="3" t="str">
        <f>IF(ISNA($D858),VLOOKUP($A858,[2]stockregister!$A$2:$B$2000,2,FALSE),"")</f>
        <v/>
      </c>
      <c r="F858" s="3" t="s">
        <v>21</v>
      </c>
      <c r="G858" s="3">
        <f>_xlfn.IFNA(VLOOKUP($A858,[3]stockregister!$A$2:$L$2000,11,0),0)</f>
        <v>5</v>
      </c>
      <c r="H858" s="3">
        <f>_xlfn.IFNA(VLOOKUP($A858,[3]stockregister!$A$2:$L$2000,11,0),0)-$G858</f>
        <v>0</v>
      </c>
      <c r="I858" s="3">
        <f>_xlfn.IFNA(VLOOKUP($A858,[3]stockregister!$A$2:$L$2000,12,0),0)</f>
        <v>1100</v>
      </c>
      <c r="J858" s="3">
        <f>_xlfn.IFNA(VLOOKUP($A858,[3]stockregister!$A$1:$M$2000,12,0),0)-$I858</f>
        <v>0</v>
      </c>
      <c r="K858" s="3" t="s">
        <v>22</v>
      </c>
      <c r="L858" s="3" t="s">
        <v>23</v>
      </c>
      <c r="M858" s="3">
        <f>_xlfn.IFNA(VLOOKUP($A858,[2]stockregister!$A$2:$H$2000,8,0),0)</f>
        <v>1200</v>
      </c>
      <c r="N858" s="3">
        <f>_xlfn.IFNA(VLOOKUP($A858,[2]stockregister!$A$2:$H$2000,8,0),0)-$M858</f>
        <v>0</v>
      </c>
      <c r="O858" s="3" t="s">
        <v>2008</v>
      </c>
      <c r="P858" s="3" t="s">
        <v>2008</v>
      </c>
      <c r="Q858" s="3" t="s">
        <v>1306</v>
      </c>
      <c r="R858" s="3" t="s">
        <v>68</v>
      </c>
      <c r="S858" s="3" t="s">
        <v>369</v>
      </c>
    </row>
    <row r="859" spans="1:19">
      <c r="A859" s="3">
        <v>1661</v>
      </c>
      <c r="B859" s="3" t="b">
        <f>ISNUMBER(MATCH(A859,[1]stockregister!$A$2:$A$2000,0))</f>
        <v>1</v>
      </c>
      <c r="C859" s="3" t="s">
        <v>2009</v>
      </c>
      <c r="D859" s="3" t="str">
        <f>VLOOKUP($C859,[1]stockregister!$B$2:$B$2000,1,0)</f>
        <v>RIB SHACK RED 750ML</v>
      </c>
      <c r="E859" s="3" t="str">
        <f>IF(ISNA($D859),VLOOKUP($A859,[2]stockregister!$A$2:$B$2000,2,FALSE),"")</f>
        <v/>
      </c>
      <c r="F859" s="3" t="s">
        <v>21</v>
      </c>
      <c r="G859" s="3">
        <f>_xlfn.IFNA(VLOOKUP($A859,[3]stockregister!$A$2:$L$2000,11,0),0)</f>
        <v>5</v>
      </c>
      <c r="H859" s="3">
        <f>_xlfn.IFNA(VLOOKUP($A859,[3]stockregister!$A$2:$L$2000,11,0),0)-$G859</f>
        <v>0</v>
      </c>
      <c r="I859" s="3">
        <f>_xlfn.IFNA(VLOOKUP($A859,[3]stockregister!$A$2:$L$2000,12,0),0)</f>
        <v>1600</v>
      </c>
      <c r="J859" s="3">
        <f>_xlfn.IFNA(VLOOKUP($A859,[3]stockregister!$A$1:$M$2000,12,0),0)-$I859</f>
        <v>0</v>
      </c>
      <c r="K859" s="3" t="s">
        <v>22</v>
      </c>
      <c r="L859" s="3" t="s">
        <v>23</v>
      </c>
      <c r="M859" s="3">
        <f>_xlfn.IFNA(VLOOKUP($A859,[2]stockregister!$A$2:$H$2000,8,0),0)</f>
        <v>1800</v>
      </c>
      <c r="N859" s="3">
        <f>_xlfn.IFNA(VLOOKUP($A859,[2]stockregister!$A$2:$H$2000,8,0),0)-$M859</f>
        <v>0</v>
      </c>
      <c r="O859" s="3" t="s">
        <v>2010</v>
      </c>
      <c r="P859" s="3" t="s">
        <v>2010</v>
      </c>
      <c r="Q859" s="3" t="s">
        <v>2011</v>
      </c>
      <c r="R859" s="3" t="s">
        <v>68</v>
      </c>
      <c r="S859" s="3" t="s">
        <v>169</v>
      </c>
    </row>
    <row r="860" spans="1:19">
      <c r="A860" s="3">
        <v>330</v>
      </c>
      <c r="B860" s="3" t="b">
        <f>ISNUMBER(MATCH(A860,[1]stockregister!$A$2:$A$2000,0))</f>
        <v>1</v>
      </c>
      <c r="C860" s="3" t="s">
        <v>2012</v>
      </c>
      <c r="D860" s="3" t="str">
        <f>VLOOKUP($C860,[1]stockregister!$B$2:$B$2000,1,0)</f>
        <v>CALIFORNIA ROOTS ROSE 750ML</v>
      </c>
      <c r="E860" s="3" t="str">
        <f>IF(ISNA($D860),VLOOKUP($A860,[2]stockregister!$A$2:$B$2000,2,FALSE),"")</f>
        <v/>
      </c>
      <c r="F860" s="3" t="s">
        <v>21</v>
      </c>
      <c r="G860" s="3">
        <f>_xlfn.IFNA(VLOOKUP($A860,[3]stockregister!$A$2:$L$2000,11,0),0)</f>
        <v>5</v>
      </c>
      <c r="H860" s="3">
        <f>_xlfn.IFNA(VLOOKUP($A860,[3]stockregister!$A$2:$L$2000,11,0),0)-$G860</f>
        <v>0</v>
      </c>
      <c r="I860" s="3">
        <f>_xlfn.IFNA(VLOOKUP($A860,[3]stockregister!$A$2:$L$2000,12,0),0)</f>
        <v>1196</v>
      </c>
      <c r="J860" s="3">
        <f>_xlfn.IFNA(VLOOKUP($A860,[3]stockregister!$A$1:$M$2000,12,0),0)-$I860</f>
        <v>0</v>
      </c>
      <c r="K860" s="3" t="s">
        <v>22</v>
      </c>
      <c r="L860" s="3" t="s">
        <v>23</v>
      </c>
      <c r="M860" s="3">
        <f>_xlfn.IFNA(VLOOKUP($A860,[2]stockregister!$A$2:$H$2000,8,0),0)</f>
        <v>1300</v>
      </c>
      <c r="N860" s="3">
        <f>_xlfn.IFNA(VLOOKUP($A860,[2]stockregister!$A$2:$H$2000,8,0),0)-$M860</f>
        <v>0</v>
      </c>
      <c r="O860" s="3" t="s">
        <v>2013</v>
      </c>
      <c r="P860" s="3" t="s">
        <v>2013</v>
      </c>
      <c r="Q860" s="3" t="s">
        <v>2014</v>
      </c>
      <c r="R860" s="3" t="s">
        <v>68</v>
      </c>
      <c r="S860" s="3" t="s">
        <v>1030</v>
      </c>
    </row>
    <row r="861" spans="1:19">
      <c r="A861" s="3">
        <v>1751</v>
      </c>
      <c r="B861" s="3" t="b">
        <f>ISNUMBER(MATCH(A861,[1]stockregister!$A$2:$A$2000,0))</f>
        <v>1</v>
      </c>
      <c r="C861" s="3" t="s">
        <v>2015</v>
      </c>
      <c r="D861" s="3" t="str">
        <f>VLOOKUP($C861,[1]stockregister!$B$2:$B$2000,1,0)</f>
        <v>CASAL MENDES SANGRIA 750ML</v>
      </c>
      <c r="E861" s="3" t="str">
        <f>IF(ISNA($D861),VLOOKUP($A861,[2]stockregister!$A$2:$B$2000,2,FALSE),"")</f>
        <v/>
      </c>
      <c r="F861" s="3" t="s">
        <v>21</v>
      </c>
      <c r="G861" s="3">
        <f>_xlfn.IFNA(VLOOKUP($A861,[3]stockregister!$A$2:$L$2000,11,0),0)</f>
        <v>5</v>
      </c>
      <c r="H861" s="3">
        <f>_xlfn.IFNA(VLOOKUP($A861,[3]stockregister!$A$2:$L$2000,11,0),0)-$G861</f>
        <v>0</v>
      </c>
      <c r="I861" s="3">
        <f>_xlfn.IFNA(VLOOKUP($A861,[3]stockregister!$A$2:$L$2000,12,0),0)</f>
        <v>1104</v>
      </c>
      <c r="J861" s="3">
        <f>_xlfn.IFNA(VLOOKUP($A861,[3]stockregister!$A$1:$M$2000,12,0),0)-$I861</f>
        <v>0</v>
      </c>
      <c r="K861" s="3" t="s">
        <v>22</v>
      </c>
      <c r="L861" s="3" t="s">
        <v>23</v>
      </c>
      <c r="M861" s="3">
        <f>_xlfn.IFNA(VLOOKUP($A861,[2]stockregister!$A$2:$H$2000,8,0),0)</f>
        <v>1200</v>
      </c>
      <c r="N861" s="3">
        <f>_xlfn.IFNA(VLOOKUP($A861,[2]stockregister!$A$2:$H$2000,8,0),0)-$M861</f>
        <v>0</v>
      </c>
      <c r="O861" s="3" t="s">
        <v>2016</v>
      </c>
      <c r="P861" s="3" t="s">
        <v>2016</v>
      </c>
      <c r="Q861" s="3" t="s">
        <v>1967</v>
      </c>
      <c r="R861" s="3" t="s">
        <v>537</v>
      </c>
      <c r="S861" s="3" t="s">
        <v>2017</v>
      </c>
    </row>
    <row r="862" spans="1:19">
      <c r="A862" s="3">
        <v>2256</v>
      </c>
      <c r="B862" s="3" t="b">
        <f>ISNUMBER(MATCH(A862,[1]stockregister!$A$2:$A$2000,0))</f>
        <v>1</v>
      </c>
      <c r="C862" s="3" t="s">
        <v>411</v>
      </c>
      <c r="D862" s="3" t="str">
        <f>VLOOKUP($C862,[1]stockregister!$B$2:$B$2000,1,0)</f>
        <v>WAVE DANCER SWT WHITE  700ML</v>
      </c>
      <c r="E862" s="3" t="str">
        <f>IF(ISNA($D862),VLOOKUP($A862,[2]stockregister!$A$2:$B$2000,2,FALSE),"")</f>
        <v/>
      </c>
      <c r="F862" s="3" t="s">
        <v>21</v>
      </c>
      <c r="G862" s="3">
        <f>_xlfn.IFNA(VLOOKUP($A862,[3]stockregister!$A$2:$L$2000,11,0),0)</f>
        <v>5</v>
      </c>
      <c r="H862" s="3">
        <f>_xlfn.IFNA(VLOOKUP($A862,[3]stockregister!$A$2:$L$2000,11,0),0)-$G862</f>
        <v>0</v>
      </c>
      <c r="I862" s="3">
        <f>_xlfn.IFNA(VLOOKUP($A862,[3]stockregister!$A$2:$L$2000,12,0),0)</f>
        <v>450</v>
      </c>
      <c r="J862" s="3">
        <f>_xlfn.IFNA(VLOOKUP($A862,[3]stockregister!$A$1:$M$2000,12,0),0)-$I862</f>
        <v>0</v>
      </c>
      <c r="K862" s="3" t="s">
        <v>22</v>
      </c>
      <c r="L862" s="3" t="s">
        <v>23</v>
      </c>
      <c r="M862" s="3">
        <f>_xlfn.IFNA(VLOOKUP($A862,[2]stockregister!$A$2:$H$2000,8,0),0)</f>
        <v>500</v>
      </c>
      <c r="N862" s="3">
        <f>_xlfn.IFNA(VLOOKUP($A862,[2]stockregister!$A$2:$H$2000,8,0),0)-$M862</f>
        <v>0</v>
      </c>
      <c r="O862" s="3" t="s">
        <v>2018</v>
      </c>
      <c r="P862" s="3" t="s">
        <v>2018</v>
      </c>
      <c r="Q862" s="3" t="s">
        <v>2019</v>
      </c>
      <c r="R862" s="3" t="s">
        <v>68</v>
      </c>
      <c r="S862" s="3" t="s">
        <v>69</v>
      </c>
    </row>
    <row r="863" spans="1:19">
      <c r="A863" s="3">
        <v>2207</v>
      </c>
      <c r="B863" s="3" t="b">
        <f>ISNUMBER(MATCH(A863,[1]stockregister!$A$2:$A$2000,0))</f>
        <v>1</v>
      </c>
      <c r="C863" s="3" t="s">
        <v>2020</v>
      </c>
      <c r="D863" s="3" t="str">
        <f>VLOOKUP($C863,[1]stockregister!$B$2:$B$2000,1,0)</f>
        <v>ARGENTO TORRONTES 750ML</v>
      </c>
      <c r="E863" s="3" t="str">
        <f>IF(ISNA($D863),VLOOKUP($A863,[2]stockregister!$A$2:$B$2000,2,FALSE),"")</f>
        <v/>
      </c>
      <c r="F863" s="3" t="s">
        <v>21</v>
      </c>
      <c r="G863" s="3">
        <f>_xlfn.IFNA(VLOOKUP($A863,[3]stockregister!$A$2:$L$2000,11,0),0)</f>
        <v>5</v>
      </c>
      <c r="H863" s="3">
        <f>_xlfn.IFNA(VLOOKUP($A863,[3]stockregister!$A$2:$L$2000,11,0),0)-$G863</f>
        <v>0</v>
      </c>
      <c r="I863" s="3">
        <f>_xlfn.IFNA(VLOOKUP($A863,[3]stockregister!$A$2:$L$2000,12,0),0)</f>
        <v>1650</v>
      </c>
      <c r="J863" s="3">
        <f>_xlfn.IFNA(VLOOKUP($A863,[3]stockregister!$A$1:$M$2000,12,0),0)-$I863</f>
        <v>0</v>
      </c>
      <c r="K863" s="3" t="s">
        <v>22</v>
      </c>
      <c r="L863" s="3" t="s">
        <v>23</v>
      </c>
      <c r="M863" s="3">
        <f>_xlfn.IFNA(VLOOKUP($A863,[2]stockregister!$A$2:$H$2000,8,0),0)</f>
        <v>1700</v>
      </c>
      <c r="N863" s="3">
        <f>_xlfn.IFNA(VLOOKUP($A863,[2]stockregister!$A$2:$H$2000,8,0),0)-$M863</f>
        <v>0</v>
      </c>
      <c r="O863" s="3" t="s">
        <v>2021</v>
      </c>
      <c r="P863" s="3" t="s">
        <v>2021</v>
      </c>
      <c r="Q863" s="3" t="s">
        <v>1309</v>
      </c>
      <c r="R863" s="3" t="s">
        <v>68</v>
      </c>
      <c r="S863" s="3" t="s">
        <v>297</v>
      </c>
    </row>
    <row r="864" spans="1:19">
      <c r="A864" s="3">
        <v>2100</v>
      </c>
      <c r="B864" s="3" t="b">
        <f>ISNUMBER(MATCH(A864,[1]stockregister!$A$2:$A$2000,0))</f>
        <v>1</v>
      </c>
      <c r="C864" s="3" t="s">
        <v>413</v>
      </c>
      <c r="D864" s="3" t="str">
        <f>VLOOKUP($C864,[1]stockregister!$B$2:$B$2000,1,0)</f>
        <v>WHITLEY NEILL LEMON GRASS  GIN 1LTR</v>
      </c>
      <c r="E864" s="3" t="str">
        <f>IF(ISNA($D864),VLOOKUP($A864,[2]stockregister!$A$2:$B$2000,2,FALSE),"")</f>
        <v/>
      </c>
      <c r="F864" s="3" t="s">
        <v>21</v>
      </c>
      <c r="G864" s="3">
        <f>_xlfn.IFNA(VLOOKUP($A864,[3]stockregister!$A$2:$L$2000,11,0),0)</f>
        <v>0</v>
      </c>
      <c r="H864" s="3">
        <f>_xlfn.IFNA(VLOOKUP($A864,[3]stockregister!$A$2:$L$2000,11,0),0)-$G864</f>
        <v>0</v>
      </c>
      <c r="I864" s="3">
        <f>_xlfn.IFNA(VLOOKUP($A864,[3]stockregister!$A$2:$L$2000,12,0),0)</f>
        <v>2944</v>
      </c>
      <c r="J864" s="3">
        <f>_xlfn.IFNA(VLOOKUP($A864,[3]stockregister!$A$1:$M$2000,12,0),0)-$I864</f>
        <v>0</v>
      </c>
      <c r="K864" s="3" t="s">
        <v>22</v>
      </c>
      <c r="L864" s="3" t="s">
        <v>23</v>
      </c>
      <c r="M864" s="3">
        <f>_xlfn.IFNA(VLOOKUP($A864,[2]stockregister!$A$2:$H$2000,8,0),0)</f>
        <v>3200</v>
      </c>
      <c r="N864" s="3">
        <f>_xlfn.IFNA(VLOOKUP($A864,[2]stockregister!$A$2:$H$2000,8,0),0)-$M864</f>
        <v>0</v>
      </c>
      <c r="O864" s="3" t="s">
        <v>2022</v>
      </c>
      <c r="P864" s="3" t="s">
        <v>2022</v>
      </c>
      <c r="Q864" s="3" t="s">
        <v>1061</v>
      </c>
      <c r="R864" s="3" t="s">
        <v>78</v>
      </c>
      <c r="S864" s="3" t="s">
        <v>2023</v>
      </c>
    </row>
    <row r="865" spans="1:19">
      <c r="A865" s="3">
        <v>2</v>
      </c>
      <c r="B865" s="3" t="b">
        <f>ISNUMBER(MATCH(A865,[1]stockregister!$A$2:$A$2000,0))</f>
        <v>1</v>
      </c>
      <c r="C865" s="3" t="s">
        <v>2024</v>
      </c>
      <c r="D865" s="3" t="str">
        <f>VLOOKUP($C865,[1]stockregister!$B$2:$B$2000,1,0)</f>
        <v>1659 CLASSIC RED 750ML</v>
      </c>
      <c r="E865" s="3" t="str">
        <f>IF(ISNA($D865),VLOOKUP($A865,[2]stockregister!$A$2:$B$2000,2,FALSE),"")</f>
        <v/>
      </c>
      <c r="F865" s="3" t="s">
        <v>21</v>
      </c>
      <c r="G865" s="3">
        <f>_xlfn.IFNA(VLOOKUP($A865,[3]stockregister!$A$2:$L$2000,11,0),0)</f>
        <v>4</v>
      </c>
      <c r="H865" s="3">
        <f>_xlfn.IFNA(VLOOKUP($A865,[3]stockregister!$A$2:$L$2000,11,0),0)-$G865</f>
        <v>0</v>
      </c>
      <c r="I865" s="3">
        <f>_xlfn.IFNA(VLOOKUP($A865,[3]stockregister!$A$2:$L$2000,12,0),0)</f>
        <v>1656</v>
      </c>
      <c r="J865" s="3">
        <f>_xlfn.IFNA(VLOOKUP($A865,[3]stockregister!$A$1:$M$2000,12,0),0)-$I865</f>
        <v>0</v>
      </c>
      <c r="K865" s="3" t="s">
        <v>22</v>
      </c>
      <c r="L865" s="3" t="s">
        <v>23</v>
      </c>
      <c r="M865" s="3">
        <f>_xlfn.IFNA(VLOOKUP($A865,[2]stockregister!$A$2:$H$2000,8,0),0)</f>
        <v>1800</v>
      </c>
      <c r="N865" s="3">
        <f>_xlfn.IFNA(VLOOKUP($A865,[2]stockregister!$A$2:$H$2000,8,0),0)-$M865</f>
        <v>0</v>
      </c>
      <c r="O865" s="3" t="s">
        <v>2025</v>
      </c>
      <c r="P865" s="3" t="s">
        <v>2025</v>
      </c>
      <c r="Q865" s="3" t="s">
        <v>2026</v>
      </c>
      <c r="R865" s="3" t="s">
        <v>68</v>
      </c>
      <c r="S865" s="3" t="s">
        <v>206</v>
      </c>
    </row>
    <row r="866" spans="1:19">
      <c r="A866" s="3">
        <v>2031</v>
      </c>
      <c r="B866" s="3" t="b">
        <f>ISNUMBER(MATCH(A866,[1]stockregister!$A$2:$A$2000,0))</f>
        <v>1</v>
      </c>
      <c r="C866" s="3" t="s">
        <v>2027</v>
      </c>
      <c r="D866" s="3" t="str">
        <f>VLOOKUP($C866,[1]stockregister!$B$2:$B$2000,1,0)</f>
        <v>TUSSOCK JUMPER CAB SAUV 750ml</v>
      </c>
      <c r="E866" s="3" t="str">
        <f>IF(ISNA($D866),VLOOKUP($A866,[2]stockregister!$A$2:$B$2000,2,FALSE),"")</f>
        <v/>
      </c>
      <c r="F866" s="3" t="s">
        <v>21</v>
      </c>
      <c r="G866" s="3">
        <f>_xlfn.IFNA(VLOOKUP($A866,[3]stockregister!$A$2:$L$2000,11,0),0)</f>
        <v>4</v>
      </c>
      <c r="H866" s="3">
        <f>_xlfn.IFNA(VLOOKUP($A866,[3]stockregister!$A$2:$L$2000,11,0),0)-$G866</f>
        <v>0</v>
      </c>
      <c r="I866" s="3">
        <f>_xlfn.IFNA(VLOOKUP($A866,[3]stockregister!$A$2:$L$2000,12,0),0)</f>
        <v>1610</v>
      </c>
      <c r="J866" s="3">
        <f>_xlfn.IFNA(VLOOKUP($A866,[3]stockregister!$A$1:$M$2000,12,0),0)-$I866</f>
        <v>0</v>
      </c>
      <c r="K866" s="3" t="s">
        <v>22</v>
      </c>
      <c r="L866" s="3" t="s">
        <v>23</v>
      </c>
      <c r="M866" s="3">
        <f>_xlfn.IFNA(VLOOKUP($A866,[2]stockregister!$A$2:$H$2000,8,0),0)</f>
        <v>1750</v>
      </c>
      <c r="N866" s="3">
        <f>_xlfn.IFNA(VLOOKUP($A866,[2]stockregister!$A$2:$H$2000,8,0),0)-$M866</f>
        <v>0</v>
      </c>
      <c r="O866" s="3" t="s">
        <v>2028</v>
      </c>
      <c r="P866" s="3" t="s">
        <v>2028</v>
      </c>
      <c r="Q866" s="3" t="s">
        <v>2029</v>
      </c>
      <c r="R866" s="3" t="s">
        <v>68</v>
      </c>
      <c r="S866" s="3" t="s">
        <v>206</v>
      </c>
    </row>
    <row r="867" spans="1:19">
      <c r="A867" s="3">
        <v>503</v>
      </c>
      <c r="B867" s="3" t="b">
        <f>ISNUMBER(MATCH(A867,[1]stockregister!$A$2:$A$2000,0))</f>
        <v>1</v>
      </c>
      <c r="C867" s="3" t="s">
        <v>2030</v>
      </c>
      <c r="D867" s="3" t="str">
        <f>VLOOKUP($C867,[1]stockregister!$B$2:$B$2000,1,0)</f>
        <v>COCKBURN FINE TAWNY 1LTR</v>
      </c>
      <c r="E867" s="3" t="str">
        <f>IF(ISNA($D867),VLOOKUP($A867,[2]stockregister!$A$2:$B$2000,2,FALSE),"")</f>
        <v/>
      </c>
      <c r="F867" s="3" t="s">
        <v>21</v>
      </c>
      <c r="G867" s="3">
        <f>_xlfn.IFNA(VLOOKUP($A867,[3]stockregister!$A$2:$L$2000,11,0),0)</f>
        <v>4</v>
      </c>
      <c r="H867" s="3">
        <f>_xlfn.IFNA(VLOOKUP($A867,[3]stockregister!$A$2:$L$2000,11,0),0)-$G867</f>
        <v>0</v>
      </c>
      <c r="I867" s="3">
        <f>_xlfn.IFNA(VLOOKUP($A867,[3]stockregister!$A$2:$L$2000,12,0),0)</f>
        <v>2500</v>
      </c>
      <c r="J867" s="3">
        <f>_xlfn.IFNA(VLOOKUP($A867,[3]stockregister!$A$1:$M$2000,12,0),0)-$I867</f>
        <v>0</v>
      </c>
      <c r="K867" s="3" t="s">
        <v>22</v>
      </c>
      <c r="L867" s="3" t="s">
        <v>23</v>
      </c>
      <c r="M867" s="3">
        <f>_xlfn.IFNA(VLOOKUP($A867,[2]stockregister!$A$2:$H$2000,8,0),0)</f>
        <v>2800</v>
      </c>
      <c r="N867" s="3">
        <f>_xlfn.IFNA(VLOOKUP($A867,[2]stockregister!$A$2:$H$2000,8,0),0)-$M867</f>
        <v>0</v>
      </c>
      <c r="O867" s="3" t="s">
        <v>2031</v>
      </c>
      <c r="P867" s="3" t="s">
        <v>2031</v>
      </c>
      <c r="Q867" s="3" t="s">
        <v>2032</v>
      </c>
      <c r="R867" s="3" t="s">
        <v>68</v>
      </c>
      <c r="S867" s="3" t="s">
        <v>2033</v>
      </c>
    </row>
    <row r="868" spans="1:19">
      <c r="A868" s="3">
        <v>2036</v>
      </c>
      <c r="B868" s="3" t="b">
        <f>ISNUMBER(MATCH(A868,[1]stockregister!$A$2:$A$2000,0))</f>
        <v>1</v>
      </c>
      <c r="C868" s="3" t="s">
        <v>2034</v>
      </c>
      <c r="D868" s="3" t="str">
        <f>VLOOKUP($C868,[1]stockregister!$B$2:$B$2000,1,0)</f>
        <v>TWO OCEANS SAUV BLANC 750ML</v>
      </c>
      <c r="E868" s="3" t="str">
        <f>IF(ISNA($D868),VLOOKUP($A868,[2]stockregister!$A$2:$B$2000,2,FALSE),"")</f>
        <v/>
      </c>
      <c r="F868" s="3" t="s">
        <v>21</v>
      </c>
      <c r="G868" s="3">
        <f>_xlfn.IFNA(VLOOKUP($A868,[3]stockregister!$A$2:$L$2000,11,0),0)</f>
        <v>4</v>
      </c>
      <c r="H868" s="3">
        <f>_xlfn.IFNA(VLOOKUP($A868,[3]stockregister!$A$2:$L$2000,11,0),0)-$G868</f>
        <v>0</v>
      </c>
      <c r="I868" s="3">
        <f>_xlfn.IFNA(VLOOKUP($A868,[3]stockregister!$A$2:$L$2000,12,0),0)</f>
        <v>1104</v>
      </c>
      <c r="J868" s="3">
        <f>_xlfn.IFNA(VLOOKUP($A868,[3]stockregister!$A$1:$M$2000,12,0),0)-$I868</f>
        <v>0</v>
      </c>
      <c r="K868" s="3" t="s">
        <v>22</v>
      </c>
      <c r="L868" s="3" t="s">
        <v>23</v>
      </c>
      <c r="M868" s="3">
        <f>_xlfn.IFNA(VLOOKUP($A868,[2]stockregister!$A$2:$H$2000,8,0),0)</f>
        <v>1200</v>
      </c>
      <c r="N868" s="3">
        <f>_xlfn.IFNA(VLOOKUP($A868,[2]stockregister!$A$2:$H$2000,8,0),0)-$M868</f>
        <v>0</v>
      </c>
      <c r="O868" s="3" t="s">
        <v>2035</v>
      </c>
      <c r="P868" s="3" t="s">
        <v>2035</v>
      </c>
      <c r="Q868" s="3" t="s">
        <v>2036</v>
      </c>
      <c r="R868" s="3" t="s">
        <v>68</v>
      </c>
      <c r="S868" s="3" t="s">
        <v>398</v>
      </c>
    </row>
    <row r="869" spans="1:19">
      <c r="A869" s="3">
        <v>2033</v>
      </c>
      <c r="B869" s="3" t="b">
        <f>ISNUMBER(MATCH(A869,[1]stockregister!$A$2:$A$2000,0))</f>
        <v>1</v>
      </c>
      <c r="C869" s="3" t="s">
        <v>2037</v>
      </c>
      <c r="D869" s="3" t="str">
        <f>VLOOKUP($C869,[1]stockregister!$B$2:$B$2000,1,0)</f>
        <v>TUSSOCK JUMPER SAUV BLANC 750ml</v>
      </c>
      <c r="E869" s="3" t="str">
        <f>IF(ISNA($D869),VLOOKUP($A869,[2]stockregister!$A$2:$B$2000,2,FALSE),"")</f>
        <v/>
      </c>
      <c r="F869" s="3" t="s">
        <v>21</v>
      </c>
      <c r="G869" s="3">
        <f>_xlfn.IFNA(VLOOKUP($A869,[3]stockregister!$A$2:$L$2000,11,0),0)</f>
        <v>4</v>
      </c>
      <c r="H869" s="3">
        <f>_xlfn.IFNA(VLOOKUP($A869,[3]stockregister!$A$2:$L$2000,11,0),0)-$G869</f>
        <v>0</v>
      </c>
      <c r="I869" s="3">
        <f>_xlfn.IFNA(VLOOKUP($A869,[3]stockregister!$A$2:$L$2000,12,0),0)</f>
        <v>1610</v>
      </c>
      <c r="J869" s="3">
        <f>_xlfn.IFNA(VLOOKUP($A869,[3]stockregister!$A$1:$M$2000,12,0),0)-$I869</f>
        <v>0</v>
      </c>
      <c r="K869" s="3" t="s">
        <v>22</v>
      </c>
      <c r="L869" s="3" t="s">
        <v>23</v>
      </c>
      <c r="M869" s="3">
        <f>_xlfn.IFNA(VLOOKUP($A869,[2]stockregister!$A$2:$H$2000,8,0),0)</f>
        <v>1750</v>
      </c>
      <c r="N869" s="3">
        <f>_xlfn.IFNA(VLOOKUP($A869,[2]stockregister!$A$2:$H$2000,8,0),0)-$M869</f>
        <v>0</v>
      </c>
      <c r="O869" s="3" t="s">
        <v>2038</v>
      </c>
      <c r="P869" s="3" t="s">
        <v>2038</v>
      </c>
      <c r="Q869" s="3" t="s">
        <v>2029</v>
      </c>
      <c r="R869" s="3" t="s">
        <v>68</v>
      </c>
      <c r="S869" s="3" t="s">
        <v>398</v>
      </c>
    </row>
    <row r="870" spans="1:19">
      <c r="A870" s="3">
        <v>805</v>
      </c>
      <c r="B870" s="3" t="b">
        <f>ISNUMBER(MATCH(A870,[1]stockregister!$A$2:$A$2000,0))</f>
        <v>1</v>
      </c>
      <c r="C870" s="3" t="s">
        <v>2039</v>
      </c>
      <c r="D870" s="3" t="str">
        <f>VLOOKUP($C870,[1]stockregister!$B$2:$B$2000,1,0)</f>
        <v>GATO NEGRO SAUV BLANC 750ML</v>
      </c>
      <c r="E870" s="3" t="str">
        <f>IF(ISNA($D870),VLOOKUP($A870,[2]stockregister!$A$2:$B$2000,2,FALSE),"")</f>
        <v/>
      </c>
      <c r="F870" s="3" t="s">
        <v>21</v>
      </c>
      <c r="G870" s="3">
        <f>_xlfn.IFNA(VLOOKUP($A870,[3]stockregister!$A$2:$L$2000,11,0),0)</f>
        <v>4</v>
      </c>
      <c r="H870" s="3">
        <f>_xlfn.IFNA(VLOOKUP($A870,[3]stockregister!$A$2:$L$2000,11,0),0)-$G870</f>
        <v>0</v>
      </c>
      <c r="I870" s="3">
        <f>_xlfn.IFNA(VLOOKUP($A870,[3]stockregister!$A$2:$L$2000,12,0),0)</f>
        <v>782</v>
      </c>
      <c r="J870" s="3">
        <f>_xlfn.IFNA(VLOOKUP($A870,[3]stockregister!$A$1:$M$2000,12,0),0)-$I870</f>
        <v>0</v>
      </c>
      <c r="K870" s="3" t="s">
        <v>22</v>
      </c>
      <c r="L870" s="3" t="s">
        <v>23</v>
      </c>
      <c r="M870" s="3">
        <f>_xlfn.IFNA(VLOOKUP($A870,[2]stockregister!$A$2:$H$2000,8,0),0)</f>
        <v>850</v>
      </c>
      <c r="N870" s="3">
        <f>_xlfn.IFNA(VLOOKUP($A870,[2]stockregister!$A$2:$H$2000,8,0),0)-$M870</f>
        <v>0</v>
      </c>
      <c r="O870" s="3" t="s">
        <v>544</v>
      </c>
      <c r="P870" s="3" t="s">
        <v>544</v>
      </c>
      <c r="Q870" s="3" t="s">
        <v>545</v>
      </c>
      <c r="R870" s="3" t="s">
        <v>68</v>
      </c>
      <c r="S870" s="3" t="s">
        <v>398</v>
      </c>
    </row>
    <row r="871" spans="1:19">
      <c r="A871" s="3">
        <v>1361</v>
      </c>
      <c r="B871" s="3" t="b">
        <f>ISNUMBER(MATCH(A871,[1]stockregister!$A$2:$A$2000,0))</f>
        <v>1</v>
      </c>
      <c r="C871" s="3" t="s">
        <v>416</v>
      </c>
      <c r="D871" s="3" t="str">
        <f>VLOOKUP($C871,[1]stockregister!$B$2:$B$2000,1,0)</f>
        <v>MAISON CASTEL CUVEE ROSEE  750ML</v>
      </c>
      <c r="E871" s="3" t="str">
        <f>IF(ISNA($D871),VLOOKUP($A871,[2]stockregister!$A$2:$B$2000,2,FALSE),"")</f>
        <v/>
      </c>
      <c r="F871" s="3" t="s">
        <v>21</v>
      </c>
      <c r="G871" s="3">
        <f>_xlfn.IFNA(VLOOKUP($A871,[3]stockregister!$A$2:$L$2000,11,0),0)</f>
        <v>4</v>
      </c>
      <c r="H871" s="3">
        <f>_xlfn.IFNA(VLOOKUP($A871,[3]stockregister!$A$2:$L$2000,11,0),0)-$G871</f>
        <v>0</v>
      </c>
      <c r="I871" s="3">
        <f>_xlfn.IFNA(VLOOKUP($A871,[3]stockregister!$A$2:$L$2000,12,0),0)</f>
        <v>1196</v>
      </c>
      <c r="J871" s="3">
        <f>_xlfn.IFNA(VLOOKUP($A871,[3]stockregister!$A$1:$M$2000,12,0),0)-$I871</f>
        <v>0</v>
      </c>
      <c r="K871" s="3" t="s">
        <v>22</v>
      </c>
      <c r="L871" s="3" t="s">
        <v>23</v>
      </c>
      <c r="M871" s="3">
        <f>_xlfn.IFNA(VLOOKUP($A871,[2]stockregister!$A$2:$H$2000,8,0),0)</f>
        <v>1300</v>
      </c>
      <c r="N871" s="3">
        <f>_xlfn.IFNA(VLOOKUP($A871,[2]stockregister!$A$2:$H$2000,8,0),0)-$M871</f>
        <v>0</v>
      </c>
      <c r="O871" s="3" t="s">
        <v>2040</v>
      </c>
      <c r="P871" s="3" t="s">
        <v>2040</v>
      </c>
      <c r="Q871" s="3" t="s">
        <v>891</v>
      </c>
      <c r="R871" s="3" t="s">
        <v>68</v>
      </c>
      <c r="S871" s="3" t="s">
        <v>828</v>
      </c>
    </row>
    <row r="872" spans="1:19">
      <c r="A872" s="3">
        <v>673</v>
      </c>
      <c r="B872" s="3" t="b">
        <f>ISNUMBER(MATCH(A872,[1]stockregister!$A$2:$A$2000,0))</f>
        <v>1</v>
      </c>
      <c r="C872" s="3" t="s">
        <v>2041</v>
      </c>
      <c r="D872" s="3" t="str">
        <f>VLOOKUP($C872,[1]stockregister!$B$2:$B$2000,1,0)</f>
        <v>FAIRVIEW GOATS DO ROAM 750ML</v>
      </c>
      <c r="E872" s="3" t="str">
        <f>IF(ISNA($D872),VLOOKUP($A872,[2]stockregister!$A$2:$B$2000,2,FALSE),"")</f>
        <v/>
      </c>
      <c r="F872" s="3" t="s">
        <v>21</v>
      </c>
      <c r="G872" s="3">
        <f>_xlfn.IFNA(VLOOKUP($A872,[3]stockregister!$A$2:$L$2000,11,0),0)</f>
        <v>4</v>
      </c>
      <c r="H872" s="3">
        <f>_xlfn.IFNA(VLOOKUP($A872,[3]stockregister!$A$2:$L$2000,11,0),0)-$G872</f>
        <v>0</v>
      </c>
      <c r="I872" s="3">
        <f>_xlfn.IFNA(VLOOKUP($A872,[3]stockregister!$A$2:$L$2000,12,0),0)</f>
        <v>1104</v>
      </c>
      <c r="J872" s="3">
        <f>_xlfn.IFNA(VLOOKUP($A872,[3]stockregister!$A$1:$M$2000,12,0),0)-$I872</f>
        <v>0</v>
      </c>
      <c r="K872" s="3" t="s">
        <v>22</v>
      </c>
      <c r="L872" s="3" t="s">
        <v>23</v>
      </c>
      <c r="M872" s="3">
        <f>_xlfn.IFNA(VLOOKUP($A872,[2]stockregister!$A$2:$H$2000,8,0),0)</f>
        <v>1200</v>
      </c>
      <c r="N872" s="3">
        <f>_xlfn.IFNA(VLOOKUP($A872,[2]stockregister!$A$2:$H$2000,8,0),0)-$M872</f>
        <v>0</v>
      </c>
      <c r="O872" s="3" t="s">
        <v>2042</v>
      </c>
      <c r="P872" s="3" t="s">
        <v>2042</v>
      </c>
      <c r="Q872" s="3" t="s">
        <v>1356</v>
      </c>
      <c r="R872" s="3" t="s">
        <v>68</v>
      </c>
      <c r="S872" s="3" t="s">
        <v>157</v>
      </c>
    </row>
    <row r="873" spans="1:18">
      <c r="A873" s="3">
        <v>2968</v>
      </c>
      <c r="B873" s="3" t="b">
        <f>ISNUMBER(MATCH(A873,[1]stockregister!$A$2:$A$2000,0))</f>
        <v>1</v>
      </c>
      <c r="C873" s="3" t="s">
        <v>2043</v>
      </c>
      <c r="D873" s="3" t="str">
        <f>VLOOKUP($C873,[1]stockregister!$B$2:$B$2000,1,0)</f>
        <v>LEGENDARY ABSOLUTE PREMIUM VODKA AK-47 700ML</v>
      </c>
      <c r="E873" s="3" t="str">
        <f>IF(ISNA($D873),VLOOKUP($A873,[2]stockregister!$A$2:$B$2000,2,FALSE),"")</f>
        <v/>
      </c>
      <c r="F873" s="3" t="s">
        <v>21</v>
      </c>
      <c r="G873" s="3">
        <f>_xlfn.IFNA(VLOOKUP($A873,[3]stockregister!$A$2:$L$2000,11,0),0)</f>
        <v>4</v>
      </c>
      <c r="H873" s="3">
        <f>_xlfn.IFNA(VLOOKUP($A873,[3]stockregister!$A$2:$L$2000,11,0),0)-$G873</f>
        <v>0</v>
      </c>
      <c r="I873" s="3">
        <f>_xlfn.IFNA(VLOOKUP($A873,[3]stockregister!$A$2:$L$2000,12,0),0)</f>
        <v>3200</v>
      </c>
      <c r="J873" s="3">
        <f>_xlfn.IFNA(VLOOKUP($A873,[3]stockregister!$A$1:$M$2000,12,0),0)-$I873</f>
        <v>0</v>
      </c>
      <c r="K873" s="3" t="s">
        <v>22</v>
      </c>
      <c r="L873" s="3" t="s">
        <v>23</v>
      </c>
      <c r="M873" s="3">
        <f>_xlfn.IFNA(VLOOKUP($A873,[2]stockregister!$A$2:$H$2000,8,0),0)</f>
        <v>7500</v>
      </c>
      <c r="N873" s="3">
        <f>_xlfn.IFNA(VLOOKUP($A873,[2]stockregister!$A$2:$H$2000,8,0),0)-$M873</f>
        <v>0</v>
      </c>
      <c r="O873" s="3" t="s">
        <v>2044</v>
      </c>
      <c r="P873" s="3" t="s">
        <v>2044</v>
      </c>
      <c r="Q873" s="3" t="s">
        <v>2045</v>
      </c>
      <c r="R873" s="3" t="s">
        <v>318</v>
      </c>
    </row>
    <row r="874" spans="1:18">
      <c r="A874" s="3">
        <v>2967</v>
      </c>
      <c r="B874" s="3" t="b">
        <f>ISNUMBER(MATCH(A874,[1]stockregister!$A$2:$A$2000,0))</f>
        <v>1</v>
      </c>
      <c r="C874" s="3" t="s">
        <v>2046</v>
      </c>
      <c r="D874" s="3" t="str">
        <f>VLOOKUP($C874,[1]stockregister!$B$2:$B$2000,1,0)</f>
        <v>GLEN SCANLAN 4.5L</v>
      </c>
      <c r="E874" s="3" t="str">
        <f>IF(ISNA($D874),VLOOKUP($A874,[2]stockregister!$A$2:$B$2000,2,FALSE),"")</f>
        <v/>
      </c>
      <c r="F874" s="3" t="s">
        <v>21</v>
      </c>
      <c r="G874" s="3">
        <f>_xlfn.IFNA(VLOOKUP($A874,[3]stockregister!$A$2:$L$2000,11,0),0)</f>
        <v>4</v>
      </c>
      <c r="H874" s="3">
        <f>_xlfn.IFNA(VLOOKUP($A874,[3]stockregister!$A$2:$L$2000,11,0),0)-$G874</f>
        <v>0</v>
      </c>
      <c r="I874" s="3">
        <f>_xlfn.IFNA(VLOOKUP($A874,[3]stockregister!$A$2:$L$2000,12,0),0)</f>
        <v>5875</v>
      </c>
      <c r="J874" s="3">
        <f>_xlfn.IFNA(VLOOKUP($A874,[3]stockregister!$A$1:$M$2000,12,0),0)-$I874</f>
        <v>0</v>
      </c>
      <c r="K874" s="3" t="s">
        <v>22</v>
      </c>
      <c r="L874" s="3" t="s">
        <v>23</v>
      </c>
      <c r="M874" s="3">
        <f>_xlfn.IFNA(VLOOKUP($A874,[2]stockregister!$A$2:$H$2000,8,0),0)</f>
        <v>7500</v>
      </c>
      <c r="N874" s="3">
        <f>_xlfn.IFNA(VLOOKUP($A874,[2]stockregister!$A$2:$H$2000,8,0),0)-$M874</f>
        <v>0</v>
      </c>
      <c r="O874" s="3" t="s">
        <v>2047</v>
      </c>
      <c r="P874" s="3" t="s">
        <v>2047</v>
      </c>
      <c r="Q874" s="3" t="s">
        <v>2048</v>
      </c>
      <c r="R874" s="3" t="s">
        <v>92</v>
      </c>
    </row>
    <row r="875" spans="1:19">
      <c r="A875" s="3">
        <v>2268</v>
      </c>
      <c r="B875" s="3" t="b">
        <f>ISNUMBER(MATCH(A875,[1]stockregister!$A$2:$A$2000,0))</f>
        <v>1</v>
      </c>
      <c r="C875" s="3" t="s">
        <v>2049</v>
      </c>
      <c r="D875" s="3" t="str">
        <f>VLOOKUP($C875,[1]stockregister!$B$2:$B$2000,1,0)</f>
        <v>CAMUS XO 1LTR</v>
      </c>
      <c r="E875" s="3" t="str">
        <f>IF(ISNA($D875),VLOOKUP($A875,[2]stockregister!$A$2:$B$2000,2,FALSE),"")</f>
        <v/>
      </c>
      <c r="F875" s="3" t="s">
        <v>21</v>
      </c>
      <c r="G875" s="3">
        <f>_xlfn.IFNA(VLOOKUP($A875,[3]stockregister!$A$2:$L$2000,11,0),0)</f>
        <v>3</v>
      </c>
      <c r="H875" s="3">
        <f>_xlfn.IFNA(VLOOKUP($A875,[3]stockregister!$A$2:$L$2000,11,0),0)-$G875</f>
        <v>0</v>
      </c>
      <c r="I875" s="3">
        <f>_xlfn.IFNA(VLOOKUP($A875,[3]stockregister!$A$2:$L$2000,12,0),0)</f>
        <v>29000</v>
      </c>
      <c r="J875" s="3">
        <f>_xlfn.IFNA(VLOOKUP($A875,[3]stockregister!$A$1:$M$2000,12,0),0)-$I875</f>
        <v>0</v>
      </c>
      <c r="K875" s="3" t="s">
        <v>22</v>
      </c>
      <c r="L875" s="3" t="s">
        <v>23</v>
      </c>
      <c r="M875" s="3">
        <f>_xlfn.IFNA(VLOOKUP($A875,[2]stockregister!$A$2:$H$2000,8,0),0)</f>
        <v>30000</v>
      </c>
      <c r="N875" s="3">
        <f>_xlfn.IFNA(VLOOKUP($A875,[2]stockregister!$A$2:$H$2000,8,0),0)-$M875</f>
        <v>0</v>
      </c>
      <c r="O875" s="3" t="s">
        <v>2050</v>
      </c>
      <c r="P875" s="3" t="s">
        <v>2050</v>
      </c>
      <c r="Q875" s="3" t="s">
        <v>2051</v>
      </c>
      <c r="R875" s="3" t="s">
        <v>102</v>
      </c>
      <c r="S875" s="3" t="s">
        <v>401</v>
      </c>
    </row>
    <row r="876" spans="1:19">
      <c r="A876" s="3">
        <v>1037</v>
      </c>
      <c r="B876" s="3" t="b">
        <f>ISNUMBER(MATCH(A876,[1]stockregister!$A$2:$A$2000,0))</f>
        <v>1</v>
      </c>
      <c r="C876" s="3" t="s">
        <v>2052</v>
      </c>
      <c r="D876" s="3" t="str">
        <f>VLOOKUP($C876,[1]stockregister!$B$2:$B$2000,1,0)</f>
        <v>JACK DANIELS SOUR MASH NO 7 LEGACY EDITION 2 WHISKY 750ML</v>
      </c>
      <c r="E876" s="3" t="str">
        <f>IF(ISNA($D876),VLOOKUP($A876,[2]stockregister!$A$2:$B$2000,2,FALSE),"")</f>
        <v/>
      </c>
      <c r="F876" s="3" t="s">
        <v>21</v>
      </c>
      <c r="G876" s="3">
        <f>_xlfn.IFNA(VLOOKUP($A876,[3]stockregister!$A$2:$L$2000,11,0),0)</f>
        <v>3</v>
      </c>
      <c r="H876" s="3">
        <f>_xlfn.IFNA(VLOOKUP($A876,[3]stockregister!$A$2:$L$2000,11,0),0)-$G876</f>
        <v>0</v>
      </c>
      <c r="I876" s="3">
        <f>_xlfn.IFNA(VLOOKUP($A876,[3]stockregister!$A$2:$L$2000,12,0),0)</f>
        <v>2944</v>
      </c>
      <c r="J876" s="3">
        <f>_xlfn.IFNA(VLOOKUP($A876,[3]stockregister!$A$1:$M$2000,12,0),0)-$I876</f>
        <v>0</v>
      </c>
      <c r="K876" s="3" t="s">
        <v>22</v>
      </c>
      <c r="L876" s="3" t="s">
        <v>23</v>
      </c>
      <c r="M876" s="3">
        <f>_xlfn.IFNA(VLOOKUP($A876,[2]stockregister!$A$2:$H$2000,8,0),0)</f>
        <v>3200</v>
      </c>
      <c r="N876" s="3">
        <f>_xlfn.IFNA(VLOOKUP($A876,[2]stockregister!$A$2:$H$2000,8,0),0)-$M876</f>
        <v>0</v>
      </c>
      <c r="O876" s="3" t="s">
        <v>2053</v>
      </c>
      <c r="P876" s="3" t="s">
        <v>2053</v>
      </c>
      <c r="Q876" s="3" t="s">
        <v>236</v>
      </c>
      <c r="R876" s="3" t="s">
        <v>92</v>
      </c>
      <c r="S876" s="3" t="s">
        <v>1075</v>
      </c>
    </row>
    <row r="877" spans="1:19">
      <c r="A877" s="3">
        <v>2170</v>
      </c>
      <c r="B877" s="3" t="b">
        <f>ISNUMBER(MATCH(A877,[1]stockregister!$A$2:$A$2000,0))</f>
        <v>1</v>
      </c>
      <c r="C877" s="3" t="s">
        <v>2054</v>
      </c>
      <c r="D877" s="3" t="str">
        <f>VLOOKUP($C877,[1]stockregister!$B$2:$B$2000,1,0)</f>
        <v>7EVEN BOUQUET BLANC 750ML</v>
      </c>
      <c r="E877" s="3" t="str">
        <f>IF(ISNA($D877),VLOOKUP($A877,[2]stockregister!$A$2:$B$2000,2,FALSE),"")</f>
        <v/>
      </c>
      <c r="F877" s="3" t="s">
        <v>21</v>
      </c>
      <c r="G877" s="3">
        <f>_xlfn.IFNA(VLOOKUP($A877,[3]stockregister!$A$2:$L$2000,11,0),0)</f>
        <v>3</v>
      </c>
      <c r="H877" s="3">
        <f>_xlfn.IFNA(VLOOKUP($A877,[3]stockregister!$A$2:$L$2000,11,0),0)-$G877</f>
        <v>0</v>
      </c>
      <c r="I877" s="3">
        <f>_xlfn.IFNA(VLOOKUP($A877,[3]stockregister!$A$2:$L$2000,12,0),0)</f>
        <v>860</v>
      </c>
      <c r="J877" s="3">
        <f>_xlfn.IFNA(VLOOKUP($A877,[3]stockregister!$A$1:$M$2000,12,0),0)-$I877</f>
        <v>0</v>
      </c>
      <c r="K877" s="3" t="s">
        <v>22</v>
      </c>
      <c r="L877" s="3" t="s">
        <v>23</v>
      </c>
      <c r="M877" s="3">
        <f>_xlfn.IFNA(VLOOKUP($A877,[2]stockregister!$A$2:$H$2000,8,0),0)</f>
        <v>900</v>
      </c>
      <c r="N877" s="3">
        <f>_xlfn.IFNA(VLOOKUP($A877,[2]stockregister!$A$2:$H$2000,8,0),0)-$M877</f>
        <v>0</v>
      </c>
      <c r="O877" s="3" t="s">
        <v>2055</v>
      </c>
      <c r="P877" s="3" t="s">
        <v>2055</v>
      </c>
      <c r="Q877" s="3" t="s">
        <v>2056</v>
      </c>
      <c r="R877" s="3" t="s">
        <v>68</v>
      </c>
      <c r="S877" s="3" t="s">
        <v>1135</v>
      </c>
    </row>
    <row r="878" spans="1:19">
      <c r="A878" s="3">
        <v>2175</v>
      </c>
      <c r="B878" s="3" t="b">
        <f>ISNUMBER(MATCH(A878,[1]stockregister!$A$2:$A$2000,0))</f>
        <v>1</v>
      </c>
      <c r="C878" s="3" t="s">
        <v>2057</v>
      </c>
      <c r="D878" s="3" t="str">
        <f>VLOOKUP($C878,[1]stockregister!$B$2:$B$2000,1,0)</f>
        <v>AMA LA VIDA SIGNATURE SWT RED 750ML</v>
      </c>
      <c r="E878" s="3" t="str">
        <f>IF(ISNA($D878),VLOOKUP($A878,[2]stockregister!$A$2:$B$2000,2,FALSE),"")</f>
        <v/>
      </c>
      <c r="F878" s="3" t="s">
        <v>21</v>
      </c>
      <c r="G878" s="3">
        <f>_xlfn.IFNA(VLOOKUP($A878,[3]stockregister!$A$2:$L$2000,11,0),0)</f>
        <v>3</v>
      </c>
      <c r="H878" s="3">
        <f>_xlfn.IFNA(VLOOKUP($A878,[3]stockregister!$A$2:$L$2000,11,0),0)-$G878</f>
        <v>0</v>
      </c>
      <c r="I878" s="3">
        <f>_xlfn.IFNA(VLOOKUP($A878,[3]stockregister!$A$2:$L$2000,12,0),0)</f>
        <v>650</v>
      </c>
      <c r="J878" s="3">
        <f>_xlfn.IFNA(VLOOKUP($A878,[3]stockregister!$A$1:$M$2000,12,0),0)-$I878</f>
        <v>0</v>
      </c>
      <c r="K878" s="3" t="s">
        <v>22</v>
      </c>
      <c r="L878" s="3" t="s">
        <v>23</v>
      </c>
      <c r="M878" s="3">
        <f>_xlfn.IFNA(VLOOKUP($A878,[2]stockregister!$A$2:$H$2000,8,0),0)</f>
        <v>700</v>
      </c>
      <c r="N878" s="3">
        <f>_xlfn.IFNA(VLOOKUP($A878,[2]stockregister!$A$2:$H$2000,8,0),0)-$M878</f>
        <v>0</v>
      </c>
      <c r="O878" s="3" t="s">
        <v>2058</v>
      </c>
      <c r="P878" s="3" t="s">
        <v>2058</v>
      </c>
      <c r="Q878" s="3" t="s">
        <v>2059</v>
      </c>
      <c r="R878" s="3" t="s">
        <v>537</v>
      </c>
      <c r="S878" s="3" t="s">
        <v>940</v>
      </c>
    </row>
    <row r="879" spans="1:19">
      <c r="A879" s="3">
        <v>632</v>
      </c>
      <c r="B879" s="3" t="b">
        <f>ISNUMBER(MATCH(A879,[1]stockregister!$A$2:$A$2000,0))</f>
        <v>1</v>
      </c>
      <c r="C879" s="3" t="s">
        <v>2060</v>
      </c>
      <c r="D879" s="3" t="str">
        <f>VLOOKUP($C879,[1]stockregister!$B$2:$B$2000,1,0)</f>
        <v>DOUGLAS GREEN MERLOT 750ML</v>
      </c>
      <c r="E879" s="3" t="str">
        <f>IF(ISNA($D879),VLOOKUP($A879,[2]stockregister!$A$2:$B$2000,2,FALSE),"")</f>
        <v/>
      </c>
      <c r="F879" s="3" t="s">
        <v>21</v>
      </c>
      <c r="G879" s="3">
        <f>_xlfn.IFNA(VLOOKUP($A879,[3]stockregister!$A$2:$L$2000,11,0),0)</f>
        <v>3</v>
      </c>
      <c r="H879" s="3">
        <f>_xlfn.IFNA(VLOOKUP($A879,[3]stockregister!$A$2:$L$2000,11,0),0)-$G879</f>
        <v>0</v>
      </c>
      <c r="I879" s="3">
        <f>_xlfn.IFNA(VLOOKUP($A879,[3]stockregister!$A$2:$L$2000,12,0),0)</f>
        <v>1104</v>
      </c>
      <c r="J879" s="3">
        <f>_xlfn.IFNA(VLOOKUP($A879,[3]stockregister!$A$1:$M$2000,12,0),0)-$I879</f>
        <v>0</v>
      </c>
      <c r="K879" s="3" t="s">
        <v>22</v>
      </c>
      <c r="L879" s="3" t="s">
        <v>23</v>
      </c>
      <c r="M879" s="3">
        <f>_xlfn.IFNA(VLOOKUP($A879,[2]stockregister!$A$2:$H$2000,8,0),0)</f>
        <v>1200</v>
      </c>
      <c r="N879" s="3">
        <f>_xlfn.IFNA(VLOOKUP($A879,[2]stockregister!$A$2:$H$2000,8,0),0)-$M879</f>
        <v>0</v>
      </c>
      <c r="O879" s="3" t="s">
        <v>2061</v>
      </c>
      <c r="P879" s="3" t="s">
        <v>2061</v>
      </c>
      <c r="Q879" s="3" t="s">
        <v>2062</v>
      </c>
      <c r="R879" s="3" t="s">
        <v>68</v>
      </c>
      <c r="S879" s="3" t="s">
        <v>369</v>
      </c>
    </row>
    <row r="880" spans="1:19">
      <c r="A880" s="3">
        <v>390</v>
      </c>
      <c r="B880" s="3" t="b">
        <f>ISNUMBER(MATCH(A880,[1]stockregister!$A$2:$A$2000,0))</f>
        <v>1</v>
      </c>
      <c r="C880" s="3" t="s">
        <v>2063</v>
      </c>
      <c r="D880" s="3" t="str">
        <f>VLOOKUP($C880,[1]stockregister!$B$2:$B$2000,1,0)</f>
        <v>CARLO ROSSI PINK MOSCATO 750ML</v>
      </c>
      <c r="E880" s="3" t="str">
        <f>IF(ISNA($D880),VLOOKUP($A880,[2]stockregister!$A$2:$B$2000,2,FALSE),"")</f>
        <v/>
      </c>
      <c r="F880" s="3" t="s">
        <v>21</v>
      </c>
      <c r="G880" s="3">
        <f>_xlfn.IFNA(VLOOKUP($A880,[3]stockregister!$A$2:$L$2000,11,0),0)</f>
        <v>3</v>
      </c>
      <c r="H880" s="3">
        <f>_xlfn.IFNA(VLOOKUP($A880,[3]stockregister!$A$2:$L$2000,11,0),0)-$G880</f>
        <v>0</v>
      </c>
      <c r="I880" s="3">
        <f>_xlfn.IFNA(VLOOKUP($A880,[3]stockregister!$A$2:$L$2000,12,0),0)</f>
        <v>1012</v>
      </c>
      <c r="J880" s="3">
        <f>_xlfn.IFNA(VLOOKUP($A880,[3]stockregister!$A$1:$M$2000,12,0),0)-$I880</f>
        <v>0</v>
      </c>
      <c r="K880" s="3" t="s">
        <v>22</v>
      </c>
      <c r="L880" s="3" t="s">
        <v>23</v>
      </c>
      <c r="M880" s="3">
        <f>_xlfn.IFNA(VLOOKUP($A880,[2]stockregister!$A$2:$H$2000,8,0),0)</f>
        <v>1100</v>
      </c>
      <c r="N880" s="3">
        <f>_xlfn.IFNA(VLOOKUP($A880,[2]stockregister!$A$2:$H$2000,8,0),0)-$M880</f>
        <v>0</v>
      </c>
      <c r="O880" s="3" t="s">
        <v>2064</v>
      </c>
      <c r="P880" s="3" t="s">
        <v>2064</v>
      </c>
      <c r="Q880" s="3" t="s">
        <v>917</v>
      </c>
      <c r="R880" s="3" t="s">
        <v>68</v>
      </c>
      <c r="S880" s="3" t="s">
        <v>969</v>
      </c>
    </row>
    <row r="881" spans="1:19">
      <c r="A881" s="3">
        <v>2272</v>
      </c>
      <c r="B881" s="3" t="b">
        <f>ISNUMBER(MATCH(A881,[1]stockregister!$A$2:$A$2000,0))</f>
        <v>1</v>
      </c>
      <c r="C881" s="3" t="s">
        <v>2065</v>
      </c>
      <c r="D881" s="3" t="str">
        <f>VLOOKUP($C881,[1]stockregister!$B$2:$B$2000,1,0)</f>
        <v>FINCA LOS ALTOS 750ML</v>
      </c>
      <c r="E881" s="3" t="str">
        <f>IF(ISNA($D881),VLOOKUP($A881,[2]stockregister!$A$2:$B$2000,2,FALSE),"")</f>
        <v/>
      </c>
      <c r="F881" s="3" t="s">
        <v>21</v>
      </c>
      <c r="G881" s="3">
        <f>_xlfn.IFNA(VLOOKUP($A881,[3]stockregister!$A$2:$L$2000,11,0),0)</f>
        <v>3</v>
      </c>
      <c r="H881" s="3">
        <f>_xlfn.IFNA(VLOOKUP($A881,[3]stockregister!$A$2:$L$2000,11,0),0)-$G881</f>
        <v>0</v>
      </c>
      <c r="I881" s="3">
        <f>_xlfn.IFNA(VLOOKUP($A881,[3]stockregister!$A$2:$L$2000,12,0),0)</f>
        <v>900</v>
      </c>
      <c r="J881" s="3">
        <f>_xlfn.IFNA(VLOOKUP($A881,[3]stockregister!$A$1:$M$2000,12,0),0)-$I881</f>
        <v>0</v>
      </c>
      <c r="K881" s="3" t="s">
        <v>22</v>
      </c>
      <c r="L881" s="3" t="s">
        <v>23</v>
      </c>
      <c r="M881" s="3">
        <f>_xlfn.IFNA(VLOOKUP($A881,[2]stockregister!$A$2:$H$2000,8,0),0)</f>
        <v>1000</v>
      </c>
      <c r="N881" s="3">
        <f>_xlfn.IFNA(VLOOKUP($A881,[2]stockregister!$A$2:$H$2000,8,0),0)-$M881</f>
        <v>0</v>
      </c>
      <c r="O881" s="3" t="s">
        <v>2066</v>
      </c>
      <c r="P881" s="3" t="s">
        <v>2066</v>
      </c>
      <c r="Q881" s="3" t="s">
        <v>2067</v>
      </c>
      <c r="R881" s="3" t="s">
        <v>68</v>
      </c>
      <c r="S881" s="3" t="s">
        <v>169</v>
      </c>
    </row>
    <row r="882" spans="1:19">
      <c r="A882" s="3">
        <v>98</v>
      </c>
      <c r="B882" s="3" t="b">
        <f>ISNUMBER(MATCH(A882,[1]stockregister!$A$2:$A$2000,0))</f>
        <v>1</v>
      </c>
      <c r="C882" s="3" t="s">
        <v>2068</v>
      </c>
      <c r="D882" s="3" t="str">
        <f>VLOOKUP($C882,[1]stockregister!$B$2:$B$2000,1,0)</f>
        <v>ANGELO RED 750ML</v>
      </c>
      <c r="E882" s="3" t="str">
        <f>IF(ISNA($D882),VLOOKUP($A882,[2]stockregister!$A$2:$B$2000,2,FALSE),"")</f>
        <v/>
      </c>
      <c r="F882" s="3" t="s">
        <v>21</v>
      </c>
      <c r="G882" s="3">
        <f>_xlfn.IFNA(VLOOKUP($A882,[3]stockregister!$A$2:$L$2000,11,0),0)</f>
        <v>3</v>
      </c>
      <c r="H882" s="3">
        <f>_xlfn.IFNA(VLOOKUP($A882,[3]stockregister!$A$2:$L$2000,11,0),0)-$G882</f>
        <v>0</v>
      </c>
      <c r="I882" s="3">
        <f>_xlfn.IFNA(VLOOKUP($A882,[3]stockregister!$A$2:$L$2000,12,0),0)</f>
        <v>1104</v>
      </c>
      <c r="J882" s="3">
        <f>_xlfn.IFNA(VLOOKUP($A882,[3]stockregister!$A$1:$M$2000,12,0),0)-$I882</f>
        <v>0</v>
      </c>
      <c r="K882" s="3" t="s">
        <v>22</v>
      </c>
      <c r="L882" s="3" t="s">
        <v>23</v>
      </c>
      <c r="M882" s="3">
        <f>_xlfn.IFNA(VLOOKUP($A882,[2]stockregister!$A$2:$H$2000,8,0),0)</f>
        <v>1200</v>
      </c>
      <c r="N882" s="3">
        <f>_xlfn.IFNA(VLOOKUP($A882,[2]stockregister!$A$2:$H$2000,8,0),0)-$M882</f>
        <v>0</v>
      </c>
      <c r="O882" s="3" t="s">
        <v>2069</v>
      </c>
      <c r="P882" s="3" t="s">
        <v>2069</v>
      </c>
      <c r="Q882" s="3" t="s">
        <v>2070</v>
      </c>
      <c r="R882" s="3" t="s">
        <v>68</v>
      </c>
      <c r="S882" s="3" t="s">
        <v>169</v>
      </c>
    </row>
    <row r="883" spans="1:19">
      <c r="A883" s="3">
        <v>1532</v>
      </c>
      <c r="B883" s="3" t="b">
        <f>ISNUMBER(MATCH(A883,[1]stockregister!$A$2:$A$2000,0))</f>
        <v>1</v>
      </c>
      <c r="C883" s="3" t="s">
        <v>2071</v>
      </c>
      <c r="D883" s="3" t="str">
        <f>VLOOKUP($C883,[1]stockregister!$B$2:$B$2000,1,0)</f>
        <v>NOBLE ROSE 750ML</v>
      </c>
      <c r="E883" s="3" t="str">
        <f>IF(ISNA($D883),VLOOKUP($A883,[2]stockregister!$A$2:$B$2000,2,FALSE),"")</f>
        <v/>
      </c>
      <c r="F883" s="3" t="s">
        <v>21</v>
      </c>
      <c r="G883" s="3">
        <f>_xlfn.IFNA(VLOOKUP($A883,[3]stockregister!$A$2:$L$2000,11,0),0)</f>
        <v>3</v>
      </c>
      <c r="H883" s="3">
        <f>_xlfn.IFNA(VLOOKUP($A883,[3]stockregister!$A$2:$L$2000,11,0),0)-$G883</f>
        <v>0</v>
      </c>
      <c r="I883" s="3">
        <f>_xlfn.IFNA(VLOOKUP($A883,[3]stockregister!$A$2:$L$2000,12,0),0)</f>
        <v>920</v>
      </c>
      <c r="J883" s="3">
        <f>_xlfn.IFNA(VLOOKUP($A883,[3]stockregister!$A$1:$M$2000,12,0),0)-$I883</f>
        <v>0</v>
      </c>
      <c r="K883" s="3" t="s">
        <v>22</v>
      </c>
      <c r="L883" s="3" t="s">
        <v>23</v>
      </c>
      <c r="M883" s="3">
        <f>_xlfn.IFNA(VLOOKUP($A883,[2]stockregister!$A$2:$H$2000,8,0),0)</f>
        <v>1000</v>
      </c>
      <c r="N883" s="3">
        <f>_xlfn.IFNA(VLOOKUP($A883,[2]stockregister!$A$2:$H$2000,8,0),0)-$M883</f>
        <v>0</v>
      </c>
      <c r="O883" s="3" t="s">
        <v>2072</v>
      </c>
      <c r="P883" s="3" t="s">
        <v>2072</v>
      </c>
      <c r="Q883" s="3" t="s">
        <v>1931</v>
      </c>
      <c r="R883" s="3" t="s">
        <v>68</v>
      </c>
      <c r="S883" s="3" t="s">
        <v>1030</v>
      </c>
    </row>
    <row r="884" spans="1:19">
      <c r="A884" s="3">
        <v>2177</v>
      </c>
      <c r="B884" s="3" t="b">
        <f>ISNUMBER(MATCH(A884,[1]stockregister!$A$2:$A$2000,0))</f>
        <v>1</v>
      </c>
      <c r="C884" s="3" t="s">
        <v>418</v>
      </c>
      <c r="D884" s="3" t="str">
        <f>VLOOKUP($C884,[1]stockregister!$B$2:$B$2000,1,0)</f>
        <v>ANGOVE  MCLAREN VALE SHIRAZ 2016 750ML</v>
      </c>
      <c r="E884" s="3" t="str">
        <f>IF(ISNA($D884),VLOOKUP($A884,[2]stockregister!$A$2:$B$2000,2,FALSE),"")</f>
        <v/>
      </c>
      <c r="F884" s="3" t="s">
        <v>21</v>
      </c>
      <c r="G884" s="3">
        <f>_xlfn.IFNA(VLOOKUP($A884,[3]stockregister!$A$2:$L$2000,11,0),0)</f>
        <v>3</v>
      </c>
      <c r="H884" s="3">
        <f>_xlfn.IFNA(VLOOKUP($A884,[3]stockregister!$A$2:$L$2000,11,0),0)-$G884</f>
        <v>0</v>
      </c>
      <c r="I884" s="3">
        <f>_xlfn.IFNA(VLOOKUP($A884,[3]stockregister!$A$2:$L$2000,12,0),0)</f>
        <v>1450</v>
      </c>
      <c r="J884" s="3">
        <f>_xlfn.IFNA(VLOOKUP($A884,[3]stockregister!$A$1:$M$2000,12,0),0)-$I884</f>
        <v>0</v>
      </c>
      <c r="K884" s="3" t="s">
        <v>22</v>
      </c>
      <c r="L884" s="3" t="s">
        <v>23</v>
      </c>
      <c r="M884" s="3">
        <f>_xlfn.IFNA(VLOOKUP($A884,[2]stockregister!$A$2:$H$2000,8,0),0)</f>
        <v>1500</v>
      </c>
      <c r="N884" s="3">
        <f>_xlfn.IFNA(VLOOKUP($A884,[2]stockregister!$A$2:$H$2000,8,0),0)-$M884</f>
        <v>0</v>
      </c>
      <c r="O884" s="3" t="s">
        <v>2073</v>
      </c>
      <c r="P884" s="3" t="s">
        <v>2073</v>
      </c>
      <c r="Q884" s="3" t="s">
        <v>1701</v>
      </c>
      <c r="R884" s="3" t="s">
        <v>68</v>
      </c>
      <c r="S884" s="3" t="s">
        <v>1357</v>
      </c>
    </row>
    <row r="885" spans="1:19">
      <c r="A885" s="3">
        <v>2526</v>
      </c>
      <c r="B885" s="3" t="b">
        <f>ISNUMBER(MATCH(A885,[1]stockregister!$A$2:$A$2000,0))</f>
        <v>1</v>
      </c>
      <c r="C885" s="3" t="s">
        <v>2074</v>
      </c>
      <c r="D885" s="3" t="str">
        <f>VLOOKUP($C885,[1]stockregister!$B$2:$B$2000,1,0)</f>
        <v>MARQUES CAVA BRUT 750ML</v>
      </c>
      <c r="E885" s="3" t="str">
        <f>IF(ISNA($D885),VLOOKUP($A885,[2]stockregister!$A$2:$B$2000,2,FALSE),"")</f>
        <v/>
      </c>
      <c r="F885" s="3" t="s">
        <v>21</v>
      </c>
      <c r="G885" s="3">
        <f>_xlfn.IFNA(VLOOKUP($A885,[3]stockregister!$A$2:$L$2000,11,0),0)</f>
        <v>3</v>
      </c>
      <c r="H885" s="3">
        <f>_xlfn.IFNA(VLOOKUP($A885,[3]stockregister!$A$2:$L$2000,11,0),0)-$G885</f>
        <v>0</v>
      </c>
      <c r="I885" s="3">
        <f>_xlfn.IFNA(VLOOKUP($A885,[3]stockregister!$A$2:$L$2000,12,0),0)</f>
        <v>1660</v>
      </c>
      <c r="J885" s="3">
        <f>_xlfn.IFNA(VLOOKUP($A885,[3]stockregister!$A$1:$M$2000,12,0),0)-$I885</f>
        <v>0</v>
      </c>
      <c r="K885" s="3" t="s">
        <v>22</v>
      </c>
      <c r="L885" s="3" t="s">
        <v>23</v>
      </c>
      <c r="M885" s="3">
        <f>_xlfn.IFNA(VLOOKUP($A885,[2]stockregister!$A$2:$H$2000,8,0),0)</f>
        <v>1850</v>
      </c>
      <c r="N885" s="3">
        <f>_xlfn.IFNA(VLOOKUP($A885,[2]stockregister!$A$2:$H$2000,8,0),0)-$M885</f>
        <v>0</v>
      </c>
      <c r="O885" s="3" t="s">
        <v>2075</v>
      </c>
      <c r="P885" s="3" t="s">
        <v>2075</v>
      </c>
      <c r="Q885" s="3" t="s">
        <v>2076</v>
      </c>
      <c r="R885" s="3" t="s">
        <v>537</v>
      </c>
      <c r="S885" s="3" t="s">
        <v>538</v>
      </c>
    </row>
    <row r="886" spans="1:19">
      <c r="A886" s="3">
        <v>1675</v>
      </c>
      <c r="B886" s="3" t="b">
        <f>ISNUMBER(MATCH(A886,[1]stockregister!$A$2:$A$2000,0))</f>
        <v>1</v>
      </c>
      <c r="C886" s="3" t="s">
        <v>2077</v>
      </c>
      <c r="D886" s="3" t="str">
        <f>VLOOKUP($C886,[1]stockregister!$B$2:$B$2000,1,0)</f>
        <v>ROBERTSON SWEET ROSE 1.5LT</v>
      </c>
      <c r="E886" s="3" t="str">
        <f>IF(ISNA($D886),VLOOKUP($A886,[2]stockregister!$A$2:$B$2000,2,FALSE),"")</f>
        <v/>
      </c>
      <c r="F886" s="3" t="s">
        <v>21</v>
      </c>
      <c r="G886" s="3">
        <f>_xlfn.IFNA(VLOOKUP($A886,[3]stockregister!$A$2:$L$2000,11,0),0)</f>
        <v>3</v>
      </c>
      <c r="H886" s="3">
        <f>_xlfn.IFNA(VLOOKUP($A886,[3]stockregister!$A$2:$L$2000,11,0),0)-$G886</f>
        <v>0</v>
      </c>
      <c r="I886" s="3">
        <f>_xlfn.IFNA(VLOOKUP($A886,[3]stockregister!$A$2:$L$2000,12,0),0)</f>
        <v>1530</v>
      </c>
      <c r="J886" s="3">
        <f>_xlfn.IFNA(VLOOKUP($A886,[3]stockregister!$A$1:$M$2000,12,0),0)-$I886</f>
        <v>0</v>
      </c>
      <c r="K886" s="3" t="s">
        <v>22</v>
      </c>
      <c r="L886" s="3" t="s">
        <v>23</v>
      </c>
      <c r="M886" s="3">
        <f>_xlfn.IFNA(VLOOKUP($A886,[2]stockregister!$A$2:$H$2000,8,0),0)</f>
        <v>1800</v>
      </c>
      <c r="N886" s="3">
        <f>_xlfn.IFNA(VLOOKUP($A886,[2]stockregister!$A$2:$H$2000,8,0),0)-$M886</f>
        <v>0</v>
      </c>
      <c r="O886" s="3" t="s">
        <v>2078</v>
      </c>
      <c r="P886" s="3" t="s">
        <v>2078</v>
      </c>
      <c r="Q886" s="3" t="s">
        <v>954</v>
      </c>
      <c r="R886" s="3" t="s">
        <v>537</v>
      </c>
      <c r="S886" s="3" t="s">
        <v>196</v>
      </c>
    </row>
    <row r="887" spans="1:18">
      <c r="A887" s="3">
        <v>2527</v>
      </c>
      <c r="B887" s="3" t="b">
        <f>ISNUMBER(MATCH(A887,[1]stockregister!$A$2:$A$2000,0))</f>
        <v>1</v>
      </c>
      <c r="C887" s="3" t="s">
        <v>2079</v>
      </c>
      <c r="D887" s="3" t="str">
        <f>VLOOKUP($C887,[1]stockregister!$B$2:$B$2000,1,0)</f>
        <v>MARQUES SEGUNDO ANO 750ML</v>
      </c>
      <c r="E887" s="3" t="str">
        <f>IF(ISNA($D887),VLOOKUP($A887,[2]stockregister!$A$2:$B$2000,2,FALSE),"")</f>
        <v/>
      </c>
      <c r="F887" s="3" t="s">
        <v>21</v>
      </c>
      <c r="G887" s="3">
        <f>_xlfn.IFNA(VLOOKUP($A887,[3]stockregister!$A$2:$L$2000,11,0),0)</f>
        <v>3</v>
      </c>
      <c r="H887" s="3">
        <f>_xlfn.IFNA(VLOOKUP($A887,[3]stockregister!$A$2:$L$2000,11,0),0)-$G887</f>
        <v>0</v>
      </c>
      <c r="I887" s="3">
        <f>_xlfn.IFNA(VLOOKUP($A887,[3]stockregister!$A$2:$L$2000,12,0),0)</f>
        <v>1650</v>
      </c>
      <c r="J887" s="3">
        <f>_xlfn.IFNA(VLOOKUP($A887,[3]stockregister!$A$1:$M$2000,12,0),0)-$I887</f>
        <v>0</v>
      </c>
      <c r="K887" s="3" t="s">
        <v>22</v>
      </c>
      <c r="L887" s="3" t="s">
        <v>23</v>
      </c>
      <c r="M887" s="3">
        <f>_xlfn.IFNA(VLOOKUP($A887,[2]stockregister!$A$2:$H$2000,8,0),0)</f>
        <v>1850</v>
      </c>
      <c r="N887" s="3">
        <f>_xlfn.IFNA(VLOOKUP($A887,[2]stockregister!$A$2:$H$2000,8,0),0)-$M887</f>
        <v>0</v>
      </c>
      <c r="O887" s="3" t="s">
        <v>2080</v>
      </c>
      <c r="P887" s="3" t="s">
        <v>2080</v>
      </c>
      <c r="Q887" s="3" t="s">
        <v>2076</v>
      </c>
      <c r="R887" s="3" t="s">
        <v>537</v>
      </c>
    </row>
    <row r="888" spans="1:19">
      <c r="A888" s="3">
        <v>2969</v>
      </c>
      <c r="B888" s="3" t="b">
        <f>ISNUMBER(MATCH(A888,[1]stockregister!$A$2:$A$2000,0))</f>
        <v>1</v>
      </c>
      <c r="C888" s="3" t="s">
        <v>2081</v>
      </c>
      <c r="D888" s="3" t="str">
        <f>VLOOKUP($C888,[1]stockregister!$B$2:$B$2000,1,0)</f>
        <v>LOUIS ROEDERER CHAMPAGNE CRISTAL BRUT 2013 1.5L </v>
      </c>
      <c r="E888" s="3" t="str">
        <f>IF(ISNA($D888),VLOOKUP($A888,[2]stockregister!$A$2:$B$2000,2,FALSE),"")</f>
        <v/>
      </c>
      <c r="F888" s="3" t="s">
        <v>21</v>
      </c>
      <c r="G888" s="3">
        <f>_xlfn.IFNA(VLOOKUP($A888,[3]stockregister!$A$2:$L$2000,11,0),0)</f>
        <v>3</v>
      </c>
      <c r="H888" s="3">
        <f>_xlfn.IFNA(VLOOKUP($A888,[3]stockregister!$A$2:$L$2000,11,0),0)-$G888</f>
        <v>0</v>
      </c>
      <c r="I888" s="3">
        <f>_xlfn.IFNA(VLOOKUP($A888,[3]stockregister!$A$2:$L$2000,12,0),0)</f>
        <v>63900</v>
      </c>
      <c r="J888" s="3">
        <f>_xlfn.IFNA(VLOOKUP($A888,[3]stockregister!$A$1:$M$2000,12,0),0)-$I888</f>
        <v>0</v>
      </c>
      <c r="K888" s="3" t="s">
        <v>22</v>
      </c>
      <c r="L888" s="3" t="s">
        <v>23</v>
      </c>
      <c r="M888" s="3">
        <f>_xlfn.IFNA(VLOOKUP($A888,[2]stockregister!$A$2:$H$2000,8,0),0)</f>
        <v>85000</v>
      </c>
      <c r="N888" s="3">
        <f>_xlfn.IFNA(VLOOKUP($A888,[2]stockregister!$A$2:$H$2000,8,0),0)-$M888</f>
        <v>0</v>
      </c>
      <c r="O888" s="3" t="s">
        <v>2082</v>
      </c>
      <c r="P888" s="3" t="s">
        <v>2082</v>
      </c>
      <c r="Q888" s="3" t="s">
        <v>2083</v>
      </c>
      <c r="R888" s="3" t="s">
        <v>68</v>
      </c>
      <c r="S888" s="3" t="s">
        <v>555</v>
      </c>
    </row>
    <row r="889" spans="1:19">
      <c r="A889" s="3">
        <v>2965</v>
      </c>
      <c r="B889" s="3" t="b">
        <f>ISNUMBER(MATCH(A889,[1]stockregister!$A$2:$A$2000,0))</f>
        <v>1</v>
      </c>
      <c r="C889" s="3" t="s">
        <v>2084</v>
      </c>
      <c r="D889" s="3" t="str">
        <f>VLOOKUP($C889,[1]stockregister!$B$2:$B$2000,1,0)</f>
        <v>JAMESON TRIPLE TRIPLE MARSALA LITRE</v>
      </c>
      <c r="E889" s="3" t="str">
        <f>IF(ISNA($D889),VLOOKUP($A889,[2]stockregister!$A$2:$B$2000,2,FALSE),"")</f>
        <v/>
      </c>
      <c r="F889" s="3" t="s">
        <v>21</v>
      </c>
      <c r="G889" s="3">
        <f>_xlfn.IFNA(VLOOKUP($A889,[3]stockregister!$A$2:$L$2000,11,0),0)</f>
        <v>0</v>
      </c>
      <c r="H889" s="3">
        <f>_xlfn.IFNA(VLOOKUP($A889,[3]stockregister!$A$2:$L$2000,11,0),0)-$G889</f>
        <v>0</v>
      </c>
      <c r="I889" s="3">
        <f>_xlfn.IFNA(VLOOKUP($A889,[3]stockregister!$A$2:$L$2000,12,0),0)</f>
        <v>4500</v>
      </c>
      <c r="J889" s="3">
        <f>_xlfn.IFNA(VLOOKUP($A889,[3]stockregister!$A$1:$M$2000,12,0),0)-$I889</f>
        <v>0</v>
      </c>
      <c r="K889" s="3" t="s">
        <v>22</v>
      </c>
      <c r="L889" s="3" t="s">
        <v>23</v>
      </c>
      <c r="M889" s="3">
        <f>_xlfn.IFNA(VLOOKUP($A889,[2]stockregister!$A$2:$H$2000,8,0),0)</f>
        <v>5000</v>
      </c>
      <c r="N889" s="3">
        <f>_xlfn.IFNA(VLOOKUP($A889,[2]stockregister!$A$2:$H$2000,8,0),0)-$M889</f>
        <v>0</v>
      </c>
      <c r="O889" s="3" t="s">
        <v>2085</v>
      </c>
      <c r="P889" s="3" t="s">
        <v>2085</v>
      </c>
      <c r="Q889" s="3" t="s">
        <v>269</v>
      </c>
      <c r="R889" s="3" t="s">
        <v>92</v>
      </c>
      <c r="S889" s="3" t="s">
        <v>2086</v>
      </c>
    </row>
    <row r="890" spans="1:19">
      <c r="A890" s="3">
        <v>967</v>
      </c>
      <c r="B890" s="3" t="b">
        <f>ISNUMBER(MATCH(A890,[1]stockregister!$A$2:$A$2000,0))</f>
        <v>1</v>
      </c>
      <c r="C890" s="3" t="s">
        <v>2087</v>
      </c>
      <c r="D890" s="3" t="str">
        <f>VLOOKUP($C890,[1]stockregister!$B$2:$B$2000,1,0)</f>
        <v>HENNESSY XO COGNAC 700ML</v>
      </c>
      <c r="E890" s="3" t="str">
        <f>IF(ISNA($D890),VLOOKUP($A890,[2]stockregister!$A$2:$B$2000,2,FALSE),"")</f>
        <v/>
      </c>
      <c r="F890" s="3" t="s">
        <v>21</v>
      </c>
      <c r="G890" s="3">
        <f>_xlfn.IFNA(VLOOKUP($A890,[3]stockregister!$A$2:$L$2000,11,0),0)</f>
        <v>2</v>
      </c>
      <c r="H890" s="3">
        <f>_xlfn.IFNA(VLOOKUP($A890,[3]stockregister!$A$2:$L$2000,11,0),0)-$G890</f>
        <v>0</v>
      </c>
      <c r="I890" s="3">
        <f>_xlfn.IFNA(VLOOKUP($A890,[3]stockregister!$A$2:$L$2000,12,0),0)</f>
        <v>25000</v>
      </c>
      <c r="J890" s="3">
        <f>_xlfn.IFNA(VLOOKUP($A890,[3]stockregister!$A$1:$M$2000,12,0),0)-$I890</f>
        <v>0</v>
      </c>
      <c r="K890" s="3" t="s">
        <v>22</v>
      </c>
      <c r="L890" s="3" t="s">
        <v>23</v>
      </c>
      <c r="M890" s="3">
        <f>_xlfn.IFNA(VLOOKUP($A890,[2]stockregister!$A$2:$H$2000,8,0),0)</f>
        <v>25500</v>
      </c>
      <c r="N890" s="3">
        <f>_xlfn.IFNA(VLOOKUP($A890,[2]stockregister!$A$2:$H$2000,8,0),0)-$M890</f>
        <v>0</v>
      </c>
      <c r="O890" s="3" t="s">
        <v>2088</v>
      </c>
      <c r="P890" s="3" t="s">
        <v>2088</v>
      </c>
      <c r="Q890" s="3" t="s">
        <v>227</v>
      </c>
      <c r="R890" s="3" t="s">
        <v>102</v>
      </c>
      <c r="S890" s="3" t="s">
        <v>401</v>
      </c>
    </row>
    <row r="891" spans="1:19">
      <c r="A891" s="3">
        <v>2319</v>
      </c>
      <c r="B891" s="3" t="b">
        <f>ISNUMBER(MATCH(A891,[1]stockregister!$A$2:$A$2000,0))</f>
        <v>1</v>
      </c>
      <c r="C891" s="3" t="s">
        <v>2089</v>
      </c>
      <c r="D891" s="3" t="str">
        <f>VLOOKUP($C891,[1]stockregister!$B$2:$B$2000,1,0)</f>
        <v>WHITLEY NEIL PARMA VIOLET 700ML</v>
      </c>
      <c r="E891" s="3" t="str">
        <f>IF(ISNA($D891),VLOOKUP($A891,[2]stockregister!$A$2:$B$2000,2,FALSE),"")</f>
        <v/>
      </c>
      <c r="F891" s="3" t="s">
        <v>21</v>
      </c>
      <c r="G891" s="3">
        <f>_xlfn.IFNA(VLOOKUP($A891,[3]stockregister!$A$2:$L$2000,11,0),0)</f>
        <v>0</v>
      </c>
      <c r="H891" s="3">
        <f>_xlfn.IFNA(VLOOKUP($A891,[3]stockregister!$A$2:$L$2000,11,0),0)-$G891</f>
        <v>0</v>
      </c>
      <c r="I891" s="3">
        <f>_xlfn.IFNA(VLOOKUP($A891,[3]stockregister!$A$2:$L$2000,12,0),0)</f>
        <v>2600</v>
      </c>
      <c r="J891" s="3">
        <f>_xlfn.IFNA(VLOOKUP($A891,[3]stockregister!$A$1:$M$2000,12,0),0)-$I891</f>
        <v>0</v>
      </c>
      <c r="K891" s="3" t="s">
        <v>22</v>
      </c>
      <c r="L891" s="3" t="s">
        <v>23</v>
      </c>
      <c r="M891" s="3">
        <f>_xlfn.IFNA(VLOOKUP($A891,[2]stockregister!$A$2:$H$2000,8,0),0)</f>
        <v>2800</v>
      </c>
      <c r="N891" s="3">
        <f>_xlfn.IFNA(VLOOKUP($A891,[2]stockregister!$A$2:$H$2000,8,0),0)-$M891</f>
        <v>0</v>
      </c>
      <c r="O891" s="3" t="s">
        <v>2090</v>
      </c>
      <c r="P891" s="3" t="s">
        <v>2090</v>
      </c>
      <c r="Q891" s="3" t="s">
        <v>1061</v>
      </c>
      <c r="R891" s="3" t="s">
        <v>78</v>
      </c>
      <c r="S891" s="3" t="s">
        <v>2091</v>
      </c>
    </row>
    <row r="892" spans="1:19">
      <c r="A892" s="3">
        <v>2919</v>
      </c>
      <c r="B892" s="3" t="b">
        <f>ISNUMBER(MATCH(A892,[1]stockregister!$A$2:$A$2000,0))</f>
        <v>1</v>
      </c>
      <c r="C892" s="3" t="s">
        <v>422</v>
      </c>
      <c r="D892" s="3" t="str">
        <f>VLOOKUP($C892,[1]stockregister!$B$2:$B$2000,1,0)</f>
        <v>WOOSH PEN 1800 PUFFS COLA LIME </v>
      </c>
      <c r="E892" s="3" t="str">
        <f>IF(ISNA($D892),VLOOKUP($A892,[2]stockregister!$A$2:$B$2000,2,FALSE),"")</f>
        <v/>
      </c>
      <c r="F892" s="3" t="s">
        <v>21</v>
      </c>
      <c r="G892" s="3">
        <f>_xlfn.IFNA(VLOOKUP($A892,[3]stockregister!$A$2:$L$2000,11,0),0)</f>
        <v>2</v>
      </c>
      <c r="H892" s="3">
        <f>_xlfn.IFNA(VLOOKUP($A892,[3]stockregister!$A$2:$L$2000,11,0),0)-$G892</f>
        <v>0</v>
      </c>
      <c r="I892" s="3">
        <f>_xlfn.IFNA(VLOOKUP($A892,[3]stockregister!$A$2:$L$2000,12,0),0)</f>
        <v>735</v>
      </c>
      <c r="J892" s="3">
        <f>_xlfn.IFNA(VLOOKUP($A892,[3]stockregister!$A$1:$M$2000,12,0),0)-$I892</f>
        <v>0</v>
      </c>
      <c r="K892" s="3" t="s">
        <v>22</v>
      </c>
      <c r="L892" s="3" t="s">
        <v>23</v>
      </c>
      <c r="M892" s="3">
        <f>_xlfn.IFNA(VLOOKUP($A892,[2]stockregister!$A$2:$H$2000,8,0),0)</f>
        <v>850</v>
      </c>
      <c r="N892" s="3">
        <f>_xlfn.IFNA(VLOOKUP($A892,[2]stockregister!$A$2:$H$2000,8,0),0)-$M892</f>
        <v>0</v>
      </c>
      <c r="O892" s="3" t="s">
        <v>2092</v>
      </c>
      <c r="P892" s="3" t="s">
        <v>2092</v>
      </c>
      <c r="Q892" s="3">
        <v>0</v>
      </c>
      <c r="R892" s="3" t="s">
        <v>39</v>
      </c>
      <c r="S892" s="3" t="s">
        <v>1800</v>
      </c>
    </row>
    <row r="893" spans="1:19">
      <c r="A893" s="3">
        <v>2917</v>
      </c>
      <c r="B893" s="3" t="b">
        <f>ISNUMBER(MATCH(A893,[1]stockregister!$A$2:$A$2000,0))</f>
        <v>1</v>
      </c>
      <c r="C893" s="3" t="s">
        <v>424</v>
      </c>
      <c r="D893" s="3" t="str">
        <f>VLOOKUP($C893,[1]stockregister!$B$2:$B$2000,1,0)</f>
        <v>WOOSH 9000 PUFFS WATERMELON ICE </v>
      </c>
      <c r="E893" s="3" t="str">
        <f>IF(ISNA($D893),VLOOKUP($A893,[2]stockregister!$A$2:$B$2000,2,FALSE),"")</f>
        <v/>
      </c>
      <c r="F893" s="3" t="s">
        <v>21</v>
      </c>
      <c r="G893" s="3">
        <f>_xlfn.IFNA(VLOOKUP($A893,[3]stockregister!$A$2:$L$2000,11,0),0)</f>
        <v>2</v>
      </c>
      <c r="H893" s="3">
        <f>_xlfn.IFNA(VLOOKUP($A893,[3]stockregister!$A$2:$L$2000,11,0),0)-$G893</f>
        <v>0</v>
      </c>
      <c r="I893" s="3">
        <f>_xlfn.IFNA(VLOOKUP($A893,[3]stockregister!$A$2:$L$2000,12,0),0)</f>
        <v>1077</v>
      </c>
      <c r="J893" s="3">
        <f>_xlfn.IFNA(VLOOKUP($A893,[3]stockregister!$A$1:$M$2000,12,0),0)-$I893</f>
        <v>0</v>
      </c>
      <c r="K893" s="3" t="s">
        <v>22</v>
      </c>
      <c r="L893" s="3" t="s">
        <v>23</v>
      </c>
      <c r="M893" s="3">
        <f>_xlfn.IFNA(VLOOKUP($A893,[2]stockregister!$A$2:$H$2000,8,0),0)</f>
        <v>1200</v>
      </c>
      <c r="N893" s="3">
        <f>_xlfn.IFNA(VLOOKUP($A893,[2]stockregister!$A$2:$H$2000,8,0),0)-$M893</f>
        <v>0</v>
      </c>
      <c r="O893" s="3" t="s">
        <v>2093</v>
      </c>
      <c r="P893" s="3" t="s">
        <v>2093</v>
      </c>
      <c r="Q893" s="3">
        <v>0</v>
      </c>
      <c r="R893" s="3" t="s">
        <v>39</v>
      </c>
      <c r="S893" s="3" t="s">
        <v>64</v>
      </c>
    </row>
    <row r="894" spans="1:19">
      <c r="A894" s="3">
        <v>871</v>
      </c>
      <c r="B894" s="3" t="b">
        <f>ISNUMBER(MATCH(A894,[1]stockregister!$A$2:$A$2000,0))</f>
        <v>1</v>
      </c>
      <c r="C894" s="3" t="s">
        <v>2094</v>
      </c>
      <c r="D894" s="3" t="str">
        <f>VLOOKUP($C894,[1]stockregister!$B$2:$B$2000,1,0)</f>
        <v>GLENMORANGIE NECTAR D'OR 700ML</v>
      </c>
      <c r="E894" s="3" t="str">
        <f>IF(ISNA($D894),VLOOKUP($A894,[2]stockregister!$A$2:$B$2000,2,FALSE),"")</f>
        <v/>
      </c>
      <c r="F894" s="3" t="s">
        <v>21</v>
      </c>
      <c r="G894" s="3">
        <f>_xlfn.IFNA(VLOOKUP($A894,[3]stockregister!$A$2:$L$2000,11,0),0)</f>
        <v>2</v>
      </c>
      <c r="H894" s="3">
        <f>_xlfn.IFNA(VLOOKUP($A894,[3]stockregister!$A$2:$L$2000,11,0),0)-$G894</f>
        <v>0</v>
      </c>
      <c r="I894" s="3">
        <f>_xlfn.IFNA(VLOOKUP($A894,[3]stockregister!$A$2:$L$2000,12,0),0)</f>
        <v>5520</v>
      </c>
      <c r="J894" s="3">
        <f>_xlfn.IFNA(VLOOKUP($A894,[3]stockregister!$A$1:$M$2000,12,0),0)-$I894</f>
        <v>0</v>
      </c>
      <c r="K894" s="3" t="s">
        <v>22</v>
      </c>
      <c r="L894" s="3" t="s">
        <v>23</v>
      </c>
      <c r="M894" s="3">
        <f>_xlfn.IFNA(VLOOKUP($A894,[2]stockregister!$A$2:$H$2000,8,0),0)</f>
        <v>6000</v>
      </c>
      <c r="N894" s="3">
        <f>_xlfn.IFNA(VLOOKUP($A894,[2]stockregister!$A$2:$H$2000,8,0),0)-$M894</f>
        <v>0</v>
      </c>
      <c r="O894" s="3" t="s">
        <v>2095</v>
      </c>
      <c r="P894" s="3" t="s">
        <v>2095</v>
      </c>
      <c r="Q894" s="3" t="s">
        <v>780</v>
      </c>
      <c r="R894" s="3" t="s">
        <v>92</v>
      </c>
      <c r="S894" s="3" t="s">
        <v>134</v>
      </c>
    </row>
    <row r="895" spans="1:20">
      <c r="A895" s="3">
        <v>859</v>
      </c>
      <c r="B895" s="3" t="b">
        <f>ISNUMBER(MATCH(A895,[1]stockregister!$A$2:$A$2000,0))</f>
        <v>1</v>
      </c>
      <c r="C895" s="3" t="s">
        <v>2096</v>
      </c>
      <c r="D895" s="3" t="str">
        <f>VLOOKUP($C895,[1]stockregister!$B$2:$B$2000,1,0)</f>
        <v>GLENFIDICH 12YRS WHISKY 350ML</v>
      </c>
      <c r="E895" s="3" t="str">
        <f>IF(ISNA($D895),VLOOKUP($A895,[2]stockregister!$A$2:$B$2000,2,FALSE),"")</f>
        <v/>
      </c>
      <c r="F895" s="3" t="s">
        <v>21</v>
      </c>
      <c r="G895" s="3">
        <f>_xlfn.IFNA(VLOOKUP($A895,[3]stockregister!$A$2:$L$2000,11,0),0)</f>
        <v>2</v>
      </c>
      <c r="H895" s="3">
        <f>_xlfn.IFNA(VLOOKUP($A895,[3]stockregister!$A$2:$L$2000,11,0),0)-$G895</f>
        <v>0</v>
      </c>
      <c r="I895" s="3">
        <f>_xlfn.IFNA(VLOOKUP($A895,[3]stockregister!$A$2:$L$2000,12,0),0)</f>
        <v>2024</v>
      </c>
      <c r="J895" s="3">
        <f>_xlfn.IFNA(VLOOKUP($A895,[3]stockregister!$A$1:$M$2000,12,0),0)-$I895</f>
        <v>0</v>
      </c>
      <c r="K895" s="3" t="s">
        <v>22</v>
      </c>
      <c r="L895" s="3" t="s">
        <v>23</v>
      </c>
      <c r="M895" s="3">
        <f>_xlfn.IFNA(VLOOKUP($A895,[2]stockregister!$A$2:$H$2000,8,0),0)</f>
        <v>2200</v>
      </c>
      <c r="N895" s="3">
        <f>_xlfn.IFNA(VLOOKUP($A895,[2]stockregister!$A$2:$H$2000,8,0),0)-$M895</f>
        <v>0</v>
      </c>
      <c r="O895" s="3" t="s">
        <v>2097</v>
      </c>
      <c r="P895" s="3" t="s">
        <v>2097</v>
      </c>
      <c r="Q895" s="3" t="s">
        <v>365</v>
      </c>
      <c r="R895" s="3" t="s">
        <v>92</v>
      </c>
      <c r="S895" s="3" t="s">
        <v>134</v>
      </c>
      <c r="T895" s="3">
        <v>12</v>
      </c>
    </row>
    <row r="896" spans="1:19">
      <c r="A896" s="3">
        <v>1403</v>
      </c>
      <c r="B896" s="3" t="b">
        <f>ISNUMBER(MATCH(A896,[1]stockregister!$A$2:$A$2000,0))</f>
        <v>1</v>
      </c>
      <c r="C896" s="3" t="s">
        <v>2098</v>
      </c>
      <c r="D896" s="3" t="str">
        <f>VLOOKUP($C896,[1]stockregister!$B$2:$B$2000,1,0)</f>
        <v>MARTINI BRUT 750ML</v>
      </c>
      <c r="E896" s="3" t="str">
        <f>IF(ISNA($D896),VLOOKUP($A896,[2]stockregister!$A$2:$B$2000,2,FALSE),"")</f>
        <v/>
      </c>
      <c r="F896" s="3" t="s">
        <v>21</v>
      </c>
      <c r="G896" s="3">
        <f>_xlfn.IFNA(VLOOKUP($A896,[3]stockregister!$A$2:$L$2000,11,0),0)</f>
        <v>2</v>
      </c>
      <c r="H896" s="3">
        <f>_xlfn.IFNA(VLOOKUP($A896,[3]stockregister!$A$2:$L$2000,11,0),0)-$G896</f>
        <v>0</v>
      </c>
      <c r="I896" s="3">
        <f>_xlfn.IFNA(VLOOKUP($A896,[3]stockregister!$A$2:$L$2000,12,0),0)</f>
        <v>1288</v>
      </c>
      <c r="J896" s="3">
        <f>_xlfn.IFNA(VLOOKUP($A896,[3]stockregister!$A$1:$M$2000,12,0),0)-$I896</f>
        <v>0</v>
      </c>
      <c r="K896" s="3" t="s">
        <v>22</v>
      </c>
      <c r="L896" s="3" t="s">
        <v>23</v>
      </c>
      <c r="M896" s="3">
        <f>_xlfn.IFNA(VLOOKUP($A896,[2]stockregister!$A$2:$H$2000,8,0),0)</f>
        <v>1400</v>
      </c>
      <c r="N896" s="3">
        <f>_xlfn.IFNA(VLOOKUP($A896,[2]stockregister!$A$2:$H$2000,8,0),0)-$M896</f>
        <v>0</v>
      </c>
      <c r="O896" s="3" t="s">
        <v>2099</v>
      </c>
      <c r="P896" s="3" t="s">
        <v>2099</v>
      </c>
      <c r="Q896" s="3" t="s">
        <v>2100</v>
      </c>
      <c r="R896" s="3" t="s">
        <v>68</v>
      </c>
      <c r="S896" s="3" t="s">
        <v>870</v>
      </c>
    </row>
    <row r="897" spans="1:19">
      <c r="A897" s="3">
        <v>786</v>
      </c>
      <c r="B897" s="3" t="b">
        <f>ISNUMBER(MATCH(A897,[1]stockregister!$A$2:$A$2000,0))</f>
        <v>1</v>
      </c>
      <c r="C897" s="3" t="s">
        <v>427</v>
      </c>
      <c r="D897" s="3" t="str">
        <f>VLOOKUP($C897,[1]stockregister!$B$2:$B$2000,1,0)</f>
        <v>FRONTERA CAB SAUV  750ML</v>
      </c>
      <c r="E897" s="3" t="str">
        <f>IF(ISNA($D897),VLOOKUP($A897,[2]stockregister!$A$2:$B$2000,2,FALSE),"")</f>
        <v/>
      </c>
      <c r="F897" s="3" t="s">
        <v>21</v>
      </c>
      <c r="G897" s="3">
        <f>_xlfn.IFNA(VLOOKUP($A897,[3]stockregister!$A$2:$L$2000,11,0),0)</f>
        <v>2</v>
      </c>
      <c r="H897" s="3">
        <f>_xlfn.IFNA(VLOOKUP($A897,[3]stockregister!$A$2:$L$2000,11,0),0)-$G897</f>
        <v>0</v>
      </c>
      <c r="I897" s="3">
        <f>_xlfn.IFNA(VLOOKUP($A897,[3]stockregister!$A$2:$L$2000,12,0),0)</f>
        <v>978.4</v>
      </c>
      <c r="J897" s="3">
        <f>_xlfn.IFNA(VLOOKUP($A897,[3]stockregister!$A$1:$M$2000,12,0),0)-$I897</f>
        <v>0</v>
      </c>
      <c r="K897" s="3" t="s">
        <v>22</v>
      </c>
      <c r="L897" s="3" t="s">
        <v>23</v>
      </c>
      <c r="M897" s="3">
        <f>_xlfn.IFNA(VLOOKUP($A897,[2]stockregister!$A$2:$H$2000,8,0),0)</f>
        <v>1080</v>
      </c>
      <c r="N897" s="3">
        <f>_xlfn.IFNA(VLOOKUP($A897,[2]stockregister!$A$2:$H$2000,8,0),0)-$M897</f>
        <v>0</v>
      </c>
      <c r="O897" s="3" t="s">
        <v>2101</v>
      </c>
      <c r="P897" s="3" t="s">
        <v>2101</v>
      </c>
      <c r="Q897" s="3" t="s">
        <v>1082</v>
      </c>
      <c r="R897" s="3" t="s">
        <v>68</v>
      </c>
      <c r="S897" s="3" t="s">
        <v>206</v>
      </c>
    </row>
    <row r="898" spans="1:19">
      <c r="A898" s="3">
        <v>652</v>
      </c>
      <c r="B898" s="3" t="b">
        <f>ISNUMBER(MATCH(A898,[1]stockregister!$A$2:$A$2000,0))</f>
        <v>1</v>
      </c>
      <c r="C898" s="3" t="s">
        <v>2102</v>
      </c>
      <c r="D898" s="3" t="str">
        <f>VLOOKUP($C898,[1]stockregister!$B$2:$B$2000,1,0)</f>
        <v>DURBANVILLE HILLS CAB SAUV 750ML</v>
      </c>
      <c r="E898" s="3" t="str">
        <f>IF(ISNA($D898),VLOOKUP($A898,[2]stockregister!$A$2:$B$2000,2,FALSE),"")</f>
        <v/>
      </c>
      <c r="F898" s="3" t="s">
        <v>21</v>
      </c>
      <c r="G898" s="3">
        <f>_xlfn.IFNA(VLOOKUP($A898,[3]stockregister!$A$2:$L$2000,11,0),0)</f>
        <v>2</v>
      </c>
      <c r="H898" s="3">
        <f>_xlfn.IFNA(VLOOKUP($A898,[3]stockregister!$A$2:$L$2000,11,0),0)-$G898</f>
        <v>0</v>
      </c>
      <c r="I898" s="3">
        <f>_xlfn.IFNA(VLOOKUP($A898,[3]stockregister!$A$2:$L$2000,12,0),0)</f>
        <v>828</v>
      </c>
      <c r="J898" s="3">
        <f>_xlfn.IFNA(VLOOKUP($A898,[3]stockregister!$A$1:$M$2000,12,0),0)-$I898</f>
        <v>0</v>
      </c>
      <c r="K898" s="3" t="s">
        <v>22</v>
      </c>
      <c r="L898" s="3" t="s">
        <v>23</v>
      </c>
      <c r="M898" s="3">
        <f>_xlfn.IFNA(VLOOKUP($A898,[2]stockregister!$A$2:$H$2000,8,0),0)</f>
        <v>900</v>
      </c>
      <c r="N898" s="3">
        <f>_xlfn.IFNA(VLOOKUP($A898,[2]stockregister!$A$2:$H$2000,8,0),0)-$M898</f>
        <v>0</v>
      </c>
      <c r="O898" s="3" t="s">
        <v>2103</v>
      </c>
      <c r="P898" s="3" t="s">
        <v>2103</v>
      </c>
      <c r="Q898" s="3" t="s">
        <v>2104</v>
      </c>
      <c r="R898" s="3" t="s">
        <v>68</v>
      </c>
      <c r="S898" s="3" t="s">
        <v>206</v>
      </c>
    </row>
    <row r="899" spans="1:19">
      <c r="A899" s="3">
        <v>642</v>
      </c>
      <c r="B899" s="3" t="b">
        <f>ISNUMBER(MATCH(A899,[1]stockregister!$A$2:$A$2000,0))</f>
        <v>1</v>
      </c>
      <c r="C899" s="3" t="s">
        <v>2105</v>
      </c>
      <c r="D899" s="3" t="str">
        <f>VLOOKUP($C899,[1]stockregister!$B$2:$B$2000,1,0)</f>
        <v>DROSTDY HOF WHITE 3LTR</v>
      </c>
      <c r="E899" s="3" t="str">
        <f>IF(ISNA($D899),VLOOKUP($A899,[2]stockregister!$A$2:$B$2000,2,FALSE),"")</f>
        <v/>
      </c>
      <c r="F899" s="3" t="s">
        <v>21</v>
      </c>
      <c r="G899" s="3">
        <f>_xlfn.IFNA(VLOOKUP($A899,[3]stockregister!$A$2:$L$2000,11,0),0)</f>
        <v>2</v>
      </c>
      <c r="H899" s="3">
        <f>_xlfn.IFNA(VLOOKUP($A899,[3]stockregister!$A$2:$L$2000,11,0),0)-$G899</f>
        <v>0</v>
      </c>
      <c r="I899" s="3">
        <f>_xlfn.IFNA(VLOOKUP($A899,[3]stockregister!$A$2:$L$2000,12,0),0)</f>
        <v>1850</v>
      </c>
      <c r="J899" s="3">
        <f>_xlfn.IFNA(VLOOKUP($A899,[3]stockregister!$A$1:$M$2000,12,0),0)-$I899</f>
        <v>0</v>
      </c>
      <c r="K899" s="3" t="s">
        <v>22</v>
      </c>
      <c r="L899" s="3" t="s">
        <v>23</v>
      </c>
      <c r="M899" s="3">
        <f>_xlfn.IFNA(VLOOKUP($A899,[2]stockregister!$A$2:$H$2000,8,0),0)</f>
        <v>2500</v>
      </c>
      <c r="N899" s="3">
        <f>_xlfn.IFNA(VLOOKUP($A899,[2]stockregister!$A$2:$H$2000,8,0),0)-$M899</f>
        <v>0</v>
      </c>
      <c r="O899" s="3" t="s">
        <v>2106</v>
      </c>
      <c r="P899" s="3" t="s">
        <v>2106</v>
      </c>
      <c r="Q899" s="3" t="s">
        <v>676</v>
      </c>
      <c r="R899" s="3" t="s">
        <v>68</v>
      </c>
      <c r="S899" s="3" t="s">
        <v>549</v>
      </c>
    </row>
    <row r="900" spans="1:19">
      <c r="A900" s="3">
        <v>2538</v>
      </c>
      <c r="B900" s="3" t="b">
        <f>ISNUMBER(MATCH(A900,[1]stockregister!$A$2:$A$2000,0))</f>
        <v>1</v>
      </c>
      <c r="C900" s="3" t="s">
        <v>2107</v>
      </c>
      <c r="D900" s="3" t="str">
        <f>VLOOKUP($C900,[1]stockregister!$B$2:$B$2000,1,0)</f>
        <v>ALPACA MERLOT 750ML</v>
      </c>
      <c r="E900" s="3" t="str">
        <f>IF(ISNA($D900),VLOOKUP($A900,[2]stockregister!$A$2:$B$2000,2,FALSE),"")</f>
        <v/>
      </c>
      <c r="F900" s="3" t="s">
        <v>21</v>
      </c>
      <c r="G900" s="3">
        <f>_xlfn.IFNA(VLOOKUP($A900,[3]stockregister!$A$2:$L$2000,11,0),0)</f>
        <v>2</v>
      </c>
      <c r="H900" s="3">
        <f>_xlfn.IFNA(VLOOKUP($A900,[3]stockregister!$A$2:$L$2000,11,0),0)-$G900</f>
        <v>0</v>
      </c>
      <c r="I900" s="3">
        <f>_xlfn.IFNA(VLOOKUP($A900,[3]stockregister!$A$2:$L$2000,12,0),0)</f>
        <v>1143</v>
      </c>
      <c r="J900" s="3">
        <f>_xlfn.IFNA(VLOOKUP($A900,[3]stockregister!$A$1:$M$2000,12,0),0)-$I900</f>
        <v>0</v>
      </c>
      <c r="K900" s="3" t="s">
        <v>22</v>
      </c>
      <c r="L900" s="3" t="s">
        <v>23</v>
      </c>
      <c r="M900" s="3">
        <f>_xlfn.IFNA(VLOOKUP($A900,[2]stockregister!$A$2:$H$2000,8,0),0)</f>
        <v>1250</v>
      </c>
      <c r="N900" s="3">
        <f>_xlfn.IFNA(VLOOKUP($A900,[2]stockregister!$A$2:$H$2000,8,0),0)-$M900</f>
        <v>0</v>
      </c>
      <c r="O900" s="3" t="s">
        <v>2108</v>
      </c>
      <c r="P900" s="3" t="s">
        <v>2108</v>
      </c>
      <c r="Q900" s="3" t="s">
        <v>1540</v>
      </c>
      <c r="R900" s="3" t="s">
        <v>537</v>
      </c>
      <c r="S900" s="3" t="s">
        <v>369</v>
      </c>
    </row>
    <row r="901" spans="1:19">
      <c r="A901" s="3">
        <v>2289</v>
      </c>
      <c r="B901" s="3" t="b">
        <f>ISNUMBER(MATCH(A901,[1]stockregister!$A$2:$A$2000,0))</f>
        <v>1</v>
      </c>
      <c r="C901" s="3" t="s">
        <v>2109</v>
      </c>
      <c r="D901" s="3" t="str">
        <f>VLOOKUP($C901,[1]stockregister!$B$2:$B$2000,1,0)</f>
        <v>TWIGA HILL MERLOT 700ML</v>
      </c>
      <c r="E901" s="3" t="str">
        <f>IF(ISNA($D901),VLOOKUP($A901,[2]stockregister!$A$2:$B$2000,2,FALSE),"")</f>
        <v/>
      </c>
      <c r="F901" s="3" t="s">
        <v>21</v>
      </c>
      <c r="G901" s="3">
        <f>_xlfn.IFNA(VLOOKUP($A901,[3]stockregister!$A$2:$L$2000,11,0),0)</f>
        <v>2</v>
      </c>
      <c r="H901" s="3">
        <f>_xlfn.IFNA(VLOOKUP($A901,[3]stockregister!$A$2:$L$2000,11,0),0)-$G901</f>
        <v>0</v>
      </c>
      <c r="I901" s="3">
        <f>_xlfn.IFNA(VLOOKUP($A901,[3]stockregister!$A$2:$L$2000,12,0),0)</f>
        <v>800</v>
      </c>
      <c r="J901" s="3">
        <f>_xlfn.IFNA(VLOOKUP($A901,[3]stockregister!$A$1:$M$2000,12,0),0)-$I901</f>
        <v>0</v>
      </c>
      <c r="K901" s="3" t="s">
        <v>22</v>
      </c>
      <c r="L901" s="3" t="s">
        <v>23</v>
      </c>
      <c r="M901" s="3">
        <f>_xlfn.IFNA(VLOOKUP($A901,[2]stockregister!$A$2:$H$2000,8,0),0)</f>
        <v>1000</v>
      </c>
      <c r="N901" s="3">
        <f>_xlfn.IFNA(VLOOKUP($A901,[2]stockregister!$A$2:$H$2000,8,0),0)-$M901</f>
        <v>0</v>
      </c>
      <c r="O901" s="3" t="s">
        <v>2110</v>
      </c>
      <c r="P901" s="3" t="s">
        <v>2110</v>
      </c>
      <c r="Q901" s="3" t="s">
        <v>2111</v>
      </c>
      <c r="R901" s="3" t="s">
        <v>68</v>
      </c>
      <c r="S901" s="3" t="s">
        <v>369</v>
      </c>
    </row>
    <row r="902" spans="1:19">
      <c r="A902" s="3">
        <v>2390</v>
      </c>
      <c r="B902" s="3" t="b">
        <f>ISNUMBER(MATCH(A902,[1]stockregister!$A$2:$A$2000,0))</f>
        <v>1</v>
      </c>
      <c r="C902" s="3" t="s">
        <v>2112</v>
      </c>
      <c r="D902" s="3" t="str">
        <f>VLOOKUP($C902,[1]stockregister!$B$2:$B$2000,1,0)</f>
        <v>ELECTIO MERLOT 750ML</v>
      </c>
      <c r="E902" s="3" t="str">
        <f>IF(ISNA($D902),VLOOKUP($A902,[2]stockregister!$A$2:$B$2000,2,FALSE),"")</f>
        <v/>
      </c>
      <c r="F902" s="3" t="s">
        <v>21</v>
      </c>
      <c r="G902" s="3">
        <f>_xlfn.IFNA(VLOOKUP($A902,[3]stockregister!$A$2:$L$2000,11,0),0)</f>
        <v>2</v>
      </c>
      <c r="H902" s="3">
        <f>_xlfn.IFNA(VLOOKUP($A902,[3]stockregister!$A$2:$L$2000,11,0),0)-$G902</f>
        <v>0</v>
      </c>
      <c r="I902" s="3">
        <f>_xlfn.IFNA(VLOOKUP($A902,[3]stockregister!$A$2:$L$2000,12,0),0)</f>
        <v>1000</v>
      </c>
      <c r="J902" s="3">
        <f>_xlfn.IFNA(VLOOKUP($A902,[3]stockregister!$A$1:$M$2000,12,0),0)-$I902</f>
        <v>0</v>
      </c>
      <c r="K902" s="3" t="s">
        <v>22</v>
      </c>
      <c r="L902" s="3" t="s">
        <v>23</v>
      </c>
      <c r="M902" s="3">
        <f>_xlfn.IFNA(VLOOKUP($A902,[2]stockregister!$A$2:$H$2000,8,0),0)</f>
        <v>1100</v>
      </c>
      <c r="N902" s="3">
        <f>_xlfn.IFNA(VLOOKUP($A902,[2]stockregister!$A$2:$H$2000,8,0),0)-$M902</f>
        <v>0</v>
      </c>
      <c r="O902" s="3" t="s">
        <v>2113</v>
      </c>
      <c r="P902" s="3" t="s">
        <v>2113</v>
      </c>
      <c r="Q902" s="3" t="s">
        <v>2114</v>
      </c>
      <c r="R902" s="3" t="s">
        <v>537</v>
      </c>
      <c r="S902" s="3" t="s">
        <v>369</v>
      </c>
    </row>
    <row r="903" spans="1:19">
      <c r="A903" s="3">
        <v>2065</v>
      </c>
      <c r="B903" s="3" t="b">
        <f>ISNUMBER(MATCH(A903,[1]stockregister!$A$2:$A$2000,0))</f>
        <v>1</v>
      </c>
      <c r="C903" s="3" t="s">
        <v>2115</v>
      </c>
      <c r="D903" s="3" t="str">
        <f>VLOOKUP($C903,[1]stockregister!$B$2:$B$2000,1,0)</f>
        <v>VINA MAIPO MOSCATO 750ML</v>
      </c>
      <c r="E903" s="3" t="str">
        <f>IF(ISNA($D903),VLOOKUP($A903,[2]stockregister!$A$2:$B$2000,2,FALSE),"")</f>
        <v/>
      </c>
      <c r="F903" s="3" t="s">
        <v>21</v>
      </c>
      <c r="G903" s="3">
        <f>_xlfn.IFNA(VLOOKUP($A903,[3]stockregister!$A$2:$L$2000,11,0),0)</f>
        <v>2</v>
      </c>
      <c r="H903" s="3">
        <f>_xlfn.IFNA(VLOOKUP($A903,[3]stockregister!$A$2:$L$2000,11,0),0)-$G903</f>
        <v>0</v>
      </c>
      <c r="I903" s="3">
        <f>_xlfn.IFNA(VLOOKUP($A903,[3]stockregister!$A$2:$L$2000,12,0),0)</f>
        <v>1012</v>
      </c>
      <c r="J903" s="3">
        <f>_xlfn.IFNA(VLOOKUP($A903,[3]stockregister!$A$1:$M$2000,12,0),0)-$I903</f>
        <v>0</v>
      </c>
      <c r="K903" s="3" t="s">
        <v>22</v>
      </c>
      <c r="L903" s="3" t="s">
        <v>23</v>
      </c>
      <c r="M903" s="3">
        <f>_xlfn.IFNA(VLOOKUP($A903,[2]stockregister!$A$2:$H$2000,8,0),0)</f>
        <v>1100</v>
      </c>
      <c r="N903" s="3">
        <f>_xlfn.IFNA(VLOOKUP($A903,[2]stockregister!$A$2:$H$2000,8,0),0)-$M903</f>
        <v>0</v>
      </c>
      <c r="O903" s="3" t="s">
        <v>2116</v>
      </c>
      <c r="P903" s="3" t="s">
        <v>2116</v>
      </c>
      <c r="Q903" s="3" t="s">
        <v>2117</v>
      </c>
      <c r="R903" s="3" t="s">
        <v>68</v>
      </c>
      <c r="S903" s="3" t="s">
        <v>969</v>
      </c>
    </row>
    <row r="904" spans="1:19">
      <c r="A904" s="3">
        <v>654</v>
      </c>
      <c r="B904" s="3" t="b">
        <f>ISNUMBER(MATCH(A904,[1]stockregister!$A$2:$A$2000,0))</f>
        <v>1</v>
      </c>
      <c r="C904" s="3" t="s">
        <v>2118</v>
      </c>
      <c r="D904" s="3" t="str">
        <f>VLOOKUP($C904,[1]stockregister!$B$2:$B$2000,1,0)</f>
        <v>DURBANVILLE HILLS PINOTAGE 750ML</v>
      </c>
      <c r="E904" s="3" t="str">
        <f>IF(ISNA($D904),VLOOKUP($A904,[2]stockregister!$A$2:$B$2000,2,FALSE),"")</f>
        <v/>
      </c>
      <c r="F904" s="3" t="s">
        <v>21</v>
      </c>
      <c r="G904" s="3">
        <f>_xlfn.IFNA(VLOOKUP($A904,[3]stockregister!$A$2:$L$2000,11,0),0)</f>
        <v>2</v>
      </c>
      <c r="H904" s="3">
        <f>_xlfn.IFNA(VLOOKUP($A904,[3]stockregister!$A$2:$L$2000,11,0),0)-$G904</f>
        <v>0</v>
      </c>
      <c r="I904" s="3">
        <f>_xlfn.IFNA(VLOOKUP($A904,[3]stockregister!$A$2:$L$2000,12,0),0)</f>
        <v>828</v>
      </c>
      <c r="J904" s="3">
        <f>_xlfn.IFNA(VLOOKUP($A904,[3]stockregister!$A$1:$M$2000,12,0),0)-$I904</f>
        <v>0</v>
      </c>
      <c r="K904" s="3" t="s">
        <v>22</v>
      </c>
      <c r="L904" s="3" t="s">
        <v>23</v>
      </c>
      <c r="M904" s="3">
        <f>_xlfn.IFNA(VLOOKUP($A904,[2]stockregister!$A$2:$H$2000,8,0),0)</f>
        <v>900</v>
      </c>
      <c r="N904" s="3">
        <f>_xlfn.IFNA(VLOOKUP($A904,[2]stockregister!$A$2:$H$2000,8,0),0)-$M904</f>
        <v>0</v>
      </c>
      <c r="O904" s="3" t="s">
        <v>2119</v>
      </c>
      <c r="P904" s="3" t="s">
        <v>2119</v>
      </c>
      <c r="Q904" s="3" t="s">
        <v>2104</v>
      </c>
      <c r="R904" s="3" t="s">
        <v>68</v>
      </c>
      <c r="S904" s="3" t="s">
        <v>889</v>
      </c>
    </row>
    <row r="905" spans="1:19">
      <c r="A905" s="3">
        <v>2267</v>
      </c>
      <c r="B905" s="3" t="b">
        <f>ISNUMBER(MATCH(A905,[1]stockregister!$A$2:$A$2000,0))</f>
        <v>1</v>
      </c>
      <c r="C905" s="3" t="s">
        <v>2120</v>
      </c>
      <c r="D905" s="3" t="str">
        <f>VLOOKUP($C905,[1]stockregister!$B$2:$B$2000,1,0)</f>
        <v>CAPE AUCTION 750ML</v>
      </c>
      <c r="E905" s="3" t="str">
        <f>IF(ISNA($D905),VLOOKUP($A905,[2]stockregister!$A$2:$B$2000,2,FALSE),"")</f>
        <v/>
      </c>
      <c r="F905" s="3" t="s">
        <v>21</v>
      </c>
      <c r="G905" s="3">
        <f>_xlfn.IFNA(VLOOKUP($A905,[3]stockregister!$A$2:$L$2000,11,0),0)</f>
        <v>2</v>
      </c>
      <c r="H905" s="3">
        <f>_xlfn.IFNA(VLOOKUP($A905,[3]stockregister!$A$2:$L$2000,11,0),0)-$G905</f>
        <v>0</v>
      </c>
      <c r="I905" s="3">
        <f>_xlfn.IFNA(VLOOKUP($A905,[3]stockregister!$A$2:$L$2000,12,0),0)</f>
        <v>700</v>
      </c>
      <c r="J905" s="3">
        <f>_xlfn.IFNA(VLOOKUP($A905,[3]stockregister!$A$1:$M$2000,12,0),0)-$I905</f>
        <v>0</v>
      </c>
      <c r="K905" s="3" t="s">
        <v>22</v>
      </c>
      <c r="L905" s="3" t="s">
        <v>23</v>
      </c>
      <c r="M905" s="3">
        <f>_xlfn.IFNA(VLOOKUP($A905,[2]stockregister!$A$2:$H$2000,8,0),0)</f>
        <v>800</v>
      </c>
      <c r="N905" s="3">
        <f>_xlfn.IFNA(VLOOKUP($A905,[2]stockregister!$A$2:$H$2000,8,0),0)-$M905</f>
        <v>0</v>
      </c>
      <c r="O905" s="3" t="s">
        <v>2121</v>
      </c>
      <c r="P905" s="3" t="s">
        <v>2121</v>
      </c>
      <c r="Q905" s="3" t="s">
        <v>2122</v>
      </c>
      <c r="R905" s="3" t="s">
        <v>68</v>
      </c>
      <c r="S905" s="3" t="s">
        <v>1962</v>
      </c>
    </row>
    <row r="906" spans="1:19">
      <c r="A906" s="3">
        <v>2539</v>
      </c>
      <c r="B906" s="3" t="b">
        <f>ISNUMBER(MATCH(A906,[1]stockregister!$A$2:$A$2000,0))</f>
        <v>1</v>
      </c>
      <c r="C906" s="3" t="s">
        <v>2123</v>
      </c>
      <c r="D906" s="3" t="str">
        <f>VLOOKUP($C906,[1]stockregister!$B$2:$B$2000,1,0)</f>
        <v>ALPACA SAUVIGNON BLANC 750ML</v>
      </c>
      <c r="E906" s="3" t="str">
        <f>IF(ISNA($D906),VLOOKUP($A906,[2]stockregister!$A$2:$B$2000,2,FALSE),"")</f>
        <v/>
      </c>
      <c r="F906" s="3" t="s">
        <v>21</v>
      </c>
      <c r="G906" s="3">
        <f>_xlfn.IFNA(VLOOKUP($A906,[3]stockregister!$A$2:$L$2000,11,0),0)</f>
        <v>2</v>
      </c>
      <c r="H906" s="3">
        <f>_xlfn.IFNA(VLOOKUP($A906,[3]stockregister!$A$2:$L$2000,11,0),0)-$G906</f>
        <v>0</v>
      </c>
      <c r="I906" s="3">
        <f>_xlfn.IFNA(VLOOKUP($A906,[3]stockregister!$A$2:$L$2000,12,0),0)</f>
        <v>1143</v>
      </c>
      <c r="J906" s="3">
        <f>_xlfn.IFNA(VLOOKUP($A906,[3]stockregister!$A$1:$M$2000,12,0),0)-$I906</f>
        <v>0</v>
      </c>
      <c r="K906" s="3" t="s">
        <v>22</v>
      </c>
      <c r="L906" s="3" t="s">
        <v>23</v>
      </c>
      <c r="M906" s="3">
        <f>_xlfn.IFNA(VLOOKUP($A906,[2]stockregister!$A$2:$H$2000,8,0),0)</f>
        <v>1250</v>
      </c>
      <c r="N906" s="3">
        <f>_xlfn.IFNA(VLOOKUP($A906,[2]stockregister!$A$2:$H$2000,8,0),0)-$M906</f>
        <v>0</v>
      </c>
      <c r="O906" s="3" t="s">
        <v>2124</v>
      </c>
      <c r="P906" s="3" t="s">
        <v>2124</v>
      </c>
      <c r="Q906" s="3" t="s">
        <v>1540</v>
      </c>
      <c r="R906" s="3" t="s">
        <v>537</v>
      </c>
      <c r="S906" s="3" t="s">
        <v>398</v>
      </c>
    </row>
    <row r="907" spans="1:19">
      <c r="A907" s="3">
        <v>2442</v>
      </c>
      <c r="B907" s="3" t="b">
        <f>ISNUMBER(MATCH(A907,[1]stockregister!$A$2:$A$2000,0))</f>
        <v>1</v>
      </c>
      <c r="C907" s="3" t="s">
        <v>2125</v>
      </c>
      <c r="D907" s="3" t="str">
        <f>VLOOKUP($C907,[1]stockregister!$B$2:$B$2000,1,0)</f>
        <v>DURBANVILLE HILLS SAUV BLANC 750ML</v>
      </c>
      <c r="E907" s="3" t="str">
        <f>IF(ISNA($D907),VLOOKUP($A907,[2]stockregister!$A$2:$B$2000,2,FALSE),"")</f>
        <v/>
      </c>
      <c r="F907" s="3" t="s">
        <v>21</v>
      </c>
      <c r="G907" s="3">
        <f>_xlfn.IFNA(VLOOKUP($A907,[3]stockregister!$A$2:$L$2000,11,0),0)</f>
        <v>2</v>
      </c>
      <c r="H907" s="3">
        <f>_xlfn.IFNA(VLOOKUP($A907,[3]stockregister!$A$2:$L$2000,11,0),0)-$G907</f>
        <v>0</v>
      </c>
      <c r="I907" s="3">
        <f>_xlfn.IFNA(VLOOKUP($A907,[3]stockregister!$A$2:$L$2000,12,0),0)</f>
        <v>828</v>
      </c>
      <c r="J907" s="3">
        <f>_xlfn.IFNA(VLOOKUP($A907,[3]stockregister!$A$1:$M$2000,12,0),0)-$I907</f>
        <v>0</v>
      </c>
      <c r="K907" s="3" t="s">
        <v>22</v>
      </c>
      <c r="L907" s="3" t="s">
        <v>23</v>
      </c>
      <c r="M907" s="3">
        <f>_xlfn.IFNA(VLOOKUP($A907,[2]stockregister!$A$2:$H$2000,8,0),0)</f>
        <v>900</v>
      </c>
      <c r="N907" s="3">
        <f>_xlfn.IFNA(VLOOKUP($A907,[2]stockregister!$A$2:$H$2000,8,0),0)-$M907</f>
        <v>0</v>
      </c>
      <c r="O907" s="3" t="s">
        <v>2126</v>
      </c>
      <c r="P907" s="3" t="s">
        <v>2126</v>
      </c>
      <c r="Q907" s="3" t="s">
        <v>2127</v>
      </c>
      <c r="R907" s="3" t="s">
        <v>537</v>
      </c>
      <c r="S907" s="3" t="s">
        <v>398</v>
      </c>
    </row>
    <row r="908" spans="1:19">
      <c r="A908" s="3">
        <v>24</v>
      </c>
      <c r="B908" s="3" t="b">
        <f>ISNUMBER(MATCH(A908,[1]stockregister!$A$2:$A$2000,0))</f>
        <v>1</v>
      </c>
      <c r="C908" s="3" t="s">
        <v>2128</v>
      </c>
      <c r="D908" s="3" t="str">
        <f>VLOOKUP($C908,[1]stockregister!$B$2:$B$2000,1,0)</f>
        <v>5TH CARINO SWEET RED 750ML</v>
      </c>
      <c r="E908" s="3" t="str">
        <f>IF(ISNA($D908),VLOOKUP($A908,[2]stockregister!$A$2:$B$2000,2,FALSE),"")</f>
        <v/>
      </c>
      <c r="F908" s="3" t="s">
        <v>21</v>
      </c>
      <c r="G908" s="3">
        <f>_xlfn.IFNA(VLOOKUP($A908,[3]stockregister!$A$2:$L$2000,11,0),0)</f>
        <v>2</v>
      </c>
      <c r="H908" s="3">
        <f>_xlfn.IFNA(VLOOKUP($A908,[3]stockregister!$A$2:$L$2000,11,0),0)-$G908</f>
        <v>0</v>
      </c>
      <c r="I908" s="3">
        <f>_xlfn.IFNA(VLOOKUP($A908,[3]stockregister!$A$2:$L$2000,12,0),0)</f>
        <v>598</v>
      </c>
      <c r="J908" s="3">
        <f>_xlfn.IFNA(VLOOKUP($A908,[3]stockregister!$A$1:$M$2000,12,0),0)-$I908</f>
        <v>0</v>
      </c>
      <c r="K908" s="3" t="s">
        <v>22</v>
      </c>
      <c r="L908" s="3" t="s">
        <v>23</v>
      </c>
      <c r="M908" s="3">
        <f>_xlfn.IFNA(VLOOKUP($A908,[2]stockregister!$A$2:$H$2000,8,0),0)</f>
        <v>650</v>
      </c>
      <c r="N908" s="3">
        <f>_xlfn.IFNA(VLOOKUP($A908,[2]stockregister!$A$2:$H$2000,8,0),0)-$M908</f>
        <v>0</v>
      </c>
      <c r="O908" s="3" t="s">
        <v>2129</v>
      </c>
      <c r="P908" s="3" t="s">
        <v>2129</v>
      </c>
      <c r="Q908" s="3" t="s">
        <v>2130</v>
      </c>
      <c r="R908" s="3" t="s">
        <v>68</v>
      </c>
      <c r="S908" s="3" t="s">
        <v>88</v>
      </c>
    </row>
    <row r="909" spans="1:19">
      <c r="A909" s="3">
        <v>1502</v>
      </c>
      <c r="B909" s="3" t="b">
        <f>ISNUMBER(MATCH(A909,[1]stockregister!$A$2:$A$2000,0))</f>
        <v>1</v>
      </c>
      <c r="C909" s="3" t="s">
        <v>2131</v>
      </c>
      <c r="D909" s="3" t="str">
        <f>VLOOKUP($C909,[1]stockregister!$B$2:$B$2000,1,0)</f>
        <v>NAMAQUA SWEET RED 5LTR</v>
      </c>
      <c r="E909" s="3" t="str">
        <f>IF(ISNA($D909),VLOOKUP($A909,[2]stockregister!$A$2:$B$2000,2,FALSE),"")</f>
        <v/>
      </c>
      <c r="F909" s="3" t="s">
        <v>21</v>
      </c>
      <c r="G909" s="3">
        <f>_xlfn.IFNA(VLOOKUP($A909,[3]stockregister!$A$2:$L$2000,11,0),0)</f>
        <v>1</v>
      </c>
      <c r="H909" s="3">
        <f>_xlfn.IFNA(VLOOKUP($A909,[3]stockregister!$A$2:$L$2000,11,0),0)-$G909</f>
        <v>0</v>
      </c>
      <c r="I909" s="3">
        <f>_xlfn.IFNA(VLOOKUP($A909,[3]stockregister!$A$2:$L$2000,12,0),0)</f>
        <v>2500</v>
      </c>
      <c r="J909" s="3">
        <f>_xlfn.IFNA(VLOOKUP($A909,[3]stockregister!$A$1:$M$2000,12,0),0)-$I909</f>
        <v>0</v>
      </c>
      <c r="K909" s="3" t="s">
        <v>22</v>
      </c>
      <c r="L909" s="3" t="s">
        <v>23</v>
      </c>
      <c r="M909" s="3">
        <f>_xlfn.IFNA(VLOOKUP($A909,[2]stockregister!$A$2:$H$2000,8,0),0)</f>
        <v>3300</v>
      </c>
      <c r="N909" s="3">
        <f>_xlfn.IFNA(VLOOKUP($A909,[2]stockregister!$A$2:$H$2000,8,0),0)-$M909</f>
        <v>0</v>
      </c>
      <c r="O909" s="3" t="s">
        <v>2132</v>
      </c>
      <c r="P909" s="3" t="s">
        <v>2132</v>
      </c>
      <c r="Q909" s="3" t="s">
        <v>1900</v>
      </c>
      <c r="R909" s="3" t="s">
        <v>68</v>
      </c>
      <c r="S909" s="3" t="s">
        <v>88</v>
      </c>
    </row>
    <row r="910" spans="1:19">
      <c r="A910" s="3">
        <v>753</v>
      </c>
      <c r="B910" s="3" t="b">
        <f>ISNUMBER(MATCH(A910,[1]stockregister!$A$2:$A$2000,0))</f>
        <v>1</v>
      </c>
      <c r="C910" s="3" t="s">
        <v>2133</v>
      </c>
      <c r="D910" s="3" t="str">
        <f>VLOOKUP($C910,[1]stockregister!$B$2:$B$2000,1,0)</f>
        <v>FOUR COUSINS SWEET RED 3LTR</v>
      </c>
      <c r="E910" s="3" t="str">
        <f>IF(ISNA($D910),VLOOKUP($A910,[2]stockregister!$A$2:$B$2000,2,FALSE),"")</f>
        <v/>
      </c>
      <c r="F910" s="3" t="s">
        <v>21</v>
      </c>
      <c r="G910" s="3">
        <f>_xlfn.IFNA(VLOOKUP($A910,[3]stockregister!$A$2:$L$2000,11,0),0)</f>
        <v>2</v>
      </c>
      <c r="H910" s="3">
        <f>_xlfn.IFNA(VLOOKUP($A910,[3]stockregister!$A$2:$L$2000,11,0),0)-$G910</f>
        <v>0</v>
      </c>
      <c r="I910" s="3">
        <f>_xlfn.IFNA(VLOOKUP($A910,[3]stockregister!$A$2:$L$2000,12,0),0)</f>
        <v>1300</v>
      </c>
      <c r="J910" s="3">
        <f>_xlfn.IFNA(VLOOKUP($A910,[3]stockregister!$A$1:$M$2000,12,0),0)-$I910</f>
        <v>0</v>
      </c>
      <c r="K910" s="3" t="s">
        <v>22</v>
      </c>
      <c r="L910" s="3" t="s">
        <v>23</v>
      </c>
      <c r="M910" s="3">
        <f>_xlfn.IFNA(VLOOKUP($A910,[2]stockregister!$A$2:$H$2000,8,0),0)</f>
        <v>1500</v>
      </c>
      <c r="N910" s="3">
        <f>_xlfn.IFNA(VLOOKUP($A910,[2]stockregister!$A$2:$H$2000,8,0),0)-$M910</f>
        <v>0</v>
      </c>
      <c r="O910" s="3" t="s">
        <v>2134</v>
      </c>
      <c r="P910" s="3" t="s">
        <v>2134</v>
      </c>
      <c r="Q910" s="3" t="s">
        <v>137</v>
      </c>
      <c r="R910" s="3" t="s">
        <v>68</v>
      </c>
      <c r="S910" s="3" t="s">
        <v>88</v>
      </c>
    </row>
    <row r="911" spans="1:19">
      <c r="A911" s="3">
        <v>1154</v>
      </c>
      <c r="B911" s="3" t="b">
        <f>ISNUMBER(MATCH(A911,[1]stockregister!$A$2:$A$2000,0))</f>
        <v>1</v>
      </c>
      <c r="C911" s="3" t="s">
        <v>2135</v>
      </c>
      <c r="D911" s="3" t="str">
        <f>VLOOKUP($C911,[1]stockregister!$B$2:$B$2000,1,0)</f>
        <v>JP CHENET RESERVE CHARDONNAY VIOGNIER 750ML</v>
      </c>
      <c r="E911" s="3" t="str">
        <f>IF(ISNA($D911),VLOOKUP($A911,[2]stockregister!$A$2:$B$2000,2,FALSE),"")</f>
        <v/>
      </c>
      <c r="F911" s="3" t="s">
        <v>21</v>
      </c>
      <c r="G911" s="3">
        <f>_xlfn.IFNA(VLOOKUP($A911,[3]stockregister!$A$2:$L$2000,11,0),0)</f>
        <v>2</v>
      </c>
      <c r="H911" s="3">
        <f>_xlfn.IFNA(VLOOKUP($A911,[3]stockregister!$A$2:$L$2000,11,0),0)-$G911</f>
        <v>0</v>
      </c>
      <c r="I911" s="3">
        <f>_xlfn.IFNA(VLOOKUP($A911,[3]stockregister!$A$2:$L$2000,12,0),0)</f>
        <v>1131.6</v>
      </c>
      <c r="J911" s="3">
        <f>_xlfn.IFNA(VLOOKUP($A911,[3]stockregister!$A$1:$M$2000,12,0),0)-$I911</f>
        <v>0</v>
      </c>
      <c r="K911" s="3" t="s">
        <v>22</v>
      </c>
      <c r="L911" s="3" t="s">
        <v>23</v>
      </c>
      <c r="M911" s="3">
        <f>_xlfn.IFNA(VLOOKUP($A911,[2]stockregister!$A$2:$H$2000,8,0),0)</f>
        <v>1230</v>
      </c>
      <c r="N911" s="3">
        <f>_xlfn.IFNA(VLOOKUP($A911,[2]stockregister!$A$2:$H$2000,8,0),0)-$M911</f>
        <v>0</v>
      </c>
      <c r="O911" s="3" t="s">
        <v>2136</v>
      </c>
      <c r="P911" s="3" t="s">
        <v>2136</v>
      </c>
      <c r="Q911" s="3" t="s">
        <v>2137</v>
      </c>
      <c r="R911" s="3" t="s">
        <v>68</v>
      </c>
      <c r="S911" s="3" t="s">
        <v>2138</v>
      </c>
    </row>
    <row r="912" spans="1:18">
      <c r="A912" s="3">
        <v>2937</v>
      </c>
      <c r="B912" s="3" t="b">
        <f>ISNUMBER(MATCH(A912,[1]stockregister!$A$2:$A$2000,0))</f>
        <v>1</v>
      </c>
      <c r="C912" s="3" t="s">
        <v>2139</v>
      </c>
      <c r="D912" s="3" t="str">
        <f>VLOOKUP($C912,[1]stockregister!$B$2:$B$2000,1,0)</f>
        <v>JAGERMEISTER 3L</v>
      </c>
      <c r="E912" s="3" t="str">
        <f>IF(ISNA($D912),VLOOKUP($A912,[2]stockregister!$A$2:$B$2000,2,FALSE),"")</f>
        <v/>
      </c>
      <c r="F912" s="3" t="s">
        <v>21</v>
      </c>
      <c r="G912" s="3">
        <f>_xlfn.IFNA(VLOOKUP($A912,[3]stockregister!$A$2:$L$2000,11,0),0)</f>
        <v>2</v>
      </c>
      <c r="H912" s="3">
        <f>_xlfn.IFNA(VLOOKUP($A912,[3]stockregister!$A$2:$L$2000,11,0),0)-$G912</f>
        <v>0</v>
      </c>
      <c r="I912" s="3">
        <f>_xlfn.IFNA(VLOOKUP($A912,[3]stockregister!$A$2:$L$2000,12,0),0)</f>
        <v>8000</v>
      </c>
      <c r="J912" s="3">
        <f>_xlfn.IFNA(VLOOKUP($A912,[3]stockregister!$A$1:$M$2000,12,0),0)-$I912</f>
        <v>0</v>
      </c>
      <c r="K912" s="3" t="s">
        <v>22</v>
      </c>
      <c r="L912" s="3" t="s">
        <v>23</v>
      </c>
      <c r="M912" s="3">
        <f>_xlfn.IFNA(VLOOKUP($A912,[2]stockregister!$A$2:$H$2000,8,0),0)</f>
        <v>8500</v>
      </c>
      <c r="N912" s="3">
        <f>_xlfn.IFNA(VLOOKUP($A912,[2]stockregister!$A$2:$H$2000,8,0),0)-$M912</f>
        <v>0</v>
      </c>
      <c r="O912" s="3" t="s">
        <v>2140</v>
      </c>
      <c r="P912" s="3" t="s">
        <v>2140</v>
      </c>
      <c r="Q912" s="3" t="s">
        <v>151</v>
      </c>
      <c r="R912" s="3" t="s">
        <v>126</v>
      </c>
    </row>
    <row r="913" spans="1:18">
      <c r="A913" s="3">
        <v>2964</v>
      </c>
      <c r="B913" s="3" t="b">
        <f>ISNUMBER(MATCH(A913,[1]stockregister!$A$2:$A$2000,0))</f>
        <v>1</v>
      </c>
      <c r="C913" s="3" t="s">
        <v>2141</v>
      </c>
      <c r="D913" s="3" t="str">
        <f>VLOOKUP($C913,[1]stockregister!$B$2:$B$2000,1,0)</f>
        <v>SALMARI PREMIUM LIQOUR 3L</v>
      </c>
      <c r="E913" s="3" t="str">
        <f>IF(ISNA($D913),VLOOKUP($A913,[2]stockregister!$A$2:$B$2000,2,FALSE),"")</f>
        <v/>
      </c>
      <c r="F913" s="3" t="s">
        <v>21</v>
      </c>
      <c r="G913" s="3">
        <f>_xlfn.IFNA(VLOOKUP($A913,[3]stockregister!$A$2:$L$2000,11,0),0)</f>
        <v>2</v>
      </c>
      <c r="H913" s="3">
        <f>_xlfn.IFNA(VLOOKUP($A913,[3]stockregister!$A$2:$L$2000,11,0),0)-$G913</f>
        <v>0</v>
      </c>
      <c r="I913" s="3">
        <f>_xlfn.IFNA(VLOOKUP($A913,[3]stockregister!$A$2:$L$2000,12,0),0)</f>
        <v>8650</v>
      </c>
      <c r="J913" s="3">
        <f>_xlfn.IFNA(VLOOKUP($A913,[3]stockregister!$A$1:$M$2000,12,0),0)-$I913</f>
        <v>0</v>
      </c>
      <c r="K913" s="3" t="s">
        <v>22</v>
      </c>
      <c r="L913" s="3" t="s">
        <v>23</v>
      </c>
      <c r="M913" s="3">
        <f>_xlfn.IFNA(VLOOKUP($A913,[2]stockregister!$A$2:$H$2000,8,0),0)</f>
        <v>11500</v>
      </c>
      <c r="N913" s="3">
        <f>_xlfn.IFNA(VLOOKUP($A913,[2]stockregister!$A$2:$H$2000,8,0),0)-$M913</f>
        <v>0</v>
      </c>
      <c r="O913" s="3" t="s">
        <v>2142</v>
      </c>
      <c r="P913" s="3" t="s">
        <v>2142</v>
      </c>
      <c r="Q913" s="3" t="s">
        <v>2143</v>
      </c>
      <c r="R913" s="3" t="s">
        <v>126</v>
      </c>
    </row>
    <row r="914" spans="1:19">
      <c r="A914" s="3">
        <v>1608</v>
      </c>
      <c r="B914" s="3" t="b">
        <f>ISNUMBER(MATCH(A914,[1]stockregister!$A$2:$A$2000,0))</f>
        <v>1</v>
      </c>
      <c r="C914" s="3" t="s">
        <v>2144</v>
      </c>
      <c r="D914" s="3" t="str">
        <f>VLOOKUP($C914,[1]stockregister!$B$2:$B$2000,1,0)</f>
        <v>PEP LIME JUICE 700ML</v>
      </c>
      <c r="E914" s="3" t="str">
        <f>IF(ISNA($D914),VLOOKUP($A914,[2]stockregister!$A$2:$B$2000,2,FALSE),"")</f>
        <v/>
      </c>
      <c r="F914" s="3" t="s">
        <v>21</v>
      </c>
      <c r="G914" s="3">
        <f>_xlfn.IFNA(VLOOKUP($A914,[3]stockregister!$A$2:$L$2000,11,0),0)</f>
        <v>337</v>
      </c>
      <c r="H914" s="3">
        <f>_xlfn.IFNA(VLOOKUP($A914,[3]stockregister!$A$2:$L$2000,11,0),0)-$G914</f>
        <v>0</v>
      </c>
      <c r="I914" s="3">
        <f>_xlfn.IFNA(VLOOKUP($A914,[3]stockregister!$A$2:$L$2000,12,0),0)</f>
        <v>121.48</v>
      </c>
      <c r="J914" s="3">
        <f>_xlfn.IFNA(VLOOKUP($A914,[3]stockregister!$A$1:$M$2000,12,0),0)-$I914</f>
        <v>0</v>
      </c>
      <c r="K914" s="3" t="s">
        <v>22</v>
      </c>
      <c r="L914" s="3" t="s">
        <v>23</v>
      </c>
      <c r="M914" s="3">
        <f>_xlfn.IFNA(VLOOKUP($A914,[2]stockregister!$A$2:$H$2000,8,0),0)</f>
        <v>150</v>
      </c>
      <c r="N914" s="3">
        <f>_xlfn.IFNA(VLOOKUP($A914,[2]stockregister!$A$2:$H$2000,8,0),0)-$M914</f>
        <v>0</v>
      </c>
      <c r="O914" s="3" t="s">
        <v>2145</v>
      </c>
      <c r="P914" s="3" t="s">
        <v>2145</v>
      </c>
      <c r="Q914" s="3" t="s">
        <v>1090</v>
      </c>
      <c r="R914" s="3" t="s">
        <v>26</v>
      </c>
      <c r="S914" s="3" t="s">
        <v>791</v>
      </c>
    </row>
    <row r="915" spans="1:19">
      <c r="A915" s="3">
        <v>592</v>
      </c>
      <c r="B915" s="3" t="b">
        <f>ISNUMBER(MATCH(A915,[1]stockregister!$A$2:$A$2000,0))</f>
        <v>1</v>
      </c>
      <c r="C915" s="3" t="s">
        <v>2146</v>
      </c>
      <c r="D915" s="3" t="str">
        <f>VLOOKUP($C915,[1]stockregister!$B$2:$B$2000,1,0)</f>
        <v>DELMONTE PINEAPPLE 1LTR</v>
      </c>
      <c r="E915" s="3" t="str">
        <f>IF(ISNA($D915),VLOOKUP($A915,[2]stockregister!$A$2:$B$2000,2,FALSE),"")</f>
        <v/>
      </c>
      <c r="F915" s="3" t="s">
        <v>21</v>
      </c>
      <c r="G915" s="3">
        <f>_xlfn.IFNA(VLOOKUP($A915,[3]stockregister!$A$2:$L$2000,11,0),0)</f>
        <v>1</v>
      </c>
      <c r="H915" s="3">
        <f>_xlfn.IFNA(VLOOKUP($A915,[3]stockregister!$A$2:$L$2000,11,0),0)-$G915</f>
        <v>0</v>
      </c>
      <c r="I915" s="3">
        <f>_xlfn.IFNA(VLOOKUP($A915,[3]stockregister!$A$2:$L$2000,12,0),0)</f>
        <v>210</v>
      </c>
      <c r="J915" s="3">
        <f>_xlfn.IFNA(VLOOKUP($A915,[3]stockregister!$A$1:$M$2000,12,0),0)-$I915</f>
        <v>0</v>
      </c>
      <c r="K915" s="3" t="s">
        <v>22</v>
      </c>
      <c r="L915" s="3" t="s">
        <v>23</v>
      </c>
      <c r="M915" s="3">
        <f>_xlfn.IFNA(VLOOKUP($A915,[2]stockregister!$A$2:$H$2000,8,0),0)</f>
        <v>245</v>
      </c>
      <c r="N915" s="3">
        <f>_xlfn.IFNA(VLOOKUP($A915,[2]stockregister!$A$2:$H$2000,8,0),0)-$M915</f>
        <v>0</v>
      </c>
      <c r="O915" s="3" t="s">
        <v>2147</v>
      </c>
      <c r="P915" s="3" t="s">
        <v>2147</v>
      </c>
      <c r="Q915" s="3" t="s">
        <v>2148</v>
      </c>
      <c r="R915" s="3" t="s">
        <v>26</v>
      </c>
      <c r="S915" s="3" t="s">
        <v>791</v>
      </c>
    </row>
    <row r="916" spans="1:18">
      <c r="A916" s="3">
        <v>2280</v>
      </c>
      <c r="B916" s="3" t="b">
        <f>ISNUMBER(MATCH(A916,[1]stockregister!$A$2:$A$2000,0))</f>
        <v>1</v>
      </c>
      <c r="C916" s="3" t="s">
        <v>2149</v>
      </c>
      <c r="D916" s="3" t="str">
        <f>VLOOKUP($C916,[1]stockregister!$B$2:$B$2000,1,0)</f>
        <v>NAPOLEON GOLD 750ML</v>
      </c>
      <c r="E916" s="3" t="str">
        <f>IF(ISNA($D916),VLOOKUP($A916,[2]stockregister!$A$2:$B$2000,2,FALSE),"")</f>
        <v/>
      </c>
      <c r="F916" s="3" t="s">
        <v>21</v>
      </c>
      <c r="G916" s="3">
        <f>_xlfn.IFNA(VLOOKUP($A916,[3]stockregister!$A$2:$L$2000,11,0),0)</f>
        <v>1</v>
      </c>
      <c r="H916" s="3">
        <f>_xlfn.IFNA(VLOOKUP($A916,[3]stockregister!$A$2:$L$2000,11,0),0)-$G916</f>
        <v>0</v>
      </c>
      <c r="I916" s="3">
        <f>_xlfn.IFNA(VLOOKUP($A916,[3]stockregister!$A$2:$L$2000,12,0),0)</f>
        <v>700</v>
      </c>
      <c r="J916" s="3">
        <f>_xlfn.IFNA(VLOOKUP($A916,[3]stockregister!$A$1:$M$2000,12,0),0)-$I916</f>
        <v>0</v>
      </c>
      <c r="K916" s="3" t="s">
        <v>22</v>
      </c>
      <c r="L916" s="3" t="s">
        <v>23</v>
      </c>
      <c r="M916" s="3">
        <f>_xlfn.IFNA(VLOOKUP($A916,[2]stockregister!$A$2:$H$2000,8,0),0)</f>
        <v>800</v>
      </c>
      <c r="N916" s="3">
        <f>_xlfn.IFNA(VLOOKUP($A916,[2]stockregister!$A$2:$H$2000,8,0),0)-$M916</f>
        <v>0</v>
      </c>
      <c r="O916" s="3" t="s">
        <v>2150</v>
      </c>
      <c r="P916" s="3" t="s">
        <v>2150</v>
      </c>
      <c r="Q916" s="3" t="s">
        <v>2151</v>
      </c>
      <c r="R916" s="3" t="s">
        <v>109</v>
      </c>
    </row>
    <row r="917" spans="1:20">
      <c r="A917" s="3">
        <v>1235</v>
      </c>
      <c r="B917" s="3" t="b">
        <f>ISNUMBER(MATCH(A917,[1]stockregister!$A$2:$A$2000,0))</f>
        <v>1</v>
      </c>
      <c r="C917" s="3" t="s">
        <v>2152</v>
      </c>
      <c r="D917" s="3" t="str">
        <f>VLOOKUP($C917,[1]stockregister!$B$2:$B$2000,1,0)</f>
        <v>KWV 15YRS BRANDY 750ml</v>
      </c>
      <c r="E917" s="3" t="str">
        <f>IF(ISNA($D917),VLOOKUP($A917,[2]stockregister!$A$2:$B$2000,2,FALSE),"")</f>
        <v/>
      </c>
      <c r="F917" s="3" t="s">
        <v>21</v>
      </c>
      <c r="G917" s="3">
        <f>_xlfn.IFNA(VLOOKUP($A917,[3]stockregister!$A$2:$L$2000,11,0),0)</f>
        <v>0</v>
      </c>
      <c r="H917" s="3">
        <f>_xlfn.IFNA(VLOOKUP($A917,[3]stockregister!$A$2:$L$2000,11,0),0)-$G917</f>
        <v>0</v>
      </c>
      <c r="I917" s="3">
        <f>_xlfn.IFNA(VLOOKUP($A917,[3]stockregister!$A$2:$L$2000,12,0),0)</f>
        <v>6900</v>
      </c>
      <c r="J917" s="3">
        <f>_xlfn.IFNA(VLOOKUP($A917,[3]stockregister!$A$1:$M$2000,12,0),0)-$I917</f>
        <v>0</v>
      </c>
      <c r="K917" s="3" t="s">
        <v>22</v>
      </c>
      <c r="L917" s="3" t="s">
        <v>23</v>
      </c>
      <c r="M917" s="3">
        <f>_xlfn.IFNA(VLOOKUP($A917,[2]stockregister!$A$2:$H$2000,8,0),0)</f>
        <v>7500</v>
      </c>
      <c r="N917" s="3">
        <f>_xlfn.IFNA(VLOOKUP($A917,[2]stockregister!$A$2:$H$2000,8,0),0)-$M917</f>
        <v>0</v>
      </c>
      <c r="O917" s="3" t="s">
        <v>2153</v>
      </c>
      <c r="P917" s="3" t="s">
        <v>2153</v>
      </c>
      <c r="Q917" s="3" t="s">
        <v>872</v>
      </c>
      <c r="R917" s="3" t="s">
        <v>109</v>
      </c>
      <c r="T917" s="3">
        <v>15</v>
      </c>
    </row>
    <row r="918" spans="1:18">
      <c r="A918" s="3">
        <v>2049</v>
      </c>
      <c r="B918" s="3" t="b">
        <f>ISNUMBER(MATCH(A918,[1]stockregister!$A$2:$A$2000,0))</f>
        <v>1</v>
      </c>
      <c r="C918" s="3" t="s">
        <v>2154</v>
      </c>
      <c r="D918" s="3" t="str">
        <f>VLOOKUP($C918,[1]stockregister!$B$2:$B$2000,1,0)</f>
        <v>VELVET CREAM LIQUEUR 750ml</v>
      </c>
      <c r="E918" s="3" t="str">
        <f>IF(ISNA($D918),VLOOKUP($A918,[2]stockregister!$A$2:$B$2000,2,FALSE),"")</f>
        <v/>
      </c>
      <c r="F918" s="3" t="s">
        <v>21</v>
      </c>
      <c r="G918" s="3">
        <f>_xlfn.IFNA(VLOOKUP($A918,[3]stockregister!$A$2:$L$2000,11,0),0)</f>
        <v>1</v>
      </c>
      <c r="H918" s="3">
        <f>_xlfn.IFNA(VLOOKUP($A918,[3]stockregister!$A$2:$L$2000,11,0),0)-$G918</f>
        <v>0</v>
      </c>
      <c r="I918" s="3">
        <f>_xlfn.IFNA(VLOOKUP($A918,[3]stockregister!$A$2:$L$2000,12,0),0)</f>
        <v>736</v>
      </c>
      <c r="J918" s="3">
        <f>_xlfn.IFNA(VLOOKUP($A918,[3]stockregister!$A$1:$M$2000,12,0),0)-$I918</f>
        <v>0</v>
      </c>
      <c r="K918" s="3" t="s">
        <v>22</v>
      </c>
      <c r="L918" s="3" t="s">
        <v>23</v>
      </c>
      <c r="M918" s="3">
        <f>_xlfn.IFNA(VLOOKUP($A918,[2]stockregister!$A$2:$H$2000,8,0),0)</f>
        <v>800</v>
      </c>
      <c r="N918" s="3">
        <f>_xlfn.IFNA(VLOOKUP($A918,[2]stockregister!$A$2:$H$2000,8,0),0)-$M918</f>
        <v>0</v>
      </c>
      <c r="O918" s="3" t="s">
        <v>2155</v>
      </c>
      <c r="P918" s="3" t="s">
        <v>2155</v>
      </c>
      <c r="Q918" s="3" t="s">
        <v>2156</v>
      </c>
      <c r="R918" s="3" t="s">
        <v>577</v>
      </c>
    </row>
    <row r="919" spans="1:19">
      <c r="A919" s="3">
        <v>2350</v>
      </c>
      <c r="B919" s="3" t="b">
        <f>ISNUMBER(MATCH(A919,[1]stockregister!$A$2:$A$2000,0))</f>
        <v>1</v>
      </c>
      <c r="C919" s="3" t="s">
        <v>2157</v>
      </c>
      <c r="D919" s="3" t="str">
        <f>VLOOKUP($C919,[1]stockregister!$B$2:$B$2000,1,0)</f>
        <v>BARDINET CREME DE BANANA 750ML</v>
      </c>
      <c r="E919" s="3" t="str">
        <f>IF(ISNA($D919),VLOOKUP($A919,[2]stockregister!$A$2:$B$2000,2,FALSE),"")</f>
        <v/>
      </c>
      <c r="F919" s="3" t="s">
        <v>21</v>
      </c>
      <c r="G919" s="3">
        <f>_xlfn.IFNA(VLOOKUP($A919,[3]stockregister!$A$2:$L$2000,11,0),0)</f>
        <v>1</v>
      </c>
      <c r="H919" s="3">
        <f>_xlfn.IFNA(VLOOKUP($A919,[3]stockregister!$A$2:$L$2000,11,0),0)-$G919</f>
        <v>0</v>
      </c>
      <c r="I919" s="3">
        <f>_xlfn.IFNA(VLOOKUP($A919,[3]stockregister!$A$2:$L$2000,12,0),0)</f>
        <v>1200</v>
      </c>
      <c r="J919" s="3">
        <f>_xlfn.IFNA(VLOOKUP($A919,[3]stockregister!$A$1:$M$2000,12,0),0)-$I919</f>
        <v>0</v>
      </c>
      <c r="K919" s="3" t="s">
        <v>22</v>
      </c>
      <c r="L919" s="3" t="s">
        <v>23</v>
      </c>
      <c r="M919" s="3">
        <f>_xlfn.IFNA(VLOOKUP($A919,[2]stockregister!$A$2:$H$2000,8,0),0)</f>
        <v>1300</v>
      </c>
      <c r="N919" s="3">
        <f>_xlfn.IFNA(VLOOKUP($A919,[2]stockregister!$A$2:$H$2000,8,0),0)-$M919</f>
        <v>0</v>
      </c>
      <c r="O919" s="3" t="s">
        <v>2158</v>
      </c>
      <c r="P919" s="3" t="s">
        <v>2158</v>
      </c>
      <c r="Q919" s="3" t="s">
        <v>2159</v>
      </c>
      <c r="R919" s="3" t="s">
        <v>126</v>
      </c>
      <c r="S919" s="3" t="s">
        <v>2160</v>
      </c>
    </row>
    <row r="920" spans="1:19">
      <c r="A920" s="3">
        <v>2353</v>
      </c>
      <c r="B920" s="3" t="b">
        <f>ISNUMBER(MATCH(A920,[1]stockregister!$A$2:$A$2000,0))</f>
        <v>1</v>
      </c>
      <c r="C920" s="3" t="s">
        <v>2161</v>
      </c>
      <c r="D920" s="3" t="str">
        <f>VLOOKUP($C920,[1]stockregister!$B$2:$B$2000,1,0)</f>
        <v>BARDINET BLUE CURACAO 750ML</v>
      </c>
      <c r="E920" s="3" t="str">
        <f>IF(ISNA($D920),VLOOKUP($A920,[2]stockregister!$A$2:$B$2000,2,FALSE),"")</f>
        <v/>
      </c>
      <c r="F920" s="3" t="s">
        <v>21</v>
      </c>
      <c r="G920" s="3">
        <f>_xlfn.IFNA(VLOOKUP($A920,[3]stockregister!$A$2:$L$2000,11,0),0)</f>
        <v>1</v>
      </c>
      <c r="H920" s="3">
        <f>_xlfn.IFNA(VLOOKUP($A920,[3]stockregister!$A$2:$L$2000,11,0),0)-$G920</f>
        <v>0</v>
      </c>
      <c r="I920" s="3">
        <f>_xlfn.IFNA(VLOOKUP($A920,[3]stockregister!$A$2:$L$2000,12,0),0)</f>
        <v>1200</v>
      </c>
      <c r="J920" s="3">
        <f>_xlfn.IFNA(VLOOKUP($A920,[3]stockregister!$A$1:$M$2000,12,0),0)-$I920</f>
        <v>0</v>
      </c>
      <c r="K920" s="3" t="s">
        <v>22</v>
      </c>
      <c r="L920" s="3" t="s">
        <v>23</v>
      </c>
      <c r="M920" s="3">
        <f>_xlfn.IFNA(VLOOKUP($A920,[2]stockregister!$A$2:$H$2000,8,0),0)</f>
        <v>1300</v>
      </c>
      <c r="N920" s="3">
        <f>_xlfn.IFNA(VLOOKUP($A920,[2]stockregister!$A$2:$H$2000,8,0),0)-$M920</f>
        <v>0</v>
      </c>
      <c r="O920" s="3" t="s">
        <v>2162</v>
      </c>
      <c r="P920" s="3" t="s">
        <v>2162</v>
      </c>
      <c r="Q920" s="3" t="s">
        <v>2159</v>
      </c>
      <c r="R920" s="3" t="s">
        <v>126</v>
      </c>
      <c r="S920" s="3" t="s">
        <v>2163</v>
      </c>
    </row>
    <row r="921" spans="1:19">
      <c r="A921" s="3">
        <v>2352</v>
      </c>
      <c r="B921" s="3" t="b">
        <f>ISNUMBER(MATCH(A921,[1]stockregister!$A$2:$A$2000,0))</f>
        <v>1</v>
      </c>
      <c r="C921" s="3" t="s">
        <v>2164</v>
      </c>
      <c r="D921" s="3" t="str">
        <f>VLOOKUP($C921,[1]stockregister!$B$2:$B$2000,1,0)</f>
        <v>BARDINET CHERRY 750ML</v>
      </c>
      <c r="E921" s="3" t="str">
        <f>IF(ISNA($D921),VLOOKUP($A921,[2]stockregister!$A$2:$B$2000,2,FALSE),"")</f>
        <v/>
      </c>
      <c r="F921" s="3" t="s">
        <v>21</v>
      </c>
      <c r="G921" s="3">
        <f>_xlfn.IFNA(VLOOKUP($A921,[3]stockregister!$A$2:$L$2000,11,0),0)</f>
        <v>1</v>
      </c>
      <c r="H921" s="3">
        <f>_xlfn.IFNA(VLOOKUP($A921,[3]stockregister!$A$2:$L$2000,11,0),0)-$G921</f>
        <v>0</v>
      </c>
      <c r="I921" s="3">
        <f>_xlfn.IFNA(VLOOKUP($A921,[3]stockregister!$A$2:$L$2000,12,0),0)</f>
        <v>1200</v>
      </c>
      <c r="J921" s="3">
        <f>_xlfn.IFNA(VLOOKUP($A921,[3]stockregister!$A$1:$M$2000,12,0),0)-$I921</f>
        <v>0</v>
      </c>
      <c r="K921" s="3" t="s">
        <v>22</v>
      </c>
      <c r="L921" s="3" t="s">
        <v>23</v>
      </c>
      <c r="M921" s="3">
        <f>_xlfn.IFNA(VLOOKUP($A921,[2]stockregister!$A$2:$H$2000,8,0),0)</f>
        <v>1300</v>
      </c>
      <c r="N921" s="3">
        <f>_xlfn.IFNA(VLOOKUP($A921,[2]stockregister!$A$2:$H$2000,8,0),0)-$M921</f>
        <v>0</v>
      </c>
      <c r="O921" s="3" t="s">
        <v>2165</v>
      </c>
      <c r="P921" s="3" t="s">
        <v>2165</v>
      </c>
      <c r="Q921" s="3" t="s">
        <v>2159</v>
      </c>
      <c r="R921" s="3" t="s">
        <v>126</v>
      </c>
      <c r="S921" s="3" t="s">
        <v>990</v>
      </c>
    </row>
    <row r="922" spans="1:19">
      <c r="A922" s="3">
        <v>2440</v>
      </c>
      <c r="B922" s="3" t="b">
        <f>ISNUMBER(MATCH(A922,[1]stockregister!$A$2:$A$2000,0))</f>
        <v>1</v>
      </c>
      <c r="C922" s="3" t="s">
        <v>2166</v>
      </c>
      <c r="D922" s="3" t="str">
        <f>VLOOKUP($C922,[1]stockregister!$B$2:$B$2000,1,0)</f>
        <v>BARDINET CREME DE CAFE 750ML</v>
      </c>
      <c r="E922" s="3" t="str">
        <f>IF(ISNA($D922),VLOOKUP($A922,[2]stockregister!$A$2:$B$2000,2,FALSE),"")</f>
        <v/>
      </c>
      <c r="F922" s="3" t="s">
        <v>21</v>
      </c>
      <c r="G922" s="3">
        <f>_xlfn.IFNA(VLOOKUP($A922,[3]stockregister!$A$2:$L$2000,11,0),0)</f>
        <v>1</v>
      </c>
      <c r="H922" s="3">
        <f>_xlfn.IFNA(VLOOKUP($A922,[3]stockregister!$A$2:$L$2000,11,0),0)-$G922</f>
        <v>0</v>
      </c>
      <c r="I922" s="3">
        <f>_xlfn.IFNA(VLOOKUP($A922,[3]stockregister!$A$2:$L$2000,12,0),0)</f>
        <v>1200</v>
      </c>
      <c r="J922" s="3">
        <f>_xlfn.IFNA(VLOOKUP($A922,[3]stockregister!$A$1:$M$2000,12,0),0)-$I922</f>
        <v>0</v>
      </c>
      <c r="K922" s="3" t="s">
        <v>22</v>
      </c>
      <c r="L922" s="3" t="s">
        <v>23</v>
      </c>
      <c r="M922" s="3">
        <f>_xlfn.IFNA(VLOOKUP($A922,[2]stockregister!$A$2:$H$2000,8,0),0)</f>
        <v>2300</v>
      </c>
      <c r="N922" s="3">
        <f>_xlfn.IFNA(VLOOKUP($A922,[2]stockregister!$A$2:$H$2000,8,0),0)-$M922</f>
        <v>0</v>
      </c>
      <c r="O922" s="3" t="s">
        <v>2167</v>
      </c>
      <c r="P922" s="3" t="s">
        <v>2167</v>
      </c>
      <c r="Q922" s="3" t="s">
        <v>2159</v>
      </c>
      <c r="R922" s="3" t="s">
        <v>126</v>
      </c>
      <c r="S922" s="3" t="s">
        <v>971</v>
      </c>
    </row>
    <row r="923" spans="1:19">
      <c r="A923" s="3">
        <v>323</v>
      </c>
      <c r="B923" s="3" t="b">
        <f>ISNUMBER(MATCH(A923,[1]stockregister!$A$2:$A$2000,0))</f>
        <v>1</v>
      </c>
      <c r="C923" s="3" t="s">
        <v>2168</v>
      </c>
      <c r="D923" s="3" t="str">
        <f>VLOOKUP($C923,[1]stockregister!$B$2:$B$2000,1,0)</f>
        <v>BUTLERS PEPPERMINT 750ML</v>
      </c>
      <c r="E923" s="3" t="str">
        <f>IF(ISNA($D923),VLOOKUP($A923,[2]stockregister!$A$2:$B$2000,2,FALSE),"")</f>
        <v/>
      </c>
      <c r="F923" s="3" t="s">
        <v>21</v>
      </c>
      <c r="G923" s="3">
        <f>_xlfn.IFNA(VLOOKUP($A923,[3]stockregister!$A$2:$L$2000,11,0),0)</f>
        <v>1</v>
      </c>
      <c r="H923" s="3">
        <f>_xlfn.IFNA(VLOOKUP($A923,[3]stockregister!$A$2:$L$2000,11,0),0)-$G923</f>
        <v>0</v>
      </c>
      <c r="I923" s="3">
        <f>_xlfn.IFNA(VLOOKUP($A923,[3]stockregister!$A$2:$L$2000,12,0),0)</f>
        <v>1472</v>
      </c>
      <c r="J923" s="3">
        <f>_xlfn.IFNA(VLOOKUP($A923,[3]stockregister!$A$1:$M$2000,12,0),0)-$I923</f>
        <v>0</v>
      </c>
      <c r="K923" s="3" t="s">
        <v>22</v>
      </c>
      <c r="L923" s="3" t="s">
        <v>23</v>
      </c>
      <c r="M923" s="3">
        <f>_xlfn.IFNA(VLOOKUP($A923,[2]stockregister!$A$2:$H$2000,8,0),0)</f>
        <v>1600</v>
      </c>
      <c r="N923" s="3">
        <f>_xlfn.IFNA(VLOOKUP($A923,[2]stockregister!$A$2:$H$2000,8,0),0)-$M923</f>
        <v>0</v>
      </c>
      <c r="O923" s="3" t="s">
        <v>2169</v>
      </c>
      <c r="P923" s="3" t="s">
        <v>2169</v>
      </c>
      <c r="Q923" s="3" t="s">
        <v>2170</v>
      </c>
      <c r="R923" s="3" t="s">
        <v>126</v>
      </c>
      <c r="S923" s="3" t="s">
        <v>2171</v>
      </c>
    </row>
    <row r="924" spans="1:19">
      <c r="A924" s="3">
        <v>2149</v>
      </c>
      <c r="B924" s="3" t="b">
        <f>ISNUMBER(MATCH(A924,[1]stockregister!$A$2:$A$2000,0))</f>
        <v>1</v>
      </c>
      <c r="C924" s="3" t="s">
        <v>2172</v>
      </c>
      <c r="D924" s="3" t="str">
        <f>VLOOKUP($C924,[1]stockregister!$B$2:$B$2000,1,0)</f>
        <v>ZAPPA - RED 750ML</v>
      </c>
      <c r="E924" s="3" t="str">
        <f>IF(ISNA($D924),VLOOKUP($A924,[2]stockregister!$A$2:$B$2000,2,FALSE),"")</f>
        <v/>
      </c>
      <c r="F924" s="3" t="s">
        <v>21</v>
      </c>
      <c r="G924" s="3">
        <f>_xlfn.IFNA(VLOOKUP($A924,[3]stockregister!$A$2:$L$2000,11,0),0)</f>
        <v>0</v>
      </c>
      <c r="H924" s="3">
        <f>_xlfn.IFNA(VLOOKUP($A924,[3]stockregister!$A$2:$L$2000,11,0),0)-$G924</f>
        <v>0</v>
      </c>
      <c r="I924" s="3">
        <f>_xlfn.IFNA(VLOOKUP($A924,[3]stockregister!$A$2:$L$2000,12,0),0)</f>
        <v>1334</v>
      </c>
      <c r="J924" s="3">
        <f>_xlfn.IFNA(VLOOKUP($A924,[3]stockregister!$A$1:$M$2000,12,0),0)-$I924</f>
        <v>0</v>
      </c>
      <c r="K924" s="3" t="s">
        <v>22</v>
      </c>
      <c r="L924" s="3" t="s">
        <v>23</v>
      </c>
      <c r="M924" s="3">
        <f>_xlfn.IFNA(VLOOKUP($A924,[2]stockregister!$A$2:$H$2000,8,0),0)</f>
        <v>1450</v>
      </c>
      <c r="N924" s="3">
        <f>_xlfn.IFNA(VLOOKUP($A924,[2]stockregister!$A$2:$H$2000,8,0),0)-$M924</f>
        <v>0</v>
      </c>
      <c r="O924" s="3" t="s">
        <v>2173</v>
      </c>
      <c r="P924" s="3" t="s">
        <v>2173</v>
      </c>
      <c r="Q924" s="3" t="s">
        <v>606</v>
      </c>
      <c r="R924" s="3" t="s">
        <v>126</v>
      </c>
      <c r="S924" s="3" t="s">
        <v>169</v>
      </c>
    </row>
    <row r="925" spans="1:18">
      <c r="A925" s="3">
        <v>610</v>
      </c>
      <c r="B925" s="3" t="b">
        <f>ISNUMBER(MATCH(A925,[1]stockregister!$A$2:$A$2000,0))</f>
        <v>1</v>
      </c>
      <c r="C925" s="3" t="s">
        <v>2174</v>
      </c>
      <c r="D925" s="3" t="str">
        <f>VLOOKUP($C925,[1]stockregister!$B$2:$B$2000,1,0)</f>
        <v>DISARONNO LIQUEUR 1ltr</v>
      </c>
      <c r="E925" s="3" t="str">
        <f>IF(ISNA($D925),VLOOKUP($A925,[2]stockregister!$A$2:$B$2000,2,FALSE),"")</f>
        <v/>
      </c>
      <c r="F925" s="3" t="s">
        <v>21</v>
      </c>
      <c r="G925" s="3">
        <f>_xlfn.IFNA(VLOOKUP($A925,[3]stockregister!$A$2:$L$2000,11,0),0)</f>
        <v>1</v>
      </c>
      <c r="H925" s="3">
        <f>_xlfn.IFNA(VLOOKUP($A925,[3]stockregister!$A$2:$L$2000,11,0),0)-$G925</f>
        <v>0</v>
      </c>
      <c r="I925" s="3">
        <f>_xlfn.IFNA(VLOOKUP($A925,[3]stockregister!$A$2:$L$2000,12,0),0)</f>
        <v>2760</v>
      </c>
      <c r="J925" s="3">
        <f>_xlfn.IFNA(VLOOKUP($A925,[3]stockregister!$A$1:$M$2000,12,0),0)-$I925</f>
        <v>0</v>
      </c>
      <c r="K925" s="3" t="s">
        <v>22</v>
      </c>
      <c r="L925" s="3" t="s">
        <v>23</v>
      </c>
      <c r="M925" s="3">
        <f>_xlfn.IFNA(VLOOKUP($A925,[2]stockregister!$A$2:$H$2000,8,0),0)</f>
        <v>3000</v>
      </c>
      <c r="N925" s="3">
        <f>_xlfn.IFNA(VLOOKUP($A925,[2]stockregister!$A$2:$H$2000,8,0),0)-$M925</f>
        <v>0</v>
      </c>
      <c r="O925" s="3" t="s">
        <v>2175</v>
      </c>
      <c r="P925" s="3" t="s">
        <v>2175</v>
      </c>
      <c r="Q925" s="3" t="s">
        <v>2176</v>
      </c>
      <c r="R925" s="3" t="s">
        <v>126</v>
      </c>
    </row>
    <row r="926" spans="1:18">
      <c r="A926" s="3">
        <v>2321</v>
      </c>
      <c r="B926" s="3" t="b">
        <f>ISNUMBER(MATCH(A926,[1]stockregister!$A$2:$A$2000,0))</f>
        <v>1</v>
      </c>
      <c r="C926" s="3" t="s">
        <v>2177</v>
      </c>
      <c r="D926" s="3" t="str">
        <f>VLOOKUP($C926,[1]stockregister!$B$2:$B$2000,1,0)</f>
        <v>WILD TIGER SPICED RESERVE 750ML</v>
      </c>
      <c r="E926" s="3" t="str">
        <f>IF(ISNA($D926),VLOOKUP($A926,[2]stockregister!$A$2:$B$2000,2,FALSE),"")</f>
        <v/>
      </c>
      <c r="F926" s="3" t="s">
        <v>21</v>
      </c>
      <c r="G926" s="3">
        <f>_xlfn.IFNA(VLOOKUP($A926,[3]stockregister!$A$2:$L$2000,11,0),0)</f>
        <v>1</v>
      </c>
      <c r="H926" s="3">
        <f>_xlfn.IFNA(VLOOKUP($A926,[3]stockregister!$A$2:$L$2000,11,0),0)-$G926</f>
        <v>0</v>
      </c>
      <c r="I926" s="3">
        <f>_xlfn.IFNA(VLOOKUP($A926,[3]stockregister!$A$2:$L$2000,12,0),0)</f>
        <v>800</v>
      </c>
      <c r="J926" s="3">
        <f>_xlfn.IFNA(VLOOKUP($A926,[3]stockregister!$A$1:$M$2000,12,0),0)-$I926</f>
        <v>0</v>
      </c>
      <c r="K926" s="3" t="s">
        <v>22</v>
      </c>
      <c r="L926" s="3" t="s">
        <v>23</v>
      </c>
      <c r="M926" s="3">
        <f>_xlfn.IFNA(VLOOKUP($A926,[2]stockregister!$A$2:$H$2000,8,0),0)</f>
        <v>850</v>
      </c>
      <c r="N926" s="3">
        <f>_xlfn.IFNA(VLOOKUP($A926,[2]stockregister!$A$2:$H$2000,8,0),0)-$M926</f>
        <v>0</v>
      </c>
      <c r="O926" s="3" t="s">
        <v>2178</v>
      </c>
      <c r="P926" s="3" t="s">
        <v>2178</v>
      </c>
      <c r="Q926" s="3" t="s">
        <v>1556</v>
      </c>
      <c r="R926" s="3" t="s">
        <v>156</v>
      </c>
    </row>
    <row r="927" spans="1:18">
      <c r="A927" s="3">
        <v>2322</v>
      </c>
      <c r="B927" s="3" t="b">
        <f>ISNUMBER(MATCH(A927,[1]stockregister!$A$2:$A$2000,0))</f>
        <v>1</v>
      </c>
      <c r="C927" s="3" t="s">
        <v>2179</v>
      </c>
      <c r="D927" s="3" t="str">
        <f>VLOOKUP($C927,[1]stockregister!$B$2:$B$2000,1,0)</f>
        <v>NEGRITA BARDINET 1LTR</v>
      </c>
      <c r="E927" s="3" t="str">
        <f>IF(ISNA($D927),VLOOKUP($A927,[2]stockregister!$A$2:$B$2000,2,FALSE),"")</f>
        <v/>
      </c>
      <c r="F927" s="3" t="s">
        <v>21</v>
      </c>
      <c r="G927" s="3">
        <f>_xlfn.IFNA(VLOOKUP($A927,[3]stockregister!$A$2:$L$2000,11,0),0)</f>
        <v>1</v>
      </c>
      <c r="H927" s="3">
        <f>_xlfn.IFNA(VLOOKUP($A927,[3]stockregister!$A$2:$L$2000,11,0),0)-$G927</f>
        <v>0</v>
      </c>
      <c r="I927" s="3">
        <f>_xlfn.IFNA(VLOOKUP($A927,[3]stockregister!$A$2:$L$2000,12,0),0)</f>
        <v>1400</v>
      </c>
      <c r="J927" s="3">
        <f>_xlfn.IFNA(VLOOKUP($A927,[3]stockregister!$A$1:$M$2000,12,0),0)-$I927</f>
        <v>0</v>
      </c>
      <c r="K927" s="3" t="s">
        <v>22</v>
      </c>
      <c r="L927" s="3" t="s">
        <v>23</v>
      </c>
      <c r="M927" s="3">
        <f>_xlfn.IFNA(VLOOKUP($A927,[2]stockregister!$A$2:$H$2000,8,0),0)</f>
        <v>1500</v>
      </c>
      <c r="N927" s="3">
        <f>_xlfn.IFNA(VLOOKUP($A927,[2]stockregister!$A$2:$H$2000,8,0),0)-$M927</f>
        <v>0</v>
      </c>
      <c r="O927" s="3" t="s">
        <v>2180</v>
      </c>
      <c r="P927" s="3" t="s">
        <v>2180</v>
      </c>
      <c r="Q927" s="3" t="s">
        <v>1616</v>
      </c>
      <c r="R927" s="3" t="s">
        <v>156</v>
      </c>
    </row>
    <row r="928" spans="1:19">
      <c r="A928" s="3">
        <v>494</v>
      </c>
      <c r="B928" s="3" t="b">
        <f>ISNUMBER(MATCH(A928,[1]stockregister!$A$2:$A$2000,0))</f>
        <v>1</v>
      </c>
      <c r="C928" s="3" t="s">
        <v>2181</v>
      </c>
      <c r="D928" s="3" t="str">
        <f>VLOOKUP($C928,[1]stockregister!$B$2:$B$2000,1,0)</f>
        <v>CLASE AZUL MEZCAL DURANGO 750ml</v>
      </c>
      <c r="E928" s="3" t="str">
        <f>IF(ISNA($D928),VLOOKUP($A928,[2]stockregister!$A$2:$B$2000,2,FALSE),"")</f>
        <v/>
      </c>
      <c r="F928" s="3" t="s">
        <v>21</v>
      </c>
      <c r="G928" s="3">
        <f>_xlfn.IFNA(VLOOKUP($A928,[3]stockregister!$A$2:$L$2000,11,0),0)</f>
        <v>1</v>
      </c>
      <c r="H928" s="3">
        <f>_xlfn.IFNA(VLOOKUP($A928,[3]stockregister!$A$2:$L$2000,11,0),0)-$G928</f>
        <v>0</v>
      </c>
      <c r="I928" s="3">
        <f>_xlfn.IFNA(VLOOKUP($A928,[3]stockregister!$A$2:$L$2000,12,0),0)</f>
        <v>55200</v>
      </c>
      <c r="J928" s="3">
        <f>_xlfn.IFNA(VLOOKUP($A928,[3]stockregister!$A$1:$M$2000,12,0),0)-$I928</f>
        <v>0</v>
      </c>
      <c r="K928" s="3" t="s">
        <v>22</v>
      </c>
      <c r="L928" s="3" t="s">
        <v>23</v>
      </c>
      <c r="M928" s="3">
        <f>_xlfn.IFNA(VLOOKUP($A928,[2]stockregister!$A$2:$H$2000,8,0),0)</f>
        <v>60000</v>
      </c>
      <c r="N928" s="3">
        <f>_xlfn.IFNA(VLOOKUP($A928,[2]stockregister!$A$2:$H$2000,8,0),0)-$M928</f>
        <v>0</v>
      </c>
      <c r="O928" s="3" t="s">
        <v>2182</v>
      </c>
      <c r="P928" s="3" t="s">
        <v>2182</v>
      </c>
      <c r="Q928" s="3" t="s">
        <v>494</v>
      </c>
      <c r="R928" s="3" t="s">
        <v>73</v>
      </c>
      <c r="S928" s="3" t="s">
        <v>2183</v>
      </c>
    </row>
    <row r="929" spans="1:19">
      <c r="A929" s="3">
        <v>2918</v>
      </c>
      <c r="B929" s="3" t="b">
        <f>ISNUMBER(MATCH(A929,[1]stockregister!$A$2:$A$2000,0))</f>
        <v>1</v>
      </c>
      <c r="C929" s="3" t="s">
        <v>429</v>
      </c>
      <c r="D929" s="3" t="str">
        <f>VLOOKUP($C929,[1]stockregister!$B$2:$B$2000,1,0)</f>
        <v>WOOSH 9000 PUFFS SUN KISSED GRAPE</v>
      </c>
      <c r="E929" s="3" t="str">
        <f>IF(ISNA($D929),VLOOKUP($A929,[2]stockregister!$A$2:$B$2000,2,FALSE),"")</f>
        <v/>
      </c>
      <c r="F929" s="3" t="s">
        <v>21</v>
      </c>
      <c r="G929" s="3">
        <f>_xlfn.IFNA(VLOOKUP($A929,[3]stockregister!$A$2:$L$2000,11,0),0)</f>
        <v>1</v>
      </c>
      <c r="H929" s="3">
        <f>_xlfn.IFNA(VLOOKUP($A929,[3]stockregister!$A$2:$L$2000,11,0),0)-$G929</f>
        <v>0</v>
      </c>
      <c r="I929" s="3">
        <f>_xlfn.IFNA(VLOOKUP($A929,[3]stockregister!$A$2:$L$2000,12,0),0)</f>
        <v>1077</v>
      </c>
      <c r="J929" s="3">
        <f>_xlfn.IFNA(VLOOKUP($A929,[3]stockregister!$A$1:$M$2000,12,0),0)-$I929</f>
        <v>0</v>
      </c>
      <c r="K929" s="3" t="s">
        <v>22</v>
      </c>
      <c r="L929" s="3" t="s">
        <v>23</v>
      </c>
      <c r="M929" s="3">
        <f>_xlfn.IFNA(VLOOKUP($A929,[2]stockregister!$A$2:$H$2000,8,0),0)</f>
        <v>1200</v>
      </c>
      <c r="N929" s="3">
        <f>_xlfn.IFNA(VLOOKUP($A929,[2]stockregister!$A$2:$H$2000,8,0),0)-$M929</f>
        <v>0</v>
      </c>
      <c r="O929" s="3" t="s">
        <v>2184</v>
      </c>
      <c r="P929" s="3" t="s">
        <v>2184</v>
      </c>
      <c r="Q929" s="3">
        <v>0</v>
      </c>
      <c r="R929" s="3" t="s">
        <v>39</v>
      </c>
      <c r="S929" s="3" t="s">
        <v>2185</v>
      </c>
    </row>
    <row r="930" spans="1:19">
      <c r="A930" s="3">
        <v>2428</v>
      </c>
      <c r="B930" s="3" t="b">
        <f>ISNUMBER(MATCH(A930,[1]stockregister!$A$2:$A$2000,0))</f>
        <v>1</v>
      </c>
      <c r="C930" s="3" t="s">
        <v>2186</v>
      </c>
      <c r="D930" s="3" t="str">
        <f>VLOOKUP($C930,[1]stockregister!$B$2:$B$2000,1,0)</f>
        <v>KENYA CANE PINEAPPLE 750ML</v>
      </c>
      <c r="E930" s="3" t="str">
        <f>IF(ISNA($D930),VLOOKUP($A930,[2]stockregister!$A$2:$B$2000,2,FALSE),"")</f>
        <v/>
      </c>
      <c r="F930" s="3" t="s">
        <v>21</v>
      </c>
      <c r="G930" s="3">
        <f>_xlfn.IFNA(VLOOKUP($A930,[3]stockregister!$A$2:$L$2000,11,0),0)</f>
        <v>97</v>
      </c>
      <c r="H930" s="3">
        <f>_xlfn.IFNA(VLOOKUP($A930,[3]stockregister!$A$2:$L$2000,11,0),0)-$G930</f>
        <v>0</v>
      </c>
      <c r="I930" s="3">
        <f>_xlfn.IFNA(VLOOKUP($A930,[3]stockregister!$A$2:$L$2000,12,0),0)</f>
        <v>663.32</v>
      </c>
      <c r="J930" s="3">
        <f>_xlfn.IFNA(VLOOKUP($A930,[3]stockregister!$A$1:$M$2000,12,0),0)-$I930</f>
        <v>0</v>
      </c>
      <c r="K930" s="3" t="s">
        <v>22</v>
      </c>
      <c r="L930" s="3" t="s">
        <v>23</v>
      </c>
      <c r="M930" s="3">
        <f>_xlfn.IFNA(VLOOKUP($A930,[2]stockregister!$A$2:$H$2000,8,0),0)</f>
        <v>674</v>
      </c>
      <c r="N930" s="3">
        <f>_xlfn.IFNA(VLOOKUP($A930,[2]stockregister!$A$2:$H$2000,8,0),0)-$M930</f>
        <v>0</v>
      </c>
      <c r="O930" s="3" t="s">
        <v>2187</v>
      </c>
      <c r="P930" s="3" t="s">
        <v>2187</v>
      </c>
      <c r="Q930" s="3" t="s">
        <v>497</v>
      </c>
      <c r="R930" s="3" t="s">
        <v>318</v>
      </c>
      <c r="S930" s="3" t="s">
        <v>684</v>
      </c>
    </row>
    <row r="931" spans="1:18">
      <c r="A931" s="3">
        <v>2224</v>
      </c>
      <c r="B931" s="3" t="b">
        <f>ISNUMBER(MATCH(A931,[1]stockregister!$A$2:$A$2000,0))</f>
        <v>1</v>
      </c>
      <c r="C931" s="3" t="s">
        <v>2188</v>
      </c>
      <c r="D931" s="3" t="str">
        <f>VLOOKUP($C931,[1]stockregister!$B$2:$B$2000,1,0)</f>
        <v>KHOR STRACTURED VODKA 1LTR</v>
      </c>
      <c r="E931" s="3" t="str">
        <f>IF(ISNA($D931),VLOOKUP($A931,[2]stockregister!$A$2:$B$2000,2,FALSE),"")</f>
        <v/>
      </c>
      <c r="F931" s="3" t="s">
        <v>21</v>
      </c>
      <c r="G931" s="3">
        <f>_xlfn.IFNA(VLOOKUP($A931,[3]stockregister!$A$2:$L$2000,11,0),0)</f>
        <v>1</v>
      </c>
      <c r="H931" s="3">
        <f>_xlfn.IFNA(VLOOKUP($A931,[3]stockregister!$A$2:$L$2000,11,0),0)-$G931</f>
        <v>0</v>
      </c>
      <c r="I931" s="3">
        <f>_xlfn.IFNA(VLOOKUP($A931,[3]stockregister!$A$2:$L$2000,12,0),0)</f>
        <v>2200</v>
      </c>
      <c r="J931" s="3">
        <f>_xlfn.IFNA(VLOOKUP($A931,[3]stockregister!$A$1:$M$2000,12,0),0)-$I931</f>
        <v>0</v>
      </c>
      <c r="K931" s="3" t="s">
        <v>22</v>
      </c>
      <c r="L931" s="3" t="s">
        <v>23</v>
      </c>
      <c r="M931" s="3">
        <f>_xlfn.IFNA(VLOOKUP($A931,[2]stockregister!$A$2:$H$2000,8,0),0)</f>
        <v>2300</v>
      </c>
      <c r="N931" s="3">
        <f>_xlfn.IFNA(VLOOKUP($A931,[2]stockregister!$A$2:$H$2000,8,0),0)-$M931</f>
        <v>0</v>
      </c>
      <c r="O931" s="3" t="s">
        <v>2189</v>
      </c>
      <c r="P931" s="3" t="s">
        <v>2189</v>
      </c>
      <c r="Q931" s="3" t="s">
        <v>2190</v>
      </c>
      <c r="R931" s="3" t="s">
        <v>318</v>
      </c>
    </row>
    <row r="932" spans="1:19">
      <c r="A932" s="3">
        <v>2278</v>
      </c>
      <c r="B932" s="3" t="b">
        <f>ISNUMBER(MATCH(A932,[1]stockregister!$A$2:$A$2000,0))</f>
        <v>1</v>
      </c>
      <c r="C932" s="3" t="s">
        <v>2191</v>
      </c>
      <c r="D932" s="3" t="str">
        <f>VLOOKUP($C932,[1]stockregister!$B$2:$B$2000,1,0)</f>
        <v>MR DOWELS 750ML</v>
      </c>
      <c r="E932" s="3" t="str">
        <f>IF(ISNA($D932),VLOOKUP($A932,[2]stockregister!$A$2:$B$2000,2,FALSE),"")</f>
        <v/>
      </c>
      <c r="F932" s="3" t="s">
        <v>21</v>
      </c>
      <c r="G932" s="3">
        <f>_xlfn.IFNA(VLOOKUP($A932,[3]stockregister!$A$2:$L$2000,11,0),0)</f>
        <v>1</v>
      </c>
      <c r="H932" s="3">
        <f>_xlfn.IFNA(VLOOKUP($A932,[3]stockregister!$A$2:$L$2000,11,0),0)-$G932</f>
        <v>0</v>
      </c>
      <c r="I932" s="3">
        <f>_xlfn.IFNA(VLOOKUP($A932,[3]stockregister!$A$2:$L$2000,12,0),0)</f>
        <v>700</v>
      </c>
      <c r="J932" s="3">
        <f>_xlfn.IFNA(VLOOKUP($A932,[3]stockregister!$A$1:$M$2000,12,0),0)-$I932</f>
        <v>0</v>
      </c>
      <c r="K932" s="3" t="s">
        <v>22</v>
      </c>
      <c r="L932" s="3" t="s">
        <v>23</v>
      </c>
      <c r="M932" s="3">
        <f>_xlfn.IFNA(VLOOKUP($A932,[2]stockregister!$A$2:$H$2000,8,0),0)</f>
        <v>800</v>
      </c>
      <c r="N932" s="3">
        <f>_xlfn.IFNA(VLOOKUP($A932,[2]stockregister!$A$2:$H$2000,8,0),0)-$M932</f>
        <v>0</v>
      </c>
      <c r="O932" s="3" t="s">
        <v>2192</v>
      </c>
      <c r="P932" s="3" t="s">
        <v>2192</v>
      </c>
      <c r="Q932" s="3" t="s">
        <v>2193</v>
      </c>
      <c r="R932" s="3" t="s">
        <v>113</v>
      </c>
      <c r="S932" s="3" t="s">
        <v>114</v>
      </c>
    </row>
    <row r="933" spans="1:19">
      <c r="A933" s="3">
        <v>2215</v>
      </c>
      <c r="B933" s="3" t="b">
        <f>ISNUMBER(MATCH(A933,[1]stockregister!$A$2:$A$2000,0))</f>
        <v>1</v>
      </c>
      <c r="C933" s="3" t="s">
        <v>2194</v>
      </c>
      <c r="D933" s="3" t="str">
        <f>VLOOKUP($C933,[1]stockregister!$B$2:$B$2000,1,0)</f>
        <v>CLEN BACK CANADIAN 750ML</v>
      </c>
      <c r="E933" s="3" t="str">
        <f>IF(ISNA($D933),VLOOKUP($A933,[2]stockregister!$A$2:$B$2000,2,FALSE),"")</f>
        <v/>
      </c>
      <c r="F933" s="3" t="s">
        <v>21</v>
      </c>
      <c r="G933" s="3">
        <f>_xlfn.IFNA(VLOOKUP($A933,[3]stockregister!$A$2:$L$2000,11,0),0)</f>
        <v>1</v>
      </c>
      <c r="H933" s="3">
        <f>_xlfn.IFNA(VLOOKUP($A933,[3]stockregister!$A$2:$L$2000,11,0),0)-$G933</f>
        <v>0</v>
      </c>
      <c r="I933" s="3">
        <f>_xlfn.IFNA(VLOOKUP($A933,[3]stockregister!$A$2:$L$2000,12,0),0)</f>
        <v>1500</v>
      </c>
      <c r="J933" s="3">
        <f>_xlfn.IFNA(VLOOKUP($A933,[3]stockregister!$A$1:$M$2000,12,0),0)-$I933</f>
        <v>0</v>
      </c>
      <c r="K933" s="3" t="s">
        <v>22</v>
      </c>
      <c r="L933" s="3" t="s">
        <v>23</v>
      </c>
      <c r="M933" s="3">
        <f>_xlfn.IFNA(VLOOKUP($A933,[2]stockregister!$A$2:$H$2000,8,0),0)</f>
        <v>1600</v>
      </c>
      <c r="N933" s="3">
        <f>_xlfn.IFNA(VLOOKUP($A933,[2]stockregister!$A$2:$H$2000,8,0),0)-$M933</f>
        <v>0</v>
      </c>
      <c r="O933" s="3" t="s">
        <v>2195</v>
      </c>
      <c r="P933" s="3" t="s">
        <v>2195</v>
      </c>
      <c r="Q933" s="3" t="s">
        <v>2196</v>
      </c>
      <c r="R933" s="3" t="s">
        <v>113</v>
      </c>
      <c r="S933" s="3" t="s">
        <v>114</v>
      </c>
    </row>
    <row r="934" spans="1:19">
      <c r="A934" s="3">
        <v>416</v>
      </c>
      <c r="B934" s="3" t="b">
        <f>ISNUMBER(MATCH(A934,[1]stockregister!$A$2:$A$2000,0))</f>
        <v>1</v>
      </c>
      <c r="C934" s="3" t="s">
        <v>2197</v>
      </c>
      <c r="D934" s="3" t="str">
        <f>VLOOKUP($C934,[1]stockregister!$B$2:$B$2000,1,0)</f>
        <v>CATTOS BLENDED WHISKY 1ltr</v>
      </c>
      <c r="E934" s="3" t="str">
        <f>IF(ISNA($D934),VLOOKUP($A934,[2]stockregister!$A$2:$B$2000,2,FALSE),"")</f>
        <v/>
      </c>
      <c r="F934" s="3" t="s">
        <v>21</v>
      </c>
      <c r="G934" s="3">
        <f>_xlfn.IFNA(VLOOKUP($A934,[3]stockregister!$A$2:$L$2000,11,0),0)</f>
        <v>1</v>
      </c>
      <c r="H934" s="3">
        <f>_xlfn.IFNA(VLOOKUP($A934,[3]stockregister!$A$2:$L$2000,11,0),0)-$G934</f>
        <v>0</v>
      </c>
      <c r="I934" s="3">
        <f>_xlfn.IFNA(VLOOKUP($A934,[3]stockregister!$A$2:$L$2000,12,0),0)</f>
        <v>1400</v>
      </c>
      <c r="J934" s="3">
        <f>_xlfn.IFNA(VLOOKUP($A934,[3]stockregister!$A$1:$M$2000,12,0),0)-$I934</f>
        <v>0</v>
      </c>
      <c r="K934" s="3" t="s">
        <v>22</v>
      </c>
      <c r="L934" s="3" t="s">
        <v>23</v>
      </c>
      <c r="M934" s="3">
        <f>_xlfn.IFNA(VLOOKUP($A934,[2]stockregister!$A$2:$H$2000,8,0),0)</f>
        <v>1600</v>
      </c>
      <c r="N934" s="3">
        <f>_xlfn.IFNA(VLOOKUP($A934,[2]stockregister!$A$2:$H$2000,8,0),0)-$M934</f>
        <v>0</v>
      </c>
      <c r="O934" s="3" t="s">
        <v>2198</v>
      </c>
      <c r="P934" s="3" t="s">
        <v>2198</v>
      </c>
      <c r="Q934" s="3" t="s">
        <v>2199</v>
      </c>
      <c r="R934" s="3" t="s">
        <v>92</v>
      </c>
      <c r="S934" s="3" t="s">
        <v>114</v>
      </c>
    </row>
    <row r="935" spans="1:19">
      <c r="A935" s="3">
        <v>2383</v>
      </c>
      <c r="B935" s="3" t="b">
        <f>ISNUMBER(MATCH(A935,[1]stockregister!$A$2:$A$2000,0))</f>
        <v>1</v>
      </c>
      <c r="C935" s="3" t="s">
        <v>2200</v>
      </c>
      <c r="D935" s="3" t="str">
        <f>VLOOKUP($C935,[1]stockregister!$B$2:$B$2000,1,0)</f>
        <v>OLD PULLTENEY WHISKY 1LTR</v>
      </c>
      <c r="E935" s="3" t="str">
        <f>IF(ISNA($D935),VLOOKUP($A935,[2]stockregister!$A$2:$B$2000,2,FALSE),"")</f>
        <v/>
      </c>
      <c r="F935" s="3" t="s">
        <v>21</v>
      </c>
      <c r="G935" s="3">
        <f>_xlfn.IFNA(VLOOKUP($A935,[3]stockregister!$A$2:$L$2000,11,0),0)</f>
        <v>1</v>
      </c>
      <c r="H935" s="3">
        <f>_xlfn.IFNA(VLOOKUP($A935,[3]stockregister!$A$2:$L$2000,11,0),0)-$G935</f>
        <v>0</v>
      </c>
      <c r="I935" s="3">
        <f>_xlfn.IFNA(VLOOKUP($A935,[3]stockregister!$A$2:$L$2000,12,0),0)</f>
        <v>8500</v>
      </c>
      <c r="J935" s="3">
        <f>_xlfn.IFNA(VLOOKUP($A935,[3]stockregister!$A$1:$M$2000,12,0),0)-$I935</f>
        <v>0</v>
      </c>
      <c r="K935" s="3" t="s">
        <v>22</v>
      </c>
      <c r="L935" s="3" t="s">
        <v>23</v>
      </c>
      <c r="M935" s="3">
        <f>_xlfn.IFNA(VLOOKUP($A935,[2]stockregister!$A$2:$H$2000,8,0),0)</f>
        <v>9000</v>
      </c>
      <c r="N935" s="3">
        <f>_xlfn.IFNA(VLOOKUP($A935,[2]stockregister!$A$2:$H$2000,8,0),0)-$M935</f>
        <v>0</v>
      </c>
      <c r="O935" s="3" t="s">
        <v>2201</v>
      </c>
      <c r="P935" s="3" t="s">
        <v>2201</v>
      </c>
      <c r="Q935" s="3" t="s">
        <v>2202</v>
      </c>
      <c r="R935" s="3" t="s">
        <v>113</v>
      </c>
      <c r="S935" s="3" t="s">
        <v>114</v>
      </c>
    </row>
    <row r="936" spans="1:19">
      <c r="A936" s="3">
        <v>2425</v>
      </c>
      <c r="B936" s="3" t="b">
        <f>ISNUMBER(MATCH(A936,[1]stockregister!$A$2:$A$2000,0))</f>
        <v>1</v>
      </c>
      <c r="C936" s="3" t="s">
        <v>2203</v>
      </c>
      <c r="D936" s="3" t="str">
        <f>VLOOKUP($C936,[1]stockregister!$B$2:$B$2000,1,0)</f>
        <v>JOHN BARR BLACK WHISKY 1LTR</v>
      </c>
      <c r="E936" s="3" t="str">
        <f>IF(ISNA($D936),VLOOKUP($A936,[2]stockregister!$A$2:$B$2000,2,FALSE),"")</f>
        <v/>
      </c>
      <c r="F936" s="3" t="s">
        <v>21</v>
      </c>
      <c r="G936" s="3">
        <f>_xlfn.IFNA(VLOOKUP($A936,[3]stockregister!$A$2:$L$2000,11,0),0)</f>
        <v>0</v>
      </c>
      <c r="H936" s="3">
        <f>_xlfn.IFNA(VLOOKUP($A936,[3]stockregister!$A$2:$L$2000,11,0),0)-$G936</f>
        <v>0</v>
      </c>
      <c r="I936" s="3">
        <f>_xlfn.IFNA(VLOOKUP($A936,[3]stockregister!$A$2:$L$2000,12,0),0)</f>
        <v>1700</v>
      </c>
      <c r="J936" s="3">
        <f>_xlfn.IFNA(VLOOKUP($A936,[3]stockregister!$A$1:$M$2000,12,0),0)-$I936</f>
        <v>0</v>
      </c>
      <c r="K936" s="3" t="s">
        <v>22</v>
      </c>
      <c r="L936" s="3" t="s">
        <v>23</v>
      </c>
      <c r="M936" s="3">
        <f>_xlfn.IFNA(VLOOKUP($A936,[2]stockregister!$A$2:$H$2000,8,0),0)</f>
        <v>1750</v>
      </c>
      <c r="N936" s="3">
        <f>_xlfn.IFNA(VLOOKUP($A936,[2]stockregister!$A$2:$H$2000,8,0),0)-$M936</f>
        <v>0</v>
      </c>
      <c r="O936" s="3" t="s">
        <v>2204</v>
      </c>
      <c r="P936" s="3" t="s">
        <v>2204</v>
      </c>
      <c r="Q936" s="3" t="s">
        <v>2205</v>
      </c>
      <c r="R936" s="3" t="s">
        <v>92</v>
      </c>
      <c r="S936" s="3" t="s">
        <v>134</v>
      </c>
    </row>
    <row r="937" spans="1:19">
      <c r="A937" s="3">
        <v>847</v>
      </c>
      <c r="B937" s="3" t="b">
        <f>ISNUMBER(MATCH(A937,[1]stockregister!$A$2:$A$2000,0))</f>
        <v>1</v>
      </c>
      <c r="C937" s="3" t="s">
        <v>2206</v>
      </c>
      <c r="D937" s="3" t="str">
        <f>VLOOKUP($C937,[1]stockregister!$B$2:$B$2000,1,0)</f>
        <v>GLENFIDDICH GRAND CORONNE 26YRS 700ML</v>
      </c>
      <c r="E937" s="3" t="str">
        <f>IF(ISNA($D937),VLOOKUP($A937,[2]stockregister!$A$2:$B$2000,2,FALSE),"")</f>
        <v/>
      </c>
      <c r="F937" s="3" t="s">
        <v>21</v>
      </c>
      <c r="G937" s="3">
        <f>_xlfn.IFNA(VLOOKUP($A937,[3]stockregister!$A$2:$L$2000,11,0),0)</f>
        <v>1</v>
      </c>
      <c r="H937" s="3">
        <f>_xlfn.IFNA(VLOOKUP($A937,[3]stockregister!$A$2:$L$2000,11,0),0)-$G937</f>
        <v>0</v>
      </c>
      <c r="I937" s="3">
        <f>_xlfn.IFNA(VLOOKUP($A937,[3]stockregister!$A$2:$L$2000,12,0),0)</f>
        <v>69000</v>
      </c>
      <c r="J937" s="3">
        <f>_xlfn.IFNA(VLOOKUP($A937,[3]stockregister!$A$1:$M$2000,12,0),0)-$I937</f>
        <v>0</v>
      </c>
      <c r="K937" s="3" t="s">
        <v>22</v>
      </c>
      <c r="L937" s="3" t="s">
        <v>23</v>
      </c>
      <c r="M937" s="3">
        <f>_xlfn.IFNA(VLOOKUP($A937,[2]stockregister!$A$2:$H$2000,8,0),0)</f>
        <v>75000</v>
      </c>
      <c r="N937" s="3">
        <f>_xlfn.IFNA(VLOOKUP($A937,[2]stockregister!$A$2:$H$2000,8,0),0)-$M937</f>
        <v>0</v>
      </c>
      <c r="O937" s="3" t="s">
        <v>2207</v>
      </c>
      <c r="P937" s="3" t="s">
        <v>2207</v>
      </c>
      <c r="Q937" s="3" t="s">
        <v>365</v>
      </c>
      <c r="R937" s="3" t="s">
        <v>92</v>
      </c>
      <c r="S937" s="3" t="s">
        <v>134</v>
      </c>
    </row>
    <row r="938" spans="1:20">
      <c r="A938" s="3">
        <v>860</v>
      </c>
      <c r="B938" s="3" t="b">
        <f>ISNUMBER(MATCH(A938,[1]stockregister!$A$2:$A$2000,0))</f>
        <v>1</v>
      </c>
      <c r="C938" s="3" t="s">
        <v>2208</v>
      </c>
      <c r="D938" s="3" t="str">
        <f>VLOOKUP($C938,[1]stockregister!$B$2:$B$2000,1,0)</f>
        <v>GLENFIDICH 12YRS WHISKY 700ML</v>
      </c>
      <c r="E938" s="3" t="str">
        <f>IF(ISNA($D938),VLOOKUP($A938,[2]stockregister!$A$2:$B$2000,2,FALSE),"")</f>
        <v/>
      </c>
      <c r="F938" s="3" t="s">
        <v>21</v>
      </c>
      <c r="G938" s="3">
        <f>_xlfn.IFNA(VLOOKUP($A938,[3]stockregister!$A$2:$L$2000,11,0),0)</f>
        <v>1</v>
      </c>
      <c r="H938" s="3">
        <f>_xlfn.IFNA(VLOOKUP($A938,[3]stockregister!$A$2:$L$2000,11,0),0)-$G938</f>
        <v>0</v>
      </c>
      <c r="I938" s="3">
        <f>_xlfn.IFNA(VLOOKUP($A938,[3]stockregister!$A$2:$L$2000,12,0),0)</f>
        <v>3470</v>
      </c>
      <c r="J938" s="3">
        <f>_xlfn.IFNA(VLOOKUP($A938,[3]stockregister!$A$1:$M$2000,12,0),0)-$I938</f>
        <v>0</v>
      </c>
      <c r="K938" s="3" t="s">
        <v>22</v>
      </c>
      <c r="L938" s="3" t="s">
        <v>23</v>
      </c>
      <c r="M938" s="3">
        <f>_xlfn.IFNA(VLOOKUP($A938,[2]stockregister!$A$2:$H$2000,8,0),0)</f>
        <v>6200</v>
      </c>
      <c r="N938" s="3">
        <f>_xlfn.IFNA(VLOOKUP($A938,[2]stockregister!$A$2:$H$2000,8,0),0)-$M938</f>
        <v>0</v>
      </c>
      <c r="O938" s="3" t="s">
        <v>2209</v>
      </c>
      <c r="P938" s="3" t="s">
        <v>2209</v>
      </c>
      <c r="Q938" s="3" t="s">
        <v>365</v>
      </c>
      <c r="R938" s="3" t="s">
        <v>92</v>
      </c>
      <c r="S938" s="3" t="s">
        <v>134</v>
      </c>
      <c r="T938" s="3">
        <v>12</v>
      </c>
    </row>
    <row r="939" spans="1:19">
      <c r="A939" s="3">
        <v>1117</v>
      </c>
      <c r="B939" s="3" t="b">
        <f>ISNUMBER(MATCH(A939,[1]stockregister!$A$2:$A$2000,0))</f>
        <v>1</v>
      </c>
      <c r="C939" s="3" t="s">
        <v>431</v>
      </c>
      <c r="D939" s="3" t="str">
        <f>VLOOKUP($C939,[1]stockregister!$B$2:$B$2000,1,0)</f>
        <v>JOHNNIE WALKER RED LABEL  1LTR</v>
      </c>
      <c r="E939" s="3" t="str">
        <f>IF(ISNA($D939),VLOOKUP($A939,[2]stockregister!$A$2:$B$2000,2,FALSE),"")</f>
        <v/>
      </c>
      <c r="F939" s="3" t="s">
        <v>21</v>
      </c>
      <c r="G939" s="3">
        <f>_xlfn.IFNA(VLOOKUP($A939,[3]stockregister!$A$2:$L$2000,11,0),0)</f>
        <v>1</v>
      </c>
      <c r="H939" s="3">
        <f>_xlfn.IFNA(VLOOKUP($A939,[3]stockregister!$A$2:$L$2000,11,0),0)-$G939</f>
        <v>0</v>
      </c>
      <c r="I939" s="3">
        <f>_xlfn.IFNA(VLOOKUP($A939,[3]stockregister!$A$2:$L$2000,12,0),0)</f>
        <v>1600</v>
      </c>
      <c r="J939" s="3">
        <f>_xlfn.IFNA(VLOOKUP($A939,[3]stockregister!$A$1:$M$2000,12,0),0)-$I939</f>
        <v>0</v>
      </c>
      <c r="K939" s="3" t="s">
        <v>22</v>
      </c>
      <c r="L939" s="3" t="s">
        <v>23</v>
      </c>
      <c r="M939" s="3">
        <f>_xlfn.IFNA(VLOOKUP($A939,[2]stockregister!$A$2:$H$2000,8,0),0)</f>
        <v>2100</v>
      </c>
      <c r="N939" s="3">
        <f>_xlfn.IFNA(VLOOKUP($A939,[2]stockregister!$A$2:$H$2000,8,0),0)-$M939</f>
        <v>0</v>
      </c>
      <c r="O939" s="3" t="s">
        <v>2210</v>
      </c>
      <c r="P939" s="3" t="s">
        <v>2210</v>
      </c>
      <c r="Q939" s="3" t="s">
        <v>133</v>
      </c>
      <c r="R939" s="3" t="s">
        <v>92</v>
      </c>
      <c r="S939" s="3" t="s">
        <v>134</v>
      </c>
    </row>
    <row r="940" spans="1:20">
      <c r="A940" s="3">
        <v>2282</v>
      </c>
      <c r="B940" s="3" t="b">
        <f>ISNUMBER(MATCH(A940,[1]stockregister!$A$2:$A$2000,0))</f>
        <v>1</v>
      </c>
      <c r="C940" s="3" t="s">
        <v>2211</v>
      </c>
      <c r="D940" s="3" t="str">
        <f>VLOOKUP($C940,[1]stockregister!$B$2:$B$2000,1,0)</f>
        <v>SINGLETON 12YRS 1LTR</v>
      </c>
      <c r="E940" s="3" t="str">
        <f>IF(ISNA($D940),VLOOKUP($A940,[2]stockregister!$A$2:$B$2000,2,FALSE),"")</f>
        <v/>
      </c>
      <c r="F940" s="3" t="s">
        <v>21</v>
      </c>
      <c r="G940" s="3">
        <f>_xlfn.IFNA(VLOOKUP($A940,[3]stockregister!$A$2:$L$2000,11,0),0)</f>
        <v>1</v>
      </c>
      <c r="H940" s="3">
        <f>_xlfn.IFNA(VLOOKUP($A940,[3]stockregister!$A$2:$L$2000,11,0),0)-$G940</f>
        <v>0</v>
      </c>
      <c r="I940" s="3">
        <f>_xlfn.IFNA(VLOOKUP($A940,[3]stockregister!$A$2:$L$2000,12,0),0)</f>
        <v>6400</v>
      </c>
      <c r="J940" s="3">
        <f>_xlfn.IFNA(VLOOKUP($A940,[3]stockregister!$A$1:$M$2000,12,0),0)-$I940</f>
        <v>0</v>
      </c>
      <c r="K940" s="3" t="s">
        <v>22</v>
      </c>
      <c r="L940" s="3" t="s">
        <v>23</v>
      </c>
      <c r="M940" s="3">
        <f>_xlfn.IFNA(VLOOKUP($A940,[2]stockregister!$A$2:$H$2000,8,0),0)</f>
        <v>6500</v>
      </c>
      <c r="N940" s="3">
        <f>_xlfn.IFNA(VLOOKUP($A940,[2]stockregister!$A$2:$H$2000,8,0),0)-$M940</f>
        <v>0</v>
      </c>
      <c r="O940" s="3" t="s">
        <v>2212</v>
      </c>
      <c r="P940" s="3" t="s">
        <v>2212</v>
      </c>
      <c r="Q940" s="3" t="s">
        <v>2213</v>
      </c>
      <c r="R940" s="3" t="s">
        <v>92</v>
      </c>
      <c r="S940" s="3" t="s">
        <v>284</v>
      </c>
      <c r="T940" s="3">
        <v>12</v>
      </c>
    </row>
    <row r="941" spans="1:19">
      <c r="A941" s="3">
        <v>2314</v>
      </c>
      <c r="B941" s="3" t="b">
        <f>ISNUMBER(MATCH(A941,[1]stockregister!$A$2:$A$2000,0))</f>
        <v>1</v>
      </c>
      <c r="C941" s="3" t="s">
        <v>2214</v>
      </c>
      <c r="D941" s="3" t="str">
        <f>VLOOKUP($C941,[1]stockregister!$B$2:$B$2000,1,0)</f>
        <v>PERRIER JOUET BLANC 750ML</v>
      </c>
      <c r="E941" s="3" t="str">
        <f>IF(ISNA($D941),VLOOKUP($A941,[2]stockregister!$A$2:$B$2000,2,FALSE),"")</f>
        <v/>
      </c>
      <c r="F941" s="3" t="s">
        <v>21</v>
      </c>
      <c r="G941" s="3">
        <f>_xlfn.IFNA(VLOOKUP($A941,[3]stockregister!$A$2:$L$2000,11,0),0)</f>
        <v>1</v>
      </c>
      <c r="H941" s="3">
        <f>_xlfn.IFNA(VLOOKUP($A941,[3]stockregister!$A$2:$L$2000,11,0),0)-$G941</f>
        <v>0</v>
      </c>
      <c r="I941" s="3">
        <f>_xlfn.IFNA(VLOOKUP($A941,[3]stockregister!$A$2:$L$2000,12,0),0)</f>
        <v>1350</v>
      </c>
      <c r="J941" s="3">
        <f>_xlfn.IFNA(VLOOKUP($A941,[3]stockregister!$A$1:$M$2000,12,0),0)-$I941</f>
        <v>0</v>
      </c>
      <c r="K941" s="3" t="s">
        <v>22</v>
      </c>
      <c r="L941" s="3" t="s">
        <v>23</v>
      </c>
      <c r="M941" s="3">
        <f>_xlfn.IFNA(VLOOKUP($A941,[2]stockregister!$A$2:$H$2000,8,0),0)</f>
        <v>1400</v>
      </c>
      <c r="N941" s="3">
        <f>_xlfn.IFNA(VLOOKUP($A941,[2]stockregister!$A$2:$H$2000,8,0),0)-$M941</f>
        <v>0</v>
      </c>
      <c r="O941" s="3" t="s">
        <v>2215</v>
      </c>
      <c r="P941" s="3" t="s">
        <v>2215</v>
      </c>
      <c r="Q941" s="3" t="s">
        <v>2216</v>
      </c>
      <c r="R941" s="3" t="s">
        <v>68</v>
      </c>
      <c r="S941" s="3" t="s">
        <v>1135</v>
      </c>
    </row>
    <row r="942" spans="1:19">
      <c r="A942" s="3">
        <v>2389</v>
      </c>
      <c r="B942" s="3" t="b">
        <f>ISNUMBER(MATCH(A942,[1]stockregister!$A$2:$A$2000,0))</f>
        <v>1</v>
      </c>
      <c r="C942" s="3" t="s">
        <v>2217</v>
      </c>
      <c r="D942" s="3" t="str">
        <f>VLOOKUP($C942,[1]stockregister!$B$2:$B$2000,1,0)</f>
        <v>ELECTIO CAB SAUV 750ML</v>
      </c>
      <c r="E942" s="3" t="str">
        <f>IF(ISNA($D942),VLOOKUP($A942,[2]stockregister!$A$2:$B$2000,2,FALSE),"")</f>
        <v/>
      </c>
      <c r="F942" s="3" t="s">
        <v>21</v>
      </c>
      <c r="G942" s="3">
        <f>_xlfn.IFNA(VLOOKUP($A942,[3]stockregister!$A$2:$L$2000,11,0),0)</f>
        <v>1</v>
      </c>
      <c r="H942" s="3">
        <f>_xlfn.IFNA(VLOOKUP($A942,[3]stockregister!$A$2:$L$2000,11,0),0)-$G942</f>
        <v>0</v>
      </c>
      <c r="I942" s="3">
        <f>_xlfn.IFNA(VLOOKUP($A942,[3]stockregister!$A$2:$L$2000,12,0),0)</f>
        <v>1000</v>
      </c>
      <c r="J942" s="3">
        <f>_xlfn.IFNA(VLOOKUP($A942,[3]stockregister!$A$1:$M$2000,12,0),0)-$I942</f>
        <v>0</v>
      </c>
      <c r="K942" s="3" t="s">
        <v>22</v>
      </c>
      <c r="L942" s="3" t="s">
        <v>23</v>
      </c>
      <c r="M942" s="3">
        <f>_xlfn.IFNA(VLOOKUP($A942,[2]stockregister!$A$2:$H$2000,8,0),0)</f>
        <v>1100</v>
      </c>
      <c r="N942" s="3">
        <f>_xlfn.IFNA(VLOOKUP($A942,[2]stockregister!$A$2:$H$2000,8,0),0)-$M942</f>
        <v>0</v>
      </c>
      <c r="O942" s="3" t="s">
        <v>2218</v>
      </c>
      <c r="P942" s="3" t="s">
        <v>2218</v>
      </c>
      <c r="Q942" s="3" t="s">
        <v>2114</v>
      </c>
      <c r="R942" s="3" t="s">
        <v>537</v>
      </c>
      <c r="S942" s="3" t="s">
        <v>206</v>
      </c>
    </row>
    <row r="943" spans="1:19">
      <c r="A943" s="3">
        <v>2057</v>
      </c>
      <c r="B943" s="3" t="b">
        <f>ISNUMBER(MATCH(A943,[1]stockregister!$A$2:$A$2000,0))</f>
        <v>1</v>
      </c>
      <c r="C943" s="3" t="s">
        <v>2219</v>
      </c>
      <c r="D943" s="3" t="str">
        <f>VLOOKUP($C943,[1]stockregister!$B$2:$B$2000,1,0)</f>
        <v>VEUVE CLICQUOT- ROSE 750ML</v>
      </c>
      <c r="E943" s="3" t="str">
        <f>IF(ISNA($D943),VLOOKUP($A943,[2]stockregister!$A$2:$B$2000,2,FALSE),"")</f>
        <v/>
      </c>
      <c r="F943" s="3" t="s">
        <v>21</v>
      </c>
      <c r="G943" s="3">
        <f>_xlfn.IFNA(VLOOKUP($A943,[3]stockregister!$A$2:$L$2000,11,0),0)</f>
        <v>1</v>
      </c>
      <c r="H943" s="3">
        <f>_xlfn.IFNA(VLOOKUP($A943,[3]stockregister!$A$2:$L$2000,11,0),0)-$G943</f>
        <v>0</v>
      </c>
      <c r="I943" s="3">
        <f>_xlfn.IFNA(VLOOKUP($A943,[3]stockregister!$A$2:$L$2000,12,0),0)</f>
        <v>11500</v>
      </c>
      <c r="J943" s="3">
        <f>_xlfn.IFNA(VLOOKUP($A943,[3]stockregister!$A$1:$M$2000,12,0),0)-$I943</f>
        <v>0</v>
      </c>
      <c r="K943" s="3" t="s">
        <v>22</v>
      </c>
      <c r="L943" s="3" t="s">
        <v>23</v>
      </c>
      <c r="M943" s="3">
        <f>_xlfn.IFNA(VLOOKUP($A943,[2]stockregister!$A$2:$H$2000,8,0),0)</f>
        <v>12500</v>
      </c>
      <c r="N943" s="3">
        <f>_xlfn.IFNA(VLOOKUP($A943,[2]stockregister!$A$2:$H$2000,8,0),0)-$M943</f>
        <v>0</v>
      </c>
      <c r="O943" s="3" t="s">
        <v>2220</v>
      </c>
      <c r="P943" s="3" t="s">
        <v>2220</v>
      </c>
      <c r="Q943" s="3" t="s">
        <v>1342</v>
      </c>
      <c r="R943" s="3" t="s">
        <v>68</v>
      </c>
      <c r="S943" s="3" t="s">
        <v>750</v>
      </c>
    </row>
    <row r="944" spans="1:19">
      <c r="A944" s="3">
        <v>1911</v>
      </c>
      <c r="B944" s="3" t="b">
        <f>ISNUMBER(MATCH(A944,[1]stockregister!$A$2:$A$2000,0))</f>
        <v>1</v>
      </c>
      <c r="C944" s="3" t="s">
        <v>2221</v>
      </c>
      <c r="D944" s="3" t="str">
        <f>VLOOKUP($C944,[1]stockregister!$B$2:$B$2000,1,0)</f>
        <v>TAITTINGER BRUT RESERVE 750ML</v>
      </c>
      <c r="E944" s="3" t="str">
        <f>IF(ISNA($D944),VLOOKUP($A944,[2]stockregister!$A$2:$B$2000,2,FALSE),"")</f>
        <v/>
      </c>
      <c r="F944" s="3" t="s">
        <v>21</v>
      </c>
      <c r="G944" s="3">
        <f>_xlfn.IFNA(VLOOKUP($A944,[3]stockregister!$A$2:$L$2000,11,0),0)</f>
        <v>1</v>
      </c>
      <c r="H944" s="3">
        <f>_xlfn.IFNA(VLOOKUP($A944,[3]stockregister!$A$2:$L$2000,11,0),0)-$G944</f>
        <v>0</v>
      </c>
      <c r="I944" s="3">
        <f>_xlfn.IFNA(VLOOKUP($A944,[3]stockregister!$A$2:$L$2000,12,0),0)</f>
        <v>6900</v>
      </c>
      <c r="J944" s="3">
        <f>_xlfn.IFNA(VLOOKUP($A944,[3]stockregister!$A$1:$M$2000,12,0),0)-$I944</f>
        <v>0</v>
      </c>
      <c r="K944" s="3" t="s">
        <v>22</v>
      </c>
      <c r="L944" s="3" t="s">
        <v>23</v>
      </c>
      <c r="M944" s="3">
        <f>_xlfn.IFNA(VLOOKUP($A944,[2]stockregister!$A$2:$H$2000,8,0),0)</f>
        <v>7500</v>
      </c>
      <c r="N944" s="3">
        <f>_xlfn.IFNA(VLOOKUP($A944,[2]stockregister!$A$2:$H$2000,8,0),0)-$M944</f>
        <v>0</v>
      </c>
      <c r="O944" s="3" t="s">
        <v>2222</v>
      </c>
      <c r="P944" s="3" t="s">
        <v>2222</v>
      </c>
      <c r="Q944" s="3" t="s">
        <v>2223</v>
      </c>
      <c r="R944" s="3" t="s">
        <v>68</v>
      </c>
      <c r="S944" s="3" t="s">
        <v>750</v>
      </c>
    </row>
    <row r="945" spans="1:19">
      <c r="A945" s="3">
        <v>6</v>
      </c>
      <c r="B945" s="3" t="b">
        <f>ISNUMBER(MATCH(A945,[1]stockregister!$A$2:$A$2000,0))</f>
        <v>1</v>
      </c>
      <c r="C945" s="3" t="s">
        <v>2224</v>
      </c>
      <c r="D945" s="3" t="str">
        <f>VLOOKUP($C945,[1]stockregister!$B$2:$B$2000,1,0)</f>
        <v>18 CHARDONNAY 750ML</v>
      </c>
      <c r="E945" s="3" t="str">
        <f>IF(ISNA($D945),VLOOKUP($A945,[2]stockregister!$A$2:$B$2000,2,FALSE),"")</f>
        <v/>
      </c>
      <c r="F945" s="3" t="s">
        <v>21</v>
      </c>
      <c r="G945" s="3">
        <f>_xlfn.IFNA(VLOOKUP($A945,[3]stockregister!$A$2:$L$2000,11,0),0)</f>
        <v>1</v>
      </c>
      <c r="H945" s="3">
        <f>_xlfn.IFNA(VLOOKUP($A945,[3]stockregister!$A$2:$L$2000,11,0),0)-$G945</f>
        <v>0</v>
      </c>
      <c r="I945" s="3">
        <f>_xlfn.IFNA(VLOOKUP($A945,[3]stockregister!$A$2:$L$2000,12,0),0)</f>
        <v>1656</v>
      </c>
      <c r="J945" s="3">
        <f>_xlfn.IFNA(VLOOKUP($A945,[3]stockregister!$A$1:$M$2000,12,0),0)-$I945</f>
        <v>0</v>
      </c>
      <c r="K945" s="3" t="s">
        <v>22</v>
      </c>
      <c r="L945" s="3" t="s">
        <v>23</v>
      </c>
      <c r="M945" s="3">
        <f>_xlfn.IFNA(VLOOKUP($A945,[2]stockregister!$A$2:$H$2000,8,0),0)</f>
        <v>1800</v>
      </c>
      <c r="N945" s="3">
        <f>_xlfn.IFNA(VLOOKUP($A945,[2]stockregister!$A$2:$H$2000,8,0),0)-$M945</f>
        <v>0</v>
      </c>
      <c r="O945" s="3" t="s">
        <v>2225</v>
      </c>
      <c r="P945" s="3" t="s">
        <v>2225</v>
      </c>
      <c r="Q945" s="3">
        <v>18</v>
      </c>
      <c r="R945" s="3" t="s">
        <v>68</v>
      </c>
      <c r="S945" s="3" t="s">
        <v>940</v>
      </c>
    </row>
    <row r="946" spans="1:19">
      <c r="A946" s="3">
        <v>655</v>
      </c>
      <c r="B946" s="3" t="b">
        <f>ISNUMBER(MATCH(A946,[1]stockregister!$A$2:$A$2000,0))</f>
        <v>1</v>
      </c>
      <c r="C946" s="3" t="s">
        <v>2226</v>
      </c>
      <c r="D946" s="3" t="str">
        <f>VLOOKUP($C946,[1]stockregister!$B$2:$B$2000,1,0)</f>
        <v>DURBANVILLE HILLS RESERVE CHARDONNAY 750ML</v>
      </c>
      <c r="E946" s="3" t="str">
        <f>IF(ISNA($D946),VLOOKUP($A946,[2]stockregister!$A$2:$B$2000,2,FALSE),"")</f>
        <v/>
      </c>
      <c r="F946" s="3" t="s">
        <v>21</v>
      </c>
      <c r="G946" s="3">
        <f>_xlfn.IFNA(VLOOKUP($A946,[3]stockregister!$A$2:$L$2000,11,0),0)</f>
        <v>1</v>
      </c>
      <c r="H946" s="3">
        <f>_xlfn.IFNA(VLOOKUP($A946,[3]stockregister!$A$2:$L$2000,11,0),0)-$G946</f>
        <v>0</v>
      </c>
      <c r="I946" s="3">
        <f>_xlfn.IFNA(VLOOKUP($A946,[3]stockregister!$A$2:$L$2000,12,0),0)</f>
        <v>828</v>
      </c>
      <c r="J946" s="3">
        <f>_xlfn.IFNA(VLOOKUP($A946,[3]stockregister!$A$1:$M$2000,12,0),0)-$I946</f>
        <v>0</v>
      </c>
      <c r="K946" s="3" t="s">
        <v>22</v>
      </c>
      <c r="L946" s="3" t="s">
        <v>23</v>
      </c>
      <c r="M946" s="3">
        <f>_xlfn.IFNA(VLOOKUP($A946,[2]stockregister!$A$2:$H$2000,8,0),0)</f>
        <v>900</v>
      </c>
      <c r="N946" s="3">
        <f>_xlfn.IFNA(VLOOKUP($A946,[2]stockregister!$A$2:$H$2000,8,0),0)-$M946</f>
        <v>0</v>
      </c>
      <c r="O946" s="3" t="s">
        <v>2227</v>
      </c>
      <c r="P946" s="3" t="s">
        <v>2227</v>
      </c>
      <c r="Q946" s="3" t="s">
        <v>2104</v>
      </c>
      <c r="R946" s="3" t="s">
        <v>68</v>
      </c>
      <c r="S946" s="3" t="s">
        <v>940</v>
      </c>
    </row>
    <row r="947" spans="1:19">
      <c r="A947" s="3">
        <v>2288</v>
      </c>
      <c r="B947" s="3" t="b">
        <f>ISNUMBER(MATCH(A947,[1]stockregister!$A$2:$A$2000,0))</f>
        <v>1</v>
      </c>
      <c r="C947" s="3" t="s">
        <v>2228</v>
      </c>
      <c r="D947" s="3" t="str">
        <f>VLOOKUP($C947,[1]stockregister!$B$2:$B$2000,1,0)</f>
        <v>TWIGA HILL CHENIN BLANC 700ML</v>
      </c>
      <c r="E947" s="3" t="str">
        <f>IF(ISNA($D947),VLOOKUP($A947,[2]stockregister!$A$2:$B$2000,2,FALSE),"")</f>
        <v/>
      </c>
      <c r="F947" s="3" t="s">
        <v>21</v>
      </c>
      <c r="G947" s="3">
        <f>_xlfn.IFNA(VLOOKUP($A947,[3]stockregister!$A$2:$L$2000,11,0),0)</f>
        <v>1</v>
      </c>
      <c r="H947" s="3">
        <f>_xlfn.IFNA(VLOOKUP($A947,[3]stockregister!$A$2:$L$2000,11,0),0)-$G947</f>
        <v>0</v>
      </c>
      <c r="I947" s="3">
        <f>_xlfn.IFNA(VLOOKUP($A947,[3]stockregister!$A$2:$L$2000,12,0),0)</f>
        <v>800</v>
      </c>
      <c r="J947" s="3">
        <f>_xlfn.IFNA(VLOOKUP($A947,[3]stockregister!$A$1:$M$2000,12,0),0)-$I947</f>
        <v>0</v>
      </c>
      <c r="K947" s="3" t="s">
        <v>22</v>
      </c>
      <c r="L947" s="3" t="s">
        <v>23</v>
      </c>
      <c r="M947" s="3">
        <f>_xlfn.IFNA(VLOOKUP($A947,[2]stockregister!$A$2:$H$2000,8,0),0)</f>
        <v>1000</v>
      </c>
      <c r="N947" s="3">
        <f>_xlfn.IFNA(VLOOKUP($A947,[2]stockregister!$A$2:$H$2000,8,0),0)-$M947</f>
        <v>0</v>
      </c>
      <c r="O947" s="3" t="s">
        <v>2229</v>
      </c>
      <c r="P947" s="3" t="s">
        <v>2229</v>
      </c>
      <c r="Q947" s="3" t="s">
        <v>2111</v>
      </c>
      <c r="R947" s="3" t="s">
        <v>68</v>
      </c>
      <c r="S947" s="3" t="s">
        <v>1303</v>
      </c>
    </row>
    <row r="948" spans="1:19">
      <c r="A948" s="3">
        <v>84</v>
      </c>
      <c r="B948" s="3" t="b">
        <f>ISNUMBER(MATCH(A948,[1]stockregister!$A$2:$A$2000,0))</f>
        <v>1</v>
      </c>
      <c r="C948" s="3" t="s">
        <v>2230</v>
      </c>
      <c r="D948" s="3" t="str">
        <f>VLOOKUP($C948,[1]stockregister!$B$2:$B$2000,1,0)</f>
        <v>AMANI BAY DRY ROSE 750ML</v>
      </c>
      <c r="E948" s="3" t="str">
        <f>IF(ISNA($D948),VLOOKUP($A948,[2]stockregister!$A$2:$B$2000,2,FALSE),"")</f>
        <v/>
      </c>
      <c r="F948" s="3" t="s">
        <v>21</v>
      </c>
      <c r="G948" s="3">
        <f>_xlfn.IFNA(VLOOKUP($A948,[3]stockregister!$A$2:$L$2000,11,0),0)</f>
        <v>1</v>
      </c>
      <c r="H948" s="3">
        <f>_xlfn.IFNA(VLOOKUP($A948,[3]stockregister!$A$2:$L$2000,11,0),0)-$G948</f>
        <v>0</v>
      </c>
      <c r="I948" s="3">
        <f>_xlfn.IFNA(VLOOKUP($A948,[3]stockregister!$A$2:$L$2000,12,0),0)</f>
        <v>690</v>
      </c>
      <c r="J948" s="3">
        <f>_xlfn.IFNA(VLOOKUP($A948,[3]stockregister!$A$1:$M$2000,12,0),0)-$I948</f>
        <v>0</v>
      </c>
      <c r="K948" s="3" t="s">
        <v>22</v>
      </c>
      <c r="L948" s="3" t="s">
        <v>23</v>
      </c>
      <c r="M948" s="3">
        <f>_xlfn.IFNA(VLOOKUP($A948,[2]stockregister!$A$2:$H$2000,8,0),0)</f>
        <v>750</v>
      </c>
      <c r="N948" s="3">
        <f>_xlfn.IFNA(VLOOKUP($A948,[2]stockregister!$A$2:$H$2000,8,0),0)-$M948</f>
        <v>0</v>
      </c>
      <c r="O948" s="3" t="s">
        <v>2231</v>
      </c>
      <c r="P948" s="3" t="s">
        <v>2231</v>
      </c>
      <c r="Q948" s="3" t="s">
        <v>2232</v>
      </c>
      <c r="R948" s="3" t="s">
        <v>68</v>
      </c>
      <c r="S948" s="3" t="s">
        <v>2233</v>
      </c>
    </row>
    <row r="949" spans="1:19">
      <c r="A949" s="3">
        <v>2315</v>
      </c>
      <c r="B949" s="3" t="b">
        <f>ISNUMBER(MATCH(A949,[1]stockregister!$A$2:$A$2000,0))</f>
        <v>1</v>
      </c>
      <c r="C949" s="3" t="s">
        <v>2234</v>
      </c>
      <c r="D949" s="3" t="str">
        <f>VLOOKUP($C949,[1]stockregister!$B$2:$B$2000,1,0)</f>
        <v>RUTINI MENDOZA 750ML</v>
      </c>
      <c r="E949" s="3" t="str">
        <f>IF(ISNA($D949),VLOOKUP($A949,[2]stockregister!$A$2:$B$2000,2,FALSE),"")</f>
        <v/>
      </c>
      <c r="F949" s="3" t="s">
        <v>21</v>
      </c>
      <c r="G949" s="3">
        <f>_xlfn.IFNA(VLOOKUP($A949,[3]stockregister!$A$2:$L$2000,11,0),0)</f>
        <v>1</v>
      </c>
      <c r="H949" s="3">
        <f>_xlfn.IFNA(VLOOKUP($A949,[3]stockregister!$A$2:$L$2000,11,0),0)-$G949</f>
        <v>0</v>
      </c>
      <c r="I949" s="3">
        <f>_xlfn.IFNA(VLOOKUP($A949,[3]stockregister!$A$2:$L$2000,12,0),0)</f>
        <v>2300</v>
      </c>
      <c r="J949" s="3">
        <f>_xlfn.IFNA(VLOOKUP($A949,[3]stockregister!$A$1:$M$2000,12,0),0)-$I949</f>
        <v>0</v>
      </c>
      <c r="K949" s="3" t="s">
        <v>22</v>
      </c>
      <c r="L949" s="3" t="s">
        <v>23</v>
      </c>
      <c r="M949" s="3">
        <f>_xlfn.IFNA(VLOOKUP($A949,[2]stockregister!$A$2:$H$2000,8,0),0)</f>
        <v>2500</v>
      </c>
      <c r="N949" s="3">
        <f>_xlfn.IFNA(VLOOKUP($A949,[2]stockregister!$A$2:$H$2000,8,0),0)-$M949</f>
        <v>0</v>
      </c>
      <c r="O949" s="3" t="s">
        <v>2235</v>
      </c>
      <c r="P949" s="3" t="s">
        <v>2235</v>
      </c>
      <c r="Q949" s="3" t="s">
        <v>2236</v>
      </c>
      <c r="R949" s="3" t="s">
        <v>68</v>
      </c>
      <c r="S949" s="3" t="s">
        <v>2237</v>
      </c>
    </row>
    <row r="950" spans="1:19">
      <c r="A950" s="3">
        <v>813</v>
      </c>
      <c r="B950" s="3" t="b">
        <f>ISNUMBER(MATCH(A950,[1]stockregister!$A$2:$A$2000,0))</f>
        <v>1</v>
      </c>
      <c r="C950" s="3" t="s">
        <v>2238</v>
      </c>
      <c r="D950" s="3" t="str">
        <f>VLOOKUP($C950,[1]stockregister!$B$2:$B$2000,1,0)</f>
        <v>GATONEGRO MERLOT 750ML</v>
      </c>
      <c r="E950" s="3" t="str">
        <f>IF(ISNA($D950),VLOOKUP($A950,[2]stockregister!$A$2:$B$2000,2,FALSE),"")</f>
        <v/>
      </c>
      <c r="F950" s="3" t="s">
        <v>21</v>
      </c>
      <c r="G950" s="3">
        <f>_xlfn.IFNA(VLOOKUP($A950,[3]stockregister!$A$2:$L$2000,11,0),0)</f>
        <v>1</v>
      </c>
      <c r="H950" s="3">
        <f>_xlfn.IFNA(VLOOKUP($A950,[3]stockregister!$A$2:$L$2000,11,0),0)-$G950</f>
        <v>0</v>
      </c>
      <c r="I950" s="3">
        <f>_xlfn.IFNA(VLOOKUP($A950,[3]stockregister!$A$2:$L$2000,12,0),0)</f>
        <v>700</v>
      </c>
      <c r="J950" s="3">
        <f>_xlfn.IFNA(VLOOKUP($A950,[3]stockregister!$A$1:$M$2000,12,0),0)-$I950</f>
        <v>0</v>
      </c>
      <c r="K950" s="3" t="s">
        <v>22</v>
      </c>
      <c r="L950" s="3" t="s">
        <v>23</v>
      </c>
      <c r="M950" s="3">
        <f>_xlfn.IFNA(VLOOKUP($A950,[2]stockregister!$A$2:$H$2000,8,0),0)</f>
        <v>850</v>
      </c>
      <c r="N950" s="3">
        <f>_xlfn.IFNA(VLOOKUP($A950,[2]stockregister!$A$2:$H$2000,8,0),0)-$M950</f>
        <v>0</v>
      </c>
      <c r="O950" s="3" t="s">
        <v>2239</v>
      </c>
      <c r="P950" s="3" t="s">
        <v>2239</v>
      </c>
      <c r="Q950" s="3" t="s">
        <v>545</v>
      </c>
      <c r="R950" s="3" t="s">
        <v>68</v>
      </c>
      <c r="S950" s="3" t="s">
        <v>369</v>
      </c>
    </row>
    <row r="951" spans="1:19">
      <c r="A951" s="3">
        <v>2222</v>
      </c>
      <c r="B951" s="3" t="b">
        <f>ISNUMBER(MATCH(A951,[1]stockregister!$A$2:$A$2000,0))</f>
        <v>1</v>
      </c>
      <c r="C951" s="3" t="s">
        <v>2240</v>
      </c>
      <c r="D951" s="3" t="str">
        <f>VLOOKUP($C951,[1]stockregister!$B$2:$B$2000,1,0)</f>
        <v>GATO NEGRO MOSCATO 750ML</v>
      </c>
      <c r="E951" s="3" t="str">
        <f>IF(ISNA($D951),VLOOKUP($A951,[2]stockregister!$A$2:$B$2000,2,FALSE),"")</f>
        <v/>
      </c>
      <c r="F951" s="3" t="s">
        <v>21</v>
      </c>
      <c r="G951" s="3">
        <f>_xlfn.IFNA(VLOOKUP($A951,[3]stockregister!$A$2:$L$2000,11,0),0)</f>
        <v>1</v>
      </c>
      <c r="H951" s="3">
        <f>_xlfn.IFNA(VLOOKUP($A951,[3]stockregister!$A$2:$L$2000,11,0),0)-$G951</f>
        <v>0</v>
      </c>
      <c r="I951" s="3">
        <f>_xlfn.IFNA(VLOOKUP($A951,[3]stockregister!$A$2:$L$2000,12,0),0)</f>
        <v>800</v>
      </c>
      <c r="J951" s="3">
        <f>_xlfn.IFNA(VLOOKUP($A951,[3]stockregister!$A$1:$M$2000,12,0),0)-$I951</f>
        <v>0</v>
      </c>
      <c r="K951" s="3" t="s">
        <v>22</v>
      </c>
      <c r="L951" s="3" t="s">
        <v>23</v>
      </c>
      <c r="M951" s="3">
        <f>_xlfn.IFNA(VLOOKUP($A951,[2]stockregister!$A$2:$H$2000,8,0),0)</f>
        <v>850</v>
      </c>
      <c r="N951" s="3">
        <f>_xlfn.IFNA(VLOOKUP($A951,[2]stockregister!$A$2:$H$2000,8,0),0)-$M951</f>
        <v>0</v>
      </c>
      <c r="O951" s="3" t="s">
        <v>2241</v>
      </c>
      <c r="P951" s="3" t="s">
        <v>2241</v>
      </c>
      <c r="Q951" s="3" t="s">
        <v>545</v>
      </c>
      <c r="R951" s="3" t="s">
        <v>68</v>
      </c>
      <c r="S951" s="3" t="s">
        <v>969</v>
      </c>
    </row>
    <row r="952" spans="1:19">
      <c r="A952" s="3">
        <v>2291</v>
      </c>
      <c r="B952" s="3" t="b">
        <f>ISNUMBER(MATCH(A952,[1]stockregister!$A$2:$A$2000,0))</f>
        <v>1</v>
      </c>
      <c r="C952" s="3" t="s">
        <v>2242</v>
      </c>
      <c r="D952" s="3" t="str">
        <f>VLOOKUP($C952,[1]stockregister!$B$2:$B$2000,1,0)</f>
        <v>VINCLES SUMA MOCA 750ML</v>
      </c>
      <c r="E952" s="3" t="str">
        <f>IF(ISNA($D952),VLOOKUP($A952,[2]stockregister!$A$2:$B$2000,2,FALSE),"")</f>
        <v/>
      </c>
      <c r="F952" s="3" t="s">
        <v>21</v>
      </c>
      <c r="G952" s="3">
        <f>_xlfn.IFNA(VLOOKUP($A952,[3]stockregister!$A$2:$L$2000,11,0),0)</f>
        <v>1</v>
      </c>
      <c r="H952" s="3">
        <f>_xlfn.IFNA(VLOOKUP($A952,[3]stockregister!$A$2:$L$2000,11,0),0)-$G952</f>
        <v>0</v>
      </c>
      <c r="I952" s="3">
        <f>_xlfn.IFNA(VLOOKUP($A952,[3]stockregister!$A$2:$L$2000,12,0),0)</f>
        <v>600</v>
      </c>
      <c r="J952" s="3">
        <f>_xlfn.IFNA(VLOOKUP($A952,[3]stockregister!$A$1:$M$2000,12,0),0)-$I952</f>
        <v>0</v>
      </c>
      <c r="K952" s="3" t="s">
        <v>22</v>
      </c>
      <c r="L952" s="3" t="s">
        <v>23</v>
      </c>
      <c r="M952" s="3">
        <f>_xlfn.IFNA(VLOOKUP($A952,[2]stockregister!$A$2:$H$2000,8,0),0)</f>
        <v>700</v>
      </c>
      <c r="N952" s="3">
        <f>_xlfn.IFNA(VLOOKUP($A952,[2]stockregister!$A$2:$H$2000,8,0),0)-$M952</f>
        <v>0</v>
      </c>
      <c r="O952" s="3" t="s">
        <v>2243</v>
      </c>
      <c r="P952" s="3" t="s">
        <v>2243</v>
      </c>
      <c r="Q952" s="3" t="s">
        <v>2244</v>
      </c>
      <c r="R952" s="3" t="s">
        <v>68</v>
      </c>
      <c r="S952" s="3" t="s">
        <v>169</v>
      </c>
    </row>
    <row r="953" spans="1:19">
      <c r="A953" s="3">
        <v>2216</v>
      </c>
      <c r="B953" s="3" t="b">
        <f>ISNUMBER(MATCH(A953,[1]stockregister!$A$2:$A$2000,0))</f>
        <v>1</v>
      </c>
      <c r="C953" s="3" t="s">
        <v>2245</v>
      </c>
      <c r="D953" s="3" t="str">
        <f>VLOOKUP($C953,[1]stockregister!$B$2:$B$2000,1,0)</f>
        <v>DUCHESALIA BARBERA 750ML</v>
      </c>
      <c r="E953" s="3" t="str">
        <f>IF(ISNA($D953),VLOOKUP($A953,[2]stockregister!$A$2:$B$2000,2,FALSE),"")</f>
        <v/>
      </c>
      <c r="F953" s="3" t="s">
        <v>21</v>
      </c>
      <c r="G953" s="3">
        <f>_xlfn.IFNA(VLOOKUP($A953,[3]stockregister!$A$2:$L$2000,11,0),0)</f>
        <v>1</v>
      </c>
      <c r="H953" s="3">
        <f>_xlfn.IFNA(VLOOKUP($A953,[3]stockregister!$A$2:$L$2000,11,0),0)-$G953</f>
        <v>0</v>
      </c>
      <c r="I953" s="3">
        <f>_xlfn.IFNA(VLOOKUP($A953,[3]stockregister!$A$2:$L$2000,12,0),0)</f>
        <v>1300</v>
      </c>
      <c r="J953" s="3">
        <f>_xlfn.IFNA(VLOOKUP($A953,[3]stockregister!$A$1:$M$2000,12,0),0)-$I953</f>
        <v>0</v>
      </c>
      <c r="K953" s="3" t="s">
        <v>22</v>
      </c>
      <c r="L953" s="3" t="s">
        <v>23</v>
      </c>
      <c r="M953" s="3">
        <f>_xlfn.IFNA(VLOOKUP($A953,[2]stockregister!$A$2:$H$2000,8,0),0)</f>
        <v>1350</v>
      </c>
      <c r="N953" s="3">
        <f>_xlfn.IFNA(VLOOKUP($A953,[2]stockregister!$A$2:$H$2000,8,0),0)-$M953</f>
        <v>0</v>
      </c>
      <c r="O953" s="3" t="s">
        <v>2246</v>
      </c>
      <c r="P953" s="3" t="s">
        <v>2246</v>
      </c>
      <c r="Q953" s="3" t="s">
        <v>1016</v>
      </c>
      <c r="R953" s="3" t="s">
        <v>68</v>
      </c>
      <c r="S953" s="3" t="s">
        <v>1962</v>
      </c>
    </row>
    <row r="954" spans="1:19">
      <c r="A954" s="3">
        <v>2212</v>
      </c>
      <c r="B954" s="3" t="b">
        <f>ISNUMBER(MATCH(A954,[1]stockregister!$A$2:$A$2000,0))</f>
        <v>1</v>
      </c>
      <c r="C954" s="3" t="s">
        <v>2247</v>
      </c>
      <c r="D954" s="3" t="str">
        <f>VLOOKUP($C954,[1]stockregister!$B$2:$B$2000,1,0)</f>
        <v>BON VOYAGE 750ML</v>
      </c>
      <c r="E954" s="3" t="str">
        <f>IF(ISNA($D954),VLOOKUP($A954,[2]stockregister!$A$2:$B$2000,2,FALSE),"")</f>
        <v/>
      </c>
      <c r="F954" s="3" t="s">
        <v>21</v>
      </c>
      <c r="G954" s="3">
        <f>_xlfn.IFNA(VLOOKUP($A954,[3]stockregister!$A$2:$L$2000,11,0),0)</f>
        <v>1</v>
      </c>
      <c r="H954" s="3">
        <f>_xlfn.IFNA(VLOOKUP($A954,[3]stockregister!$A$2:$L$2000,11,0),0)-$G954</f>
        <v>0</v>
      </c>
      <c r="I954" s="3">
        <f>_xlfn.IFNA(VLOOKUP($A954,[3]stockregister!$A$2:$L$2000,12,0),0)</f>
        <v>950</v>
      </c>
      <c r="J954" s="3">
        <f>_xlfn.IFNA(VLOOKUP($A954,[3]stockregister!$A$1:$M$2000,12,0),0)-$I954</f>
        <v>0</v>
      </c>
      <c r="K954" s="3" t="s">
        <v>22</v>
      </c>
      <c r="L954" s="3" t="s">
        <v>23</v>
      </c>
      <c r="M954" s="3">
        <f>_xlfn.IFNA(VLOOKUP($A954,[2]stockregister!$A$2:$H$2000,8,0),0)</f>
        <v>1000</v>
      </c>
      <c r="N954" s="3">
        <f>_xlfn.IFNA(VLOOKUP($A954,[2]stockregister!$A$2:$H$2000,8,0),0)-$M954</f>
        <v>0</v>
      </c>
      <c r="O954" s="3" t="s">
        <v>2248</v>
      </c>
      <c r="P954" s="3" t="s">
        <v>2248</v>
      </c>
      <c r="Q954" s="3" t="s">
        <v>2249</v>
      </c>
      <c r="R954" s="3" t="s">
        <v>68</v>
      </c>
      <c r="S954" s="3" t="s">
        <v>1962</v>
      </c>
    </row>
    <row r="955" spans="1:19">
      <c r="A955" s="3">
        <v>1881</v>
      </c>
      <c r="B955" s="3" t="b">
        <f>ISNUMBER(MATCH(A955,[1]stockregister!$A$2:$A$2000,0))</f>
        <v>1</v>
      </c>
      <c r="C955" s="3" t="s">
        <v>434</v>
      </c>
      <c r="D955" s="3" t="str">
        <f>VLOOKUP($C955,[1]stockregister!$B$2:$B$2000,1,0)</f>
        <v>STARCHASER  750ML</v>
      </c>
      <c r="E955" s="3" t="str">
        <f>IF(ISNA($D955),VLOOKUP($A955,[2]stockregister!$A$2:$B$2000,2,FALSE),"")</f>
        <v/>
      </c>
      <c r="F955" s="3" t="s">
        <v>21</v>
      </c>
      <c r="G955" s="3">
        <f>_xlfn.IFNA(VLOOKUP($A955,[3]stockregister!$A$2:$L$2000,11,0),0)</f>
        <v>1</v>
      </c>
      <c r="H955" s="3">
        <f>_xlfn.IFNA(VLOOKUP($A955,[3]stockregister!$A$2:$L$2000,11,0),0)-$G955</f>
        <v>0</v>
      </c>
      <c r="I955" s="3">
        <f>_xlfn.IFNA(VLOOKUP($A955,[3]stockregister!$A$2:$L$2000,12,0),0)</f>
        <v>460</v>
      </c>
      <c r="J955" s="3">
        <f>_xlfn.IFNA(VLOOKUP($A955,[3]stockregister!$A$1:$M$2000,12,0),0)-$I955</f>
        <v>0</v>
      </c>
      <c r="K955" s="3" t="s">
        <v>22</v>
      </c>
      <c r="L955" s="3" t="s">
        <v>23</v>
      </c>
      <c r="M955" s="3">
        <f>_xlfn.IFNA(VLOOKUP($A955,[2]stockregister!$A$2:$H$2000,8,0),0)</f>
        <v>500</v>
      </c>
      <c r="N955" s="3">
        <f>_xlfn.IFNA(VLOOKUP($A955,[2]stockregister!$A$2:$H$2000,8,0),0)-$M955</f>
        <v>0</v>
      </c>
      <c r="O955" s="3" t="s">
        <v>2250</v>
      </c>
      <c r="P955" s="3" t="s">
        <v>2250</v>
      </c>
      <c r="Q955" s="3" t="s">
        <v>2251</v>
      </c>
      <c r="R955" s="3" t="s">
        <v>68</v>
      </c>
      <c r="S955" s="3" t="s">
        <v>169</v>
      </c>
    </row>
    <row r="956" spans="1:19">
      <c r="A956" s="3">
        <v>1688</v>
      </c>
      <c r="B956" s="3" t="b">
        <f>ISNUMBER(MATCH(A956,[1]stockregister!$A$2:$A$2000,0))</f>
        <v>1</v>
      </c>
      <c r="C956" s="3" t="s">
        <v>436</v>
      </c>
      <c r="D956" s="3" t="str">
        <f>VLOOKUP($C956,[1]stockregister!$B$2:$B$2000,1,0)</f>
        <v>ROOIBERG WINERY RED MUSCADEL  750ML</v>
      </c>
      <c r="E956" s="3" t="str">
        <f>IF(ISNA($D956),VLOOKUP($A956,[2]stockregister!$A$2:$B$2000,2,FALSE),"")</f>
        <v/>
      </c>
      <c r="F956" s="3" t="s">
        <v>21</v>
      </c>
      <c r="G956" s="3">
        <f>_xlfn.IFNA(VLOOKUP($A956,[3]stockregister!$A$2:$L$2000,11,0),0)</f>
        <v>1</v>
      </c>
      <c r="H956" s="3">
        <f>_xlfn.IFNA(VLOOKUP($A956,[3]stockregister!$A$2:$L$2000,11,0),0)-$G956</f>
        <v>0</v>
      </c>
      <c r="I956" s="3">
        <f>_xlfn.IFNA(VLOOKUP($A956,[3]stockregister!$A$2:$L$2000,12,0),0)</f>
        <v>1012</v>
      </c>
      <c r="J956" s="3">
        <f>_xlfn.IFNA(VLOOKUP($A956,[3]stockregister!$A$1:$M$2000,12,0),0)-$I956</f>
        <v>0</v>
      </c>
      <c r="K956" s="3" t="s">
        <v>22</v>
      </c>
      <c r="L956" s="3" t="s">
        <v>23</v>
      </c>
      <c r="M956" s="3">
        <f>_xlfn.IFNA(VLOOKUP($A956,[2]stockregister!$A$2:$H$2000,8,0),0)</f>
        <v>1100</v>
      </c>
      <c r="N956" s="3">
        <f>_xlfn.IFNA(VLOOKUP($A956,[2]stockregister!$A$2:$H$2000,8,0),0)-$M956</f>
        <v>0</v>
      </c>
      <c r="O956" s="3" t="s">
        <v>2252</v>
      </c>
      <c r="P956" s="3" t="s">
        <v>2252</v>
      </c>
      <c r="Q956" s="3" t="s">
        <v>2253</v>
      </c>
      <c r="R956" s="3" t="s">
        <v>537</v>
      </c>
      <c r="S956" s="3" t="s">
        <v>169</v>
      </c>
    </row>
    <row r="957" spans="1:19">
      <c r="A957" s="3">
        <v>2286</v>
      </c>
      <c r="B957" s="3" t="b">
        <f>ISNUMBER(MATCH(A957,[1]stockregister!$A$2:$A$2000,0))</f>
        <v>1</v>
      </c>
      <c r="C957" s="3" t="s">
        <v>2254</v>
      </c>
      <c r="D957" s="3" t="str">
        <f>VLOOKUP($C957,[1]stockregister!$B$2:$B$2000,1,0)</f>
        <v>THE DEN SAUVIGNON BLANC 700ML</v>
      </c>
      <c r="E957" s="3" t="str">
        <f>IF(ISNA($D957),VLOOKUP($A957,[2]stockregister!$A$2:$B$2000,2,FALSE),"")</f>
        <v/>
      </c>
      <c r="F957" s="3" t="s">
        <v>21</v>
      </c>
      <c r="G957" s="3">
        <f>_xlfn.IFNA(VLOOKUP($A957,[3]stockregister!$A$2:$L$2000,11,0),0)</f>
        <v>1</v>
      </c>
      <c r="H957" s="3">
        <f>_xlfn.IFNA(VLOOKUP($A957,[3]stockregister!$A$2:$L$2000,11,0),0)-$G957</f>
        <v>0</v>
      </c>
      <c r="I957" s="3">
        <f>_xlfn.IFNA(VLOOKUP($A957,[3]stockregister!$A$2:$L$2000,12,0),0)</f>
        <v>950</v>
      </c>
      <c r="J957" s="3">
        <f>_xlfn.IFNA(VLOOKUP($A957,[3]stockregister!$A$1:$M$2000,12,0),0)-$I957</f>
        <v>0</v>
      </c>
      <c r="K957" s="3" t="s">
        <v>22</v>
      </c>
      <c r="L957" s="3" t="s">
        <v>23</v>
      </c>
      <c r="M957" s="3">
        <f>_xlfn.IFNA(VLOOKUP($A957,[2]stockregister!$A$2:$H$2000,8,0),0)</f>
        <v>1000</v>
      </c>
      <c r="N957" s="3">
        <f>_xlfn.IFNA(VLOOKUP($A957,[2]stockregister!$A$2:$H$2000,8,0),0)-$M957</f>
        <v>0</v>
      </c>
      <c r="O957" s="3" t="s">
        <v>2255</v>
      </c>
      <c r="P957" s="3" t="s">
        <v>2255</v>
      </c>
      <c r="Q957" s="3" t="s">
        <v>2256</v>
      </c>
      <c r="R957" s="3" t="s">
        <v>68</v>
      </c>
      <c r="S957" s="3" t="s">
        <v>398</v>
      </c>
    </row>
    <row r="958" spans="1:19">
      <c r="A958" s="3">
        <v>796</v>
      </c>
      <c r="B958" s="3" t="b">
        <f>ISNUMBER(MATCH(A958,[1]stockregister!$A$2:$A$2000,0))</f>
        <v>1</v>
      </c>
      <c r="C958" s="3" t="s">
        <v>2257</v>
      </c>
      <c r="D958" s="3" t="str">
        <f>VLOOKUP($C958,[1]stockregister!$B$2:$B$2000,1,0)</f>
        <v>FRONTERA SHIRAZ 750ML</v>
      </c>
      <c r="E958" s="3" t="str">
        <f>IF(ISNA($D958),VLOOKUP($A958,[2]stockregister!$A$2:$B$2000,2,FALSE),"")</f>
        <v/>
      </c>
      <c r="F958" s="3" t="s">
        <v>21</v>
      </c>
      <c r="G958" s="3">
        <f>_xlfn.IFNA(VLOOKUP($A958,[3]stockregister!$A$2:$L$2000,11,0),0)</f>
        <v>1</v>
      </c>
      <c r="H958" s="3">
        <f>_xlfn.IFNA(VLOOKUP($A958,[3]stockregister!$A$2:$L$2000,11,0),0)-$G958</f>
        <v>0</v>
      </c>
      <c r="I958" s="3">
        <f>_xlfn.IFNA(VLOOKUP($A958,[3]stockregister!$A$2:$L$2000,12,0),0)</f>
        <v>1000</v>
      </c>
      <c r="J958" s="3">
        <f>_xlfn.IFNA(VLOOKUP($A958,[3]stockregister!$A$1:$M$2000,12,0),0)-$I958</f>
        <v>0</v>
      </c>
      <c r="K958" s="3" t="s">
        <v>22</v>
      </c>
      <c r="L958" s="3" t="s">
        <v>23</v>
      </c>
      <c r="M958" s="3">
        <f>_xlfn.IFNA(VLOOKUP($A958,[2]stockregister!$A$2:$H$2000,8,0),0)</f>
        <v>1080</v>
      </c>
      <c r="N958" s="3">
        <f>_xlfn.IFNA(VLOOKUP($A958,[2]stockregister!$A$2:$H$2000,8,0),0)-$M958</f>
        <v>0</v>
      </c>
      <c r="O958" s="3" t="s">
        <v>2258</v>
      </c>
      <c r="P958" s="3" t="s">
        <v>2258</v>
      </c>
      <c r="Q958" s="3" t="s">
        <v>1082</v>
      </c>
      <c r="R958" s="3" t="s">
        <v>68</v>
      </c>
      <c r="S958" s="3" t="s">
        <v>876</v>
      </c>
    </row>
    <row r="959" spans="1:19">
      <c r="A959" s="3">
        <v>89</v>
      </c>
      <c r="B959" s="3" t="b">
        <f>ISNUMBER(MATCH(A959,[1]stockregister!$A$2:$A$2000,0))</f>
        <v>1</v>
      </c>
      <c r="C959" s="3" t="s">
        <v>2259</v>
      </c>
      <c r="D959" s="3" t="str">
        <f>VLOOKUP($C959,[1]stockregister!$B$2:$B$2000,1,0)</f>
        <v>AMANI BAY SMOOTH RED 750ML</v>
      </c>
      <c r="E959" s="3" t="str">
        <f>IF(ISNA($D959),VLOOKUP($A959,[2]stockregister!$A$2:$B$2000,2,FALSE),"")</f>
        <v/>
      </c>
      <c r="F959" s="3" t="s">
        <v>21</v>
      </c>
      <c r="G959" s="3">
        <f>_xlfn.IFNA(VLOOKUP($A959,[3]stockregister!$A$2:$L$2000,11,0),0)</f>
        <v>1</v>
      </c>
      <c r="H959" s="3">
        <f>_xlfn.IFNA(VLOOKUP($A959,[3]stockregister!$A$2:$L$2000,11,0),0)-$G959</f>
        <v>0</v>
      </c>
      <c r="I959" s="3">
        <f>_xlfn.IFNA(VLOOKUP($A959,[3]stockregister!$A$2:$L$2000,12,0),0)</f>
        <v>782</v>
      </c>
      <c r="J959" s="3">
        <f>_xlfn.IFNA(VLOOKUP($A959,[3]stockregister!$A$1:$M$2000,12,0),0)-$I959</f>
        <v>0</v>
      </c>
      <c r="K959" s="3" t="s">
        <v>22</v>
      </c>
      <c r="L959" s="3" t="s">
        <v>23</v>
      </c>
      <c r="M959" s="3">
        <f>_xlfn.IFNA(VLOOKUP($A959,[2]stockregister!$A$2:$H$2000,8,0),0)</f>
        <v>850</v>
      </c>
      <c r="N959" s="3">
        <f>_xlfn.IFNA(VLOOKUP($A959,[2]stockregister!$A$2:$H$2000,8,0),0)-$M959</f>
        <v>0</v>
      </c>
      <c r="O959" s="3" t="s">
        <v>2260</v>
      </c>
      <c r="P959" s="3" t="s">
        <v>2260</v>
      </c>
      <c r="Q959" s="3" t="s">
        <v>2232</v>
      </c>
      <c r="R959" s="3" t="s">
        <v>68</v>
      </c>
      <c r="S959" s="3" t="s">
        <v>2261</v>
      </c>
    </row>
    <row r="960" spans="1:19">
      <c r="A960" s="3">
        <v>397</v>
      </c>
      <c r="B960" s="3" t="b">
        <f>ISNUMBER(MATCH(A960,[1]stockregister!$A$2:$A$2000,0))</f>
        <v>1</v>
      </c>
      <c r="C960" s="3" t="s">
        <v>2262</v>
      </c>
      <c r="D960" s="3" t="str">
        <f>VLOOKUP($C960,[1]stockregister!$B$2:$B$2000,1,0)</f>
        <v>CARMELA SPARKLING SWEET WINE 750ML</v>
      </c>
      <c r="E960" s="3" t="str">
        <f>IF(ISNA($D960),VLOOKUP($A960,[2]stockregister!$A$2:$B$2000,2,FALSE),"")</f>
        <v/>
      </c>
      <c r="F960" s="3" t="s">
        <v>21</v>
      </c>
      <c r="G960" s="3">
        <f>_xlfn.IFNA(VLOOKUP($A960,[3]stockregister!$A$2:$L$2000,11,0),0)</f>
        <v>1</v>
      </c>
      <c r="H960" s="3">
        <f>_xlfn.IFNA(VLOOKUP($A960,[3]stockregister!$A$2:$L$2000,11,0),0)-$G960</f>
        <v>0</v>
      </c>
      <c r="I960" s="3">
        <f>_xlfn.IFNA(VLOOKUP($A960,[3]stockregister!$A$2:$L$2000,12,0),0)</f>
        <v>2024</v>
      </c>
      <c r="J960" s="3">
        <f>_xlfn.IFNA(VLOOKUP($A960,[3]stockregister!$A$1:$M$2000,12,0),0)-$I960</f>
        <v>0</v>
      </c>
      <c r="K960" s="3" t="s">
        <v>22</v>
      </c>
      <c r="L960" s="3" t="s">
        <v>23</v>
      </c>
      <c r="M960" s="3">
        <f>_xlfn.IFNA(VLOOKUP($A960,[2]stockregister!$A$2:$H$2000,8,0),0)</f>
        <v>2200</v>
      </c>
      <c r="N960" s="3">
        <f>_xlfn.IFNA(VLOOKUP($A960,[2]stockregister!$A$2:$H$2000,8,0),0)-$M960</f>
        <v>0</v>
      </c>
      <c r="O960" s="3" t="s">
        <v>2263</v>
      </c>
      <c r="P960" s="3" t="s">
        <v>2263</v>
      </c>
      <c r="Q960" s="3" t="s">
        <v>2264</v>
      </c>
      <c r="R960" s="3" t="s">
        <v>68</v>
      </c>
      <c r="S960" s="3" t="s">
        <v>828</v>
      </c>
    </row>
    <row r="961" spans="1:19">
      <c r="A961" s="3">
        <v>2204</v>
      </c>
      <c r="B961" s="3" t="b">
        <f>ISNUMBER(MATCH(A961,[1]stockregister!$A$2:$A$2000,0))</f>
        <v>1</v>
      </c>
      <c r="C961" s="3" t="s">
        <v>2265</v>
      </c>
      <c r="D961" s="3" t="str">
        <f>VLOOKUP($C961,[1]stockregister!$B$2:$B$2000,1,0)</f>
        <v>JP CHENET ICE EDITION 750ML</v>
      </c>
      <c r="E961" s="3" t="str">
        <f>IF(ISNA($D961),VLOOKUP($A961,[2]stockregister!$A$2:$B$2000,2,FALSE),"")</f>
        <v/>
      </c>
      <c r="F961" s="3" t="s">
        <v>21</v>
      </c>
      <c r="G961" s="3">
        <f>_xlfn.IFNA(VLOOKUP($A961,[3]stockregister!$A$2:$L$2000,11,0),0)</f>
        <v>1</v>
      </c>
      <c r="H961" s="3">
        <f>_xlfn.IFNA(VLOOKUP($A961,[3]stockregister!$A$2:$L$2000,11,0),0)-$G961</f>
        <v>0</v>
      </c>
      <c r="I961" s="3">
        <f>_xlfn.IFNA(VLOOKUP($A961,[3]stockregister!$A$2:$L$2000,12,0),0)</f>
        <v>900</v>
      </c>
      <c r="J961" s="3">
        <f>_xlfn.IFNA(VLOOKUP($A961,[3]stockregister!$A$1:$M$2000,12,0),0)-$I961</f>
        <v>0</v>
      </c>
      <c r="K961" s="3" t="s">
        <v>22</v>
      </c>
      <c r="L961" s="3" t="s">
        <v>23</v>
      </c>
      <c r="M961" s="3">
        <f>_xlfn.IFNA(VLOOKUP($A961,[2]stockregister!$A$2:$H$2000,8,0),0)</f>
        <v>950</v>
      </c>
      <c r="N961" s="3">
        <f>_xlfn.IFNA(VLOOKUP($A961,[2]stockregister!$A$2:$H$2000,8,0),0)-$M961</f>
        <v>0</v>
      </c>
      <c r="O961" s="3" t="s">
        <v>2266</v>
      </c>
      <c r="P961" s="3" t="s">
        <v>2266</v>
      </c>
      <c r="Q961" s="3" t="s">
        <v>1328</v>
      </c>
      <c r="R961" s="3" t="s">
        <v>68</v>
      </c>
      <c r="S961" s="3" t="s">
        <v>2267</v>
      </c>
    </row>
    <row r="962" spans="1:19">
      <c r="A962" s="3">
        <v>86</v>
      </c>
      <c r="B962" s="3" t="b">
        <f>ISNUMBER(MATCH(A962,[1]stockregister!$A$2:$A$2000,0))</f>
        <v>1</v>
      </c>
      <c r="C962" s="3" t="s">
        <v>2268</v>
      </c>
      <c r="D962" s="3" t="str">
        <f>VLOOKUP($C962,[1]stockregister!$B$2:$B$2000,1,0)</f>
        <v>AMANI BAY NATURAL SWEET RED 750ML</v>
      </c>
      <c r="E962" s="3" t="str">
        <f>IF(ISNA($D962),VLOOKUP($A962,[2]stockregister!$A$2:$B$2000,2,FALSE),"")</f>
        <v/>
      </c>
      <c r="F962" s="3" t="s">
        <v>21</v>
      </c>
      <c r="G962" s="3">
        <f>_xlfn.IFNA(VLOOKUP($A962,[3]stockregister!$A$2:$L$2000,11,0),0)</f>
        <v>1</v>
      </c>
      <c r="H962" s="3">
        <f>_xlfn.IFNA(VLOOKUP($A962,[3]stockregister!$A$2:$L$2000,11,0),0)-$G962</f>
        <v>0</v>
      </c>
      <c r="I962" s="3">
        <f>_xlfn.IFNA(VLOOKUP($A962,[3]stockregister!$A$2:$L$2000,12,0),0)</f>
        <v>690</v>
      </c>
      <c r="J962" s="3">
        <f>_xlfn.IFNA(VLOOKUP($A962,[3]stockregister!$A$1:$M$2000,12,0),0)-$I962</f>
        <v>0</v>
      </c>
      <c r="K962" s="3" t="s">
        <v>22</v>
      </c>
      <c r="L962" s="3" t="s">
        <v>23</v>
      </c>
      <c r="M962" s="3">
        <f>_xlfn.IFNA(VLOOKUP($A962,[2]stockregister!$A$2:$H$2000,8,0),0)</f>
        <v>750</v>
      </c>
      <c r="N962" s="3">
        <f>_xlfn.IFNA(VLOOKUP($A962,[2]stockregister!$A$2:$H$2000,8,0),0)-$M962</f>
        <v>0</v>
      </c>
      <c r="O962" s="3" t="s">
        <v>2269</v>
      </c>
      <c r="P962" s="3" t="s">
        <v>2269</v>
      </c>
      <c r="Q962" s="3" t="s">
        <v>2232</v>
      </c>
      <c r="R962" s="3" t="s">
        <v>68</v>
      </c>
      <c r="S962" s="3" t="s">
        <v>88</v>
      </c>
    </row>
    <row r="963" spans="1:19">
      <c r="A963" s="3">
        <v>87</v>
      </c>
      <c r="B963" s="3" t="b">
        <f>ISNUMBER(MATCH(A963,[1]stockregister!$A$2:$A$2000,0))</f>
        <v>1</v>
      </c>
      <c r="C963" s="3" t="s">
        <v>2270</v>
      </c>
      <c r="D963" s="3" t="str">
        <f>VLOOKUP($C963,[1]stockregister!$B$2:$B$2000,1,0)</f>
        <v>AMANI BAY NATURAL SWEET ROSE 750ML</v>
      </c>
      <c r="E963" s="3" t="str">
        <f>IF(ISNA($D963),VLOOKUP($A963,[2]stockregister!$A$2:$B$2000,2,FALSE),"")</f>
        <v/>
      </c>
      <c r="F963" s="3" t="s">
        <v>21</v>
      </c>
      <c r="G963" s="3">
        <f>_xlfn.IFNA(VLOOKUP($A963,[3]stockregister!$A$2:$L$2000,11,0),0)</f>
        <v>1</v>
      </c>
      <c r="H963" s="3">
        <f>_xlfn.IFNA(VLOOKUP($A963,[3]stockregister!$A$2:$L$2000,11,0),0)-$G963</f>
        <v>0</v>
      </c>
      <c r="I963" s="3">
        <f>_xlfn.IFNA(VLOOKUP($A963,[3]stockregister!$A$2:$L$2000,12,0),0)</f>
        <v>690</v>
      </c>
      <c r="J963" s="3">
        <f>_xlfn.IFNA(VLOOKUP($A963,[3]stockregister!$A$1:$M$2000,12,0),0)-$I963</f>
        <v>0</v>
      </c>
      <c r="K963" s="3" t="s">
        <v>22</v>
      </c>
      <c r="L963" s="3" t="s">
        <v>23</v>
      </c>
      <c r="M963" s="3">
        <f>_xlfn.IFNA(VLOOKUP($A963,[2]stockregister!$A$2:$H$2000,8,0),0)</f>
        <v>750</v>
      </c>
      <c r="N963" s="3">
        <f>_xlfn.IFNA(VLOOKUP($A963,[2]stockregister!$A$2:$H$2000,8,0),0)-$M963</f>
        <v>0</v>
      </c>
      <c r="O963" s="3" t="s">
        <v>2271</v>
      </c>
      <c r="P963" s="3" t="s">
        <v>2271</v>
      </c>
      <c r="Q963" s="3" t="s">
        <v>2232</v>
      </c>
      <c r="R963" s="3" t="s">
        <v>68</v>
      </c>
      <c r="S963" s="3" t="s">
        <v>196</v>
      </c>
    </row>
    <row r="964" spans="1:19">
      <c r="A964" s="3">
        <v>88</v>
      </c>
      <c r="B964" s="3" t="b">
        <f>ISNUMBER(MATCH(A964,[1]stockregister!$A$2:$A$2000,0))</f>
        <v>1</v>
      </c>
      <c r="C964" s="3" t="s">
        <v>2272</v>
      </c>
      <c r="D964" s="3" t="str">
        <f>VLOOKUP($C964,[1]stockregister!$B$2:$B$2000,1,0)</f>
        <v>AMANI BAY NATURAL SWEET WHITE 750ML</v>
      </c>
      <c r="E964" s="3" t="str">
        <f>IF(ISNA($D964),VLOOKUP($A964,[2]stockregister!$A$2:$B$2000,2,FALSE),"")</f>
        <v/>
      </c>
      <c r="F964" s="3" t="s">
        <v>21</v>
      </c>
      <c r="G964" s="3">
        <f>_xlfn.IFNA(VLOOKUP($A964,[3]stockregister!$A$2:$L$2000,11,0),0)</f>
        <v>1</v>
      </c>
      <c r="H964" s="3">
        <f>_xlfn.IFNA(VLOOKUP($A964,[3]stockregister!$A$2:$L$2000,11,0),0)-$G964</f>
        <v>0</v>
      </c>
      <c r="I964" s="3">
        <f>_xlfn.IFNA(VLOOKUP($A964,[3]stockregister!$A$2:$L$2000,12,0),0)</f>
        <v>690</v>
      </c>
      <c r="J964" s="3">
        <f>_xlfn.IFNA(VLOOKUP($A964,[3]stockregister!$A$1:$M$2000,12,0),0)-$I964</f>
        <v>0</v>
      </c>
      <c r="K964" s="3" t="s">
        <v>22</v>
      </c>
      <c r="L964" s="3" t="s">
        <v>23</v>
      </c>
      <c r="M964" s="3">
        <f>_xlfn.IFNA(VLOOKUP($A964,[2]stockregister!$A$2:$H$2000,8,0),0)</f>
        <v>750</v>
      </c>
      <c r="N964" s="3">
        <f>_xlfn.IFNA(VLOOKUP($A964,[2]stockregister!$A$2:$H$2000,8,0),0)-$M964</f>
        <v>0</v>
      </c>
      <c r="O964" s="3" t="s">
        <v>2273</v>
      </c>
      <c r="P964" s="3" t="s">
        <v>2273</v>
      </c>
      <c r="Q964" s="3" t="s">
        <v>2232</v>
      </c>
      <c r="R964" s="3" t="s">
        <v>68</v>
      </c>
      <c r="S964" s="3" t="s">
        <v>69</v>
      </c>
    </row>
    <row r="965" spans="1:19">
      <c r="A965" s="3">
        <v>2301</v>
      </c>
      <c r="B965" s="3" t="b">
        <f>ISNUMBER(MATCH(A965,[1]stockregister!$A$2:$A$2000,0))</f>
        <v>1</v>
      </c>
      <c r="C965" s="3" t="s">
        <v>2274</v>
      </c>
      <c r="D965" s="3" t="str">
        <f>VLOOKUP($C965,[1]stockregister!$B$2:$B$2000,1,0)</f>
        <v>AMA LA VIDA SWEET WHITE 750ML</v>
      </c>
      <c r="E965" s="3" t="str">
        <f>IF(ISNA($D965),VLOOKUP($A965,[2]stockregister!$A$2:$B$2000,2,FALSE),"")</f>
        <v/>
      </c>
      <c r="F965" s="3" t="s">
        <v>21</v>
      </c>
      <c r="G965" s="3">
        <f>_xlfn.IFNA(VLOOKUP($A965,[3]stockregister!$A$2:$L$2000,11,0),0)</f>
        <v>1</v>
      </c>
      <c r="H965" s="3">
        <f>_xlfn.IFNA(VLOOKUP($A965,[3]stockregister!$A$2:$L$2000,11,0),0)-$G965</f>
        <v>0</v>
      </c>
      <c r="I965" s="3">
        <f>_xlfn.IFNA(VLOOKUP($A965,[3]stockregister!$A$2:$L$2000,12,0),0)</f>
        <v>650</v>
      </c>
      <c r="J965" s="3">
        <f>_xlfn.IFNA(VLOOKUP($A965,[3]stockregister!$A$1:$M$2000,12,0),0)-$I965</f>
        <v>0</v>
      </c>
      <c r="K965" s="3" t="s">
        <v>22</v>
      </c>
      <c r="L965" s="3" t="s">
        <v>23</v>
      </c>
      <c r="M965" s="3">
        <f>_xlfn.IFNA(VLOOKUP($A965,[2]stockregister!$A$2:$H$2000,8,0),0)</f>
        <v>700</v>
      </c>
      <c r="N965" s="3">
        <f>_xlfn.IFNA(VLOOKUP($A965,[2]stockregister!$A$2:$H$2000,8,0),0)-$M965</f>
        <v>0</v>
      </c>
      <c r="O965" s="3" t="s">
        <v>2275</v>
      </c>
      <c r="P965" s="3" t="s">
        <v>2275</v>
      </c>
      <c r="Q965" s="3" t="s">
        <v>2059</v>
      </c>
      <c r="R965" s="3" t="s">
        <v>68</v>
      </c>
      <c r="S965" s="3" t="s">
        <v>69</v>
      </c>
    </row>
    <row r="966" spans="1:19">
      <c r="A966" s="3">
        <v>26</v>
      </c>
      <c r="B966" s="3" t="b">
        <f>ISNUMBER(MATCH(A966,[1]stockregister!$A$2:$A$2000,0))</f>
        <v>1</v>
      </c>
      <c r="C966" s="3" t="s">
        <v>2276</v>
      </c>
      <c r="D966" s="3" t="str">
        <f>VLOOKUP($C966,[1]stockregister!$B$2:$B$2000,1,0)</f>
        <v>7 HILLS SWEET WHITE 750ml</v>
      </c>
      <c r="E966" s="3" t="str">
        <f>IF(ISNA($D966),VLOOKUP($A966,[2]stockregister!$A$2:$B$2000,2,FALSE),"")</f>
        <v/>
      </c>
      <c r="F966" s="3" t="s">
        <v>21</v>
      </c>
      <c r="G966" s="3">
        <f>_xlfn.IFNA(VLOOKUP($A966,[3]stockregister!$A$2:$L$2000,11,0),0)</f>
        <v>1</v>
      </c>
      <c r="H966" s="3">
        <f>_xlfn.IFNA(VLOOKUP($A966,[3]stockregister!$A$2:$L$2000,11,0),0)-$G966</f>
        <v>0</v>
      </c>
      <c r="I966" s="3">
        <f>_xlfn.IFNA(VLOOKUP($A966,[3]stockregister!$A$2:$L$2000,12,0),0)</f>
        <v>690</v>
      </c>
      <c r="J966" s="3">
        <f>_xlfn.IFNA(VLOOKUP($A966,[3]stockregister!$A$1:$M$2000,12,0),0)-$I966</f>
        <v>0</v>
      </c>
      <c r="K966" s="3" t="s">
        <v>22</v>
      </c>
      <c r="L966" s="3" t="s">
        <v>23</v>
      </c>
      <c r="M966" s="3">
        <f>_xlfn.IFNA(VLOOKUP($A966,[2]stockregister!$A$2:$H$2000,8,0),0)</f>
        <v>750</v>
      </c>
      <c r="N966" s="3">
        <f>_xlfn.IFNA(VLOOKUP($A966,[2]stockregister!$A$2:$H$2000,8,0),0)-$M966</f>
        <v>0</v>
      </c>
      <c r="O966" s="3" t="s">
        <v>2277</v>
      </c>
      <c r="P966" s="3" t="s">
        <v>2277</v>
      </c>
      <c r="Q966" s="3" t="s">
        <v>2278</v>
      </c>
      <c r="R966" s="3" t="s">
        <v>68</v>
      </c>
      <c r="S966" s="3" t="s">
        <v>69</v>
      </c>
    </row>
    <row r="967" spans="1:19">
      <c r="A967" s="3">
        <v>2378</v>
      </c>
      <c r="B967" s="3" t="b">
        <f>ISNUMBER(MATCH(A967,[1]stockregister!$A$2:$A$2000,0))</f>
        <v>1</v>
      </c>
      <c r="C967" s="3" t="s">
        <v>2279</v>
      </c>
      <c r="D967" s="3" t="str">
        <f>VLOOKUP($C967,[1]stockregister!$B$2:$B$2000,1,0)</f>
        <v>ASCONI MOSCATO SWEET WHITE 750ML</v>
      </c>
      <c r="E967" s="3" t="str">
        <f>IF(ISNA($D967),VLOOKUP($A967,[2]stockregister!$A$2:$B$2000,2,FALSE),"")</f>
        <v/>
      </c>
      <c r="F967" s="3" t="s">
        <v>21</v>
      </c>
      <c r="G967" s="3">
        <f>_xlfn.IFNA(VLOOKUP($A967,[3]stockregister!$A$2:$L$2000,11,0),0)</f>
        <v>1</v>
      </c>
      <c r="H967" s="3">
        <f>_xlfn.IFNA(VLOOKUP($A967,[3]stockregister!$A$2:$L$2000,11,0),0)-$G967</f>
        <v>0</v>
      </c>
      <c r="I967" s="3">
        <f>_xlfn.IFNA(VLOOKUP($A967,[3]stockregister!$A$2:$L$2000,12,0),0)</f>
        <v>1450</v>
      </c>
      <c r="J967" s="3">
        <f>_xlfn.IFNA(VLOOKUP($A967,[3]stockregister!$A$1:$M$2000,12,0),0)-$I967</f>
        <v>0</v>
      </c>
      <c r="K967" s="3" t="s">
        <v>22</v>
      </c>
      <c r="L967" s="3" t="s">
        <v>23</v>
      </c>
      <c r="M967" s="3">
        <f>_xlfn.IFNA(VLOOKUP($A967,[2]stockregister!$A$2:$H$2000,8,0),0)</f>
        <v>1500</v>
      </c>
      <c r="N967" s="3">
        <f>_xlfn.IFNA(VLOOKUP($A967,[2]stockregister!$A$2:$H$2000,8,0),0)-$M967</f>
        <v>0</v>
      </c>
      <c r="O967" s="3" t="s">
        <v>2280</v>
      </c>
      <c r="P967" s="3" t="s">
        <v>2280</v>
      </c>
      <c r="Q967" s="3" t="s">
        <v>966</v>
      </c>
      <c r="R967" s="3" t="s">
        <v>537</v>
      </c>
      <c r="S967" s="3" t="s">
        <v>69</v>
      </c>
    </row>
    <row r="968" spans="1:19">
      <c r="A968" s="3">
        <v>2416</v>
      </c>
      <c r="B968" s="3" t="b">
        <f>ISNUMBER(MATCH(A968,[1]stockregister!$A$2:$A$2000,0))</f>
        <v>1</v>
      </c>
      <c r="C968" s="3" t="s">
        <v>439</v>
      </c>
      <c r="D968" s="3" t="str">
        <f>VLOOKUP($C968,[1]stockregister!$B$2:$B$2000,1,0)</f>
        <v>ROSSO BIANCO NOBILE ALLA VANIGLIA 750ML</v>
      </c>
      <c r="E968" s="3" t="str">
        <f>IF(ISNA($D968),VLOOKUP($A968,[2]stockregister!$A$2:$B$2000,2,FALSE),"")</f>
        <v/>
      </c>
      <c r="F968" s="3" t="s">
        <v>21</v>
      </c>
      <c r="G968" s="3">
        <f>_xlfn.IFNA(VLOOKUP($A968,[3]stockregister!$A$2:$L$2000,11,0),0)</f>
        <v>124</v>
      </c>
      <c r="H968" s="3">
        <f>_xlfn.IFNA(VLOOKUP($A968,[3]stockregister!$A$2:$L$2000,11,0),0)-$G968</f>
        <v>0</v>
      </c>
      <c r="I968" s="3">
        <f>_xlfn.IFNA(VLOOKUP($A968,[3]stockregister!$A$2:$L$2000,12,0),0)</f>
        <v>1100</v>
      </c>
      <c r="J968" s="3">
        <f>_xlfn.IFNA(VLOOKUP($A968,[3]stockregister!$A$1:$M$2000,12,0),0)-$I968</f>
        <v>0</v>
      </c>
      <c r="K968" s="3" t="s">
        <v>22</v>
      </c>
      <c r="L968" s="3" t="s">
        <v>23</v>
      </c>
      <c r="M968" s="3">
        <f>_xlfn.IFNA(VLOOKUP($A968,[2]stockregister!$A$2:$H$2000,8,0),0)</f>
        <v>1200</v>
      </c>
      <c r="N968" s="3">
        <f>_xlfn.IFNA(VLOOKUP($A968,[2]stockregister!$A$2:$H$2000,8,0),0)-$M968</f>
        <v>0</v>
      </c>
      <c r="O968" s="3" t="s">
        <v>2281</v>
      </c>
      <c r="P968" s="3" t="s">
        <v>2281</v>
      </c>
      <c r="Q968" s="3" t="s">
        <v>2282</v>
      </c>
      <c r="R968" s="3" t="s">
        <v>537</v>
      </c>
      <c r="S968" s="3" t="s">
        <v>69</v>
      </c>
    </row>
    <row r="969" spans="1:19">
      <c r="A969" s="3">
        <v>25</v>
      </c>
      <c r="B969" s="3" t="b">
        <f>ISNUMBER(MATCH(A969,[1]stockregister!$A$2:$A$2000,0))</f>
        <v>1</v>
      </c>
      <c r="C969" s="3" t="s">
        <v>2283</v>
      </c>
      <c r="D969" s="3" t="str">
        <f>VLOOKUP($C969,[1]stockregister!$B$2:$B$2000,1,0)</f>
        <v>5TH CARINO SWEET WHITE 750ML</v>
      </c>
      <c r="E969" s="3" t="str">
        <f>IF(ISNA($D969),VLOOKUP($A969,[2]stockregister!$A$2:$B$2000,2,FALSE),"")</f>
        <v/>
      </c>
      <c r="F969" s="3" t="s">
        <v>21</v>
      </c>
      <c r="G969" s="3">
        <f>_xlfn.IFNA(VLOOKUP($A969,[3]stockregister!$A$2:$L$2000,11,0),0)</f>
        <v>1</v>
      </c>
      <c r="H969" s="3">
        <f>_xlfn.IFNA(VLOOKUP($A969,[3]stockregister!$A$2:$L$2000,11,0),0)-$G969</f>
        <v>0</v>
      </c>
      <c r="I969" s="3">
        <f>_xlfn.IFNA(VLOOKUP($A969,[3]stockregister!$A$2:$L$2000,12,0),0)</f>
        <v>598</v>
      </c>
      <c r="J969" s="3">
        <f>_xlfn.IFNA(VLOOKUP($A969,[3]stockregister!$A$1:$M$2000,12,0),0)-$I969</f>
        <v>0</v>
      </c>
      <c r="K969" s="3" t="s">
        <v>22</v>
      </c>
      <c r="L969" s="3" t="s">
        <v>23</v>
      </c>
      <c r="M969" s="3">
        <f>_xlfn.IFNA(VLOOKUP($A969,[2]stockregister!$A$2:$H$2000,8,0),0)</f>
        <v>650</v>
      </c>
      <c r="N969" s="3">
        <f>_xlfn.IFNA(VLOOKUP($A969,[2]stockregister!$A$2:$H$2000,8,0),0)-$M969</f>
        <v>0</v>
      </c>
      <c r="O969" s="3" t="s">
        <v>2284</v>
      </c>
      <c r="P969" s="3" t="s">
        <v>2284</v>
      </c>
      <c r="Q969" s="3" t="s">
        <v>2130</v>
      </c>
      <c r="R969" s="3" t="s">
        <v>68</v>
      </c>
      <c r="S969" s="3" t="s">
        <v>69</v>
      </c>
    </row>
    <row r="970" spans="1:19">
      <c r="A970" s="3">
        <v>1327</v>
      </c>
      <c r="B970" s="3" t="b">
        <f>ISNUMBER(MATCH(A970,[1]stockregister!$A$2:$A$2000,0))</f>
        <v>1</v>
      </c>
      <c r="C970" s="3" t="s">
        <v>2285</v>
      </c>
      <c r="D970" s="3" t="str">
        <f>VLOOKUP($C970,[1]stockregister!$B$2:$B$2000,1,0)</f>
        <v>LUIS FELIPE WHITE 750ML</v>
      </c>
      <c r="E970" s="3" t="str">
        <f>IF(ISNA($D970),VLOOKUP($A970,[2]stockregister!$A$2:$B$2000,2,FALSE),"")</f>
        <v/>
      </c>
      <c r="F970" s="3" t="s">
        <v>21</v>
      </c>
      <c r="G970" s="3">
        <f>_xlfn.IFNA(VLOOKUP($A970,[3]stockregister!$A$2:$L$2000,11,0),0)</f>
        <v>1</v>
      </c>
      <c r="H970" s="3">
        <f>_xlfn.IFNA(VLOOKUP($A970,[3]stockregister!$A$2:$L$2000,11,0),0)-$G970</f>
        <v>0</v>
      </c>
      <c r="I970" s="3">
        <f>_xlfn.IFNA(VLOOKUP($A970,[3]stockregister!$A$2:$L$2000,12,0),0)</f>
        <v>966</v>
      </c>
      <c r="J970" s="3">
        <f>_xlfn.IFNA(VLOOKUP($A970,[3]stockregister!$A$1:$M$2000,12,0),0)-$I970</f>
        <v>0</v>
      </c>
      <c r="K970" s="3" t="s">
        <v>22</v>
      </c>
      <c r="L970" s="3" t="s">
        <v>23</v>
      </c>
      <c r="M970" s="3">
        <f>_xlfn.IFNA(VLOOKUP($A970,[2]stockregister!$A$2:$H$2000,8,0),0)</f>
        <v>1050</v>
      </c>
      <c r="N970" s="3">
        <f>_xlfn.IFNA(VLOOKUP($A970,[2]stockregister!$A$2:$H$2000,8,0),0)-$M970</f>
        <v>0</v>
      </c>
      <c r="O970" s="3" t="s">
        <v>2286</v>
      </c>
      <c r="P970" s="3" t="s">
        <v>2286</v>
      </c>
      <c r="Q970" s="3" t="s">
        <v>2287</v>
      </c>
      <c r="R970" s="3" t="s">
        <v>68</v>
      </c>
      <c r="S970" s="3" t="s">
        <v>157</v>
      </c>
    </row>
    <row r="971" spans="1:19">
      <c r="A971" s="3">
        <v>85</v>
      </c>
      <c r="B971" s="3" t="b">
        <f>ISNUMBER(MATCH(A971,[1]stockregister!$A$2:$A$2000,0))</f>
        <v>1</v>
      </c>
      <c r="C971" s="3" t="s">
        <v>2288</v>
      </c>
      <c r="D971" s="3" t="str">
        <f>VLOOKUP($C971,[1]stockregister!$B$2:$B$2000,1,0)</f>
        <v>AMANI BAY FRESH WHITE 750ML</v>
      </c>
      <c r="E971" s="3" t="str">
        <f>IF(ISNA($D971),VLOOKUP($A971,[2]stockregister!$A$2:$B$2000,2,FALSE),"")</f>
        <v/>
      </c>
      <c r="F971" s="3" t="s">
        <v>21</v>
      </c>
      <c r="G971" s="3">
        <f>_xlfn.IFNA(VLOOKUP($A971,[3]stockregister!$A$2:$L$2000,11,0),0)</f>
        <v>1</v>
      </c>
      <c r="H971" s="3">
        <f>_xlfn.IFNA(VLOOKUP($A971,[3]stockregister!$A$2:$L$2000,11,0),0)-$G971</f>
        <v>0</v>
      </c>
      <c r="I971" s="3">
        <f>_xlfn.IFNA(VLOOKUP($A971,[3]stockregister!$A$2:$L$2000,12,0),0)</f>
        <v>690</v>
      </c>
      <c r="J971" s="3">
        <f>_xlfn.IFNA(VLOOKUP($A971,[3]stockregister!$A$1:$M$2000,12,0),0)-$I971</f>
        <v>0</v>
      </c>
      <c r="K971" s="3" t="s">
        <v>22</v>
      </c>
      <c r="L971" s="3" t="s">
        <v>23</v>
      </c>
      <c r="M971" s="3">
        <f>_xlfn.IFNA(VLOOKUP($A971,[2]stockregister!$A$2:$H$2000,8,0),0)</f>
        <v>750</v>
      </c>
      <c r="N971" s="3">
        <f>_xlfn.IFNA(VLOOKUP($A971,[2]stockregister!$A$2:$H$2000,8,0),0)-$M971</f>
        <v>0</v>
      </c>
      <c r="O971" s="3" t="s">
        <v>2289</v>
      </c>
      <c r="P971" s="3" t="s">
        <v>2289</v>
      </c>
      <c r="Q971" s="3" t="s">
        <v>2232</v>
      </c>
      <c r="R971" s="3" t="s">
        <v>68</v>
      </c>
      <c r="S971" s="3" t="s">
        <v>157</v>
      </c>
    </row>
    <row r="972" spans="1:19">
      <c r="A972" s="3">
        <v>1534</v>
      </c>
      <c r="B972" s="3" t="b">
        <f>ISNUMBER(MATCH(A972,[1]stockregister!$A$2:$A$2000,0))</f>
        <v>1</v>
      </c>
      <c r="C972" s="3" t="s">
        <v>2290</v>
      </c>
      <c r="D972" s="3" t="str">
        <f>VLOOKUP($C972,[1]stockregister!$B$2:$B$2000,1,0)</f>
        <v>NOBLE WHITE 750ML</v>
      </c>
      <c r="E972" s="3" t="str">
        <f>IF(ISNA($D972),VLOOKUP($A972,[2]stockregister!$A$2:$B$2000,2,FALSE),"")</f>
        <v/>
      </c>
      <c r="F972" s="3" t="s">
        <v>21</v>
      </c>
      <c r="G972" s="3">
        <f>_xlfn.IFNA(VLOOKUP($A972,[3]stockregister!$A$2:$L$2000,11,0),0)</f>
        <v>1</v>
      </c>
      <c r="H972" s="3">
        <f>_xlfn.IFNA(VLOOKUP($A972,[3]stockregister!$A$2:$L$2000,11,0),0)-$G972</f>
        <v>0</v>
      </c>
      <c r="I972" s="3">
        <f>_xlfn.IFNA(VLOOKUP($A972,[3]stockregister!$A$2:$L$2000,12,0),0)</f>
        <v>920</v>
      </c>
      <c r="J972" s="3">
        <f>_xlfn.IFNA(VLOOKUP($A972,[3]stockregister!$A$1:$M$2000,12,0),0)-$I972</f>
        <v>0</v>
      </c>
      <c r="K972" s="3" t="s">
        <v>22</v>
      </c>
      <c r="L972" s="3" t="s">
        <v>23</v>
      </c>
      <c r="M972" s="3">
        <f>_xlfn.IFNA(VLOOKUP($A972,[2]stockregister!$A$2:$H$2000,8,0),0)</f>
        <v>1000</v>
      </c>
      <c r="N972" s="3">
        <f>_xlfn.IFNA(VLOOKUP($A972,[2]stockregister!$A$2:$H$2000,8,0),0)-$M972</f>
        <v>0</v>
      </c>
      <c r="O972" s="3" t="s">
        <v>2291</v>
      </c>
      <c r="P972" s="3" t="s">
        <v>2291</v>
      </c>
      <c r="Q972" s="3" t="s">
        <v>1931</v>
      </c>
      <c r="R972" s="3" t="s">
        <v>68</v>
      </c>
      <c r="S972" s="3" t="s">
        <v>157</v>
      </c>
    </row>
    <row r="973" spans="1:18">
      <c r="A973" s="3">
        <v>2264</v>
      </c>
      <c r="B973" s="3" t="b">
        <f>ISNUMBER(MATCH(A973,[1]stockregister!$A$2:$A$2000,0))</f>
        <v>1</v>
      </c>
      <c r="C973" s="3" t="s">
        <v>2292</v>
      </c>
      <c r="D973" s="3" t="str">
        <f>VLOOKUP($C973,[1]stockregister!$B$2:$B$2000,1,0)</f>
        <v>BLACK STALLION 750ML</v>
      </c>
      <c r="E973" s="3" t="str">
        <f>IF(ISNA($D973),VLOOKUP($A973,[2]stockregister!$A$2:$B$2000,2,FALSE),"")</f>
        <v/>
      </c>
      <c r="F973" s="3" t="s">
        <v>21</v>
      </c>
      <c r="G973" s="3">
        <f>_xlfn.IFNA(VLOOKUP($A973,[3]stockregister!$A$2:$L$2000,11,0),0)</f>
        <v>1</v>
      </c>
      <c r="H973" s="3">
        <f>_xlfn.IFNA(VLOOKUP($A973,[3]stockregister!$A$2:$L$2000,11,0),0)-$G973</f>
        <v>0</v>
      </c>
      <c r="I973" s="3">
        <f>_xlfn.IFNA(VLOOKUP($A973,[3]stockregister!$A$2:$L$2000,12,0),0)</f>
        <v>600</v>
      </c>
      <c r="J973" s="3">
        <f>_xlfn.IFNA(VLOOKUP($A973,[3]stockregister!$A$1:$M$2000,12,0),0)-$I973</f>
        <v>0</v>
      </c>
      <c r="K973" s="3" t="s">
        <v>22</v>
      </c>
      <c r="L973" s="3" t="s">
        <v>23</v>
      </c>
      <c r="M973" s="3">
        <f>_xlfn.IFNA(VLOOKUP($A973,[2]stockregister!$A$2:$H$2000,8,0),0)</f>
        <v>700</v>
      </c>
      <c r="N973" s="3">
        <f>_xlfn.IFNA(VLOOKUP($A973,[2]stockregister!$A$2:$H$2000,8,0),0)-$M973</f>
        <v>0</v>
      </c>
      <c r="O973" s="3" t="s">
        <v>2293</v>
      </c>
      <c r="P973" s="3" t="s">
        <v>2293</v>
      </c>
      <c r="Q973" s="3" t="s">
        <v>2294</v>
      </c>
      <c r="R973" s="3" t="s">
        <v>537</v>
      </c>
    </row>
    <row r="974" spans="1:18">
      <c r="A974" s="3">
        <v>409</v>
      </c>
      <c r="B974" s="3" t="b">
        <f>ISNUMBER(MATCH(A974,[1]stockregister!$A$2:$A$2000,0))</f>
        <v>1</v>
      </c>
      <c r="C974" s="3" t="s">
        <v>2295</v>
      </c>
      <c r="D974" s="3" t="str">
        <f>VLOOKUP($C974,[1]stockregister!$B$2:$B$2000,1,0)</f>
        <v>CASILELLERO DEL DIABLO 750ML</v>
      </c>
      <c r="E974" s="3" t="str">
        <f>IF(ISNA($D974),VLOOKUP($A974,[2]stockregister!$A$2:$B$2000,2,FALSE),"")</f>
        <v/>
      </c>
      <c r="F974" s="3" t="s">
        <v>21</v>
      </c>
      <c r="G974" s="3">
        <f>_xlfn.IFNA(VLOOKUP($A974,[3]stockregister!$A$2:$L$2000,11,0),0)</f>
        <v>1</v>
      </c>
      <c r="H974" s="3">
        <f>_xlfn.IFNA(VLOOKUP($A974,[3]stockregister!$A$2:$L$2000,11,0),0)-$G974</f>
        <v>0</v>
      </c>
      <c r="I974" s="3">
        <f>_xlfn.IFNA(VLOOKUP($A974,[3]stockregister!$A$2:$L$2000,12,0),0)</f>
        <v>1380</v>
      </c>
      <c r="J974" s="3">
        <f>_xlfn.IFNA(VLOOKUP($A974,[3]stockregister!$A$1:$M$2000,12,0),0)-$I974</f>
        <v>0</v>
      </c>
      <c r="K974" s="3" t="s">
        <v>22</v>
      </c>
      <c r="L974" s="3" t="s">
        <v>23</v>
      </c>
      <c r="M974" s="3">
        <f>_xlfn.IFNA(VLOOKUP($A974,[2]stockregister!$A$2:$H$2000,8,0),0)</f>
        <v>1500</v>
      </c>
      <c r="N974" s="3">
        <f>_xlfn.IFNA(VLOOKUP($A974,[2]stockregister!$A$2:$H$2000,8,0),0)-$M974</f>
        <v>0</v>
      </c>
      <c r="O974" s="3" t="s">
        <v>2296</v>
      </c>
      <c r="P974" s="3" t="s">
        <v>2296</v>
      </c>
      <c r="Q974" s="3" t="s">
        <v>2297</v>
      </c>
      <c r="R974" s="3" t="s">
        <v>537</v>
      </c>
    </row>
    <row r="975" spans="1:18">
      <c r="A975" s="3">
        <v>2178</v>
      </c>
      <c r="B975" s="3" t="b">
        <f>ISNUMBER(MATCH(A975,[1]stockregister!$A$2:$A$2000,0))</f>
        <v>1</v>
      </c>
      <c r="C975" s="3" t="s">
        <v>2298</v>
      </c>
      <c r="D975" s="3" t="str">
        <f>VLOOKUP($C975,[1]stockregister!$B$2:$B$2000,1,0)</f>
        <v>ARCADIA DEMI SEC 750ML</v>
      </c>
      <c r="E975" s="3" t="str">
        <f>IF(ISNA($D975),VLOOKUP($A975,[2]stockregister!$A$2:$B$2000,2,FALSE),"")</f>
        <v/>
      </c>
      <c r="F975" s="3" t="s">
        <v>21</v>
      </c>
      <c r="G975" s="3">
        <f>_xlfn.IFNA(VLOOKUP($A975,[3]stockregister!$A$2:$L$2000,11,0),0)</f>
        <v>1</v>
      </c>
      <c r="H975" s="3">
        <f>_xlfn.IFNA(VLOOKUP($A975,[3]stockregister!$A$2:$L$2000,11,0),0)-$G975</f>
        <v>0</v>
      </c>
      <c r="I975" s="3">
        <f>_xlfn.IFNA(VLOOKUP($A975,[3]stockregister!$A$2:$L$2000,12,0),0)</f>
        <v>750</v>
      </c>
      <c r="J975" s="3">
        <f>_xlfn.IFNA(VLOOKUP($A975,[3]stockregister!$A$1:$M$2000,12,0),0)-$I975</f>
        <v>0</v>
      </c>
      <c r="K975" s="3" t="s">
        <v>22</v>
      </c>
      <c r="L975" s="3" t="s">
        <v>23</v>
      </c>
      <c r="M975" s="3">
        <f>_xlfn.IFNA(VLOOKUP($A975,[2]stockregister!$A$2:$H$2000,8,0),0)</f>
        <v>800</v>
      </c>
      <c r="N975" s="3">
        <f>_xlfn.IFNA(VLOOKUP($A975,[2]stockregister!$A$2:$H$2000,8,0),0)-$M975</f>
        <v>0</v>
      </c>
      <c r="O975" s="3" t="s">
        <v>2299</v>
      </c>
      <c r="P975" s="3" t="s">
        <v>2299</v>
      </c>
      <c r="Q975" s="3" t="s">
        <v>2300</v>
      </c>
      <c r="R975" s="3" t="s">
        <v>537</v>
      </c>
    </row>
    <row r="976" spans="1:19">
      <c r="A976" s="3">
        <v>2923</v>
      </c>
      <c r="B976" s="3" t="b">
        <f>ISNUMBER(MATCH(A976,[1]stockregister!$A$2:$A$2000,0))</f>
        <v>1</v>
      </c>
      <c r="C976" s="3" t="s">
        <v>2301</v>
      </c>
      <c r="D976" s="3" t="str">
        <f>VLOOKUP($C976,[1]stockregister!$B$2:$B$2000,1,0)</f>
        <v>GRANDE RESERVE LE LYS ROUGE BORDEAUX RED 750ML</v>
      </c>
      <c r="E976" s="3" t="str">
        <f>IF(ISNA($D976),VLOOKUP($A976,[2]stockregister!$A$2:$B$2000,2,FALSE),"")</f>
        <v/>
      </c>
      <c r="F976" s="3" t="s">
        <v>21</v>
      </c>
      <c r="G976" s="3">
        <f>_xlfn.IFNA(VLOOKUP($A976,[3]stockregister!$A$2:$L$2000,11,0),0)</f>
        <v>19</v>
      </c>
      <c r="H976" s="3">
        <f>_xlfn.IFNA(VLOOKUP($A976,[3]stockregister!$A$2:$L$2000,11,0),0)-$G976</f>
        <v>0</v>
      </c>
      <c r="I976" s="3">
        <f>_xlfn.IFNA(VLOOKUP($A976,[3]stockregister!$A$2:$L$2000,12,0),0)</f>
        <v>850</v>
      </c>
      <c r="J976" s="3">
        <f>_xlfn.IFNA(VLOOKUP($A976,[3]stockregister!$A$1:$M$2000,12,0),0)-$I976</f>
        <v>0</v>
      </c>
      <c r="K976" s="3" t="s">
        <v>22</v>
      </c>
      <c r="L976" s="3" t="s">
        <v>23</v>
      </c>
      <c r="M976" s="3">
        <f>_xlfn.IFNA(VLOOKUP($A976,[2]stockregister!$A$2:$H$2000,8,0),0)</f>
        <v>950</v>
      </c>
      <c r="N976" s="3">
        <f>_xlfn.IFNA(VLOOKUP($A976,[2]stockregister!$A$2:$H$2000,8,0),0)-$M976</f>
        <v>0</v>
      </c>
      <c r="O976" s="3" t="s">
        <v>2302</v>
      </c>
      <c r="P976" s="3" t="s">
        <v>2302</v>
      </c>
      <c r="Q976" s="3" t="s">
        <v>2303</v>
      </c>
      <c r="R976" s="3" t="s">
        <v>68</v>
      </c>
      <c r="S976" s="3" t="s">
        <v>1142</v>
      </c>
    </row>
    <row r="977" spans="1:19">
      <c r="A977" s="3">
        <v>1685</v>
      </c>
      <c r="B977" s="3" t="b">
        <f>ISNUMBER(MATCH(A977,[1]stockregister!$A$2:$A$2000,0))</f>
        <v>1</v>
      </c>
      <c r="C977" s="3" t="s">
        <v>2304</v>
      </c>
      <c r="D977" s="3" t="str">
        <f>VLOOKUP($C977,[1]stockregister!$B$2:$B$2000,1,0)</f>
        <v>ROLLER PREMIUM CRISP APPLE 330ml</v>
      </c>
      <c r="E977" s="3" t="str">
        <f>IF(ISNA($D977),VLOOKUP($A977,[2]stockregister!$A$2:$B$2000,2,FALSE),"")</f>
        <v/>
      </c>
      <c r="F977" s="3" t="s">
        <v>21</v>
      </c>
      <c r="G977" s="3">
        <f>_xlfn.IFNA(VLOOKUP($A977,[3]stockregister!$A$2:$L$2000,11,0),0)</f>
        <v>0</v>
      </c>
      <c r="H977" s="3">
        <f>_xlfn.IFNA(VLOOKUP($A977,[3]stockregister!$A$2:$L$2000,11,0),0)-$G977</f>
        <v>0</v>
      </c>
      <c r="I977" s="3">
        <f>_xlfn.IFNA(VLOOKUP($A977,[3]stockregister!$A$2:$L$2000,12,0),0)</f>
        <v>156.4</v>
      </c>
      <c r="J977" s="3">
        <f>_xlfn.IFNA(VLOOKUP($A977,[3]stockregister!$A$1:$M$2000,12,0),0)-$I977</f>
        <v>0</v>
      </c>
      <c r="K977" s="3" t="s">
        <v>22</v>
      </c>
      <c r="L977" s="3" t="s">
        <v>23</v>
      </c>
      <c r="M977" s="3">
        <f>_xlfn.IFNA(VLOOKUP($A977,[2]stockregister!$A$2:$H$2000,8,0),0)</f>
        <v>170</v>
      </c>
      <c r="N977" s="3">
        <f>_xlfn.IFNA(VLOOKUP($A977,[2]stockregister!$A$2:$H$2000,8,0),0)-$M977</f>
        <v>0</v>
      </c>
      <c r="O977" s="3" t="s">
        <v>2305</v>
      </c>
      <c r="P977" s="3" t="s">
        <v>2305</v>
      </c>
      <c r="Q977" s="3" t="s">
        <v>2306</v>
      </c>
      <c r="R977" s="3" t="s">
        <v>97</v>
      </c>
      <c r="S977" s="3" t="s">
        <v>352</v>
      </c>
    </row>
    <row r="978" spans="1:19">
      <c r="A978" s="3">
        <v>599</v>
      </c>
      <c r="B978" s="3" t="b">
        <f>ISNUMBER(MATCH(A978,[1]stockregister!$A$2:$A$2000,0))</f>
        <v>1</v>
      </c>
      <c r="C978" s="3" t="s">
        <v>2307</v>
      </c>
      <c r="D978" s="3" t="str">
        <f>VLOOKUP($C978,[1]stockregister!$B$2:$B$2000,1,0)</f>
        <v>DESPERADOS 500ML</v>
      </c>
      <c r="E978" s="3" t="str">
        <f>IF(ISNA($D978),VLOOKUP($A978,[2]stockregister!$A$2:$B$2000,2,FALSE),"")</f>
        <v/>
      </c>
      <c r="F978" s="3" t="s">
        <v>21</v>
      </c>
      <c r="G978" s="3">
        <f>_xlfn.IFNA(VLOOKUP($A978,[3]stockregister!$A$2:$L$2000,11,0),0)</f>
        <v>0</v>
      </c>
      <c r="H978" s="3">
        <f>_xlfn.IFNA(VLOOKUP($A978,[3]stockregister!$A$2:$L$2000,11,0),0)-$G978</f>
        <v>0</v>
      </c>
      <c r="I978" s="3">
        <f>_xlfn.IFNA(VLOOKUP($A978,[3]stockregister!$A$2:$L$2000,12,0),0)</f>
        <v>270</v>
      </c>
      <c r="J978" s="3">
        <f>_xlfn.IFNA(VLOOKUP($A978,[3]stockregister!$A$1:$M$2000,12,0),0)-$I978</f>
        <v>0</v>
      </c>
      <c r="K978" s="3" t="s">
        <v>22</v>
      </c>
      <c r="L978" s="3" t="s">
        <v>23</v>
      </c>
      <c r="M978" s="3">
        <f>_xlfn.IFNA(VLOOKUP($A978,[2]stockregister!$A$2:$H$2000,8,0),0)</f>
        <v>320</v>
      </c>
      <c r="N978" s="3">
        <f>_xlfn.IFNA(VLOOKUP($A978,[2]stockregister!$A$2:$H$2000,8,0),0)-$M978</f>
        <v>0</v>
      </c>
      <c r="O978" s="3" t="s">
        <v>2308</v>
      </c>
      <c r="P978" s="3" t="s">
        <v>2308</v>
      </c>
      <c r="Q978" s="3" t="s">
        <v>770</v>
      </c>
      <c r="R978" s="3" t="s">
        <v>97</v>
      </c>
      <c r="S978" s="3" t="s">
        <v>176</v>
      </c>
    </row>
    <row r="979" spans="1:19">
      <c r="A979" s="3">
        <v>1384</v>
      </c>
      <c r="B979" s="3" t="b">
        <f>ISNUMBER(MATCH(A979,[1]stockregister!$A$2:$A$2000,0))</f>
        <v>1</v>
      </c>
      <c r="C979" s="3" t="s">
        <v>2309</v>
      </c>
      <c r="D979" s="3" t="str">
        <f>VLOOKUP($C979,[1]stockregister!$B$2:$B$2000,1,0)</f>
        <v>MANYATTA CIDER 330ML</v>
      </c>
      <c r="E979" s="3" t="str">
        <f>IF(ISNA($D979),VLOOKUP($A979,[2]stockregister!$A$2:$B$2000,2,FALSE),"")</f>
        <v/>
      </c>
      <c r="F979" s="3" t="s">
        <v>21</v>
      </c>
      <c r="G979" s="3">
        <f>_xlfn.IFNA(VLOOKUP($A979,[3]stockregister!$A$2:$L$2000,11,0),0)</f>
        <v>0</v>
      </c>
      <c r="H979" s="3">
        <f>_xlfn.IFNA(VLOOKUP($A979,[3]stockregister!$A$2:$L$2000,11,0),0)-$G979</f>
        <v>0</v>
      </c>
      <c r="I979" s="3">
        <f>_xlfn.IFNA(VLOOKUP($A979,[3]stockregister!$A$2:$L$2000,12,0),0)</f>
        <v>220</v>
      </c>
      <c r="J979" s="3">
        <f>_xlfn.IFNA(VLOOKUP($A979,[3]stockregister!$A$1:$M$2000,12,0),0)-$I979</f>
        <v>0</v>
      </c>
      <c r="K979" s="3" t="s">
        <v>22</v>
      </c>
      <c r="L979" s="3" t="s">
        <v>23</v>
      </c>
      <c r="M979" s="3">
        <f>_xlfn.IFNA(VLOOKUP($A979,[2]stockregister!$A$2:$H$2000,8,0),0)</f>
        <v>260</v>
      </c>
      <c r="N979" s="3">
        <f>_xlfn.IFNA(VLOOKUP($A979,[2]stockregister!$A$2:$H$2000,8,0),0)-$M979</f>
        <v>0</v>
      </c>
      <c r="O979" s="3" t="s">
        <v>2310</v>
      </c>
      <c r="P979" s="3" t="s">
        <v>2310</v>
      </c>
      <c r="Q979" s="3" t="s">
        <v>215</v>
      </c>
      <c r="R979" s="3" t="s">
        <v>97</v>
      </c>
      <c r="S979" s="3" t="s">
        <v>2311</v>
      </c>
    </row>
    <row r="980" spans="1:19">
      <c r="A980" s="3">
        <v>2127</v>
      </c>
      <c r="B980" s="3" t="b">
        <f>ISNUMBER(MATCH(A980,[1]stockregister!$A$2:$A$2000,0))</f>
        <v>1</v>
      </c>
      <c r="C980" s="3" t="s">
        <v>2312</v>
      </c>
      <c r="D980" s="3" t="str">
        <f>VLOOKUP($C980,[1]stockregister!$B$2:$B$2000,1,0)</f>
        <v>WINDHOEK DRAUGHT NRB 440ML</v>
      </c>
      <c r="E980" s="3" t="str">
        <f>IF(ISNA($D980),VLOOKUP($A980,[2]stockregister!$A$2:$B$2000,2,FALSE),"")</f>
        <v/>
      </c>
      <c r="F980" s="3" t="s">
        <v>21</v>
      </c>
      <c r="G980" s="3">
        <f>_xlfn.IFNA(VLOOKUP($A980,[3]stockregister!$A$2:$L$2000,11,0),0)</f>
        <v>696</v>
      </c>
      <c r="H980" s="3">
        <f>_xlfn.IFNA(VLOOKUP($A980,[3]stockregister!$A$2:$L$2000,11,0),0)-$G980</f>
        <v>0</v>
      </c>
      <c r="I980" s="3">
        <f>_xlfn.IFNA(VLOOKUP($A980,[3]stockregister!$A$2:$L$2000,12,0),0)</f>
        <v>182.71</v>
      </c>
      <c r="J980" s="3">
        <f>_xlfn.IFNA(VLOOKUP($A980,[3]stockregister!$A$1:$M$2000,12,0),0)-$I980</f>
        <v>0</v>
      </c>
      <c r="K980" s="3" t="s">
        <v>22</v>
      </c>
      <c r="L980" s="3" t="s">
        <v>23</v>
      </c>
      <c r="M980" s="3">
        <f>_xlfn.IFNA(VLOOKUP($A980,[2]stockregister!$A$2:$H$2000,8,0),0)</f>
        <v>190</v>
      </c>
      <c r="N980" s="3">
        <f>_xlfn.IFNA(VLOOKUP($A980,[2]stockregister!$A$2:$H$2000,8,0),0)-$M980</f>
        <v>0</v>
      </c>
      <c r="O980" s="3" t="s">
        <v>2313</v>
      </c>
      <c r="P980" s="3" t="s">
        <v>2313</v>
      </c>
      <c r="Q980" s="3" t="s">
        <v>2314</v>
      </c>
      <c r="R980" s="3" t="s">
        <v>97</v>
      </c>
      <c r="S980" s="3" t="s">
        <v>2315</v>
      </c>
    </row>
    <row r="981" spans="1:19">
      <c r="A981" s="3">
        <v>997</v>
      </c>
      <c r="B981" s="3" t="b">
        <f>ISNUMBER(MATCH(A981,[1]stockregister!$A$2:$A$2000,0))</f>
        <v>1</v>
      </c>
      <c r="C981" s="3" t="s">
        <v>2316</v>
      </c>
      <c r="D981" s="3" t="str">
        <f>VLOOKUP($C981,[1]stockregister!$B$2:$B$2000,1,0)</f>
        <v>HUNTERS DRY 330ML</v>
      </c>
      <c r="E981" s="3" t="str">
        <f>IF(ISNA($D981),VLOOKUP($A981,[2]stockregister!$A$2:$B$2000,2,FALSE),"")</f>
        <v/>
      </c>
      <c r="F981" s="3" t="s">
        <v>21</v>
      </c>
      <c r="G981" s="3">
        <f>_xlfn.IFNA(VLOOKUP($A981,[3]stockregister!$A$2:$L$2000,11,0),0)</f>
        <v>792</v>
      </c>
      <c r="H981" s="3">
        <f>_xlfn.IFNA(VLOOKUP($A981,[3]stockregister!$A$2:$L$2000,11,0),0)-$G981</f>
        <v>0</v>
      </c>
      <c r="I981" s="3">
        <f>_xlfn.IFNA(VLOOKUP($A981,[3]stockregister!$A$2:$L$2000,12,0),0)</f>
        <v>191.81</v>
      </c>
      <c r="J981" s="3">
        <f>_xlfn.IFNA(VLOOKUP($A981,[3]stockregister!$A$1:$M$2000,12,0),0)-$I981</f>
        <v>0</v>
      </c>
      <c r="K981" s="3" t="s">
        <v>22</v>
      </c>
      <c r="L981" s="3" t="s">
        <v>23</v>
      </c>
      <c r="M981" s="3">
        <f>_xlfn.IFNA(VLOOKUP($A981,[2]stockregister!$A$2:$H$2000,8,0),0)</f>
        <v>195</v>
      </c>
      <c r="N981" s="3">
        <f>_xlfn.IFNA(VLOOKUP($A981,[2]stockregister!$A$2:$H$2000,8,0),0)-$M981</f>
        <v>0</v>
      </c>
      <c r="O981" s="3" t="s">
        <v>2317</v>
      </c>
      <c r="P981" s="3" t="s">
        <v>2317</v>
      </c>
      <c r="Q981" s="3" t="s">
        <v>2318</v>
      </c>
      <c r="R981" s="3" t="s">
        <v>97</v>
      </c>
      <c r="S981" s="3" t="s">
        <v>2319</v>
      </c>
    </row>
    <row r="982" spans="1:19">
      <c r="A982" s="3">
        <v>704</v>
      </c>
      <c r="B982" s="3" t="b">
        <f>ISNUMBER(MATCH(A982,[1]stockregister!$A$2:$A$2000,0))</f>
        <v>1</v>
      </c>
      <c r="C982" s="3" t="s">
        <v>2320</v>
      </c>
      <c r="D982" s="3" t="str">
        <f>VLOOKUP($C982,[1]stockregister!$B$2:$B$2000,1,0)</f>
        <v>FITCH &amp; LEEDES CLASSIC GINGER BEER 300ML</v>
      </c>
      <c r="E982" s="3" t="str">
        <f>IF(ISNA($D982),VLOOKUP($A982,[2]stockregister!$A$2:$B$2000,2,FALSE),"")</f>
        <v/>
      </c>
      <c r="F982" s="3" t="s">
        <v>21</v>
      </c>
      <c r="G982" s="3">
        <f>_xlfn.IFNA(VLOOKUP($A982,[3]stockregister!$A$2:$L$2000,11,0),0)</f>
        <v>0</v>
      </c>
      <c r="H982" s="3">
        <f>_xlfn.IFNA(VLOOKUP($A982,[3]stockregister!$A$2:$L$2000,11,0),0)-$G982</f>
        <v>0</v>
      </c>
      <c r="I982" s="3">
        <f>_xlfn.IFNA(VLOOKUP($A982,[3]stockregister!$A$2:$L$2000,12,0),0)</f>
        <v>119.6</v>
      </c>
      <c r="J982" s="3">
        <f>_xlfn.IFNA(VLOOKUP($A982,[3]stockregister!$A$1:$M$2000,12,0),0)-$I982</f>
        <v>0</v>
      </c>
      <c r="K982" s="3" t="s">
        <v>22</v>
      </c>
      <c r="L982" s="3" t="s">
        <v>23</v>
      </c>
      <c r="M982" s="3">
        <f>_xlfn.IFNA(VLOOKUP($A982,[2]stockregister!$A$2:$H$2000,8,0),0)</f>
        <v>130</v>
      </c>
      <c r="N982" s="3">
        <f>_xlfn.IFNA(VLOOKUP($A982,[2]stockregister!$A$2:$H$2000,8,0),0)-$M982</f>
        <v>0</v>
      </c>
      <c r="O982" s="3" t="s">
        <v>2321</v>
      </c>
      <c r="P982" s="3" t="s">
        <v>2321</v>
      </c>
      <c r="Q982" s="3" t="s">
        <v>2322</v>
      </c>
      <c r="R982" s="3" t="s">
        <v>97</v>
      </c>
      <c r="S982" s="3" t="s">
        <v>2323</v>
      </c>
    </row>
    <row r="983" spans="1:19">
      <c r="A983" s="3">
        <v>2906</v>
      </c>
      <c r="B983" s="3" t="b">
        <f>ISNUMBER(MATCH(A983,[1]stockregister!$A$2:$A$2000,0))</f>
        <v>1</v>
      </c>
      <c r="C983" s="3" t="s">
        <v>2324</v>
      </c>
      <c r="D983" s="3" t="str">
        <f>VLOOKUP($C983,[1]stockregister!$B$2:$B$2000,1,0)</f>
        <v>BUDWEISER 500ML CAN</v>
      </c>
      <c r="E983" s="3" t="str">
        <f>IF(ISNA($D983),VLOOKUP($A983,[2]stockregister!$A$2:$B$2000,2,FALSE),"")</f>
        <v/>
      </c>
      <c r="F983" s="3" t="s">
        <v>21</v>
      </c>
      <c r="G983" s="3">
        <f>_xlfn.IFNA(VLOOKUP($A983,[3]stockregister!$A$2:$L$2000,11,0),0)</f>
        <v>0</v>
      </c>
      <c r="H983" s="3">
        <f>_xlfn.IFNA(VLOOKUP($A983,[3]stockregister!$A$2:$L$2000,11,0),0)-$G983</f>
        <v>0</v>
      </c>
      <c r="I983" s="3">
        <f>_xlfn.IFNA(VLOOKUP($A983,[3]stockregister!$A$2:$L$2000,12,0),0)</f>
        <v>220</v>
      </c>
      <c r="J983" s="3">
        <f>_xlfn.IFNA(VLOOKUP($A983,[3]stockregister!$A$1:$M$2000,12,0),0)-$I983</f>
        <v>0</v>
      </c>
      <c r="K983" s="3" t="s">
        <v>22</v>
      </c>
      <c r="L983" s="3" t="s">
        <v>23</v>
      </c>
      <c r="M983" s="3">
        <f>_xlfn.IFNA(VLOOKUP($A983,[2]stockregister!$A$2:$H$2000,8,0),0)</f>
        <v>230</v>
      </c>
      <c r="N983" s="3">
        <f>_xlfn.IFNA(VLOOKUP($A983,[2]stockregister!$A$2:$H$2000,8,0),0)-$M983</f>
        <v>0</v>
      </c>
      <c r="O983" s="3" t="s">
        <v>2325</v>
      </c>
      <c r="P983" s="3" t="s">
        <v>2325</v>
      </c>
      <c r="Q983" s="3" t="s">
        <v>192</v>
      </c>
      <c r="R983" s="3" t="s">
        <v>97</v>
      </c>
      <c r="S983" s="3" t="s">
        <v>98</v>
      </c>
    </row>
    <row r="984" spans="1:19">
      <c r="A984" s="3">
        <v>2408</v>
      </c>
      <c r="B984" s="3" t="b">
        <f>ISNUMBER(MATCH(A984,[1]stockregister!$A$2:$A$2000,0))</f>
        <v>1</v>
      </c>
      <c r="C984" s="3" t="s">
        <v>2326</v>
      </c>
      <c r="D984" s="3" t="str">
        <f>VLOOKUP($C984,[1]stockregister!$B$2:$B$2000,1,0)</f>
        <v>GUINESS CAN SMOOTH 330ML CAN</v>
      </c>
      <c r="E984" s="3" t="str">
        <f>IF(ISNA($D984),VLOOKUP($A984,[2]stockregister!$A$2:$B$2000,2,FALSE),"")</f>
        <v/>
      </c>
      <c r="F984" s="3" t="s">
        <v>21</v>
      </c>
      <c r="G984" s="3">
        <f>_xlfn.IFNA(VLOOKUP($A984,[3]stockregister!$A$2:$L$2000,11,0),0)</f>
        <v>0</v>
      </c>
      <c r="H984" s="3">
        <f>_xlfn.IFNA(VLOOKUP($A984,[3]stockregister!$A$2:$L$2000,11,0),0)-$G984</f>
        <v>0</v>
      </c>
      <c r="I984" s="3">
        <f>_xlfn.IFNA(VLOOKUP($A984,[3]stockregister!$A$2:$L$2000,12,0),0)</f>
        <v>172.55</v>
      </c>
      <c r="J984" s="3">
        <f>_xlfn.IFNA(VLOOKUP($A984,[3]stockregister!$A$1:$M$2000,12,0),0)-$I984</f>
        <v>0</v>
      </c>
      <c r="K984" s="3" t="s">
        <v>22</v>
      </c>
      <c r="L984" s="3" t="s">
        <v>23</v>
      </c>
      <c r="M984" s="3">
        <f>_xlfn.IFNA(VLOOKUP($A984,[2]stockregister!$A$2:$H$2000,8,0),0)</f>
        <v>180</v>
      </c>
      <c r="N984" s="3">
        <f>_xlfn.IFNA(VLOOKUP($A984,[2]stockregister!$A$2:$H$2000,8,0),0)-$M984</f>
        <v>0</v>
      </c>
      <c r="O984" s="3" t="s">
        <v>2327</v>
      </c>
      <c r="P984" s="3" t="s">
        <v>2327</v>
      </c>
      <c r="Q984" s="3" t="s">
        <v>621</v>
      </c>
      <c r="R984" s="3" t="s">
        <v>97</v>
      </c>
      <c r="S984" s="3" t="s">
        <v>98</v>
      </c>
    </row>
    <row r="985" spans="1:19">
      <c r="A985" s="3">
        <v>2435</v>
      </c>
      <c r="B985" s="3" t="b">
        <f>ISNUMBER(MATCH(A985,[1]stockregister!$A$2:$A$2000,0))</f>
        <v>1</v>
      </c>
      <c r="C985" s="3" t="s">
        <v>2328</v>
      </c>
      <c r="D985" s="3" t="str">
        <f>VLOOKUP($C985,[1]stockregister!$B$2:$B$2000,1,0)</f>
        <v>WHITECAP LAGER 500ML</v>
      </c>
      <c r="E985" s="3" t="str">
        <f>IF(ISNA($D985),VLOOKUP($A985,[2]stockregister!$A$2:$B$2000,2,FALSE),"")</f>
        <v/>
      </c>
      <c r="F985" s="3" t="s">
        <v>21</v>
      </c>
      <c r="G985" s="3">
        <f>_xlfn.IFNA(VLOOKUP($A985,[3]stockregister!$A$2:$L$2000,11,0),0)</f>
        <v>768</v>
      </c>
      <c r="H985" s="3">
        <f>_xlfn.IFNA(VLOOKUP($A985,[3]stockregister!$A$2:$L$2000,11,0),0)-$G985</f>
        <v>0</v>
      </c>
      <c r="I985" s="3">
        <f>_xlfn.IFNA(VLOOKUP($A985,[3]stockregister!$A$2:$L$2000,12,0),0)</f>
        <v>212.19</v>
      </c>
      <c r="J985" s="3">
        <f>_xlfn.IFNA(VLOOKUP($A985,[3]stockregister!$A$1:$M$2000,12,0),0)-$I985</f>
        <v>0</v>
      </c>
      <c r="K985" s="3" t="s">
        <v>22</v>
      </c>
      <c r="L985" s="3" t="s">
        <v>23</v>
      </c>
      <c r="M985" s="3">
        <f>_xlfn.IFNA(VLOOKUP($A985,[2]stockregister!$A$2:$H$2000,8,0),0)</f>
        <v>220</v>
      </c>
      <c r="N985" s="3">
        <f>_xlfn.IFNA(VLOOKUP($A985,[2]stockregister!$A$2:$H$2000,8,0),0)-$M985</f>
        <v>0</v>
      </c>
      <c r="O985" s="3" t="s">
        <v>2329</v>
      </c>
      <c r="P985" s="3" t="s">
        <v>2329</v>
      </c>
      <c r="Q985" s="3" t="s">
        <v>484</v>
      </c>
      <c r="R985" s="3" t="s">
        <v>97</v>
      </c>
      <c r="S985" s="3" t="s">
        <v>98</v>
      </c>
    </row>
    <row r="986" spans="1:19">
      <c r="A986" s="3">
        <v>2126</v>
      </c>
      <c r="B986" s="3" t="b">
        <f>ISNUMBER(MATCH(A986,[1]stockregister!$A$2:$A$2000,0))</f>
        <v>1</v>
      </c>
      <c r="C986" s="3" t="s">
        <v>2330</v>
      </c>
      <c r="D986" s="3" t="str">
        <f>VLOOKUP($C986,[1]stockregister!$B$2:$B$2000,1,0)</f>
        <v>WINDHOEK LAGER 33OML</v>
      </c>
      <c r="E986" s="3" t="str">
        <f>IF(ISNA($D986),VLOOKUP($A986,[2]stockregister!$A$2:$B$2000,2,FALSE),"")</f>
        <v/>
      </c>
      <c r="F986" s="3" t="s">
        <v>21</v>
      </c>
      <c r="G986" s="3">
        <f>_xlfn.IFNA(VLOOKUP($A986,[3]stockregister!$A$2:$L$2000,11,0),0)</f>
        <v>504</v>
      </c>
      <c r="H986" s="3">
        <f>_xlfn.IFNA(VLOOKUP($A986,[3]stockregister!$A$2:$L$2000,11,0),0)-$G986</f>
        <v>0</v>
      </c>
      <c r="I986" s="3">
        <f>_xlfn.IFNA(VLOOKUP($A986,[3]stockregister!$A$2:$L$2000,12,0),0)</f>
        <v>182.71</v>
      </c>
      <c r="J986" s="3">
        <f>_xlfn.IFNA(VLOOKUP($A986,[3]stockregister!$A$1:$M$2000,12,0),0)-$I986</f>
        <v>0</v>
      </c>
      <c r="K986" s="3" t="s">
        <v>22</v>
      </c>
      <c r="L986" s="3" t="s">
        <v>23</v>
      </c>
      <c r="M986" s="3">
        <f>_xlfn.IFNA(VLOOKUP($A986,[2]stockregister!$A$2:$H$2000,8,0),0)</f>
        <v>190</v>
      </c>
      <c r="N986" s="3">
        <f>_xlfn.IFNA(VLOOKUP($A986,[2]stockregister!$A$2:$H$2000,8,0),0)-$M986</f>
        <v>0</v>
      </c>
      <c r="O986" s="3" t="s">
        <v>2331</v>
      </c>
      <c r="P986" s="3" t="s">
        <v>2331</v>
      </c>
      <c r="Q986" s="3" t="s">
        <v>2314</v>
      </c>
      <c r="R986" s="3" t="s">
        <v>97</v>
      </c>
      <c r="S986" s="3" t="s">
        <v>98</v>
      </c>
    </row>
    <row r="987" spans="1:19">
      <c r="A987" s="3">
        <v>2482</v>
      </c>
      <c r="B987" s="3" t="b">
        <f>ISNUMBER(MATCH(A987,[1]stockregister!$A$2:$A$2000,0))</f>
        <v>1</v>
      </c>
      <c r="C987" s="3" t="s">
        <v>2332</v>
      </c>
      <c r="D987" s="3" t="str">
        <f>VLOOKUP($C987,[1]stockregister!$B$2:$B$2000,1,0)</f>
        <v>OJ 20% BEER</v>
      </c>
      <c r="E987" s="3" t="str">
        <f>IF(ISNA($D987),VLOOKUP($A987,[2]stockregister!$A$2:$B$2000,2,FALSE),"")</f>
        <v/>
      </c>
      <c r="F987" s="3" t="s">
        <v>21</v>
      </c>
      <c r="G987" s="3">
        <f>_xlfn.IFNA(VLOOKUP($A987,[3]stockregister!$A$2:$L$2000,11,0),0)</f>
        <v>0</v>
      </c>
      <c r="H987" s="3">
        <f>_xlfn.IFNA(VLOOKUP($A987,[3]stockregister!$A$2:$L$2000,11,0),0)-$G987</f>
        <v>0</v>
      </c>
      <c r="I987" s="3">
        <f>_xlfn.IFNA(VLOOKUP($A987,[3]stockregister!$A$2:$L$2000,12,0),0)</f>
        <v>357.4</v>
      </c>
      <c r="J987" s="3">
        <f>_xlfn.IFNA(VLOOKUP($A987,[3]stockregister!$A$1:$M$2000,12,0),0)-$I987</f>
        <v>0</v>
      </c>
      <c r="K987" s="3" t="s">
        <v>22</v>
      </c>
      <c r="L987" s="3" t="s">
        <v>23</v>
      </c>
      <c r="M987" s="3">
        <f>_xlfn.IFNA(VLOOKUP($A987,[2]stockregister!$A$2:$H$2000,8,0),0)</f>
        <v>374</v>
      </c>
      <c r="N987" s="3">
        <f>_xlfn.IFNA(VLOOKUP($A987,[2]stockregister!$A$2:$H$2000,8,0),0)-$M987</f>
        <v>0</v>
      </c>
      <c r="O987" s="3" t="s">
        <v>2333</v>
      </c>
      <c r="P987" s="3" t="s">
        <v>2333</v>
      </c>
      <c r="Q987" s="3" t="s">
        <v>2334</v>
      </c>
      <c r="R987" s="3" t="s">
        <v>97</v>
      </c>
      <c r="S987" s="3" t="s">
        <v>98</v>
      </c>
    </row>
    <row r="988" spans="1:19">
      <c r="A988" s="3">
        <v>2922</v>
      </c>
      <c r="B988" s="3" t="b">
        <f>ISNUMBER(MATCH(A988,[1]stockregister!$A$2:$A$2000,0))</f>
        <v>1</v>
      </c>
      <c r="C988" s="3" t="s">
        <v>2335</v>
      </c>
      <c r="D988" s="3" t="str">
        <f>VLOOKUP($C988,[1]stockregister!$B$2:$B$2000,1,0)</f>
        <v>TUBORG GREEN BOTTLE 330ML</v>
      </c>
      <c r="E988" s="3" t="str">
        <f>IF(ISNA($D988),VLOOKUP($A988,[2]stockregister!$A$2:$B$2000,2,FALSE),"")</f>
        <v/>
      </c>
      <c r="F988" s="3" t="s">
        <v>21</v>
      </c>
      <c r="G988" s="3">
        <f>_xlfn.IFNA(VLOOKUP($A988,[3]stockregister!$A$2:$L$2000,11,0),0)</f>
        <v>0</v>
      </c>
      <c r="H988" s="3">
        <f>_xlfn.IFNA(VLOOKUP($A988,[3]stockregister!$A$2:$L$2000,11,0),0)-$G988</f>
        <v>0</v>
      </c>
      <c r="I988" s="3">
        <f>_xlfn.IFNA(VLOOKUP($A988,[3]stockregister!$A$2:$L$2000,12,0),0)</f>
        <v>199</v>
      </c>
      <c r="J988" s="3">
        <f>_xlfn.IFNA(VLOOKUP($A988,[3]stockregister!$A$1:$M$2000,12,0),0)-$I988</f>
        <v>0</v>
      </c>
      <c r="K988" s="3" t="s">
        <v>22</v>
      </c>
      <c r="L988" s="3" t="s">
        <v>23</v>
      </c>
      <c r="M988" s="3">
        <f>_xlfn.IFNA(VLOOKUP($A988,[2]stockregister!$A$2:$H$2000,8,0),0)</f>
        <v>210</v>
      </c>
      <c r="N988" s="3">
        <f>_xlfn.IFNA(VLOOKUP($A988,[2]stockregister!$A$2:$H$2000,8,0),0)-$M988</f>
        <v>0</v>
      </c>
      <c r="O988" s="3" t="s">
        <v>2336</v>
      </c>
      <c r="P988" s="3" t="s">
        <v>2336</v>
      </c>
      <c r="Q988" s="3" t="s">
        <v>2337</v>
      </c>
      <c r="R988" s="3" t="s">
        <v>97</v>
      </c>
      <c r="S988" s="3" t="s">
        <v>98</v>
      </c>
    </row>
    <row r="989" spans="1:19">
      <c r="A989" s="3">
        <v>2020</v>
      </c>
      <c r="B989" s="3" t="b">
        <f>ISNUMBER(MATCH(A989,[1]stockregister!$A$2:$A$2000,0))</f>
        <v>1</v>
      </c>
      <c r="C989" s="3" t="s">
        <v>2338</v>
      </c>
      <c r="D989" s="3" t="str">
        <f>VLOOKUP($C989,[1]stockregister!$B$2:$B$2000,1,0)</f>
        <v>TUBORG GREEN CAN 500ML</v>
      </c>
      <c r="E989" s="3" t="str">
        <f>IF(ISNA($D989),VLOOKUP($A989,[2]stockregister!$A$2:$B$2000,2,FALSE),"")</f>
        <v/>
      </c>
      <c r="F989" s="3" t="s">
        <v>21</v>
      </c>
      <c r="G989" s="3">
        <f>_xlfn.IFNA(VLOOKUP($A989,[3]stockregister!$A$2:$L$2000,11,0),0)</f>
        <v>0</v>
      </c>
      <c r="H989" s="3">
        <f>_xlfn.IFNA(VLOOKUP($A989,[3]stockregister!$A$2:$L$2000,11,0),0)-$G989</f>
        <v>0</v>
      </c>
      <c r="I989" s="3">
        <f>_xlfn.IFNA(VLOOKUP($A989,[3]stockregister!$A$2:$L$2000,12,0),0)</f>
        <v>223</v>
      </c>
      <c r="J989" s="3">
        <f>_xlfn.IFNA(VLOOKUP($A989,[3]stockregister!$A$1:$M$2000,12,0),0)-$I989</f>
        <v>0</v>
      </c>
      <c r="K989" s="3" t="s">
        <v>22</v>
      </c>
      <c r="L989" s="3" t="s">
        <v>23</v>
      </c>
      <c r="M989" s="3">
        <f>_xlfn.IFNA(VLOOKUP($A989,[2]stockregister!$A$2:$H$2000,8,0),0)</f>
        <v>235</v>
      </c>
      <c r="N989" s="3">
        <f>_xlfn.IFNA(VLOOKUP($A989,[2]stockregister!$A$2:$H$2000,8,0),0)-$M989</f>
        <v>0</v>
      </c>
      <c r="O989" s="3" t="s">
        <v>2339</v>
      </c>
      <c r="P989" s="3" t="s">
        <v>2339</v>
      </c>
      <c r="Q989" s="3" t="s">
        <v>2337</v>
      </c>
      <c r="R989" s="3" t="s">
        <v>97</v>
      </c>
      <c r="S989" s="3" t="s">
        <v>98</v>
      </c>
    </row>
    <row r="990" spans="1:19">
      <c r="A990" s="3">
        <v>928</v>
      </c>
      <c r="B990" s="3" t="b">
        <f>ISNUMBER(MATCH(A990,[1]stockregister!$A$2:$A$2000,0))</f>
        <v>1</v>
      </c>
      <c r="C990" s="3" t="s">
        <v>2340</v>
      </c>
      <c r="D990" s="3" t="str">
        <f>VLOOKUP($C990,[1]stockregister!$B$2:$B$2000,1,0)</f>
        <v>GUINESS SMOOTH CAN 500ML</v>
      </c>
      <c r="E990" s="3" t="str">
        <f>IF(ISNA($D990),VLOOKUP($A990,[2]stockregister!$A$2:$B$2000,2,FALSE),"")</f>
        <v/>
      </c>
      <c r="F990" s="3" t="s">
        <v>21</v>
      </c>
      <c r="G990" s="3">
        <f>_xlfn.IFNA(VLOOKUP($A990,[3]stockregister!$A$2:$L$2000,11,0),0)</f>
        <v>0</v>
      </c>
      <c r="H990" s="3">
        <f>_xlfn.IFNA(VLOOKUP($A990,[3]stockregister!$A$2:$L$2000,11,0),0)-$G990</f>
        <v>0</v>
      </c>
      <c r="I990" s="3">
        <f>_xlfn.IFNA(VLOOKUP($A990,[3]stockregister!$A$2:$L$2000,12,0),0)</f>
        <v>173.38</v>
      </c>
      <c r="J990" s="3">
        <f>_xlfn.IFNA(VLOOKUP($A990,[3]stockregister!$A$1:$M$2000,12,0),0)-$I990</f>
        <v>0</v>
      </c>
      <c r="K990" s="3" t="s">
        <v>22</v>
      </c>
      <c r="L990" s="3" t="s">
        <v>23</v>
      </c>
      <c r="M990" s="3">
        <f>_xlfn.IFNA(VLOOKUP($A990,[2]stockregister!$A$2:$H$2000,8,0),0)</f>
        <v>205</v>
      </c>
      <c r="N990" s="3">
        <f>_xlfn.IFNA(VLOOKUP($A990,[2]stockregister!$A$2:$H$2000,8,0),0)-$M990</f>
        <v>0</v>
      </c>
      <c r="O990" s="3" t="s">
        <v>2341</v>
      </c>
      <c r="P990" s="3" t="s">
        <v>2341</v>
      </c>
      <c r="Q990" s="3" t="s">
        <v>621</v>
      </c>
      <c r="R990" s="3" t="s">
        <v>97</v>
      </c>
      <c r="S990" s="3" t="s">
        <v>2342</v>
      </c>
    </row>
    <row r="991" spans="1:19">
      <c r="A991" s="3">
        <v>1549</v>
      </c>
      <c r="B991" s="3" t="b">
        <f>ISNUMBER(MATCH(A991,[1]stockregister!$A$2:$A$2000,0))</f>
        <v>1</v>
      </c>
      <c r="C991" s="3" t="s">
        <v>2343</v>
      </c>
      <c r="D991" s="3" t="str">
        <f>VLOOKUP($C991,[1]stockregister!$B$2:$B$2000,1,0)</f>
        <v>OJ 16% BEER</v>
      </c>
      <c r="E991" s="3" t="str">
        <f>IF(ISNA($D991),VLOOKUP($A991,[2]stockregister!$A$2:$B$2000,2,FALSE),"")</f>
        <v/>
      </c>
      <c r="F991" s="3" t="s">
        <v>21</v>
      </c>
      <c r="G991" s="3">
        <f>_xlfn.IFNA(VLOOKUP($A991,[3]stockregister!$A$2:$L$2000,11,0),0)</f>
        <v>0</v>
      </c>
      <c r="H991" s="3">
        <f>_xlfn.IFNA(VLOOKUP($A991,[3]stockregister!$A$2:$L$2000,11,0),0)-$G991</f>
        <v>0</v>
      </c>
      <c r="I991" s="3">
        <f>_xlfn.IFNA(VLOOKUP($A991,[3]stockregister!$A$2:$L$2000,12,0),0)</f>
        <v>341.44</v>
      </c>
      <c r="J991" s="3">
        <f>_xlfn.IFNA(VLOOKUP($A991,[3]stockregister!$A$1:$M$2000,12,0),0)-$I991</f>
        <v>0</v>
      </c>
      <c r="K991" s="3" t="s">
        <v>22</v>
      </c>
      <c r="L991" s="3" t="s">
        <v>23</v>
      </c>
      <c r="M991" s="3">
        <f>_xlfn.IFNA(VLOOKUP($A991,[2]stockregister!$A$2:$H$2000,8,0),0)</f>
        <v>345</v>
      </c>
      <c r="N991" s="3">
        <f>_xlfn.IFNA(VLOOKUP($A991,[2]stockregister!$A$2:$H$2000,8,0),0)-$M991</f>
        <v>0</v>
      </c>
      <c r="O991" s="3" t="s">
        <v>2344</v>
      </c>
      <c r="P991" s="3" t="s">
        <v>2344</v>
      </c>
      <c r="Q991" s="3" t="s">
        <v>2334</v>
      </c>
      <c r="R991" s="3" t="s">
        <v>97</v>
      </c>
      <c r="S991" s="3" t="s">
        <v>2345</v>
      </c>
    </row>
    <row r="992" spans="1:19">
      <c r="A992" s="3">
        <v>683</v>
      </c>
      <c r="B992" s="3" t="b">
        <f>ISNUMBER(MATCH(A992,[1]stockregister!$A$2:$A$2000,0))</f>
        <v>1</v>
      </c>
      <c r="C992" s="3" t="s">
        <v>2346</v>
      </c>
      <c r="D992" s="3" t="str">
        <f>VLOOKUP($C992,[1]stockregister!$B$2:$B$2000,1,0)</f>
        <v>FAXE CAN 500ML</v>
      </c>
      <c r="E992" s="3" t="str">
        <f>IF(ISNA($D992),VLOOKUP($A992,[2]stockregister!$A$2:$B$2000,2,FALSE),"")</f>
        <v/>
      </c>
      <c r="F992" s="3" t="s">
        <v>21</v>
      </c>
      <c r="G992" s="3">
        <f>_xlfn.IFNA(VLOOKUP($A992,[3]stockregister!$A$2:$L$2000,11,0),0)</f>
        <v>0</v>
      </c>
      <c r="H992" s="3">
        <f>_xlfn.IFNA(VLOOKUP($A992,[3]stockregister!$A$2:$L$2000,11,0),0)-$G992</f>
        <v>0</v>
      </c>
      <c r="I992" s="3">
        <f>_xlfn.IFNA(VLOOKUP($A992,[3]stockregister!$A$2:$L$2000,12,0),0)</f>
        <v>239.2</v>
      </c>
      <c r="J992" s="3">
        <f>_xlfn.IFNA(VLOOKUP($A992,[3]stockregister!$A$1:$M$2000,12,0),0)-$I992</f>
        <v>0</v>
      </c>
      <c r="K992" s="3" t="s">
        <v>22</v>
      </c>
      <c r="L992" s="3" t="s">
        <v>23</v>
      </c>
      <c r="M992" s="3">
        <f>_xlfn.IFNA(VLOOKUP($A992,[2]stockregister!$A$2:$H$2000,8,0),0)</f>
        <v>260</v>
      </c>
      <c r="N992" s="3">
        <f>_xlfn.IFNA(VLOOKUP($A992,[2]stockregister!$A$2:$H$2000,8,0),0)-$M992</f>
        <v>0</v>
      </c>
      <c r="O992" s="3" t="s">
        <v>2347</v>
      </c>
      <c r="P992" s="3" t="s">
        <v>2347</v>
      </c>
      <c r="Q992" s="3" t="s">
        <v>2348</v>
      </c>
      <c r="R992" s="3" t="s">
        <v>97</v>
      </c>
      <c r="S992" s="3" t="s">
        <v>2345</v>
      </c>
    </row>
    <row r="993" spans="1:19">
      <c r="A993" s="3">
        <v>1543</v>
      </c>
      <c r="B993" s="3" t="b">
        <f>ISNUMBER(MATCH(A993,[1]stockregister!$A$2:$A$2000,0))</f>
        <v>1</v>
      </c>
      <c r="C993" s="3" t="s">
        <v>2349</v>
      </c>
      <c r="D993" s="3" t="str">
        <f>VLOOKUP($C993,[1]stockregister!$B$2:$B$2000,1,0)</f>
        <v>OETTINGER SUPER FORTE EXTRA STRONG BEER 500ML</v>
      </c>
      <c r="E993" s="3" t="str">
        <f>IF(ISNA($D993),VLOOKUP($A993,[2]stockregister!$A$2:$B$2000,2,FALSE),"")</f>
        <v/>
      </c>
      <c r="F993" s="3" t="s">
        <v>21</v>
      </c>
      <c r="G993" s="3">
        <f>_xlfn.IFNA(VLOOKUP($A993,[3]stockregister!$A$2:$L$2000,11,0),0)</f>
        <v>0</v>
      </c>
      <c r="H993" s="3">
        <f>_xlfn.IFNA(VLOOKUP($A993,[3]stockregister!$A$2:$L$2000,11,0),0)-$G993</f>
        <v>0</v>
      </c>
      <c r="I993" s="3">
        <f>_xlfn.IFNA(VLOOKUP($A993,[3]stockregister!$A$2:$L$2000,12,0),0)</f>
        <v>230</v>
      </c>
      <c r="J993" s="3">
        <f>_xlfn.IFNA(VLOOKUP($A993,[3]stockregister!$A$1:$M$2000,12,0),0)-$I993</f>
        <v>0</v>
      </c>
      <c r="K993" s="3" t="s">
        <v>22</v>
      </c>
      <c r="L993" s="3" t="s">
        <v>23</v>
      </c>
      <c r="M993" s="3">
        <f>_xlfn.IFNA(VLOOKUP($A993,[2]stockregister!$A$2:$H$2000,8,0),0)</f>
        <v>250</v>
      </c>
      <c r="N993" s="3">
        <f>_xlfn.IFNA(VLOOKUP($A993,[2]stockregister!$A$2:$H$2000,8,0),0)-$M993</f>
        <v>0</v>
      </c>
      <c r="O993" s="3" t="s">
        <v>2350</v>
      </c>
      <c r="P993" s="3" t="s">
        <v>2350</v>
      </c>
      <c r="Q993" s="3" t="s">
        <v>2351</v>
      </c>
      <c r="R993" s="3" t="s">
        <v>97</v>
      </c>
      <c r="S993" s="3" t="s">
        <v>2345</v>
      </c>
    </row>
    <row r="994" spans="1:19">
      <c r="A994" s="3">
        <v>2407</v>
      </c>
      <c r="B994" s="3" t="b">
        <f>ISNUMBER(MATCH(A994,[1]stockregister!$A$2:$A$2000,0))</f>
        <v>1</v>
      </c>
      <c r="C994" s="3" t="s">
        <v>2352</v>
      </c>
      <c r="D994" s="3" t="str">
        <f>VLOOKUP($C994,[1]stockregister!$B$2:$B$2000,1,0)</f>
        <v>KO HONEY &amp; LEMON 330ML</v>
      </c>
      <c r="E994" s="3" t="str">
        <f>IF(ISNA($D994),VLOOKUP($A994,[2]stockregister!$A$2:$B$2000,2,FALSE),"")</f>
        <v/>
      </c>
      <c r="F994" s="3" t="s">
        <v>21</v>
      </c>
      <c r="G994" s="3">
        <f>_xlfn.IFNA(VLOOKUP($A994,[3]stockregister!$A$2:$L$2000,11,0),0)</f>
        <v>0</v>
      </c>
      <c r="H994" s="3">
        <f>_xlfn.IFNA(VLOOKUP($A994,[3]stockregister!$A$2:$L$2000,11,0),0)-$G994</f>
        <v>0</v>
      </c>
      <c r="I994" s="3">
        <f>_xlfn.IFNA(VLOOKUP($A994,[3]stockregister!$A$2:$L$2000,12,0),0)</f>
        <v>225.04</v>
      </c>
      <c r="J994" s="3">
        <f>_xlfn.IFNA(VLOOKUP($A994,[3]stockregister!$A$1:$M$2000,12,0),0)-$I994</f>
        <v>0</v>
      </c>
      <c r="K994" s="3" t="s">
        <v>22</v>
      </c>
      <c r="L994" s="3" t="s">
        <v>23</v>
      </c>
      <c r="M994" s="3">
        <f>_xlfn.IFNA(VLOOKUP($A994,[2]stockregister!$A$2:$H$2000,8,0),0)</f>
        <v>230</v>
      </c>
      <c r="N994" s="3">
        <f>_xlfn.IFNA(VLOOKUP($A994,[2]stockregister!$A$2:$H$2000,8,0),0)-$M994</f>
        <v>0</v>
      </c>
      <c r="O994" s="3" t="s">
        <v>2353</v>
      </c>
      <c r="P994" s="3" t="s">
        <v>2353</v>
      </c>
      <c r="Q994" s="3" t="s">
        <v>129</v>
      </c>
      <c r="R994" s="3" t="s">
        <v>216</v>
      </c>
      <c r="S994" s="3" t="s">
        <v>130</v>
      </c>
    </row>
    <row r="995" spans="1:19">
      <c r="A995" s="3">
        <v>2406</v>
      </c>
      <c r="B995" s="3" t="b">
        <f>ISNUMBER(MATCH(A995,[1]stockregister!$A$2:$A$2000,0))</f>
        <v>1</v>
      </c>
      <c r="C995" s="3" t="s">
        <v>2354</v>
      </c>
      <c r="D995" s="3" t="str">
        <f>VLOOKUP($C995,[1]stockregister!$B$2:$B$2000,1,0)</f>
        <v>KO PASSION FRUIT &amp; LIME CAN 330ML</v>
      </c>
      <c r="E995" s="3" t="str">
        <f>IF(ISNA($D995),VLOOKUP($A995,[2]stockregister!$A$2:$B$2000,2,FALSE),"")</f>
        <v/>
      </c>
      <c r="F995" s="3" t="s">
        <v>21</v>
      </c>
      <c r="G995" s="3">
        <f>_xlfn.IFNA(VLOOKUP($A995,[3]stockregister!$A$2:$L$2000,11,0),0)</f>
        <v>0</v>
      </c>
      <c r="H995" s="3">
        <f>_xlfn.IFNA(VLOOKUP($A995,[3]stockregister!$A$2:$L$2000,11,0),0)-$G995</f>
        <v>0</v>
      </c>
      <c r="I995" s="3">
        <f>_xlfn.IFNA(VLOOKUP($A995,[3]stockregister!$A$2:$L$2000,12,0),0)</f>
        <v>225.04</v>
      </c>
      <c r="J995" s="3">
        <f>_xlfn.IFNA(VLOOKUP($A995,[3]stockregister!$A$1:$M$2000,12,0),0)-$I995</f>
        <v>0</v>
      </c>
      <c r="K995" s="3" t="s">
        <v>22</v>
      </c>
      <c r="L995" s="3" t="s">
        <v>23</v>
      </c>
      <c r="M995" s="3">
        <f>_xlfn.IFNA(VLOOKUP($A995,[2]stockregister!$A$2:$H$2000,8,0),0)</f>
        <v>230</v>
      </c>
      <c r="N995" s="3">
        <f>_xlfn.IFNA(VLOOKUP($A995,[2]stockregister!$A$2:$H$2000,8,0),0)-$M995</f>
        <v>0</v>
      </c>
      <c r="O995" s="3" t="s">
        <v>2355</v>
      </c>
      <c r="P995" s="3" t="s">
        <v>2355</v>
      </c>
      <c r="Q995" s="3" t="s">
        <v>129</v>
      </c>
      <c r="R995" s="3" t="s">
        <v>216</v>
      </c>
      <c r="S995" s="3" t="s">
        <v>130</v>
      </c>
    </row>
    <row r="996" spans="1:19">
      <c r="A996" s="3">
        <v>1221</v>
      </c>
      <c r="B996" s="3" t="b">
        <f>ISNUMBER(MATCH(A996,[1]stockregister!$A$2:$A$2000,0))</f>
        <v>1</v>
      </c>
      <c r="C996" s="3" t="s">
        <v>2356</v>
      </c>
      <c r="D996" s="3" t="str">
        <f>VLOOKUP($C996,[1]stockregister!$B$2:$B$2000,1,0)</f>
        <v>KO MANGO &amp; GINGER 330ML</v>
      </c>
      <c r="E996" s="3" t="str">
        <f>IF(ISNA($D996),VLOOKUP($A996,[2]stockregister!$A$2:$B$2000,2,FALSE),"")</f>
        <v/>
      </c>
      <c r="F996" s="3" t="s">
        <v>21</v>
      </c>
      <c r="G996" s="3">
        <f>_xlfn.IFNA(VLOOKUP($A996,[3]stockregister!$A$2:$L$2000,11,0),0)</f>
        <v>0</v>
      </c>
      <c r="H996" s="3">
        <f>_xlfn.IFNA(VLOOKUP($A996,[3]stockregister!$A$2:$L$2000,11,0),0)-$G996</f>
        <v>0</v>
      </c>
      <c r="I996" s="3">
        <f>_xlfn.IFNA(VLOOKUP($A996,[3]stockregister!$A$2:$L$2000,12,0),0)</f>
        <v>194</v>
      </c>
      <c r="J996" s="3">
        <f>_xlfn.IFNA(VLOOKUP($A996,[3]stockregister!$A$1:$M$2000,12,0),0)-$I996</f>
        <v>0</v>
      </c>
      <c r="K996" s="3" t="s">
        <v>22</v>
      </c>
      <c r="L996" s="3" t="s">
        <v>23</v>
      </c>
      <c r="M996" s="3">
        <f>_xlfn.IFNA(VLOOKUP($A996,[2]stockregister!$A$2:$H$2000,8,0),0)</f>
        <v>230</v>
      </c>
      <c r="N996" s="3">
        <f>_xlfn.IFNA(VLOOKUP($A996,[2]stockregister!$A$2:$H$2000,8,0),0)-$M996</f>
        <v>0</v>
      </c>
      <c r="O996" s="3" t="s">
        <v>2357</v>
      </c>
      <c r="P996" s="3" t="s">
        <v>2357</v>
      </c>
      <c r="Q996" s="3" t="s">
        <v>129</v>
      </c>
      <c r="R996" s="3" t="s">
        <v>26</v>
      </c>
      <c r="S996" s="3" t="s">
        <v>130</v>
      </c>
    </row>
    <row r="997" spans="1:19">
      <c r="A997" s="3">
        <v>1383</v>
      </c>
      <c r="B997" s="3" t="b">
        <f>ISNUMBER(MATCH(A997,[1]stockregister!$A$2:$A$2000,0))</f>
        <v>1</v>
      </c>
      <c r="C997" s="3" t="s">
        <v>442</v>
      </c>
      <c r="D997" s="3" t="str">
        <f>VLOOKUP($C997,[1]stockregister!$B$2:$B$2000,1,0)</f>
        <v>MANYATTA  MANGO &amp; GINGER 330ML</v>
      </c>
      <c r="E997" s="3" t="str">
        <f>IF(ISNA($D997),VLOOKUP($A997,[2]stockregister!$A$2:$B$2000,2,FALSE),"")</f>
        <v/>
      </c>
      <c r="F997" s="3" t="s">
        <v>21</v>
      </c>
      <c r="G997" s="3">
        <f>_xlfn.IFNA(VLOOKUP($A997,[3]stockregister!$A$2:$L$2000,11,0),0)</f>
        <v>0</v>
      </c>
      <c r="H997" s="3">
        <f>_xlfn.IFNA(VLOOKUP($A997,[3]stockregister!$A$2:$L$2000,11,0),0)-$G997</f>
        <v>0</v>
      </c>
      <c r="I997" s="3">
        <f>_xlfn.IFNA(VLOOKUP($A997,[3]stockregister!$A$2:$L$2000,12,0),0)</f>
        <v>220</v>
      </c>
      <c r="J997" s="3">
        <f>_xlfn.IFNA(VLOOKUP($A997,[3]stockregister!$A$1:$M$2000,12,0),0)-$I997</f>
        <v>0</v>
      </c>
      <c r="K997" s="3" t="s">
        <v>22</v>
      </c>
      <c r="L997" s="3" t="s">
        <v>23</v>
      </c>
      <c r="M997" s="3">
        <f>_xlfn.IFNA(VLOOKUP($A997,[2]stockregister!$A$2:$H$2000,8,0),0)</f>
        <v>260</v>
      </c>
      <c r="N997" s="3">
        <f>_xlfn.IFNA(VLOOKUP($A997,[2]stockregister!$A$2:$H$2000,8,0),0)-$M997</f>
        <v>0</v>
      </c>
      <c r="O997" s="3" t="s">
        <v>2358</v>
      </c>
      <c r="P997" s="3" t="s">
        <v>2358</v>
      </c>
      <c r="Q997" s="3" t="s">
        <v>215</v>
      </c>
      <c r="R997" s="3" t="s">
        <v>26</v>
      </c>
      <c r="S997" s="3" t="s">
        <v>130</v>
      </c>
    </row>
    <row r="998" spans="1:19">
      <c r="A998" s="3">
        <v>1385</v>
      </c>
      <c r="B998" s="3" t="b">
        <f>ISNUMBER(MATCH(A998,[1]stockregister!$A$2:$A$2000,0))</f>
        <v>1</v>
      </c>
      <c r="C998" s="3" t="s">
        <v>2359</v>
      </c>
      <c r="D998" s="3" t="str">
        <f>VLOOKUP($C998,[1]stockregister!$B$2:$B$2000,1,0)</f>
        <v>MANYATTA LEMON &amp; GINGER CIDER 330ML</v>
      </c>
      <c r="E998" s="3" t="str">
        <f>IF(ISNA($D998),VLOOKUP($A998,[2]stockregister!$A$2:$B$2000,2,FALSE),"")</f>
        <v/>
      </c>
      <c r="F998" s="3" t="s">
        <v>21</v>
      </c>
      <c r="G998" s="3">
        <f>_xlfn.IFNA(VLOOKUP($A998,[3]stockregister!$A$2:$L$2000,11,0),0)</f>
        <v>0</v>
      </c>
      <c r="H998" s="3">
        <f>_xlfn.IFNA(VLOOKUP($A998,[3]stockregister!$A$2:$L$2000,11,0),0)-$G998</f>
        <v>0</v>
      </c>
      <c r="I998" s="3">
        <f>_xlfn.IFNA(VLOOKUP($A998,[3]stockregister!$A$2:$L$2000,12,0),0)</f>
        <v>220</v>
      </c>
      <c r="J998" s="3">
        <f>_xlfn.IFNA(VLOOKUP($A998,[3]stockregister!$A$1:$M$2000,12,0),0)-$I998</f>
        <v>0</v>
      </c>
      <c r="K998" s="3" t="s">
        <v>22</v>
      </c>
      <c r="L998" s="3" t="s">
        <v>23</v>
      </c>
      <c r="M998" s="3">
        <f>_xlfn.IFNA(VLOOKUP($A998,[2]stockregister!$A$2:$H$2000,8,0),0)</f>
        <v>260</v>
      </c>
      <c r="N998" s="3">
        <f>_xlfn.IFNA(VLOOKUP($A998,[2]stockregister!$A$2:$H$2000,8,0),0)-$M998</f>
        <v>0</v>
      </c>
      <c r="O998" s="3" t="s">
        <v>2360</v>
      </c>
      <c r="P998" s="3" t="s">
        <v>2360</v>
      </c>
      <c r="Q998" s="3" t="s">
        <v>215</v>
      </c>
      <c r="R998" s="3" t="s">
        <v>26</v>
      </c>
      <c r="S998" s="3" t="s">
        <v>130</v>
      </c>
    </row>
    <row r="999" spans="1:19">
      <c r="A999" s="3">
        <v>1386</v>
      </c>
      <c r="B999" s="3" t="b">
        <f>ISNUMBER(MATCH(A999,[1]stockregister!$A$2:$A$2000,0))</f>
        <v>1</v>
      </c>
      <c r="C999" s="3" t="s">
        <v>2361</v>
      </c>
      <c r="D999" s="3" t="str">
        <f>VLOOKUP($C999,[1]stockregister!$B$2:$B$2000,1,0)</f>
        <v>MANYATTA PINEAPPLE MINT 330ML</v>
      </c>
      <c r="E999" s="3" t="str">
        <f>IF(ISNA($D999),VLOOKUP($A999,[2]stockregister!$A$2:$B$2000,2,FALSE),"")</f>
        <v/>
      </c>
      <c r="F999" s="3" t="s">
        <v>21</v>
      </c>
      <c r="G999" s="3">
        <f>_xlfn.IFNA(VLOOKUP($A999,[3]stockregister!$A$2:$L$2000,11,0),0)</f>
        <v>0</v>
      </c>
      <c r="H999" s="3">
        <f>_xlfn.IFNA(VLOOKUP($A999,[3]stockregister!$A$2:$L$2000,11,0),0)-$G999</f>
        <v>0</v>
      </c>
      <c r="I999" s="3">
        <f>_xlfn.IFNA(VLOOKUP($A999,[3]stockregister!$A$2:$L$2000,12,0),0)</f>
        <v>225</v>
      </c>
      <c r="J999" s="3">
        <f>_xlfn.IFNA(VLOOKUP($A999,[3]stockregister!$A$1:$M$2000,12,0),0)-$I999</f>
        <v>0</v>
      </c>
      <c r="K999" s="3" t="s">
        <v>22</v>
      </c>
      <c r="L999" s="3" t="s">
        <v>23</v>
      </c>
      <c r="M999" s="3">
        <f>_xlfn.IFNA(VLOOKUP($A999,[2]stockregister!$A$2:$H$2000,8,0),0)</f>
        <v>260</v>
      </c>
      <c r="N999" s="3">
        <f>_xlfn.IFNA(VLOOKUP($A999,[2]stockregister!$A$2:$H$2000,8,0),0)-$M999</f>
        <v>0</v>
      </c>
      <c r="O999" s="3" t="s">
        <v>2362</v>
      </c>
      <c r="P999" s="3" t="s">
        <v>2362</v>
      </c>
      <c r="Q999" s="3" t="s">
        <v>215</v>
      </c>
      <c r="R999" s="3" t="s">
        <v>26</v>
      </c>
      <c r="S999" s="3" t="s">
        <v>130</v>
      </c>
    </row>
    <row r="1000" spans="1:19">
      <c r="A1000" s="3">
        <v>1840</v>
      </c>
      <c r="B1000" s="3" t="b">
        <f>ISNUMBER(MATCH(A1000,[1]stockregister!$A$2:$A$2000,0))</f>
        <v>1</v>
      </c>
      <c r="C1000" s="3" t="s">
        <v>2363</v>
      </c>
      <c r="D1000" s="3" t="str">
        <f>VLOOKUP($C1000,[1]stockregister!$B$2:$B$2000,1,0)</f>
        <v>SMIRNOFF GUARANA ELECTRIC ICE 330ML</v>
      </c>
      <c r="E1000" s="3" t="str">
        <f>IF(ISNA($D1000),VLOOKUP($A1000,[2]stockregister!$A$2:$B$2000,2,FALSE),"")</f>
        <v/>
      </c>
      <c r="F1000" s="3" t="s">
        <v>21</v>
      </c>
      <c r="G1000" s="3">
        <f>_xlfn.IFNA(VLOOKUP($A1000,[3]stockregister!$A$2:$L$2000,11,0),0)</f>
        <v>0</v>
      </c>
      <c r="H1000" s="3">
        <f>_xlfn.IFNA(VLOOKUP($A1000,[3]stockregister!$A$2:$L$2000,11,0),0)-$G1000</f>
        <v>0</v>
      </c>
      <c r="I1000" s="3">
        <f>_xlfn.IFNA(VLOOKUP($A1000,[3]stockregister!$A$2:$L$2000,12,0),0)</f>
        <v>153.64</v>
      </c>
      <c r="J1000" s="3">
        <f>_xlfn.IFNA(VLOOKUP($A1000,[3]stockregister!$A$1:$M$2000,12,0),0)-$I1000</f>
        <v>0</v>
      </c>
      <c r="K1000" s="3" t="s">
        <v>22</v>
      </c>
      <c r="L1000" s="3" t="s">
        <v>23</v>
      </c>
      <c r="M1000" s="3">
        <f>_xlfn.IFNA(VLOOKUP($A1000,[2]stockregister!$A$2:$H$2000,8,0),0)</f>
        <v>167</v>
      </c>
      <c r="N1000" s="3">
        <f>_xlfn.IFNA(VLOOKUP($A1000,[2]stockregister!$A$2:$H$2000,8,0),0)-$M1000</f>
        <v>0</v>
      </c>
      <c r="O1000" s="3" t="s">
        <v>2364</v>
      </c>
      <c r="P1000" s="3" t="s">
        <v>2364</v>
      </c>
      <c r="Q1000" s="3" t="s">
        <v>189</v>
      </c>
      <c r="R1000" s="3" t="s">
        <v>26</v>
      </c>
      <c r="S1000" s="3" t="s">
        <v>130</v>
      </c>
    </row>
    <row r="1001" spans="1:19">
      <c r="A1001" s="3">
        <v>2904</v>
      </c>
      <c r="B1001" s="3" t="b">
        <f>ISNUMBER(MATCH(A1001,[1]stockregister!$A$2:$A$2000,0))</f>
        <v>1</v>
      </c>
      <c r="C1001" s="3" t="s">
        <v>445</v>
      </c>
      <c r="D1001" s="3" t="str">
        <f>VLOOKUP($C1001,[1]stockregister!$B$2:$B$2000,1,0)</f>
        <v>KO LIME AND GINGER 330 ML CAN </v>
      </c>
      <c r="E1001" s="3" t="str">
        <f>IF(ISNA($D1001),VLOOKUP($A1001,[2]stockregister!$A$2:$B$2000,2,FALSE),"")</f>
        <v/>
      </c>
      <c r="F1001" s="3" t="s">
        <v>21</v>
      </c>
      <c r="G1001" s="3">
        <f>_xlfn.IFNA(VLOOKUP($A1001,[3]stockregister!$A$2:$L$2000,11,0),0)</f>
        <v>0</v>
      </c>
      <c r="H1001" s="3">
        <f>_xlfn.IFNA(VLOOKUP($A1001,[3]stockregister!$A$2:$L$2000,11,0),0)-$G1001</f>
        <v>0</v>
      </c>
      <c r="I1001" s="3">
        <f>_xlfn.IFNA(VLOOKUP($A1001,[3]stockregister!$A$2:$L$2000,12,0),0)</f>
        <v>194</v>
      </c>
      <c r="J1001" s="3">
        <f>_xlfn.IFNA(VLOOKUP($A1001,[3]stockregister!$A$1:$M$2000,12,0),0)-$I1001</f>
        <v>0</v>
      </c>
      <c r="K1001" s="3" t="s">
        <v>22</v>
      </c>
      <c r="L1001" s="3" t="s">
        <v>23</v>
      </c>
      <c r="M1001" s="3">
        <f>_xlfn.IFNA(VLOOKUP($A1001,[2]stockregister!$A$2:$H$2000,8,0),0)</f>
        <v>230</v>
      </c>
      <c r="N1001" s="3">
        <f>_xlfn.IFNA(VLOOKUP($A1001,[2]stockregister!$A$2:$H$2000,8,0),0)-$M1001</f>
        <v>0</v>
      </c>
      <c r="O1001" s="3" t="s">
        <v>2365</v>
      </c>
      <c r="P1001" s="3" t="s">
        <v>2365</v>
      </c>
      <c r="Q1001" s="3" t="s">
        <v>129</v>
      </c>
      <c r="R1001" s="3" t="s">
        <v>216</v>
      </c>
      <c r="S1001" s="3" t="s">
        <v>130</v>
      </c>
    </row>
    <row r="1002" spans="1:19">
      <c r="A1002" s="3">
        <v>2580</v>
      </c>
      <c r="B1002" s="3" t="b">
        <f>ISNUMBER(MATCH(A1002,[1]stockregister!$A$2:$A$2000,0))</f>
        <v>1</v>
      </c>
      <c r="C1002" s="3" t="s">
        <v>449</v>
      </c>
      <c r="D1002" s="3" t="str">
        <f>VLOOKUP($C1002,[1]stockregister!$B$2:$B$2000,1,0)</f>
        <v>KO  DRY CIDER 500ML</v>
      </c>
      <c r="E1002" s="3" t="str">
        <f>IF(ISNA($D1002),VLOOKUP($A1002,[2]stockregister!$A$2:$B$2000,2,FALSE),"")</f>
        <v/>
      </c>
      <c r="F1002" s="3" t="s">
        <v>21</v>
      </c>
      <c r="G1002" s="3">
        <f>_xlfn.IFNA(VLOOKUP($A1002,[3]stockregister!$A$2:$L$2000,11,0),0)</f>
        <v>0</v>
      </c>
      <c r="H1002" s="3">
        <f>_xlfn.IFNA(VLOOKUP($A1002,[3]stockregister!$A$2:$L$2000,11,0),0)-$G1002</f>
        <v>0</v>
      </c>
      <c r="I1002" s="3">
        <f>_xlfn.IFNA(VLOOKUP($A1002,[3]stockregister!$A$2:$L$2000,12,0),0)</f>
        <v>188</v>
      </c>
      <c r="J1002" s="3">
        <f>_xlfn.IFNA(VLOOKUP($A1002,[3]stockregister!$A$1:$M$2000,12,0),0)-$I1002</f>
        <v>0</v>
      </c>
      <c r="K1002" s="3" t="s">
        <v>22</v>
      </c>
      <c r="L1002" s="3" t="s">
        <v>23</v>
      </c>
      <c r="M1002" s="3">
        <f>_xlfn.IFNA(VLOOKUP($A1002,[2]stockregister!$A$2:$H$2000,8,0),0)</f>
        <v>200</v>
      </c>
      <c r="N1002" s="3">
        <f>_xlfn.IFNA(VLOOKUP($A1002,[2]stockregister!$A$2:$H$2000,8,0),0)-$M1002</f>
        <v>0</v>
      </c>
      <c r="O1002" s="3" t="s">
        <v>2366</v>
      </c>
      <c r="P1002" s="3" t="s">
        <v>2366</v>
      </c>
      <c r="Q1002" s="3" t="s">
        <v>129</v>
      </c>
      <c r="R1002" s="3" t="s">
        <v>216</v>
      </c>
      <c r="S1002" s="3" t="s">
        <v>130</v>
      </c>
    </row>
    <row r="1003" spans="1:19">
      <c r="A1003" s="3">
        <v>2329</v>
      </c>
      <c r="B1003" s="3" t="b">
        <f>ISNUMBER(MATCH(A1003,[1]stockregister!$A$2:$A$2000,0))</f>
        <v>1</v>
      </c>
      <c r="C1003" s="3" t="s">
        <v>2367</v>
      </c>
      <c r="D1003" s="3" t="str">
        <f>VLOOKUP($C1003,[1]stockregister!$B$2:$B$2000,1,0)</f>
        <v>Snapp Dry Cider 330ml</v>
      </c>
      <c r="E1003" s="3" t="str">
        <f>IF(ISNA($D1003),VLOOKUP($A1003,[2]stockregister!$A$2:$B$2000,2,FALSE),"")</f>
        <v/>
      </c>
      <c r="F1003" s="3" t="s">
        <v>21</v>
      </c>
      <c r="G1003" s="3">
        <f>_xlfn.IFNA(VLOOKUP($A1003,[3]stockregister!$A$2:$L$2000,11,0),0)</f>
        <v>0</v>
      </c>
      <c r="H1003" s="3">
        <f>_xlfn.IFNA(VLOOKUP($A1003,[3]stockregister!$A$2:$L$2000,11,0),0)-$G1003</f>
        <v>0</v>
      </c>
      <c r="I1003" s="3">
        <f>_xlfn.IFNA(VLOOKUP($A1003,[3]stockregister!$A$2:$L$2000,12,0),0)</f>
        <v>238.26</v>
      </c>
      <c r="J1003" s="3">
        <f>_xlfn.IFNA(VLOOKUP($A1003,[3]stockregister!$A$1:$M$2000,12,0),0)-$I1003</f>
        <v>0</v>
      </c>
      <c r="K1003" s="3" t="s">
        <v>22</v>
      </c>
      <c r="L1003" s="3" t="s">
        <v>23</v>
      </c>
      <c r="M1003" s="3">
        <f>_xlfn.IFNA(VLOOKUP($A1003,[2]stockregister!$A$2:$H$2000,8,0),0)</f>
        <v>245</v>
      </c>
      <c r="N1003" s="3">
        <f>_xlfn.IFNA(VLOOKUP($A1003,[2]stockregister!$A$2:$H$2000,8,0),0)-$M1003</f>
        <v>0</v>
      </c>
      <c r="O1003" s="3" t="s">
        <v>2368</v>
      </c>
      <c r="P1003" s="3" t="s">
        <v>2368</v>
      </c>
      <c r="Q1003" s="3" t="s">
        <v>2369</v>
      </c>
      <c r="R1003" s="3" t="s">
        <v>216</v>
      </c>
      <c r="S1003" s="3" t="s">
        <v>130</v>
      </c>
    </row>
    <row r="1004" spans="1:19">
      <c r="A1004" s="3">
        <v>2405</v>
      </c>
      <c r="B1004" s="3" t="b">
        <f>ISNUMBER(MATCH(A1004,[1]stockregister!$A$2:$A$2000,0))</f>
        <v>1</v>
      </c>
      <c r="C1004" s="3" t="s">
        <v>2370</v>
      </c>
      <c r="D1004" s="3" t="str">
        <f>VLOOKUP($C1004,[1]stockregister!$B$2:$B$2000,1,0)</f>
        <v>KO PINEAPPLE &amp; MINT CAN 330ML</v>
      </c>
      <c r="E1004" s="3" t="str">
        <f>IF(ISNA($D1004),VLOOKUP($A1004,[2]stockregister!$A$2:$B$2000,2,FALSE),"")</f>
        <v/>
      </c>
      <c r="F1004" s="3" t="s">
        <v>21</v>
      </c>
      <c r="G1004" s="3">
        <f>_xlfn.IFNA(VLOOKUP($A1004,[3]stockregister!$A$2:$L$2000,11,0),0)</f>
        <v>0</v>
      </c>
      <c r="H1004" s="3">
        <f>_xlfn.IFNA(VLOOKUP($A1004,[3]stockregister!$A$2:$L$2000,11,0),0)-$G1004</f>
        <v>0</v>
      </c>
      <c r="I1004" s="3">
        <f>_xlfn.IFNA(VLOOKUP($A1004,[3]stockregister!$A$2:$L$2000,12,0),0)</f>
        <v>225.04</v>
      </c>
      <c r="J1004" s="3">
        <f>_xlfn.IFNA(VLOOKUP($A1004,[3]stockregister!$A$1:$M$2000,12,0),0)-$I1004</f>
        <v>0</v>
      </c>
      <c r="K1004" s="3" t="s">
        <v>22</v>
      </c>
      <c r="L1004" s="3" t="s">
        <v>23</v>
      </c>
      <c r="M1004" s="3">
        <f>_xlfn.IFNA(VLOOKUP($A1004,[2]stockregister!$A$2:$H$2000,8,0),0)</f>
        <v>230</v>
      </c>
      <c r="N1004" s="3">
        <f>_xlfn.IFNA(VLOOKUP($A1004,[2]stockregister!$A$2:$H$2000,8,0),0)-$M1004</f>
        <v>0</v>
      </c>
      <c r="O1004" s="3" t="s">
        <v>2371</v>
      </c>
      <c r="P1004" s="3" t="s">
        <v>2371</v>
      </c>
      <c r="Q1004" s="3" t="s">
        <v>129</v>
      </c>
      <c r="R1004" s="3" t="s">
        <v>216</v>
      </c>
      <c r="S1004" s="3" t="s">
        <v>130</v>
      </c>
    </row>
    <row r="1005" spans="1:19">
      <c r="A1005" s="3">
        <v>1474</v>
      </c>
      <c r="B1005" s="3" t="b">
        <f>ISNUMBER(MATCH(A1005,[1]stockregister!$A$2:$A$2000,0))</f>
        <v>1</v>
      </c>
      <c r="C1005" s="3" t="s">
        <v>2372</v>
      </c>
      <c r="D1005" s="3" t="str">
        <f>VLOOKUP($C1005,[1]stockregister!$B$2:$B$2000,1,0)</f>
        <v>MONSTER ENERGY 500ML</v>
      </c>
      <c r="E1005" s="3" t="str">
        <f>IF(ISNA($D1005),VLOOKUP($A1005,[2]stockregister!$A$2:$B$2000,2,FALSE),"")</f>
        <v/>
      </c>
      <c r="F1005" s="3" t="s">
        <v>21</v>
      </c>
      <c r="G1005" s="3">
        <f>_xlfn.IFNA(VLOOKUP($A1005,[3]stockregister!$A$2:$L$2000,11,0),0)</f>
        <v>0</v>
      </c>
      <c r="H1005" s="3">
        <f>_xlfn.IFNA(VLOOKUP($A1005,[3]stockregister!$A$2:$L$2000,11,0),0)-$G1005</f>
        <v>0</v>
      </c>
      <c r="I1005" s="3">
        <f>_xlfn.IFNA(VLOOKUP($A1005,[3]stockregister!$A$2:$L$2000,12,0),0)</f>
        <v>185</v>
      </c>
      <c r="J1005" s="3">
        <f>_xlfn.IFNA(VLOOKUP($A1005,[3]stockregister!$A$1:$M$2000,12,0),0)-$I1005</f>
        <v>0</v>
      </c>
      <c r="K1005" s="3" t="s">
        <v>22</v>
      </c>
      <c r="L1005" s="3" t="s">
        <v>23</v>
      </c>
      <c r="M1005" s="3">
        <f>_xlfn.IFNA(VLOOKUP($A1005,[2]stockregister!$A$2:$H$2000,8,0),0)</f>
        <v>190</v>
      </c>
      <c r="N1005" s="3">
        <f>_xlfn.IFNA(VLOOKUP($A1005,[2]stockregister!$A$2:$H$2000,8,0),0)-$M1005</f>
        <v>0</v>
      </c>
      <c r="O1005" s="3" t="s">
        <v>2373</v>
      </c>
      <c r="P1005" s="3" t="s">
        <v>2373</v>
      </c>
      <c r="Q1005" s="3" t="s">
        <v>2374</v>
      </c>
      <c r="R1005" s="3" t="s">
        <v>26</v>
      </c>
      <c r="S1005" s="3" t="s">
        <v>680</v>
      </c>
    </row>
    <row r="1006" spans="1:19">
      <c r="A1006" s="3">
        <v>2242</v>
      </c>
      <c r="B1006" s="3" t="b">
        <f>ISNUMBER(MATCH(A1006,[1]stockregister!$A$2:$A$2000,0))</f>
        <v>1</v>
      </c>
      <c r="C1006" s="3" t="s">
        <v>2375</v>
      </c>
      <c r="D1006" s="3" t="str">
        <f>VLOOKUP($C1006,[1]stockregister!$B$2:$B$2000,1,0)</f>
        <v>RED BLAZE 150ML</v>
      </c>
      <c r="E1006" s="3" t="str">
        <f>IF(ISNA($D1006),VLOOKUP($A1006,[2]stockregister!$A$2:$B$2000,2,FALSE),"")</f>
        <v/>
      </c>
      <c r="F1006" s="3" t="s">
        <v>21</v>
      </c>
      <c r="G1006" s="3">
        <f>_xlfn.IFNA(VLOOKUP($A1006,[3]stockregister!$A$2:$L$2000,11,0),0)</f>
        <v>0</v>
      </c>
      <c r="H1006" s="3">
        <f>_xlfn.IFNA(VLOOKUP($A1006,[3]stockregister!$A$2:$L$2000,11,0),0)-$G1006</f>
        <v>0</v>
      </c>
      <c r="I1006" s="3">
        <f>_xlfn.IFNA(VLOOKUP($A1006,[3]stockregister!$A$2:$L$2000,12,0),0)</f>
        <v>400</v>
      </c>
      <c r="J1006" s="3">
        <f>_xlfn.IFNA(VLOOKUP($A1006,[3]stockregister!$A$1:$M$2000,12,0),0)-$I1006</f>
        <v>0</v>
      </c>
      <c r="K1006" s="3" t="s">
        <v>22</v>
      </c>
      <c r="L1006" s="3" t="s">
        <v>23</v>
      </c>
      <c r="M1006" s="3">
        <f>_xlfn.IFNA(VLOOKUP($A1006,[2]stockregister!$A$2:$H$2000,8,0),0)</f>
        <v>600</v>
      </c>
      <c r="N1006" s="3">
        <f>_xlfn.IFNA(VLOOKUP($A1006,[2]stockregister!$A$2:$H$2000,8,0),0)-$M1006</f>
        <v>0</v>
      </c>
      <c r="O1006" s="3" t="s">
        <v>2376</v>
      </c>
      <c r="P1006" s="3" t="s">
        <v>2376</v>
      </c>
      <c r="Q1006" s="3" t="s">
        <v>2377</v>
      </c>
      <c r="R1006" s="3" t="s">
        <v>26</v>
      </c>
      <c r="S1006" s="3" t="s">
        <v>680</v>
      </c>
    </row>
    <row r="1007" spans="1:19">
      <c r="A1007" s="3">
        <v>1647</v>
      </c>
      <c r="B1007" s="3" t="b">
        <f>ISNUMBER(MATCH(A1007,[1]stockregister!$A$2:$A$2000,0))</f>
        <v>1</v>
      </c>
      <c r="C1007" s="3" t="s">
        <v>452</v>
      </c>
      <c r="D1007" s="3" t="str">
        <f>VLOOKUP($C1007,[1]stockregister!$B$2:$B$2000,1,0)</f>
        <v>RED BULL ENERGY DRINK 250ML</v>
      </c>
      <c r="E1007" s="3" t="str">
        <f>IF(ISNA($D1007),VLOOKUP($A1007,[2]stockregister!$A$2:$B$2000,2,FALSE),"")</f>
        <v/>
      </c>
      <c r="F1007" s="3" t="s">
        <v>21</v>
      </c>
      <c r="G1007" s="3">
        <f>_xlfn.IFNA(VLOOKUP($A1007,[3]stockregister!$A$2:$L$2000,11,0),0)</f>
        <v>0</v>
      </c>
      <c r="H1007" s="3">
        <f>_xlfn.IFNA(VLOOKUP($A1007,[3]stockregister!$A$2:$L$2000,11,0),0)-$G1007</f>
        <v>0</v>
      </c>
      <c r="I1007" s="3">
        <f>_xlfn.IFNA(VLOOKUP($A1007,[3]stockregister!$A$2:$L$2000,12,0),0)</f>
        <v>179</v>
      </c>
      <c r="J1007" s="3">
        <f>_xlfn.IFNA(VLOOKUP($A1007,[3]stockregister!$A$1:$M$2000,12,0),0)-$I1007</f>
        <v>0</v>
      </c>
      <c r="K1007" s="3" t="s">
        <v>22</v>
      </c>
      <c r="L1007" s="3" t="s">
        <v>23</v>
      </c>
      <c r="M1007" s="3">
        <f>_xlfn.IFNA(VLOOKUP($A1007,[2]stockregister!$A$2:$H$2000,8,0),0)</f>
        <v>182</v>
      </c>
      <c r="N1007" s="3">
        <f>_xlfn.IFNA(VLOOKUP($A1007,[2]stockregister!$A$2:$H$2000,8,0),0)-$M1007</f>
        <v>0</v>
      </c>
      <c r="O1007" s="3" t="s">
        <v>2378</v>
      </c>
      <c r="P1007" s="3" t="s">
        <v>2378</v>
      </c>
      <c r="Q1007" s="3" t="s">
        <v>2379</v>
      </c>
      <c r="R1007" s="3" t="s">
        <v>26</v>
      </c>
      <c r="S1007" s="3" t="s">
        <v>680</v>
      </c>
    </row>
    <row r="1008" spans="1:19">
      <c r="A1008" s="3">
        <v>1646</v>
      </c>
      <c r="B1008" s="3" t="b">
        <f>ISNUMBER(MATCH(A1008,[1]stockregister!$A$2:$A$2000,0))</f>
        <v>1</v>
      </c>
      <c r="C1008" s="3" t="s">
        <v>2380</v>
      </c>
      <c r="D1008" s="3" t="str">
        <f>VLOOKUP($C1008,[1]stockregister!$B$2:$B$2000,1,0)</f>
        <v>RED BULL 0.0 250ML</v>
      </c>
      <c r="E1008" s="3" t="str">
        <f>IF(ISNA($D1008),VLOOKUP($A1008,[2]stockregister!$A$2:$B$2000,2,FALSE),"")</f>
        <v/>
      </c>
      <c r="F1008" s="3" t="s">
        <v>21</v>
      </c>
      <c r="G1008" s="3">
        <f>_xlfn.IFNA(VLOOKUP($A1008,[3]stockregister!$A$2:$L$2000,11,0),0)</f>
        <v>0</v>
      </c>
      <c r="H1008" s="3">
        <f>_xlfn.IFNA(VLOOKUP($A1008,[3]stockregister!$A$2:$L$2000,11,0),0)-$G1008</f>
        <v>0</v>
      </c>
      <c r="I1008" s="3">
        <f>_xlfn.IFNA(VLOOKUP($A1008,[3]stockregister!$A$2:$L$2000,12,0),0)</f>
        <v>167.44</v>
      </c>
      <c r="J1008" s="3">
        <f>_xlfn.IFNA(VLOOKUP($A1008,[3]stockregister!$A$1:$M$2000,12,0),0)-$I1008</f>
        <v>0</v>
      </c>
      <c r="K1008" s="3" t="s">
        <v>22</v>
      </c>
      <c r="L1008" s="3" t="s">
        <v>23</v>
      </c>
      <c r="M1008" s="3">
        <f>_xlfn.IFNA(VLOOKUP($A1008,[2]stockregister!$A$2:$H$2000,8,0),0)</f>
        <v>182</v>
      </c>
      <c r="N1008" s="3">
        <f>_xlfn.IFNA(VLOOKUP($A1008,[2]stockregister!$A$2:$H$2000,8,0),0)-$M1008</f>
        <v>0</v>
      </c>
      <c r="O1008" s="3" t="s">
        <v>2381</v>
      </c>
      <c r="P1008" s="3" t="s">
        <v>2381</v>
      </c>
      <c r="Q1008" s="3" t="s">
        <v>2379</v>
      </c>
      <c r="R1008" s="3" t="s">
        <v>26</v>
      </c>
      <c r="S1008" s="3" t="s">
        <v>680</v>
      </c>
    </row>
    <row r="1009" spans="1:19">
      <c r="A1009" s="3">
        <v>922</v>
      </c>
      <c r="B1009" s="3" t="b">
        <f>ISNUMBER(MATCH(A1009,[1]stockregister!$A$2:$A$2000,0))</f>
        <v>1</v>
      </c>
      <c r="C1009" s="3" t="s">
        <v>2382</v>
      </c>
      <c r="D1009" s="3" t="str">
        <f>VLOOKUP($C1009,[1]stockregister!$B$2:$B$2000,1,0)</f>
        <v>GRENADINE SYRUP 750ML</v>
      </c>
      <c r="E1009" s="3" t="str">
        <f>IF(ISNA($D1009),VLOOKUP($A1009,[2]stockregister!$A$2:$B$2000,2,FALSE),"")</f>
        <v/>
      </c>
      <c r="F1009" s="3" t="s">
        <v>21</v>
      </c>
      <c r="G1009" s="3">
        <f>_xlfn.IFNA(VLOOKUP($A1009,[3]stockregister!$A$2:$L$2000,11,0),0)</f>
        <v>0</v>
      </c>
      <c r="H1009" s="3">
        <f>_xlfn.IFNA(VLOOKUP($A1009,[3]stockregister!$A$2:$L$2000,11,0),0)-$G1009</f>
        <v>0</v>
      </c>
      <c r="I1009" s="3">
        <f>_xlfn.IFNA(VLOOKUP($A1009,[3]stockregister!$A$2:$L$2000,12,0),0)</f>
        <v>364.72</v>
      </c>
      <c r="J1009" s="3">
        <f>_xlfn.IFNA(VLOOKUP($A1009,[3]stockregister!$A$1:$M$2000,12,0),0)-$I1009</f>
        <v>0</v>
      </c>
      <c r="K1009" s="3" t="s">
        <v>22</v>
      </c>
      <c r="L1009" s="3" t="s">
        <v>23</v>
      </c>
      <c r="M1009" s="3">
        <f>_xlfn.IFNA(VLOOKUP($A1009,[2]stockregister!$A$2:$H$2000,8,0),0)</f>
        <v>380</v>
      </c>
      <c r="N1009" s="3">
        <f>_xlfn.IFNA(VLOOKUP($A1009,[2]stockregister!$A$2:$H$2000,8,0),0)-$M1009</f>
        <v>0</v>
      </c>
      <c r="O1009" s="3" t="s">
        <v>2383</v>
      </c>
      <c r="P1009" s="3" t="s">
        <v>2383</v>
      </c>
      <c r="Q1009" s="3" t="s">
        <v>2384</v>
      </c>
      <c r="R1009" s="3" t="s">
        <v>26</v>
      </c>
      <c r="S1009" s="3" t="s">
        <v>2385</v>
      </c>
    </row>
    <row r="1010" spans="1:19">
      <c r="A1010" s="3">
        <v>587</v>
      </c>
      <c r="B1010" s="3" t="b">
        <f>ISNUMBER(MATCH(A1010,[1]stockregister!$A$2:$A$2000,0))</f>
        <v>1</v>
      </c>
      <c r="C1010" s="3" t="s">
        <v>2386</v>
      </c>
      <c r="D1010" s="3" t="str">
        <f>VLOOKUP($C1010,[1]stockregister!$B$2:$B$2000,1,0)</f>
        <v>DELMONTE MANGO 1LTR</v>
      </c>
      <c r="E1010" s="3" t="str">
        <f>IF(ISNA($D1010),VLOOKUP($A1010,[2]stockregister!$A$2:$B$2000,2,FALSE),"")</f>
        <v/>
      </c>
      <c r="F1010" s="3" t="s">
        <v>21</v>
      </c>
      <c r="G1010" s="3">
        <f>_xlfn.IFNA(VLOOKUP($A1010,[3]stockregister!$A$2:$L$2000,11,0),0)</f>
        <v>0</v>
      </c>
      <c r="H1010" s="3">
        <f>_xlfn.IFNA(VLOOKUP($A1010,[3]stockregister!$A$2:$L$2000,11,0),0)-$G1010</f>
        <v>0</v>
      </c>
      <c r="I1010" s="3">
        <f>_xlfn.IFNA(VLOOKUP($A1010,[3]stockregister!$A$2:$L$2000,12,0),0)</f>
        <v>210</v>
      </c>
      <c r="J1010" s="3">
        <f>_xlfn.IFNA(VLOOKUP($A1010,[3]stockregister!$A$1:$M$2000,12,0),0)-$I1010</f>
        <v>0</v>
      </c>
      <c r="K1010" s="3" t="s">
        <v>22</v>
      </c>
      <c r="L1010" s="3" t="s">
        <v>23</v>
      </c>
      <c r="M1010" s="3">
        <f>_xlfn.IFNA(VLOOKUP($A1010,[2]stockregister!$A$2:$H$2000,8,0),0)</f>
        <v>245</v>
      </c>
      <c r="N1010" s="3">
        <f>_xlfn.IFNA(VLOOKUP($A1010,[2]stockregister!$A$2:$H$2000,8,0),0)-$M1010</f>
        <v>0</v>
      </c>
      <c r="O1010" s="3" t="s">
        <v>2387</v>
      </c>
      <c r="P1010" s="3" t="s">
        <v>2387</v>
      </c>
      <c r="Q1010" s="3" t="s">
        <v>2148</v>
      </c>
      <c r="R1010" s="3" t="s">
        <v>26</v>
      </c>
      <c r="S1010" s="3" t="s">
        <v>791</v>
      </c>
    </row>
    <row r="1011" spans="1:19">
      <c r="A1011" s="3">
        <v>588</v>
      </c>
      <c r="B1011" s="3" t="b">
        <f>ISNUMBER(MATCH(A1011,[1]stockregister!$A$2:$A$2000,0))</f>
        <v>1</v>
      </c>
      <c r="C1011" s="3" t="s">
        <v>2388</v>
      </c>
      <c r="D1011" s="3" t="str">
        <f>VLOOKUP($C1011,[1]stockregister!$B$2:$B$2000,1,0)</f>
        <v>DELMONTE MIXED BERRY 1LTR</v>
      </c>
      <c r="E1011" s="3" t="str">
        <f>IF(ISNA($D1011),VLOOKUP($A1011,[2]stockregister!$A$2:$B$2000,2,FALSE),"")</f>
        <v/>
      </c>
      <c r="F1011" s="3" t="s">
        <v>21</v>
      </c>
      <c r="G1011" s="3">
        <f>_xlfn.IFNA(VLOOKUP($A1011,[3]stockregister!$A$2:$L$2000,11,0),0)</f>
        <v>0</v>
      </c>
      <c r="H1011" s="3">
        <f>_xlfn.IFNA(VLOOKUP($A1011,[3]stockregister!$A$2:$L$2000,11,0),0)-$G1011</f>
        <v>0</v>
      </c>
      <c r="I1011" s="3">
        <f>_xlfn.IFNA(VLOOKUP($A1011,[3]stockregister!$A$2:$L$2000,12,0),0)</f>
        <v>210</v>
      </c>
      <c r="J1011" s="3">
        <f>_xlfn.IFNA(VLOOKUP($A1011,[3]stockregister!$A$1:$M$2000,12,0),0)-$I1011</f>
        <v>0</v>
      </c>
      <c r="K1011" s="3" t="s">
        <v>22</v>
      </c>
      <c r="L1011" s="3" t="s">
        <v>23</v>
      </c>
      <c r="M1011" s="3">
        <f>_xlfn.IFNA(VLOOKUP($A1011,[2]stockregister!$A$2:$H$2000,8,0),0)</f>
        <v>245</v>
      </c>
      <c r="N1011" s="3">
        <f>_xlfn.IFNA(VLOOKUP($A1011,[2]stockregister!$A$2:$H$2000,8,0),0)-$M1011</f>
        <v>0</v>
      </c>
      <c r="O1011" s="3" t="s">
        <v>2389</v>
      </c>
      <c r="P1011" s="3" t="s">
        <v>2389</v>
      </c>
      <c r="Q1011" s="3" t="s">
        <v>2148</v>
      </c>
      <c r="R1011" s="3" t="s">
        <v>26</v>
      </c>
      <c r="S1011" s="3" t="s">
        <v>791</v>
      </c>
    </row>
    <row r="1012" spans="1:19">
      <c r="A1012" s="3">
        <v>594</v>
      </c>
      <c r="B1012" s="3" t="b">
        <f>ISNUMBER(MATCH(A1012,[1]stockregister!$A$2:$A$2000,0))</f>
        <v>1</v>
      </c>
      <c r="C1012" s="3" t="s">
        <v>2390</v>
      </c>
      <c r="D1012" s="3" t="str">
        <f>VLOOKUP($C1012,[1]stockregister!$B$2:$B$2000,1,0)</f>
        <v>DELMONTE TROPICAL 1LTR</v>
      </c>
      <c r="E1012" s="3" t="str">
        <f>IF(ISNA($D1012),VLOOKUP($A1012,[2]stockregister!$A$2:$B$2000,2,FALSE),"")</f>
        <v/>
      </c>
      <c r="F1012" s="3" t="s">
        <v>21</v>
      </c>
      <c r="G1012" s="3">
        <f>_xlfn.IFNA(VLOOKUP($A1012,[3]stockregister!$A$2:$L$2000,11,0),0)</f>
        <v>0</v>
      </c>
      <c r="H1012" s="3">
        <f>_xlfn.IFNA(VLOOKUP($A1012,[3]stockregister!$A$2:$L$2000,11,0),0)-$G1012</f>
        <v>0</v>
      </c>
      <c r="I1012" s="3">
        <f>_xlfn.IFNA(VLOOKUP($A1012,[3]stockregister!$A$2:$L$2000,12,0),0)</f>
        <v>210</v>
      </c>
      <c r="J1012" s="3">
        <f>_xlfn.IFNA(VLOOKUP($A1012,[3]stockregister!$A$1:$M$2000,12,0),0)-$I1012</f>
        <v>0</v>
      </c>
      <c r="K1012" s="3" t="s">
        <v>22</v>
      </c>
      <c r="L1012" s="3" t="s">
        <v>23</v>
      </c>
      <c r="M1012" s="3">
        <f>_xlfn.IFNA(VLOOKUP($A1012,[2]stockregister!$A$2:$H$2000,8,0),0)</f>
        <v>245</v>
      </c>
      <c r="N1012" s="3">
        <f>_xlfn.IFNA(VLOOKUP($A1012,[2]stockregister!$A$2:$H$2000,8,0),0)-$M1012</f>
        <v>0</v>
      </c>
      <c r="O1012" s="3" t="s">
        <v>2391</v>
      </c>
      <c r="P1012" s="3" t="s">
        <v>2391</v>
      </c>
      <c r="Q1012" s="3" t="s">
        <v>2148</v>
      </c>
      <c r="R1012" s="3" t="s">
        <v>26</v>
      </c>
      <c r="S1012" s="3" t="s">
        <v>791</v>
      </c>
    </row>
    <row r="1013" spans="1:19">
      <c r="A1013" s="3">
        <v>586</v>
      </c>
      <c r="B1013" s="3" t="b">
        <f>ISNUMBER(MATCH(A1013,[1]stockregister!$A$2:$A$2000,0))</f>
        <v>1</v>
      </c>
      <c r="C1013" s="3" t="s">
        <v>2392</v>
      </c>
      <c r="D1013" s="3" t="str">
        <f>VLOOKUP($C1013,[1]stockregister!$B$2:$B$2000,1,0)</f>
        <v>DELMONTE APPLE 1LTR</v>
      </c>
      <c r="E1013" s="3" t="str">
        <f>IF(ISNA($D1013),VLOOKUP($A1013,[2]stockregister!$A$2:$B$2000,2,FALSE),"")</f>
        <v/>
      </c>
      <c r="F1013" s="3" t="s">
        <v>21</v>
      </c>
      <c r="G1013" s="3">
        <f>_xlfn.IFNA(VLOOKUP($A1013,[3]stockregister!$A$2:$L$2000,11,0),0)</f>
        <v>0</v>
      </c>
      <c r="H1013" s="3">
        <f>_xlfn.IFNA(VLOOKUP($A1013,[3]stockregister!$A$2:$L$2000,11,0),0)-$G1013</f>
        <v>0</v>
      </c>
      <c r="I1013" s="3">
        <f>_xlfn.IFNA(VLOOKUP($A1013,[3]stockregister!$A$2:$L$2000,12,0),0)</f>
        <v>210</v>
      </c>
      <c r="J1013" s="3">
        <f>_xlfn.IFNA(VLOOKUP($A1013,[3]stockregister!$A$1:$M$2000,12,0),0)-$I1013</f>
        <v>0</v>
      </c>
      <c r="K1013" s="3" t="s">
        <v>22</v>
      </c>
      <c r="L1013" s="3" t="s">
        <v>23</v>
      </c>
      <c r="M1013" s="3">
        <f>_xlfn.IFNA(VLOOKUP($A1013,[2]stockregister!$A$2:$H$2000,8,0),0)</f>
        <v>245</v>
      </c>
      <c r="N1013" s="3">
        <f>_xlfn.IFNA(VLOOKUP($A1013,[2]stockregister!$A$2:$H$2000,8,0),0)-$M1013</f>
        <v>0</v>
      </c>
      <c r="O1013" s="3" t="s">
        <v>2393</v>
      </c>
      <c r="P1013" s="3" t="s">
        <v>2393</v>
      </c>
      <c r="Q1013" s="3" t="s">
        <v>2148</v>
      </c>
      <c r="R1013" s="3" t="s">
        <v>26</v>
      </c>
      <c r="S1013" s="3" t="s">
        <v>791</v>
      </c>
    </row>
    <row r="1014" spans="1:19">
      <c r="A1014" s="3">
        <v>1288</v>
      </c>
      <c r="B1014" s="3" t="b">
        <f>ISNUMBER(MATCH(A1014,[1]stockregister!$A$2:$A$2000,0))</f>
        <v>1</v>
      </c>
      <c r="C1014" s="3" t="s">
        <v>2394</v>
      </c>
      <c r="D1014" s="3" t="str">
        <f>VLOOKUP($C1014,[1]stockregister!$B$2:$B$2000,1,0)</f>
        <v>LIME JUICE 700ML</v>
      </c>
      <c r="E1014" s="3" t="str">
        <f>IF(ISNA($D1014),VLOOKUP($A1014,[2]stockregister!$A$2:$B$2000,2,FALSE),"")</f>
        <v/>
      </c>
      <c r="F1014" s="3" t="s">
        <v>21</v>
      </c>
      <c r="G1014" s="3">
        <f>_xlfn.IFNA(VLOOKUP($A1014,[3]stockregister!$A$2:$L$2000,11,0),0)</f>
        <v>0</v>
      </c>
      <c r="H1014" s="3">
        <f>_xlfn.IFNA(VLOOKUP($A1014,[3]stockregister!$A$2:$L$2000,11,0),0)-$G1014</f>
        <v>0</v>
      </c>
      <c r="I1014" s="3">
        <f>_xlfn.IFNA(VLOOKUP($A1014,[3]stockregister!$A$2:$L$2000,12,0),0)</f>
        <v>138</v>
      </c>
      <c r="J1014" s="3">
        <f>_xlfn.IFNA(VLOOKUP($A1014,[3]stockregister!$A$1:$M$2000,12,0),0)-$I1014</f>
        <v>0</v>
      </c>
      <c r="K1014" s="3" t="s">
        <v>22</v>
      </c>
      <c r="L1014" s="3" t="s">
        <v>23</v>
      </c>
      <c r="M1014" s="3">
        <f>_xlfn.IFNA(VLOOKUP($A1014,[2]stockregister!$A$2:$H$2000,8,0),0)</f>
        <v>150</v>
      </c>
      <c r="N1014" s="3">
        <f>_xlfn.IFNA(VLOOKUP($A1014,[2]stockregister!$A$2:$H$2000,8,0),0)-$M1014</f>
        <v>0</v>
      </c>
      <c r="O1014" s="3" t="s">
        <v>2395</v>
      </c>
      <c r="P1014" s="3" t="s">
        <v>2395</v>
      </c>
      <c r="Q1014" s="3" t="s">
        <v>2396</v>
      </c>
      <c r="R1014" s="3" t="s">
        <v>26</v>
      </c>
      <c r="S1014" s="3" t="s">
        <v>791</v>
      </c>
    </row>
    <row r="1015" spans="1:19">
      <c r="A1015" s="3">
        <v>593</v>
      </c>
      <c r="B1015" s="3" t="b">
        <f>ISNUMBER(MATCH(A1015,[1]stockregister!$A$2:$A$2000,0))</f>
        <v>1</v>
      </c>
      <c r="C1015" s="3" t="s">
        <v>2397</v>
      </c>
      <c r="D1015" s="3" t="str">
        <f>VLOOKUP($C1015,[1]stockregister!$B$2:$B$2000,1,0)</f>
        <v>DELMONTE PINEAPPLE MANGO 1LTR</v>
      </c>
      <c r="E1015" s="3" t="str">
        <f>IF(ISNA($D1015),VLOOKUP($A1015,[2]stockregister!$A$2:$B$2000,2,FALSE),"")</f>
        <v/>
      </c>
      <c r="F1015" s="3" t="s">
        <v>21</v>
      </c>
      <c r="G1015" s="3">
        <f>_xlfn.IFNA(VLOOKUP($A1015,[3]stockregister!$A$2:$L$2000,11,0),0)</f>
        <v>0</v>
      </c>
      <c r="H1015" s="3">
        <f>_xlfn.IFNA(VLOOKUP($A1015,[3]stockregister!$A$2:$L$2000,11,0),0)-$G1015</f>
        <v>0</v>
      </c>
      <c r="I1015" s="3">
        <f>_xlfn.IFNA(VLOOKUP($A1015,[3]stockregister!$A$2:$L$2000,12,0),0)</f>
        <v>230</v>
      </c>
      <c r="J1015" s="3">
        <f>_xlfn.IFNA(VLOOKUP($A1015,[3]stockregister!$A$1:$M$2000,12,0),0)-$I1015</f>
        <v>0</v>
      </c>
      <c r="K1015" s="3" t="s">
        <v>22</v>
      </c>
      <c r="L1015" s="3" t="s">
        <v>23</v>
      </c>
      <c r="M1015" s="3">
        <f>_xlfn.IFNA(VLOOKUP($A1015,[2]stockregister!$A$2:$H$2000,8,0),0)</f>
        <v>245</v>
      </c>
      <c r="N1015" s="3">
        <f>_xlfn.IFNA(VLOOKUP($A1015,[2]stockregister!$A$2:$H$2000,8,0),0)-$M1015</f>
        <v>0</v>
      </c>
      <c r="O1015" s="3" t="s">
        <v>2398</v>
      </c>
      <c r="P1015" s="3" t="s">
        <v>2398</v>
      </c>
      <c r="Q1015" s="3" t="s">
        <v>2148</v>
      </c>
      <c r="R1015" s="3" t="s">
        <v>26</v>
      </c>
      <c r="S1015" s="3" t="s">
        <v>791</v>
      </c>
    </row>
    <row r="1016" spans="1:19">
      <c r="A1016" s="3">
        <v>2164</v>
      </c>
      <c r="B1016" s="3" t="b">
        <f>ISNUMBER(MATCH(A1016,[1]stockregister!$A$2:$A$2000,0))</f>
        <v>1</v>
      </c>
      <c r="C1016" s="3" t="s">
        <v>2399</v>
      </c>
      <c r="D1016" s="3" t="str">
        <f>VLOOKUP($C1016,[1]stockregister!$B$2:$B$2000,1,0)</f>
        <v>KO MANGO &amp; CHILLI 330ML</v>
      </c>
      <c r="E1016" s="3" t="str">
        <f>IF(ISNA($D1016),VLOOKUP($A1016,[2]stockregister!$A$2:$B$2000,2,FALSE),"")</f>
        <v/>
      </c>
      <c r="F1016" s="3" t="s">
        <v>21</v>
      </c>
      <c r="G1016" s="3">
        <f>_xlfn.IFNA(VLOOKUP($A1016,[3]stockregister!$A$2:$L$2000,11,0),0)</f>
        <v>0</v>
      </c>
      <c r="H1016" s="3">
        <f>_xlfn.IFNA(VLOOKUP($A1016,[3]stockregister!$A$2:$L$2000,11,0),0)-$G1016</f>
        <v>0</v>
      </c>
      <c r="I1016" s="3">
        <f>_xlfn.IFNA(VLOOKUP($A1016,[3]stockregister!$A$2:$L$2000,12,0),0)</f>
        <v>225.04</v>
      </c>
      <c r="J1016" s="3">
        <f>_xlfn.IFNA(VLOOKUP($A1016,[3]stockregister!$A$1:$M$2000,12,0),0)-$I1016</f>
        <v>0</v>
      </c>
      <c r="K1016" s="3" t="s">
        <v>22</v>
      </c>
      <c r="L1016" s="3" t="s">
        <v>23</v>
      </c>
      <c r="M1016" s="3">
        <f>_xlfn.IFNA(VLOOKUP($A1016,[2]stockregister!$A$2:$H$2000,8,0),0)</f>
        <v>220</v>
      </c>
      <c r="N1016" s="3">
        <f>_xlfn.IFNA(VLOOKUP($A1016,[2]stockregister!$A$2:$H$2000,8,0),0)-$M1016</f>
        <v>0</v>
      </c>
      <c r="O1016" s="3" t="s">
        <v>2400</v>
      </c>
      <c r="P1016" s="3" t="s">
        <v>2400</v>
      </c>
      <c r="Q1016" s="3" t="s">
        <v>129</v>
      </c>
      <c r="R1016" s="3" t="s">
        <v>26</v>
      </c>
      <c r="S1016" s="3" t="s">
        <v>791</v>
      </c>
    </row>
    <row r="1017" spans="1:19">
      <c r="A1017" s="3">
        <v>2493</v>
      </c>
      <c r="B1017" s="3" t="b">
        <f>ISNUMBER(MATCH(A1017,[1]stockregister!$A$2:$A$2000,0))</f>
        <v>1</v>
      </c>
      <c r="C1017" s="3" t="s">
        <v>2401</v>
      </c>
      <c r="D1017" s="3" t="str">
        <f>VLOOKUP($C1017,[1]stockregister!$B$2:$B$2000,1,0)</f>
        <v>DAWA DRINK 500ML</v>
      </c>
      <c r="E1017" s="3" t="str">
        <f>IF(ISNA($D1017),VLOOKUP($A1017,[2]stockregister!$A$2:$B$2000,2,FALSE),"")</f>
        <v/>
      </c>
      <c r="F1017" s="3" t="s">
        <v>21</v>
      </c>
      <c r="G1017" s="3">
        <f>_xlfn.IFNA(VLOOKUP($A1017,[3]stockregister!$A$2:$L$2000,11,0),0)</f>
        <v>0</v>
      </c>
      <c r="H1017" s="3">
        <f>_xlfn.IFNA(VLOOKUP($A1017,[3]stockregister!$A$2:$L$2000,11,0),0)-$G1017</f>
        <v>0</v>
      </c>
      <c r="I1017" s="3">
        <f>_xlfn.IFNA(VLOOKUP($A1017,[3]stockregister!$A$2:$L$2000,12,0),0)</f>
        <v>130</v>
      </c>
      <c r="J1017" s="3">
        <f>_xlfn.IFNA(VLOOKUP($A1017,[3]stockregister!$A$1:$M$2000,12,0),0)-$I1017</f>
        <v>0</v>
      </c>
      <c r="K1017" s="3" t="s">
        <v>22</v>
      </c>
      <c r="L1017" s="3" t="s">
        <v>23</v>
      </c>
      <c r="M1017" s="3">
        <f>_xlfn.IFNA(VLOOKUP($A1017,[2]stockregister!$A$2:$H$2000,8,0),0)</f>
        <v>150</v>
      </c>
      <c r="N1017" s="3">
        <f>_xlfn.IFNA(VLOOKUP($A1017,[2]stockregister!$A$2:$H$2000,8,0),0)-$M1017</f>
        <v>0</v>
      </c>
      <c r="O1017" s="3" t="s">
        <v>2402</v>
      </c>
      <c r="P1017" s="3" t="s">
        <v>2402</v>
      </c>
      <c r="Q1017" s="3" t="s">
        <v>2403</v>
      </c>
      <c r="R1017" s="3" t="s">
        <v>26</v>
      </c>
      <c r="S1017" s="3" t="s">
        <v>791</v>
      </c>
    </row>
    <row r="1018" spans="1:19">
      <c r="A1018" s="3">
        <v>590</v>
      </c>
      <c r="B1018" s="3" t="b">
        <f>ISNUMBER(MATCH(A1018,[1]stockregister!$A$2:$A$2000,0))</f>
        <v>1</v>
      </c>
      <c r="C1018" s="3" t="s">
        <v>2404</v>
      </c>
      <c r="D1018" s="3" t="str">
        <f>VLOOKUP($C1018,[1]stockregister!$B$2:$B$2000,1,0)</f>
        <v>DELMONTE PASSION 1LTR</v>
      </c>
      <c r="E1018" s="3" t="str">
        <f>IF(ISNA($D1018),VLOOKUP($A1018,[2]stockregister!$A$2:$B$2000,2,FALSE),"")</f>
        <v/>
      </c>
      <c r="F1018" s="3" t="s">
        <v>21</v>
      </c>
      <c r="G1018" s="3">
        <f>_xlfn.IFNA(VLOOKUP($A1018,[3]stockregister!$A$2:$L$2000,11,0),0)</f>
        <v>0</v>
      </c>
      <c r="H1018" s="3">
        <f>_xlfn.IFNA(VLOOKUP($A1018,[3]stockregister!$A$2:$L$2000,11,0),0)-$G1018</f>
        <v>0</v>
      </c>
      <c r="I1018" s="3">
        <f>_xlfn.IFNA(VLOOKUP($A1018,[3]stockregister!$A$2:$L$2000,12,0),0)</f>
        <v>210</v>
      </c>
      <c r="J1018" s="3">
        <f>_xlfn.IFNA(VLOOKUP($A1018,[3]stockregister!$A$1:$M$2000,12,0),0)-$I1018</f>
        <v>0</v>
      </c>
      <c r="K1018" s="3" t="s">
        <v>22</v>
      </c>
      <c r="L1018" s="3" t="s">
        <v>23</v>
      </c>
      <c r="M1018" s="3">
        <f>_xlfn.IFNA(VLOOKUP($A1018,[2]stockregister!$A$2:$H$2000,8,0),0)</f>
        <v>245</v>
      </c>
      <c r="N1018" s="3">
        <f>_xlfn.IFNA(VLOOKUP($A1018,[2]stockregister!$A$2:$H$2000,8,0),0)-$M1018</f>
        <v>0</v>
      </c>
      <c r="O1018" s="3" t="s">
        <v>2405</v>
      </c>
      <c r="P1018" s="3" t="s">
        <v>2405</v>
      </c>
      <c r="Q1018" s="3" t="s">
        <v>2148</v>
      </c>
      <c r="R1018" s="3" t="s">
        <v>216</v>
      </c>
      <c r="S1018" s="3" t="s">
        <v>791</v>
      </c>
    </row>
    <row r="1019" spans="1:19">
      <c r="A1019" s="3">
        <v>1892</v>
      </c>
      <c r="B1019" s="3" t="b">
        <f>ISNUMBER(MATCH(A1019,[1]stockregister!$A$2:$A$2000,0))</f>
        <v>1</v>
      </c>
      <c r="C1019" s="3" t="s">
        <v>2406</v>
      </c>
      <c r="D1019" s="3" t="str">
        <f>VLOOKUP($C1019,[1]stockregister!$B$2:$B$2000,1,0)</f>
        <v>STONEY 500ML</v>
      </c>
      <c r="E1019" s="3" t="str">
        <f>IF(ISNA($D1019),VLOOKUP($A1019,[2]stockregister!$A$2:$B$2000,2,FALSE),"")</f>
        <v/>
      </c>
      <c r="F1019" s="3" t="s">
        <v>21</v>
      </c>
      <c r="G1019" s="3">
        <f>_xlfn.IFNA(VLOOKUP($A1019,[3]stockregister!$A$2:$L$2000,11,0),0)</f>
        <v>0</v>
      </c>
      <c r="H1019" s="3">
        <f>_xlfn.IFNA(VLOOKUP($A1019,[3]stockregister!$A$2:$L$2000,11,0),0)-$G1019</f>
        <v>0</v>
      </c>
      <c r="I1019" s="3">
        <f>_xlfn.IFNA(VLOOKUP($A1019,[3]stockregister!$A$2:$L$2000,12,0),0)</f>
        <v>65.83</v>
      </c>
      <c r="J1019" s="3">
        <f>_xlfn.IFNA(VLOOKUP($A1019,[3]stockregister!$A$1:$M$2000,12,0),0)-$I1019</f>
        <v>0</v>
      </c>
      <c r="K1019" s="3" t="s">
        <v>22</v>
      </c>
      <c r="L1019" s="3" t="s">
        <v>23</v>
      </c>
      <c r="M1019" s="3">
        <f>_xlfn.IFNA(VLOOKUP($A1019,[2]stockregister!$A$2:$H$2000,8,0),0)</f>
        <v>80</v>
      </c>
      <c r="N1019" s="3">
        <f>_xlfn.IFNA(VLOOKUP($A1019,[2]stockregister!$A$2:$H$2000,8,0),0)-$M1019</f>
        <v>0</v>
      </c>
      <c r="O1019" s="3" t="s">
        <v>2407</v>
      </c>
      <c r="P1019" s="3" t="s">
        <v>2407</v>
      </c>
      <c r="Q1019" s="3" t="s">
        <v>2408</v>
      </c>
      <c r="R1019" s="3" t="s">
        <v>26</v>
      </c>
      <c r="S1019" s="3" t="s">
        <v>27</v>
      </c>
    </row>
    <row r="1020" spans="1:19">
      <c r="A1020" s="3">
        <v>2634</v>
      </c>
      <c r="B1020" s="3" t="b">
        <f>ISNUMBER(MATCH(A1020,[1]stockregister!$A$2:$A$2000,0))</f>
        <v>1</v>
      </c>
      <c r="C1020" s="3" t="s">
        <v>454</v>
      </c>
      <c r="D1020" s="3" t="str">
        <f>VLOOKUP($C1020,[1]stockregister!$B$2:$B$2000,1,0)</f>
        <v>FANTA  BLACKCURRANT 1.25L</v>
      </c>
      <c r="E1020" s="3" t="str">
        <f>IF(ISNA($D1020),VLOOKUP($A1020,[2]stockregister!$A$2:$B$2000,2,FALSE),"")</f>
        <v/>
      </c>
      <c r="F1020" s="3" t="s">
        <v>21</v>
      </c>
      <c r="G1020" s="3">
        <f>_xlfn.IFNA(VLOOKUP($A1020,[3]stockregister!$A$2:$L$2000,11,0),0)</f>
        <v>0</v>
      </c>
      <c r="H1020" s="3">
        <f>_xlfn.IFNA(VLOOKUP($A1020,[3]stockregister!$A$2:$L$2000,11,0),0)-$G1020</f>
        <v>0</v>
      </c>
      <c r="I1020" s="3">
        <f>_xlfn.IFNA(VLOOKUP($A1020,[3]stockregister!$A$2:$L$2000,12,0),0)</f>
        <v>125</v>
      </c>
      <c r="J1020" s="3">
        <f>_xlfn.IFNA(VLOOKUP($A1020,[3]stockregister!$A$1:$M$2000,12,0),0)-$I1020</f>
        <v>0</v>
      </c>
      <c r="K1020" s="3" t="s">
        <v>22</v>
      </c>
      <c r="L1020" s="3" t="s">
        <v>23</v>
      </c>
      <c r="M1020" s="3">
        <f>_xlfn.IFNA(VLOOKUP($A1020,[2]stockregister!$A$2:$H$2000,8,0),0)</f>
        <v>150</v>
      </c>
      <c r="N1020" s="3">
        <f>_xlfn.IFNA(VLOOKUP($A1020,[2]stockregister!$A$2:$H$2000,8,0),0)-$M1020</f>
        <v>0</v>
      </c>
      <c r="O1020" s="3" t="s">
        <v>2409</v>
      </c>
      <c r="P1020" s="3" t="s">
        <v>2409</v>
      </c>
      <c r="Q1020" s="3" t="s">
        <v>1059</v>
      </c>
      <c r="R1020" s="3" t="s">
        <v>26</v>
      </c>
      <c r="S1020" s="3" t="s">
        <v>27</v>
      </c>
    </row>
    <row r="1021" spans="1:19">
      <c r="A1021" s="3">
        <v>2637</v>
      </c>
      <c r="B1021" s="3" t="b">
        <f>ISNUMBER(MATCH(A1021,[1]stockregister!$A$2:$A$2000,0))</f>
        <v>1</v>
      </c>
      <c r="C1021" s="3" t="s">
        <v>2410</v>
      </c>
      <c r="D1021" s="3" t="str">
        <f>VLOOKUP($C1021,[1]stockregister!$B$2:$B$2000,1,0)</f>
        <v>FANTA PASSION 2L</v>
      </c>
      <c r="E1021" s="3" t="str">
        <f>IF(ISNA($D1021),VLOOKUP($A1021,[2]stockregister!$A$2:$B$2000,2,FALSE),"")</f>
        <v/>
      </c>
      <c r="F1021" s="3" t="s">
        <v>21</v>
      </c>
      <c r="G1021" s="3">
        <f>_xlfn.IFNA(VLOOKUP($A1021,[3]stockregister!$A$2:$L$2000,11,0),0)</f>
        <v>0</v>
      </c>
      <c r="H1021" s="3">
        <f>_xlfn.IFNA(VLOOKUP($A1021,[3]stockregister!$A$2:$L$2000,11,0),0)-$G1021</f>
        <v>0</v>
      </c>
      <c r="I1021" s="3">
        <f>_xlfn.IFNA(VLOOKUP($A1021,[3]stockregister!$A$2:$L$2000,12,0),0)</f>
        <v>175</v>
      </c>
      <c r="J1021" s="3">
        <f>_xlfn.IFNA(VLOOKUP($A1021,[3]stockregister!$A$1:$M$2000,12,0),0)-$I1021</f>
        <v>0</v>
      </c>
      <c r="K1021" s="3" t="s">
        <v>22</v>
      </c>
      <c r="L1021" s="3" t="s">
        <v>23</v>
      </c>
      <c r="M1021" s="3">
        <f>_xlfn.IFNA(VLOOKUP($A1021,[2]stockregister!$A$2:$H$2000,8,0),0)</f>
        <v>200</v>
      </c>
      <c r="N1021" s="3">
        <f>_xlfn.IFNA(VLOOKUP($A1021,[2]stockregister!$A$2:$H$2000,8,0),0)-$M1021</f>
        <v>0</v>
      </c>
      <c r="O1021" s="3" t="s">
        <v>2411</v>
      </c>
      <c r="P1021" s="3" t="s">
        <v>2411</v>
      </c>
      <c r="Q1021" s="3" t="s">
        <v>1059</v>
      </c>
      <c r="R1021" s="3" t="s">
        <v>26</v>
      </c>
      <c r="S1021" s="3" t="s">
        <v>27</v>
      </c>
    </row>
    <row r="1022" spans="1:19">
      <c r="A1022" s="3">
        <v>679</v>
      </c>
      <c r="B1022" s="3" t="b">
        <f>ISNUMBER(MATCH(A1022,[1]stockregister!$A$2:$A$2000,0))</f>
        <v>1</v>
      </c>
      <c r="C1022" s="3" t="s">
        <v>2412</v>
      </c>
      <c r="D1022" s="3" t="str">
        <f>VLOOKUP($C1022,[1]stockregister!$B$2:$B$2000,1,0)</f>
        <v>FANTA ORANGE 1.25L</v>
      </c>
      <c r="E1022" s="3" t="str">
        <f>IF(ISNA($D1022),VLOOKUP($A1022,[2]stockregister!$A$2:$B$2000,2,FALSE),"")</f>
        <v/>
      </c>
      <c r="F1022" s="3" t="s">
        <v>21</v>
      </c>
      <c r="G1022" s="3">
        <f>_xlfn.IFNA(VLOOKUP($A1022,[3]stockregister!$A$2:$L$2000,11,0),0)</f>
        <v>0</v>
      </c>
      <c r="H1022" s="3">
        <f>_xlfn.IFNA(VLOOKUP($A1022,[3]stockregister!$A$2:$L$2000,11,0),0)-$G1022</f>
        <v>0</v>
      </c>
      <c r="I1022" s="3">
        <f>_xlfn.IFNA(VLOOKUP($A1022,[3]stockregister!$A$2:$L$2000,12,0),0)</f>
        <v>125</v>
      </c>
      <c r="J1022" s="3">
        <f>_xlfn.IFNA(VLOOKUP($A1022,[3]stockregister!$A$1:$M$2000,12,0),0)-$I1022</f>
        <v>0</v>
      </c>
      <c r="K1022" s="3" t="s">
        <v>22</v>
      </c>
      <c r="L1022" s="3" t="s">
        <v>23</v>
      </c>
      <c r="M1022" s="3">
        <f>_xlfn.IFNA(VLOOKUP($A1022,[2]stockregister!$A$2:$H$2000,8,0),0)</f>
        <v>150</v>
      </c>
      <c r="N1022" s="3">
        <f>_xlfn.IFNA(VLOOKUP($A1022,[2]stockregister!$A$2:$H$2000,8,0),0)-$M1022</f>
        <v>0</v>
      </c>
      <c r="O1022" s="3" t="s">
        <v>2413</v>
      </c>
      <c r="P1022" s="3" t="s">
        <v>2413</v>
      </c>
      <c r="Q1022" s="3" t="s">
        <v>1059</v>
      </c>
      <c r="R1022" s="3" t="s">
        <v>26</v>
      </c>
      <c r="S1022" s="3" t="s">
        <v>27</v>
      </c>
    </row>
    <row r="1023" spans="1:19">
      <c r="A1023" s="3">
        <v>506</v>
      </c>
      <c r="B1023" s="3" t="b">
        <f>ISNUMBER(MATCH(A1023,[1]stockregister!$A$2:$A$2000,0))</f>
        <v>1</v>
      </c>
      <c r="C1023" s="3" t="s">
        <v>2414</v>
      </c>
      <c r="D1023" s="3" t="str">
        <f>VLOOKUP($C1023,[1]stockregister!$B$2:$B$2000,1,0)</f>
        <v>COKE 1.25LTR</v>
      </c>
      <c r="E1023" s="3" t="str">
        <f>IF(ISNA($D1023),VLOOKUP($A1023,[2]stockregister!$A$2:$B$2000,2,FALSE),"")</f>
        <v/>
      </c>
      <c r="F1023" s="3" t="s">
        <v>21</v>
      </c>
      <c r="G1023" s="3">
        <f>_xlfn.IFNA(VLOOKUP($A1023,[3]stockregister!$A$2:$L$2000,11,0),0)</f>
        <v>0</v>
      </c>
      <c r="H1023" s="3">
        <f>_xlfn.IFNA(VLOOKUP($A1023,[3]stockregister!$A$2:$L$2000,11,0),0)-$G1023</f>
        <v>0</v>
      </c>
      <c r="I1023" s="3">
        <f>_xlfn.IFNA(VLOOKUP($A1023,[3]stockregister!$A$2:$L$2000,12,0),0)</f>
        <v>125</v>
      </c>
      <c r="J1023" s="3">
        <f>_xlfn.IFNA(VLOOKUP($A1023,[3]stockregister!$A$1:$M$2000,12,0),0)-$I1023</f>
        <v>0</v>
      </c>
      <c r="K1023" s="3" t="s">
        <v>22</v>
      </c>
      <c r="L1023" s="3" t="s">
        <v>23</v>
      </c>
      <c r="M1023" s="3">
        <f>_xlfn.IFNA(VLOOKUP($A1023,[2]stockregister!$A$2:$H$2000,8,0),0)</f>
        <v>150</v>
      </c>
      <c r="N1023" s="3">
        <f>_xlfn.IFNA(VLOOKUP($A1023,[2]stockregister!$A$2:$H$2000,8,0),0)-$M1023</f>
        <v>0</v>
      </c>
      <c r="O1023" s="3" t="s">
        <v>2415</v>
      </c>
      <c r="P1023" s="3" t="s">
        <v>2415</v>
      </c>
      <c r="Q1023" s="3" t="s">
        <v>25</v>
      </c>
      <c r="R1023" s="3" t="s">
        <v>26</v>
      </c>
      <c r="S1023" s="3" t="s">
        <v>27</v>
      </c>
    </row>
    <row r="1024" spans="1:19">
      <c r="A1024" s="3">
        <v>2635</v>
      </c>
      <c r="B1024" s="3" t="b">
        <f>ISNUMBER(MATCH(A1024,[1]stockregister!$A$2:$A$2000,0))</f>
        <v>1</v>
      </c>
      <c r="C1024" s="3" t="s">
        <v>458</v>
      </c>
      <c r="D1024" s="3" t="str">
        <f>VLOOKUP($C1024,[1]stockregister!$B$2:$B$2000,1,0)</f>
        <v>FANTA BLACKCURRANT 2L</v>
      </c>
      <c r="E1024" s="3" t="str">
        <f>IF(ISNA($D1024),VLOOKUP($A1024,[2]stockregister!$A$2:$B$2000,2,FALSE),"")</f>
        <v/>
      </c>
      <c r="F1024" s="3" t="s">
        <v>21</v>
      </c>
      <c r="G1024" s="3">
        <f>_xlfn.IFNA(VLOOKUP($A1024,[3]stockregister!$A$2:$L$2000,11,0),0)</f>
        <v>0</v>
      </c>
      <c r="H1024" s="3">
        <f>_xlfn.IFNA(VLOOKUP($A1024,[3]stockregister!$A$2:$L$2000,11,0),0)-$G1024</f>
        <v>0</v>
      </c>
      <c r="I1024" s="3">
        <f>_xlfn.IFNA(VLOOKUP($A1024,[3]stockregister!$A$2:$L$2000,12,0),0)</f>
        <v>175</v>
      </c>
      <c r="J1024" s="3">
        <f>_xlfn.IFNA(VLOOKUP($A1024,[3]stockregister!$A$1:$M$2000,12,0),0)-$I1024</f>
        <v>0</v>
      </c>
      <c r="K1024" s="3" t="s">
        <v>22</v>
      </c>
      <c r="L1024" s="3" t="s">
        <v>23</v>
      </c>
      <c r="M1024" s="3">
        <f>_xlfn.IFNA(VLOOKUP($A1024,[2]stockregister!$A$2:$H$2000,8,0),0)</f>
        <v>200</v>
      </c>
      <c r="N1024" s="3">
        <f>_xlfn.IFNA(VLOOKUP($A1024,[2]stockregister!$A$2:$H$2000,8,0),0)-$M1024</f>
        <v>0</v>
      </c>
      <c r="O1024" s="3" t="s">
        <v>2416</v>
      </c>
      <c r="P1024" s="3" t="s">
        <v>2416</v>
      </c>
      <c r="Q1024" s="3" t="s">
        <v>1059</v>
      </c>
      <c r="R1024" s="3" t="s">
        <v>26</v>
      </c>
      <c r="S1024" s="3" t="s">
        <v>27</v>
      </c>
    </row>
    <row r="1025" spans="1:19">
      <c r="A1025" s="3">
        <v>680</v>
      </c>
      <c r="B1025" s="3" t="b">
        <f>ISNUMBER(MATCH(A1025,[1]stockregister!$A$2:$A$2000,0))</f>
        <v>1</v>
      </c>
      <c r="C1025" s="3" t="s">
        <v>2417</v>
      </c>
      <c r="D1025" s="3" t="str">
        <f>VLOOKUP($C1025,[1]stockregister!$B$2:$B$2000,1,0)</f>
        <v>FANTA ORANGE 2L</v>
      </c>
      <c r="E1025" s="3" t="str">
        <f>IF(ISNA($D1025),VLOOKUP($A1025,[2]stockregister!$A$2:$B$2000,2,FALSE),"")</f>
        <v/>
      </c>
      <c r="F1025" s="3" t="s">
        <v>21</v>
      </c>
      <c r="G1025" s="3">
        <f>_xlfn.IFNA(VLOOKUP($A1025,[3]stockregister!$A$2:$L$2000,11,0),0)</f>
        <v>0</v>
      </c>
      <c r="H1025" s="3">
        <f>_xlfn.IFNA(VLOOKUP($A1025,[3]stockregister!$A$2:$L$2000,11,0),0)-$G1025</f>
        <v>0</v>
      </c>
      <c r="I1025" s="3">
        <f>_xlfn.IFNA(VLOOKUP($A1025,[3]stockregister!$A$2:$L$2000,12,0),0)</f>
        <v>175</v>
      </c>
      <c r="J1025" s="3">
        <f>_xlfn.IFNA(VLOOKUP($A1025,[3]stockregister!$A$1:$M$2000,12,0),0)-$I1025</f>
        <v>0</v>
      </c>
      <c r="K1025" s="3" t="s">
        <v>22</v>
      </c>
      <c r="L1025" s="3" t="s">
        <v>23</v>
      </c>
      <c r="M1025" s="3">
        <f>_xlfn.IFNA(VLOOKUP($A1025,[2]stockregister!$A$2:$H$2000,8,0),0)</f>
        <v>180</v>
      </c>
      <c r="N1025" s="3">
        <f>_xlfn.IFNA(VLOOKUP($A1025,[2]stockregister!$A$2:$H$2000,8,0),0)-$M1025</f>
        <v>0</v>
      </c>
      <c r="O1025" s="3" t="s">
        <v>2418</v>
      </c>
      <c r="P1025" s="3" t="s">
        <v>2418</v>
      </c>
      <c r="Q1025" s="3" t="s">
        <v>1059</v>
      </c>
      <c r="R1025" s="3" t="s">
        <v>26</v>
      </c>
      <c r="S1025" s="3" t="s">
        <v>27</v>
      </c>
    </row>
    <row r="1026" spans="1:19">
      <c r="A1026" s="3">
        <v>2636</v>
      </c>
      <c r="B1026" s="3" t="b">
        <f>ISNUMBER(MATCH(A1026,[1]stockregister!$A$2:$A$2000,0))</f>
        <v>1</v>
      </c>
      <c r="C1026" s="3" t="s">
        <v>460</v>
      </c>
      <c r="D1026" s="3" t="str">
        <f>VLOOKUP($C1026,[1]stockregister!$B$2:$B$2000,1,0)</f>
        <v>FANTA BLACKCURRANT 500ML</v>
      </c>
      <c r="E1026" s="3" t="str">
        <f>IF(ISNA($D1026),VLOOKUP($A1026,[2]stockregister!$A$2:$B$2000,2,FALSE),"")</f>
        <v/>
      </c>
      <c r="F1026" s="3" t="s">
        <v>21</v>
      </c>
      <c r="G1026" s="3">
        <f>_xlfn.IFNA(VLOOKUP($A1026,[3]stockregister!$A$2:$L$2000,11,0),0)</f>
        <v>0</v>
      </c>
      <c r="H1026" s="3">
        <f>_xlfn.IFNA(VLOOKUP($A1026,[3]stockregister!$A$2:$L$2000,11,0),0)-$G1026</f>
        <v>0</v>
      </c>
      <c r="I1026" s="3">
        <f>_xlfn.IFNA(VLOOKUP($A1026,[3]stockregister!$A$2:$L$2000,12,0),0)</f>
        <v>65.83</v>
      </c>
      <c r="J1026" s="3">
        <f>_xlfn.IFNA(VLOOKUP($A1026,[3]stockregister!$A$1:$M$2000,12,0),0)-$I1026</f>
        <v>0</v>
      </c>
      <c r="K1026" s="3" t="s">
        <v>22</v>
      </c>
      <c r="L1026" s="3" t="s">
        <v>23</v>
      </c>
      <c r="M1026" s="3">
        <f>_xlfn.IFNA(VLOOKUP($A1026,[2]stockregister!$A$2:$H$2000,8,0),0)</f>
        <v>80</v>
      </c>
      <c r="N1026" s="3">
        <f>_xlfn.IFNA(VLOOKUP($A1026,[2]stockregister!$A$2:$H$2000,8,0),0)-$M1026</f>
        <v>0</v>
      </c>
      <c r="O1026" s="3" t="s">
        <v>2419</v>
      </c>
      <c r="P1026" s="3" t="s">
        <v>2419</v>
      </c>
      <c r="Q1026" s="3" t="s">
        <v>1059</v>
      </c>
      <c r="R1026" s="3" t="s">
        <v>26</v>
      </c>
      <c r="S1026" s="3" t="s">
        <v>27</v>
      </c>
    </row>
    <row r="1027" spans="1:19">
      <c r="A1027" s="3">
        <v>2868</v>
      </c>
      <c r="B1027" s="3" t="b">
        <f>ISNUMBER(MATCH(A1027,[1]stockregister!$A$2:$A$2000,0))</f>
        <v>1</v>
      </c>
      <c r="C1027" s="3" t="s">
        <v>2420</v>
      </c>
      <c r="D1027" s="3" t="str">
        <f>VLOOKUP($C1027,[1]stockregister!$B$2:$B$2000,1,0)</f>
        <v>NOVIDA 350ML</v>
      </c>
      <c r="E1027" s="3" t="str">
        <f>IF(ISNA($D1027),VLOOKUP($A1027,[2]stockregister!$A$2:$B$2000,2,FALSE),"")</f>
        <v/>
      </c>
      <c r="F1027" s="3" t="s">
        <v>21</v>
      </c>
      <c r="G1027" s="3">
        <f>_xlfn.IFNA(VLOOKUP($A1027,[3]stockregister!$A$2:$L$2000,11,0),0)</f>
        <v>0</v>
      </c>
      <c r="H1027" s="3">
        <f>_xlfn.IFNA(VLOOKUP($A1027,[3]stockregister!$A$2:$L$2000,11,0),0)-$G1027</f>
        <v>0</v>
      </c>
      <c r="I1027" s="3">
        <f>_xlfn.IFNA(VLOOKUP($A1027,[3]stockregister!$A$2:$L$2000,12,0),0)</f>
        <v>41.67</v>
      </c>
      <c r="J1027" s="3">
        <f>_xlfn.IFNA(VLOOKUP($A1027,[3]stockregister!$A$1:$M$2000,12,0),0)-$I1027</f>
        <v>0</v>
      </c>
      <c r="K1027" s="3" t="s">
        <v>22</v>
      </c>
      <c r="L1027" s="3" t="s">
        <v>23</v>
      </c>
      <c r="M1027" s="3">
        <f>_xlfn.IFNA(VLOOKUP($A1027,[2]stockregister!$A$2:$H$2000,8,0),0)</f>
        <v>60</v>
      </c>
      <c r="N1027" s="3">
        <f>_xlfn.IFNA(VLOOKUP($A1027,[2]stockregister!$A$2:$H$2000,8,0),0)-$M1027</f>
        <v>0</v>
      </c>
      <c r="O1027" s="3" t="s">
        <v>2421</v>
      </c>
      <c r="P1027" s="3" t="s">
        <v>2421</v>
      </c>
      <c r="Q1027" s="3" t="s">
        <v>2422</v>
      </c>
      <c r="R1027" s="3" t="s">
        <v>26</v>
      </c>
      <c r="S1027" s="3" t="s">
        <v>27</v>
      </c>
    </row>
    <row r="1028" spans="1:19">
      <c r="A1028" s="3">
        <v>2865</v>
      </c>
      <c r="B1028" s="3" t="b">
        <f>ISNUMBER(MATCH(A1028,[1]stockregister!$A$2:$A$2000,0))</f>
        <v>1</v>
      </c>
      <c r="C1028" s="3" t="s">
        <v>463</v>
      </c>
      <c r="D1028" s="3" t="str">
        <f>VLOOKUP($C1028,[1]stockregister!$B$2:$B$2000,1,0)</f>
        <v>FANTA BLACKCURRANT 350ML</v>
      </c>
      <c r="E1028" s="3" t="str">
        <f>IF(ISNA($D1028),VLOOKUP($A1028,[2]stockregister!$A$2:$B$2000,2,FALSE),"")</f>
        <v/>
      </c>
      <c r="F1028" s="3" t="s">
        <v>21</v>
      </c>
      <c r="G1028" s="3">
        <f>_xlfn.IFNA(VLOOKUP($A1028,[3]stockregister!$A$2:$L$2000,11,0),0)</f>
        <v>0</v>
      </c>
      <c r="H1028" s="3">
        <f>_xlfn.IFNA(VLOOKUP($A1028,[3]stockregister!$A$2:$L$2000,11,0),0)-$G1028</f>
        <v>0</v>
      </c>
      <c r="I1028" s="3">
        <f>_xlfn.IFNA(VLOOKUP($A1028,[3]stockregister!$A$2:$L$2000,12,0),0)</f>
        <v>41.67</v>
      </c>
      <c r="J1028" s="3">
        <f>_xlfn.IFNA(VLOOKUP($A1028,[3]stockregister!$A$1:$M$2000,12,0),0)-$I1028</f>
        <v>0</v>
      </c>
      <c r="K1028" s="3" t="s">
        <v>22</v>
      </c>
      <c r="L1028" s="3" t="s">
        <v>23</v>
      </c>
      <c r="M1028" s="3">
        <f>_xlfn.IFNA(VLOOKUP($A1028,[2]stockregister!$A$2:$H$2000,8,0),0)</f>
        <v>50</v>
      </c>
      <c r="N1028" s="3">
        <f>_xlfn.IFNA(VLOOKUP($A1028,[2]stockregister!$A$2:$H$2000,8,0),0)-$M1028</f>
        <v>0</v>
      </c>
      <c r="O1028" s="3" t="s">
        <v>2423</v>
      </c>
      <c r="P1028" s="3" t="s">
        <v>2423</v>
      </c>
      <c r="Q1028" s="3" t="s">
        <v>1059</v>
      </c>
      <c r="R1028" s="3" t="s">
        <v>26</v>
      </c>
      <c r="S1028" s="3" t="s">
        <v>27</v>
      </c>
    </row>
    <row r="1029" spans="1:19">
      <c r="A1029" s="3">
        <v>1287</v>
      </c>
      <c r="B1029" s="3" t="b">
        <f>ISNUMBER(MATCH(A1029,[1]stockregister!$A$2:$A$2000,0))</f>
        <v>1</v>
      </c>
      <c r="C1029" s="3" t="s">
        <v>2424</v>
      </c>
      <c r="D1029" s="3" t="str">
        <f>VLOOKUP($C1029,[1]stockregister!$B$2:$B$2000,1,0)</f>
        <v>LEMONADE 300ML</v>
      </c>
      <c r="E1029" s="3" t="str">
        <f>IF(ISNA($D1029),VLOOKUP($A1029,[2]stockregister!$A$2:$B$2000,2,FALSE),"")</f>
        <v/>
      </c>
      <c r="F1029" s="3" t="s">
        <v>21</v>
      </c>
      <c r="G1029" s="3">
        <f>_xlfn.IFNA(VLOOKUP($A1029,[3]stockregister!$A$2:$L$2000,11,0),0)</f>
        <v>0</v>
      </c>
      <c r="H1029" s="3">
        <f>_xlfn.IFNA(VLOOKUP($A1029,[3]stockregister!$A$2:$L$2000,11,0),0)-$G1029</f>
        <v>0</v>
      </c>
      <c r="I1029" s="3">
        <f>_xlfn.IFNA(VLOOKUP($A1029,[3]stockregister!$A$2:$L$2000,12,0),0)</f>
        <v>35.83</v>
      </c>
      <c r="J1029" s="3">
        <f>_xlfn.IFNA(VLOOKUP($A1029,[3]stockregister!$A$1:$M$2000,12,0),0)-$I1029</f>
        <v>0</v>
      </c>
      <c r="K1029" s="3" t="s">
        <v>22</v>
      </c>
      <c r="L1029" s="3" t="s">
        <v>23</v>
      </c>
      <c r="M1029" s="3">
        <f>_xlfn.IFNA(VLOOKUP($A1029,[2]stockregister!$A$2:$H$2000,8,0),0)</f>
        <v>40</v>
      </c>
      <c r="N1029" s="3">
        <f>_xlfn.IFNA(VLOOKUP($A1029,[2]stockregister!$A$2:$H$2000,8,0),0)-$M1029</f>
        <v>0</v>
      </c>
      <c r="O1029" s="3" t="s">
        <v>2425</v>
      </c>
      <c r="P1029" s="3" t="s">
        <v>2425</v>
      </c>
      <c r="Q1029" s="3" t="s">
        <v>2426</v>
      </c>
      <c r="R1029" s="3" t="s">
        <v>26</v>
      </c>
      <c r="S1029" s="3" t="s">
        <v>27</v>
      </c>
    </row>
    <row r="1030" spans="1:19">
      <c r="A1030" s="3">
        <v>2861</v>
      </c>
      <c r="B1030" s="3" t="b">
        <f>ISNUMBER(MATCH(A1030,[1]stockregister!$A$2:$A$2000,0))</f>
        <v>1</v>
      </c>
      <c r="C1030" s="3" t="s">
        <v>2427</v>
      </c>
      <c r="D1030" s="3" t="str">
        <f>VLOOKUP($C1030,[1]stockregister!$B$2:$B$2000,1,0)</f>
        <v>FANTA ORANGE 350ML</v>
      </c>
      <c r="E1030" s="3" t="str">
        <f>IF(ISNA($D1030),VLOOKUP($A1030,[2]stockregister!$A$2:$B$2000,2,FALSE),"")</f>
        <v/>
      </c>
      <c r="F1030" s="3" t="s">
        <v>21</v>
      </c>
      <c r="G1030" s="3">
        <f>_xlfn.IFNA(VLOOKUP($A1030,[3]stockregister!$A$2:$L$2000,11,0),0)</f>
        <v>0</v>
      </c>
      <c r="H1030" s="3">
        <f>_xlfn.IFNA(VLOOKUP($A1030,[3]stockregister!$A$2:$L$2000,11,0),0)-$G1030</f>
        <v>0</v>
      </c>
      <c r="I1030" s="3">
        <f>_xlfn.IFNA(VLOOKUP($A1030,[3]stockregister!$A$2:$L$2000,12,0),0)</f>
        <v>41.67</v>
      </c>
      <c r="J1030" s="3">
        <f>_xlfn.IFNA(VLOOKUP($A1030,[3]stockregister!$A$1:$M$2000,12,0),0)-$I1030</f>
        <v>0</v>
      </c>
      <c r="K1030" s="3" t="s">
        <v>22</v>
      </c>
      <c r="L1030" s="3" t="s">
        <v>23</v>
      </c>
      <c r="M1030" s="3">
        <f>_xlfn.IFNA(VLOOKUP($A1030,[2]stockregister!$A$2:$H$2000,8,0),0)</f>
        <v>50</v>
      </c>
      <c r="N1030" s="3">
        <f>_xlfn.IFNA(VLOOKUP($A1030,[2]stockregister!$A$2:$H$2000,8,0),0)-$M1030</f>
        <v>0</v>
      </c>
      <c r="O1030" s="3" t="s">
        <v>2428</v>
      </c>
      <c r="P1030" s="3" t="s">
        <v>2428</v>
      </c>
      <c r="Q1030" s="3" t="s">
        <v>1059</v>
      </c>
      <c r="R1030" s="3" t="s">
        <v>26</v>
      </c>
      <c r="S1030" s="3" t="s">
        <v>27</v>
      </c>
    </row>
    <row r="1031" spans="1:19">
      <c r="A1031" s="3">
        <v>508</v>
      </c>
      <c r="B1031" s="3" t="b">
        <f>ISNUMBER(MATCH(A1031,[1]stockregister!$A$2:$A$2000,0))</f>
        <v>1</v>
      </c>
      <c r="C1031" s="3" t="s">
        <v>2429</v>
      </c>
      <c r="D1031" s="3" t="str">
        <f>VLOOKUP($C1031,[1]stockregister!$B$2:$B$2000,1,0)</f>
        <v>COKE 350ML</v>
      </c>
      <c r="E1031" s="3" t="str">
        <f>IF(ISNA($D1031),VLOOKUP($A1031,[2]stockregister!$A$2:$B$2000,2,FALSE),"")</f>
        <v/>
      </c>
      <c r="F1031" s="3" t="s">
        <v>21</v>
      </c>
      <c r="G1031" s="3">
        <f>_xlfn.IFNA(VLOOKUP($A1031,[3]stockregister!$A$2:$L$2000,11,0),0)</f>
        <v>168</v>
      </c>
      <c r="H1031" s="3">
        <f>_xlfn.IFNA(VLOOKUP($A1031,[3]stockregister!$A$2:$L$2000,11,0),0)-$G1031</f>
        <v>0</v>
      </c>
      <c r="I1031" s="3">
        <f>_xlfn.IFNA(VLOOKUP($A1031,[3]stockregister!$A$2:$L$2000,12,0),0)</f>
        <v>41.67</v>
      </c>
      <c r="J1031" s="3">
        <f>_xlfn.IFNA(VLOOKUP($A1031,[3]stockregister!$A$1:$M$2000,12,0),0)-$I1031</f>
        <v>0</v>
      </c>
      <c r="K1031" s="3" t="s">
        <v>22</v>
      </c>
      <c r="L1031" s="3" t="s">
        <v>23</v>
      </c>
      <c r="M1031" s="3">
        <f>_xlfn.IFNA(VLOOKUP($A1031,[2]stockregister!$A$2:$H$2000,8,0),0)</f>
        <v>50</v>
      </c>
      <c r="N1031" s="3">
        <f>_xlfn.IFNA(VLOOKUP($A1031,[2]stockregister!$A$2:$H$2000,8,0),0)-$M1031</f>
        <v>0</v>
      </c>
      <c r="O1031" s="3" t="s">
        <v>24</v>
      </c>
      <c r="P1031" s="3" t="s">
        <v>24</v>
      </c>
      <c r="Q1031" s="3" t="s">
        <v>25</v>
      </c>
      <c r="R1031" s="3" t="s">
        <v>26</v>
      </c>
      <c r="S1031" s="3" t="s">
        <v>27</v>
      </c>
    </row>
    <row r="1032" spans="1:19">
      <c r="A1032" s="3">
        <v>1618</v>
      </c>
      <c r="B1032" s="3" t="b">
        <f>ISNUMBER(MATCH(A1032,[1]stockregister!$A$2:$A$2000,0))</f>
        <v>1</v>
      </c>
      <c r="C1032" s="3" t="s">
        <v>2430</v>
      </c>
      <c r="D1032" s="3" t="str">
        <f>VLOOKUP($C1032,[1]stockregister!$B$2:$B$2000,1,0)</f>
        <v>PET SODA 500ML</v>
      </c>
      <c r="E1032" s="3" t="str">
        <f>IF(ISNA($D1032),VLOOKUP($A1032,[2]stockregister!$A$2:$B$2000,2,FALSE),"")</f>
        <v/>
      </c>
      <c r="F1032" s="3" t="s">
        <v>21</v>
      </c>
      <c r="G1032" s="3">
        <f>_xlfn.IFNA(VLOOKUP($A1032,[3]stockregister!$A$2:$L$2000,11,0),0)</f>
        <v>0</v>
      </c>
      <c r="H1032" s="3">
        <f>_xlfn.IFNA(VLOOKUP($A1032,[3]stockregister!$A$2:$L$2000,11,0),0)-$G1032</f>
        <v>0</v>
      </c>
      <c r="I1032" s="3">
        <f>_xlfn.IFNA(VLOOKUP($A1032,[3]stockregister!$A$2:$L$2000,12,0),0)</f>
        <v>73.6</v>
      </c>
      <c r="J1032" s="3">
        <f>_xlfn.IFNA(VLOOKUP($A1032,[3]stockregister!$A$1:$M$2000,12,0),0)-$I1032</f>
        <v>0</v>
      </c>
      <c r="K1032" s="3" t="s">
        <v>22</v>
      </c>
      <c r="L1032" s="3" t="s">
        <v>23</v>
      </c>
      <c r="M1032" s="3">
        <f>_xlfn.IFNA(VLOOKUP($A1032,[2]stockregister!$A$2:$H$2000,8,0),0)</f>
        <v>80</v>
      </c>
      <c r="N1032" s="3">
        <f>_xlfn.IFNA(VLOOKUP($A1032,[2]stockregister!$A$2:$H$2000,8,0),0)-$M1032</f>
        <v>0</v>
      </c>
      <c r="O1032" s="3" t="s">
        <v>2431</v>
      </c>
      <c r="P1032" s="3" t="s">
        <v>2431</v>
      </c>
      <c r="Q1032" s="3" t="s">
        <v>2432</v>
      </c>
      <c r="R1032" s="3" t="s">
        <v>26</v>
      </c>
      <c r="S1032" s="3" t="s">
        <v>27</v>
      </c>
    </row>
    <row r="1033" spans="1:19">
      <c r="A1033" s="3">
        <v>2838</v>
      </c>
      <c r="B1033" s="3" t="b">
        <f>ISNUMBER(MATCH(A1033,[1]stockregister!$A$2:$A$2000,0))</f>
        <v>1</v>
      </c>
      <c r="C1033" s="3" t="s">
        <v>2433</v>
      </c>
      <c r="D1033" s="3" t="str">
        <f>VLOOKUP($C1033,[1]stockregister!$B$2:$B$2000,1,0)</f>
        <v>SPRITE 1 LITRE</v>
      </c>
      <c r="E1033" s="3" t="str">
        <f>IF(ISNA($D1033),VLOOKUP($A1033,[2]stockregister!$A$2:$B$2000,2,FALSE),"")</f>
        <v/>
      </c>
      <c r="F1033" s="3" t="s">
        <v>21</v>
      </c>
      <c r="G1033" s="3">
        <f>_xlfn.IFNA(VLOOKUP($A1033,[3]stockregister!$A$2:$L$2000,11,0),0)</f>
        <v>0</v>
      </c>
      <c r="H1033" s="3">
        <f>_xlfn.IFNA(VLOOKUP($A1033,[3]stockregister!$A$2:$L$2000,11,0),0)-$G1033</f>
        <v>0</v>
      </c>
      <c r="I1033" s="3">
        <f>_xlfn.IFNA(VLOOKUP($A1033,[3]stockregister!$A$2:$L$2000,12,0),0)</f>
        <v>87.5</v>
      </c>
      <c r="J1033" s="3">
        <f>_xlfn.IFNA(VLOOKUP($A1033,[3]stockregister!$A$1:$M$2000,12,0),0)-$I1033</f>
        <v>0</v>
      </c>
      <c r="K1033" s="3" t="s">
        <v>22</v>
      </c>
      <c r="L1033" s="3" t="s">
        <v>23</v>
      </c>
      <c r="M1033" s="3">
        <f>_xlfn.IFNA(VLOOKUP($A1033,[2]stockregister!$A$2:$H$2000,8,0),0)</f>
        <v>100</v>
      </c>
      <c r="N1033" s="3">
        <f>_xlfn.IFNA(VLOOKUP($A1033,[2]stockregister!$A$2:$H$2000,8,0),0)-$M1033</f>
        <v>0</v>
      </c>
      <c r="O1033" s="3" t="s">
        <v>2434</v>
      </c>
      <c r="P1033" s="3" t="s">
        <v>2434</v>
      </c>
      <c r="Q1033" s="3" t="s">
        <v>974</v>
      </c>
      <c r="R1033" s="3" t="s">
        <v>216</v>
      </c>
      <c r="S1033" s="3" t="s">
        <v>27</v>
      </c>
    </row>
    <row r="1034" spans="1:19">
      <c r="A1034" s="3">
        <v>2862</v>
      </c>
      <c r="B1034" s="3" t="b">
        <f>ISNUMBER(MATCH(A1034,[1]stockregister!$A$2:$A$2000,0))</f>
        <v>1</v>
      </c>
      <c r="C1034" s="3" t="s">
        <v>2435</v>
      </c>
      <c r="D1034" s="3" t="str">
        <f>VLOOKUP($C1034,[1]stockregister!$B$2:$B$2000,1,0)</f>
        <v>Sprite 350ml</v>
      </c>
      <c r="E1034" s="3" t="str">
        <f>IF(ISNA($D1034),VLOOKUP($A1034,[2]stockregister!$A$2:$B$2000,2,FALSE),"")</f>
        <v/>
      </c>
      <c r="F1034" s="3" t="s">
        <v>21</v>
      </c>
      <c r="G1034" s="3">
        <f>_xlfn.IFNA(VLOOKUP($A1034,[3]stockregister!$A$2:$L$2000,11,0),0)</f>
        <v>0</v>
      </c>
      <c r="H1034" s="3">
        <f>_xlfn.IFNA(VLOOKUP($A1034,[3]stockregister!$A$2:$L$2000,11,0),0)-$G1034</f>
        <v>0</v>
      </c>
      <c r="I1034" s="3">
        <f>_xlfn.IFNA(VLOOKUP($A1034,[3]stockregister!$A$2:$L$2000,12,0),0)</f>
        <v>41.67</v>
      </c>
      <c r="J1034" s="3">
        <f>_xlfn.IFNA(VLOOKUP($A1034,[3]stockregister!$A$1:$M$2000,12,0),0)-$I1034</f>
        <v>0</v>
      </c>
      <c r="K1034" s="3" t="s">
        <v>22</v>
      </c>
      <c r="L1034" s="3" t="s">
        <v>23</v>
      </c>
      <c r="M1034" s="3">
        <f>_xlfn.IFNA(VLOOKUP($A1034,[2]stockregister!$A$2:$H$2000,8,0),0)</f>
        <v>50</v>
      </c>
      <c r="N1034" s="3">
        <f>_xlfn.IFNA(VLOOKUP($A1034,[2]stockregister!$A$2:$H$2000,8,0),0)-$M1034</f>
        <v>0</v>
      </c>
      <c r="O1034" s="3" t="s">
        <v>2436</v>
      </c>
      <c r="P1034" s="3" t="s">
        <v>2436</v>
      </c>
      <c r="Q1034" s="3" t="s">
        <v>974</v>
      </c>
      <c r="R1034" s="3" t="s">
        <v>216</v>
      </c>
      <c r="S1034" s="3" t="s">
        <v>27</v>
      </c>
    </row>
    <row r="1035" spans="1:19">
      <c r="A1035" s="3">
        <v>2863</v>
      </c>
      <c r="B1035" s="3" t="b">
        <f>ISNUMBER(MATCH(A1035,[1]stockregister!$A$2:$A$2000,0))</f>
        <v>1</v>
      </c>
      <c r="C1035" s="3" t="s">
        <v>2437</v>
      </c>
      <c r="D1035" s="3" t="str">
        <f>VLOOKUP($C1035,[1]stockregister!$B$2:$B$2000,1,0)</f>
        <v>Stoney 350ml</v>
      </c>
      <c r="E1035" s="3" t="str">
        <f>IF(ISNA($D1035),VLOOKUP($A1035,[2]stockregister!$A$2:$B$2000,2,FALSE),"")</f>
        <v/>
      </c>
      <c r="F1035" s="3" t="s">
        <v>21</v>
      </c>
      <c r="G1035" s="3">
        <f>_xlfn.IFNA(VLOOKUP($A1035,[3]stockregister!$A$2:$L$2000,11,0),0)</f>
        <v>72</v>
      </c>
      <c r="H1035" s="3">
        <f>_xlfn.IFNA(VLOOKUP($A1035,[3]stockregister!$A$2:$L$2000,11,0),0)-$G1035</f>
        <v>0</v>
      </c>
      <c r="I1035" s="3">
        <f>_xlfn.IFNA(VLOOKUP($A1035,[3]stockregister!$A$2:$L$2000,12,0),0)</f>
        <v>41.67</v>
      </c>
      <c r="J1035" s="3">
        <f>_xlfn.IFNA(VLOOKUP($A1035,[3]stockregister!$A$1:$M$2000,12,0),0)-$I1035</f>
        <v>0</v>
      </c>
      <c r="K1035" s="3" t="s">
        <v>22</v>
      </c>
      <c r="L1035" s="3" t="s">
        <v>23</v>
      </c>
      <c r="M1035" s="3">
        <f>_xlfn.IFNA(VLOOKUP($A1035,[2]stockregister!$A$2:$H$2000,8,0),0)</f>
        <v>50</v>
      </c>
      <c r="N1035" s="3">
        <f>_xlfn.IFNA(VLOOKUP($A1035,[2]stockregister!$A$2:$H$2000,8,0),0)-$M1035</f>
        <v>0</v>
      </c>
      <c r="O1035" s="3" t="s">
        <v>2438</v>
      </c>
      <c r="P1035" s="3" t="s">
        <v>2438</v>
      </c>
      <c r="Q1035" s="3" t="s">
        <v>2439</v>
      </c>
      <c r="R1035" s="3" t="s">
        <v>216</v>
      </c>
      <c r="S1035" s="3" t="s">
        <v>27</v>
      </c>
    </row>
    <row r="1036" spans="1:19">
      <c r="A1036" s="3">
        <v>709</v>
      </c>
      <c r="B1036" s="3" t="b">
        <f>ISNUMBER(MATCH(A1036,[1]stockregister!$A$2:$A$2000,0))</f>
        <v>1</v>
      </c>
      <c r="C1036" s="3" t="s">
        <v>2440</v>
      </c>
      <c r="D1036" s="3" t="str">
        <f>VLOOKUP($C1036,[1]stockregister!$B$2:$B$2000,1,0)</f>
        <v>FITCH &amp; LEEDES GINGER ALE CAN 200ML</v>
      </c>
      <c r="E1036" s="3" t="str">
        <f>IF(ISNA($D1036),VLOOKUP($A1036,[2]stockregister!$A$2:$B$2000,2,FALSE),"")</f>
        <v/>
      </c>
      <c r="F1036" s="3" t="s">
        <v>21</v>
      </c>
      <c r="G1036" s="3">
        <f>_xlfn.IFNA(VLOOKUP($A1036,[3]stockregister!$A$2:$L$2000,11,0),0)</f>
        <v>0</v>
      </c>
      <c r="H1036" s="3">
        <f>_xlfn.IFNA(VLOOKUP($A1036,[3]stockregister!$A$2:$L$2000,11,0),0)-$G1036</f>
        <v>0</v>
      </c>
      <c r="I1036" s="3">
        <f>_xlfn.IFNA(VLOOKUP($A1036,[3]stockregister!$A$2:$L$2000,12,0),0)</f>
        <v>115</v>
      </c>
      <c r="J1036" s="3">
        <f>_xlfn.IFNA(VLOOKUP($A1036,[3]stockregister!$A$1:$M$2000,12,0),0)-$I1036</f>
        <v>0</v>
      </c>
      <c r="K1036" s="3" t="s">
        <v>22</v>
      </c>
      <c r="L1036" s="3" t="s">
        <v>23</v>
      </c>
      <c r="M1036" s="3">
        <f>_xlfn.IFNA(VLOOKUP($A1036,[2]stockregister!$A$2:$H$2000,8,0),0)</f>
        <v>120</v>
      </c>
      <c r="N1036" s="3">
        <f>_xlfn.IFNA(VLOOKUP($A1036,[2]stockregister!$A$2:$H$2000,8,0),0)-$M1036</f>
        <v>0</v>
      </c>
      <c r="O1036" s="3" t="s">
        <v>2441</v>
      </c>
      <c r="P1036" s="3" t="s">
        <v>2441</v>
      </c>
      <c r="Q1036" s="3" t="s">
        <v>2322</v>
      </c>
      <c r="R1036" s="3" t="s">
        <v>26</v>
      </c>
      <c r="S1036" s="3" t="s">
        <v>342</v>
      </c>
    </row>
    <row r="1037" spans="1:19">
      <c r="A1037" s="3">
        <v>711</v>
      </c>
      <c r="B1037" s="3" t="b">
        <f>ISNUMBER(MATCH(A1037,[1]stockregister!$A$2:$A$2000,0))</f>
        <v>1</v>
      </c>
      <c r="C1037" s="3" t="s">
        <v>2442</v>
      </c>
      <c r="D1037" s="3" t="str">
        <f>VLOOKUP($C1037,[1]stockregister!$B$2:$B$2000,1,0)</f>
        <v>FITCH &amp; LEEDES INDIAN TONIC CAN 200ML</v>
      </c>
      <c r="E1037" s="3" t="str">
        <f>IF(ISNA($D1037),VLOOKUP($A1037,[2]stockregister!$A$2:$B$2000,2,FALSE),"")</f>
        <v/>
      </c>
      <c r="F1037" s="3" t="s">
        <v>21</v>
      </c>
      <c r="G1037" s="3">
        <f>_xlfn.IFNA(VLOOKUP($A1037,[3]stockregister!$A$2:$L$2000,11,0),0)</f>
        <v>0</v>
      </c>
      <c r="H1037" s="3">
        <f>_xlfn.IFNA(VLOOKUP($A1037,[3]stockregister!$A$2:$L$2000,11,0),0)-$G1037</f>
        <v>0</v>
      </c>
      <c r="I1037" s="3">
        <f>_xlfn.IFNA(VLOOKUP($A1037,[3]stockregister!$A$2:$L$2000,12,0),0)</f>
        <v>115</v>
      </c>
      <c r="J1037" s="3">
        <f>_xlfn.IFNA(VLOOKUP($A1037,[3]stockregister!$A$1:$M$2000,12,0),0)-$I1037</f>
        <v>0</v>
      </c>
      <c r="K1037" s="3" t="s">
        <v>22</v>
      </c>
      <c r="L1037" s="3" t="s">
        <v>23</v>
      </c>
      <c r="M1037" s="3">
        <f>_xlfn.IFNA(VLOOKUP($A1037,[2]stockregister!$A$2:$H$2000,8,0),0)</f>
        <v>120</v>
      </c>
      <c r="N1037" s="3">
        <f>_xlfn.IFNA(VLOOKUP($A1037,[2]stockregister!$A$2:$H$2000,8,0),0)-$M1037</f>
        <v>0</v>
      </c>
      <c r="O1037" s="3" t="s">
        <v>2443</v>
      </c>
      <c r="P1037" s="3" t="s">
        <v>2443</v>
      </c>
      <c r="Q1037" s="3" t="s">
        <v>2322</v>
      </c>
      <c r="R1037" s="3" t="s">
        <v>26</v>
      </c>
      <c r="S1037" s="3" t="s">
        <v>342</v>
      </c>
    </row>
    <row r="1038" spans="1:19">
      <c r="A1038" s="3">
        <v>712</v>
      </c>
      <c r="B1038" s="3" t="b">
        <f>ISNUMBER(MATCH(A1038,[1]stockregister!$A$2:$A$2000,0))</f>
        <v>1</v>
      </c>
      <c r="C1038" s="3" t="s">
        <v>2444</v>
      </c>
      <c r="D1038" s="3" t="str">
        <f>VLOOKUP($C1038,[1]stockregister!$B$2:$B$2000,1,0)</f>
        <v>FITCH &amp; LEEDES INDIAN TONIC SUGAR FREE CAN 200ML</v>
      </c>
      <c r="E1038" s="3" t="str">
        <f>IF(ISNA($D1038),VLOOKUP($A1038,[2]stockregister!$A$2:$B$2000,2,FALSE),"")</f>
        <v/>
      </c>
      <c r="F1038" s="3" t="s">
        <v>21</v>
      </c>
      <c r="G1038" s="3">
        <f>_xlfn.IFNA(VLOOKUP($A1038,[3]stockregister!$A$2:$L$2000,11,0),0)</f>
        <v>0</v>
      </c>
      <c r="H1038" s="3">
        <f>_xlfn.IFNA(VLOOKUP($A1038,[3]stockregister!$A$2:$L$2000,11,0),0)-$G1038</f>
        <v>0</v>
      </c>
      <c r="I1038" s="3">
        <f>_xlfn.IFNA(VLOOKUP($A1038,[3]stockregister!$A$2:$L$2000,12,0),0)</f>
        <v>110.4</v>
      </c>
      <c r="J1038" s="3">
        <f>_xlfn.IFNA(VLOOKUP($A1038,[3]stockregister!$A$1:$M$2000,12,0),0)-$I1038</f>
        <v>0</v>
      </c>
      <c r="K1038" s="3" t="s">
        <v>22</v>
      </c>
      <c r="L1038" s="3" t="s">
        <v>23</v>
      </c>
      <c r="M1038" s="3">
        <f>_xlfn.IFNA(VLOOKUP($A1038,[2]stockregister!$A$2:$H$2000,8,0),0)</f>
        <v>120</v>
      </c>
      <c r="N1038" s="3">
        <f>_xlfn.IFNA(VLOOKUP($A1038,[2]stockregister!$A$2:$H$2000,8,0),0)-$M1038</f>
        <v>0</v>
      </c>
      <c r="O1038" s="3" t="s">
        <v>2445</v>
      </c>
      <c r="P1038" s="3" t="s">
        <v>2445</v>
      </c>
      <c r="Q1038" s="3" t="s">
        <v>2322</v>
      </c>
      <c r="R1038" s="3" t="s">
        <v>26</v>
      </c>
      <c r="S1038" s="3" t="s">
        <v>342</v>
      </c>
    </row>
    <row r="1039" spans="1:19">
      <c r="A1039" s="3">
        <v>713</v>
      </c>
      <c r="B1039" s="3" t="b">
        <f>ISNUMBER(MATCH(A1039,[1]stockregister!$A$2:$A$2000,0))</f>
        <v>1</v>
      </c>
      <c r="C1039" s="3" t="s">
        <v>2446</v>
      </c>
      <c r="D1039" s="3" t="str">
        <f>VLOOKUP($C1039,[1]stockregister!$B$2:$B$2000,1,0)</f>
        <v>FITCH &amp; LEEDES LEMONADE CAN 200ML</v>
      </c>
      <c r="E1039" s="3" t="str">
        <f>IF(ISNA($D1039),VLOOKUP($A1039,[2]stockregister!$A$2:$B$2000,2,FALSE),"")</f>
        <v/>
      </c>
      <c r="F1039" s="3" t="s">
        <v>21</v>
      </c>
      <c r="G1039" s="3">
        <f>_xlfn.IFNA(VLOOKUP($A1039,[3]stockregister!$A$2:$L$2000,11,0),0)</f>
        <v>0</v>
      </c>
      <c r="H1039" s="3">
        <f>_xlfn.IFNA(VLOOKUP($A1039,[3]stockregister!$A$2:$L$2000,11,0),0)-$G1039</f>
        <v>0</v>
      </c>
      <c r="I1039" s="3">
        <f>_xlfn.IFNA(VLOOKUP($A1039,[3]stockregister!$A$2:$L$2000,12,0),0)</f>
        <v>115</v>
      </c>
      <c r="J1039" s="3">
        <f>_xlfn.IFNA(VLOOKUP($A1039,[3]stockregister!$A$1:$M$2000,12,0),0)-$I1039</f>
        <v>0</v>
      </c>
      <c r="K1039" s="3" t="s">
        <v>22</v>
      </c>
      <c r="L1039" s="3" t="s">
        <v>23</v>
      </c>
      <c r="M1039" s="3">
        <f>_xlfn.IFNA(VLOOKUP($A1039,[2]stockregister!$A$2:$H$2000,8,0),0)</f>
        <v>120</v>
      </c>
      <c r="N1039" s="3">
        <f>_xlfn.IFNA(VLOOKUP($A1039,[2]stockregister!$A$2:$H$2000,8,0),0)-$M1039</f>
        <v>0</v>
      </c>
      <c r="O1039" s="3" t="s">
        <v>2447</v>
      </c>
      <c r="P1039" s="3" t="s">
        <v>2447</v>
      </c>
      <c r="Q1039" s="3" t="s">
        <v>2322</v>
      </c>
      <c r="R1039" s="3" t="s">
        <v>26</v>
      </c>
      <c r="S1039" s="3" t="s">
        <v>342</v>
      </c>
    </row>
    <row r="1040" spans="1:19">
      <c r="A1040" s="3">
        <v>718</v>
      </c>
      <c r="B1040" s="3" t="b">
        <f>ISNUMBER(MATCH(A1040,[1]stockregister!$A$2:$A$2000,0))</f>
        <v>1</v>
      </c>
      <c r="C1040" s="3" t="s">
        <v>2448</v>
      </c>
      <c r="D1040" s="3" t="str">
        <f>VLOOKUP($C1040,[1]stockregister!$B$2:$B$2000,1,0)</f>
        <v>FITCH &amp; LEEDES PINK TONIC CAN 200ML</v>
      </c>
      <c r="E1040" s="3" t="str">
        <f>IF(ISNA($D1040),VLOOKUP($A1040,[2]stockregister!$A$2:$B$2000,2,FALSE),"")</f>
        <v/>
      </c>
      <c r="F1040" s="3" t="s">
        <v>21</v>
      </c>
      <c r="G1040" s="3">
        <f>_xlfn.IFNA(VLOOKUP($A1040,[3]stockregister!$A$2:$L$2000,11,0),0)</f>
        <v>0</v>
      </c>
      <c r="H1040" s="3">
        <f>_xlfn.IFNA(VLOOKUP($A1040,[3]stockregister!$A$2:$L$2000,11,0),0)-$G1040</f>
        <v>0</v>
      </c>
      <c r="I1040" s="3">
        <f>_xlfn.IFNA(VLOOKUP($A1040,[3]stockregister!$A$2:$L$2000,12,0),0)</f>
        <v>115</v>
      </c>
      <c r="J1040" s="3">
        <f>_xlfn.IFNA(VLOOKUP($A1040,[3]stockregister!$A$1:$M$2000,12,0),0)-$I1040</f>
        <v>0</v>
      </c>
      <c r="K1040" s="3" t="s">
        <v>22</v>
      </c>
      <c r="L1040" s="3" t="s">
        <v>23</v>
      </c>
      <c r="M1040" s="3">
        <f>_xlfn.IFNA(VLOOKUP($A1040,[2]stockregister!$A$2:$H$2000,8,0),0)</f>
        <v>120</v>
      </c>
      <c r="N1040" s="3">
        <f>_xlfn.IFNA(VLOOKUP($A1040,[2]stockregister!$A$2:$H$2000,8,0),0)-$M1040</f>
        <v>0</v>
      </c>
      <c r="O1040" s="3" t="s">
        <v>2449</v>
      </c>
      <c r="P1040" s="3" t="s">
        <v>2449</v>
      </c>
      <c r="Q1040" s="3" t="s">
        <v>2322</v>
      </c>
      <c r="R1040" s="3" t="s">
        <v>26</v>
      </c>
      <c r="S1040" s="3" t="s">
        <v>342</v>
      </c>
    </row>
    <row r="1041" spans="1:19">
      <c r="A1041" s="3">
        <v>719</v>
      </c>
      <c r="B1041" s="3" t="b">
        <f>ISNUMBER(MATCH(A1041,[1]stockregister!$A$2:$A$2000,0))</f>
        <v>1</v>
      </c>
      <c r="C1041" s="3" t="s">
        <v>2450</v>
      </c>
      <c r="D1041" s="3" t="str">
        <f>VLOOKUP($C1041,[1]stockregister!$B$2:$B$2000,1,0)</f>
        <v>FITCH &amp; LEEDES PINK TONIC SUGAR FREE CAN 200ML</v>
      </c>
      <c r="E1041" s="3" t="str">
        <f>IF(ISNA($D1041),VLOOKUP($A1041,[2]stockregister!$A$2:$B$2000,2,FALSE),"")</f>
        <v/>
      </c>
      <c r="F1041" s="3" t="s">
        <v>21</v>
      </c>
      <c r="G1041" s="3">
        <f>_xlfn.IFNA(VLOOKUP($A1041,[3]stockregister!$A$2:$L$2000,11,0),0)</f>
        <v>0</v>
      </c>
      <c r="H1041" s="3">
        <f>_xlfn.IFNA(VLOOKUP($A1041,[3]stockregister!$A$2:$L$2000,11,0),0)-$G1041</f>
        <v>0</v>
      </c>
      <c r="I1041" s="3">
        <f>_xlfn.IFNA(VLOOKUP($A1041,[3]stockregister!$A$2:$L$2000,12,0),0)</f>
        <v>110.4</v>
      </c>
      <c r="J1041" s="3">
        <f>_xlfn.IFNA(VLOOKUP($A1041,[3]stockregister!$A$1:$M$2000,12,0),0)-$I1041</f>
        <v>0</v>
      </c>
      <c r="K1041" s="3" t="s">
        <v>22</v>
      </c>
      <c r="L1041" s="3" t="s">
        <v>23</v>
      </c>
      <c r="M1041" s="3">
        <f>_xlfn.IFNA(VLOOKUP($A1041,[2]stockregister!$A$2:$H$2000,8,0),0)</f>
        <v>120</v>
      </c>
      <c r="N1041" s="3">
        <f>_xlfn.IFNA(VLOOKUP($A1041,[2]stockregister!$A$2:$H$2000,8,0),0)-$M1041</f>
        <v>0</v>
      </c>
      <c r="O1041" s="3" t="s">
        <v>2451</v>
      </c>
      <c r="P1041" s="3" t="s">
        <v>2451</v>
      </c>
      <c r="Q1041" s="3" t="s">
        <v>2322</v>
      </c>
      <c r="R1041" s="3" t="s">
        <v>26</v>
      </c>
      <c r="S1041" s="3" t="s">
        <v>342</v>
      </c>
    </row>
    <row r="1042" spans="1:19">
      <c r="A1042" s="3">
        <v>2456</v>
      </c>
      <c r="B1042" s="3" t="b">
        <f>ISNUMBER(MATCH(A1042,[1]stockregister!$A$2:$A$2000,0))</f>
        <v>1</v>
      </c>
      <c r="C1042" s="3" t="s">
        <v>2452</v>
      </c>
      <c r="D1042" s="3" t="str">
        <f>VLOOKUP($C1042,[1]stockregister!$B$2:$B$2000,1,0)</f>
        <v>SCHWEEPES BITTER LEMON 500ML</v>
      </c>
      <c r="E1042" s="3" t="str">
        <f>IF(ISNA($D1042),VLOOKUP($A1042,[2]stockregister!$A$2:$B$2000,2,FALSE),"")</f>
        <v/>
      </c>
      <c r="F1042" s="3" t="s">
        <v>21</v>
      </c>
      <c r="G1042" s="3">
        <f>_xlfn.IFNA(VLOOKUP($A1042,[3]stockregister!$A$2:$L$2000,11,0),0)</f>
        <v>0</v>
      </c>
      <c r="H1042" s="3">
        <f>_xlfn.IFNA(VLOOKUP($A1042,[3]stockregister!$A$2:$L$2000,11,0),0)-$G1042</f>
        <v>0</v>
      </c>
      <c r="I1042" s="3">
        <f>_xlfn.IFNA(VLOOKUP($A1042,[3]stockregister!$A$2:$L$2000,12,0),0)</f>
        <v>61.46</v>
      </c>
      <c r="J1042" s="3">
        <f>_xlfn.IFNA(VLOOKUP($A1042,[3]stockregister!$A$1:$M$2000,12,0),0)-$I1042</f>
        <v>0</v>
      </c>
      <c r="K1042" s="3" t="s">
        <v>22</v>
      </c>
      <c r="L1042" s="3" t="s">
        <v>23</v>
      </c>
      <c r="M1042" s="3">
        <f>_xlfn.IFNA(VLOOKUP($A1042,[2]stockregister!$A$2:$H$2000,8,0),0)</f>
        <v>80</v>
      </c>
      <c r="N1042" s="3">
        <f>_xlfn.IFNA(VLOOKUP($A1042,[2]stockregister!$A$2:$H$2000,8,0),0)-$M1042</f>
        <v>0</v>
      </c>
      <c r="O1042" s="3" t="s">
        <v>2453</v>
      </c>
      <c r="P1042" s="3" t="s">
        <v>2453</v>
      </c>
      <c r="Q1042" s="3" t="s">
        <v>2454</v>
      </c>
      <c r="R1042" s="3" t="s">
        <v>216</v>
      </c>
      <c r="S1042" s="3" t="s">
        <v>342</v>
      </c>
    </row>
    <row r="1043" spans="1:19">
      <c r="A1043" s="3">
        <v>1727</v>
      </c>
      <c r="B1043" s="3" t="b">
        <f>ISNUMBER(MATCH(A1043,[1]stockregister!$A$2:$A$2000,0))</f>
        <v>1</v>
      </c>
      <c r="C1043" s="3" t="s">
        <v>2455</v>
      </c>
      <c r="D1043" s="3" t="str">
        <f>VLOOKUP($C1043,[1]stockregister!$B$2:$B$2000,1,0)</f>
        <v>S. PELLEGRINO 750ML</v>
      </c>
      <c r="E1043" s="3" t="str">
        <f>IF(ISNA($D1043),VLOOKUP($A1043,[2]stockregister!$A$2:$B$2000,2,FALSE),"")</f>
        <v/>
      </c>
      <c r="F1043" s="3" t="s">
        <v>21</v>
      </c>
      <c r="G1043" s="3">
        <f>_xlfn.IFNA(VLOOKUP($A1043,[3]stockregister!$A$2:$L$2000,11,0),0)</f>
        <v>0</v>
      </c>
      <c r="H1043" s="3">
        <f>_xlfn.IFNA(VLOOKUP($A1043,[3]stockregister!$A$2:$L$2000,11,0),0)-$G1043</f>
        <v>0</v>
      </c>
      <c r="I1043" s="3">
        <f>_xlfn.IFNA(VLOOKUP($A1043,[3]stockregister!$A$2:$L$2000,12,0),0)</f>
        <v>460</v>
      </c>
      <c r="J1043" s="3">
        <f>_xlfn.IFNA(VLOOKUP($A1043,[3]stockregister!$A$1:$M$2000,12,0),0)-$I1043</f>
        <v>0</v>
      </c>
      <c r="K1043" s="3" t="s">
        <v>22</v>
      </c>
      <c r="L1043" s="3" t="s">
        <v>23</v>
      </c>
      <c r="M1043" s="3">
        <f>_xlfn.IFNA(VLOOKUP($A1043,[2]stockregister!$A$2:$H$2000,8,0),0)</f>
        <v>500</v>
      </c>
      <c r="N1043" s="3">
        <f>_xlfn.IFNA(VLOOKUP($A1043,[2]stockregister!$A$2:$H$2000,8,0),0)-$M1043</f>
        <v>0</v>
      </c>
      <c r="O1043" s="3" t="s">
        <v>2456</v>
      </c>
      <c r="P1043" s="3" t="s">
        <v>2456</v>
      </c>
      <c r="Q1043" s="3" t="s">
        <v>2457</v>
      </c>
      <c r="R1043" s="3" t="s">
        <v>26</v>
      </c>
      <c r="S1043" s="3" t="s">
        <v>240</v>
      </c>
    </row>
    <row r="1044" spans="1:19">
      <c r="A1044" s="3">
        <v>2237</v>
      </c>
      <c r="B1044" s="3" t="b">
        <f>ISNUMBER(MATCH(A1044,[1]stockregister!$A$2:$A$2000,0))</f>
        <v>1</v>
      </c>
      <c r="C1044" s="3" t="s">
        <v>2458</v>
      </c>
      <c r="D1044" s="3" t="str">
        <f>VLOOKUP($C1044,[1]stockregister!$B$2:$B$2000,1,0)</f>
        <v>MAYERS DRINKING WATER 1LTR</v>
      </c>
      <c r="E1044" s="3" t="str">
        <f>IF(ISNA($D1044),VLOOKUP($A1044,[2]stockregister!$A$2:$B$2000,2,FALSE),"")</f>
        <v/>
      </c>
      <c r="F1044" s="3" t="s">
        <v>21</v>
      </c>
      <c r="G1044" s="3">
        <f>_xlfn.IFNA(VLOOKUP($A1044,[3]stockregister!$A$2:$L$2000,11,0),0)</f>
        <v>0</v>
      </c>
      <c r="H1044" s="3">
        <f>_xlfn.IFNA(VLOOKUP($A1044,[3]stockregister!$A$2:$L$2000,11,0),0)-$G1044</f>
        <v>0</v>
      </c>
      <c r="I1044" s="3">
        <f>_xlfn.IFNA(VLOOKUP($A1044,[3]stockregister!$A$2:$L$2000,12,0),0)</f>
        <v>58</v>
      </c>
      <c r="J1044" s="3">
        <f>_xlfn.IFNA(VLOOKUP($A1044,[3]stockregister!$A$1:$M$2000,12,0),0)-$I1044</f>
        <v>0</v>
      </c>
      <c r="K1044" s="3" t="s">
        <v>22</v>
      </c>
      <c r="L1044" s="3" t="s">
        <v>23</v>
      </c>
      <c r="M1044" s="3">
        <f>_xlfn.IFNA(VLOOKUP($A1044,[2]stockregister!$A$2:$H$2000,8,0),0)</f>
        <v>100</v>
      </c>
      <c r="N1044" s="3">
        <f>_xlfn.IFNA(VLOOKUP($A1044,[2]stockregister!$A$2:$H$2000,8,0),0)-$M1044</f>
        <v>0</v>
      </c>
      <c r="O1044" s="3" t="s">
        <v>2459</v>
      </c>
      <c r="P1044" s="3" t="s">
        <v>2459</v>
      </c>
      <c r="Q1044" s="3" t="s">
        <v>2460</v>
      </c>
      <c r="R1044" s="3" t="s">
        <v>26</v>
      </c>
      <c r="S1044" s="3" t="s">
        <v>457</v>
      </c>
    </row>
    <row r="1045" spans="1:19">
      <c r="A1045" s="3">
        <v>2348</v>
      </c>
      <c r="B1045" s="3" t="b">
        <f>ISNUMBER(MATCH(A1045,[1]stockregister!$A$2:$A$2000,0))</f>
        <v>1</v>
      </c>
      <c r="C1045" s="3" t="s">
        <v>2461</v>
      </c>
      <c r="D1045" s="3" t="str">
        <f>VLOOKUP($C1045,[1]stockregister!$B$2:$B$2000,1,0)</f>
        <v>MAYERS SPARKLING 1LTR</v>
      </c>
      <c r="E1045" s="3" t="str">
        <f>IF(ISNA($D1045),VLOOKUP($A1045,[2]stockregister!$A$2:$B$2000,2,FALSE),"")</f>
        <v/>
      </c>
      <c r="F1045" s="3" t="s">
        <v>21</v>
      </c>
      <c r="G1045" s="3">
        <f>_xlfn.IFNA(VLOOKUP($A1045,[3]stockregister!$A$2:$L$2000,11,0),0)</f>
        <v>0</v>
      </c>
      <c r="H1045" s="3">
        <f>_xlfn.IFNA(VLOOKUP($A1045,[3]stockregister!$A$2:$L$2000,11,0),0)-$G1045</f>
        <v>0</v>
      </c>
      <c r="I1045" s="3">
        <f>_xlfn.IFNA(VLOOKUP($A1045,[3]stockregister!$A$2:$L$2000,12,0),0)</f>
        <v>110</v>
      </c>
      <c r="J1045" s="3">
        <f>_xlfn.IFNA(VLOOKUP($A1045,[3]stockregister!$A$1:$M$2000,12,0),0)-$I1045</f>
        <v>0</v>
      </c>
      <c r="K1045" s="3" t="s">
        <v>22</v>
      </c>
      <c r="L1045" s="3" t="s">
        <v>23</v>
      </c>
      <c r="M1045" s="3">
        <f>_xlfn.IFNA(VLOOKUP($A1045,[2]stockregister!$A$2:$H$2000,8,0),0)</f>
        <v>120</v>
      </c>
      <c r="N1045" s="3">
        <f>_xlfn.IFNA(VLOOKUP($A1045,[2]stockregister!$A$2:$H$2000,8,0),0)-$M1045</f>
        <v>0</v>
      </c>
      <c r="O1045" s="3" t="s">
        <v>2462</v>
      </c>
      <c r="P1045" s="3" t="s">
        <v>2462</v>
      </c>
      <c r="Q1045" s="3" t="s">
        <v>2460</v>
      </c>
      <c r="R1045" s="3" t="s">
        <v>26</v>
      </c>
      <c r="S1045" s="3" t="s">
        <v>457</v>
      </c>
    </row>
    <row r="1046" spans="1:18">
      <c r="A1046" s="3">
        <v>99</v>
      </c>
      <c r="B1046" s="3" t="b">
        <f>ISNUMBER(MATCH(A1046,[1]stockregister!$A$2:$A$2000,0))</f>
        <v>1</v>
      </c>
      <c r="C1046" s="3" t="s">
        <v>2463</v>
      </c>
      <c r="D1046" s="3" t="str">
        <f>VLOOKUP($C1046,[1]stockregister!$B$2:$B$2000,1,0)</f>
        <v>ANGOSTURA 200ML</v>
      </c>
      <c r="E1046" s="3" t="str">
        <f>IF(ISNA($D1046),VLOOKUP($A1046,[2]stockregister!$A$2:$B$2000,2,FALSE),"")</f>
        <v/>
      </c>
      <c r="F1046" s="3" t="s">
        <v>21</v>
      </c>
      <c r="G1046" s="3">
        <f>_xlfn.IFNA(VLOOKUP($A1046,[3]stockregister!$A$2:$L$2000,11,0),0)</f>
        <v>0</v>
      </c>
      <c r="H1046" s="3">
        <f>_xlfn.IFNA(VLOOKUP($A1046,[3]stockregister!$A$2:$L$2000,11,0),0)-$G1046</f>
        <v>0</v>
      </c>
      <c r="I1046" s="3">
        <f>_xlfn.IFNA(VLOOKUP($A1046,[3]stockregister!$A$2:$L$2000,12,0),0)</f>
        <v>1130</v>
      </c>
      <c r="J1046" s="3">
        <f>_xlfn.IFNA(VLOOKUP($A1046,[3]stockregister!$A$1:$M$2000,12,0),0)-$I1046</f>
        <v>0</v>
      </c>
      <c r="K1046" s="3" t="s">
        <v>22</v>
      </c>
      <c r="L1046" s="3" t="s">
        <v>23</v>
      </c>
      <c r="M1046" s="3">
        <f>_xlfn.IFNA(VLOOKUP($A1046,[2]stockregister!$A$2:$H$2000,8,0),0)</f>
        <v>2500</v>
      </c>
      <c r="N1046" s="3">
        <f>_xlfn.IFNA(VLOOKUP($A1046,[2]stockregister!$A$2:$H$2000,8,0),0)-$M1046</f>
        <v>0</v>
      </c>
      <c r="O1046" s="3" t="s">
        <v>2464</v>
      </c>
      <c r="P1046" s="3" t="s">
        <v>2464</v>
      </c>
      <c r="Q1046" s="3" t="s">
        <v>2465</v>
      </c>
      <c r="R1046" s="3" t="s">
        <v>373</v>
      </c>
    </row>
    <row r="1047" spans="1:18">
      <c r="A1047" s="3">
        <v>1572</v>
      </c>
      <c r="B1047" s="3" t="b">
        <f>ISNUMBER(MATCH(A1047,[1]stockregister!$A$2:$A$2000,0))</f>
        <v>1</v>
      </c>
      <c r="C1047" s="3" t="s">
        <v>2466</v>
      </c>
      <c r="D1047" s="3" t="str">
        <f>VLOOKUP($C1047,[1]stockregister!$B$2:$B$2000,1,0)</f>
        <v>ORIGIN BITTERS 750ML</v>
      </c>
      <c r="E1047" s="3" t="str">
        <f>IF(ISNA($D1047),VLOOKUP($A1047,[2]stockregister!$A$2:$B$2000,2,FALSE),"")</f>
        <v/>
      </c>
      <c r="F1047" s="3" t="s">
        <v>21</v>
      </c>
      <c r="G1047" s="3">
        <f>_xlfn.IFNA(VLOOKUP($A1047,[3]stockregister!$A$2:$L$2000,11,0),0)</f>
        <v>0</v>
      </c>
      <c r="H1047" s="3">
        <f>_xlfn.IFNA(VLOOKUP($A1047,[3]stockregister!$A$2:$L$2000,11,0),0)-$G1047</f>
        <v>0</v>
      </c>
      <c r="I1047" s="3">
        <f>_xlfn.IFNA(VLOOKUP($A1047,[3]stockregister!$A$2:$L$2000,12,0),0)</f>
        <v>445.28</v>
      </c>
      <c r="J1047" s="3">
        <f>_xlfn.IFNA(VLOOKUP($A1047,[3]stockregister!$A$1:$M$2000,12,0),0)-$I1047</f>
        <v>0</v>
      </c>
      <c r="K1047" s="3" t="s">
        <v>22</v>
      </c>
      <c r="L1047" s="3" t="s">
        <v>23</v>
      </c>
      <c r="M1047" s="3">
        <f>_xlfn.IFNA(VLOOKUP($A1047,[2]stockregister!$A$2:$H$2000,8,0),0)</f>
        <v>484</v>
      </c>
      <c r="N1047" s="3">
        <f>_xlfn.IFNA(VLOOKUP($A1047,[2]stockregister!$A$2:$H$2000,8,0),0)-$M1047</f>
        <v>0</v>
      </c>
      <c r="O1047" s="3" t="s">
        <v>2467</v>
      </c>
      <c r="P1047" s="3" t="s">
        <v>2467</v>
      </c>
      <c r="Q1047" s="3" t="s">
        <v>1113</v>
      </c>
      <c r="R1047" s="3" t="s">
        <v>373</v>
      </c>
    </row>
    <row r="1048" spans="1:18">
      <c r="A1048" s="3">
        <v>358</v>
      </c>
      <c r="B1048" s="3" t="b">
        <f>ISNUMBER(MATCH(A1048,[1]stockregister!$A$2:$A$2000,0))</f>
        <v>1</v>
      </c>
      <c r="C1048" s="3" t="s">
        <v>2468</v>
      </c>
      <c r="D1048" s="3" t="str">
        <f>VLOOKUP($C1048,[1]stockregister!$B$2:$B$2000,1,0)</f>
        <v>CAMPARI MILANO BITTER 750ML</v>
      </c>
      <c r="E1048" s="3" t="str">
        <f>IF(ISNA($D1048),VLOOKUP($A1048,[2]stockregister!$A$2:$B$2000,2,FALSE),"")</f>
        <v/>
      </c>
      <c r="F1048" s="3" t="s">
        <v>21</v>
      </c>
      <c r="G1048" s="3">
        <f>_xlfn.IFNA(VLOOKUP($A1048,[3]stockregister!$A$2:$L$2000,11,0),0)</f>
        <v>0</v>
      </c>
      <c r="H1048" s="3">
        <f>_xlfn.IFNA(VLOOKUP($A1048,[3]stockregister!$A$2:$L$2000,11,0),0)-$G1048</f>
        <v>0</v>
      </c>
      <c r="I1048" s="3">
        <f>_xlfn.IFNA(VLOOKUP($A1048,[3]stockregister!$A$2:$L$2000,12,0),0)</f>
        <v>1932</v>
      </c>
      <c r="J1048" s="3">
        <f>_xlfn.IFNA(VLOOKUP($A1048,[3]stockregister!$A$1:$M$2000,12,0),0)-$I1048</f>
        <v>0</v>
      </c>
      <c r="K1048" s="3" t="s">
        <v>22</v>
      </c>
      <c r="L1048" s="3" t="s">
        <v>23</v>
      </c>
      <c r="M1048" s="3">
        <f>_xlfn.IFNA(VLOOKUP($A1048,[2]stockregister!$A$2:$H$2000,8,0),0)</f>
        <v>2100</v>
      </c>
      <c r="N1048" s="3">
        <f>_xlfn.IFNA(VLOOKUP($A1048,[2]stockregister!$A$2:$H$2000,8,0),0)-$M1048</f>
        <v>0</v>
      </c>
      <c r="O1048" s="3" t="s">
        <v>2469</v>
      </c>
      <c r="P1048" s="3" t="s">
        <v>2469</v>
      </c>
      <c r="Q1048" s="3" t="s">
        <v>406</v>
      </c>
      <c r="R1048" s="3" t="s">
        <v>373</v>
      </c>
    </row>
    <row r="1049" spans="1:19">
      <c r="A1049" s="3">
        <v>215</v>
      </c>
      <c r="B1049" s="3" t="b">
        <f>ISNUMBER(MATCH(A1049,[1]stockregister!$A$2:$A$2000,0))</f>
        <v>1</v>
      </c>
      <c r="C1049" s="3" t="s">
        <v>2470</v>
      </c>
      <c r="D1049" s="3" t="str">
        <f>VLOOKUP($C1049,[1]stockregister!$B$2:$B$2000,1,0)</f>
        <v>BERTRAMS VO OLD 750ML</v>
      </c>
      <c r="E1049" s="3" t="str">
        <f>IF(ISNA($D1049),VLOOKUP($A1049,[2]stockregister!$A$2:$B$2000,2,FALSE),"")</f>
        <v/>
      </c>
      <c r="F1049" s="3" t="s">
        <v>21</v>
      </c>
      <c r="G1049" s="3">
        <f>_xlfn.IFNA(VLOOKUP($A1049,[3]stockregister!$A$2:$L$2000,11,0),0)</f>
        <v>0</v>
      </c>
      <c r="H1049" s="3">
        <f>_xlfn.IFNA(VLOOKUP($A1049,[3]stockregister!$A$2:$L$2000,11,0),0)-$G1049</f>
        <v>0</v>
      </c>
      <c r="I1049" s="3">
        <f>_xlfn.IFNA(VLOOKUP($A1049,[3]stockregister!$A$2:$L$2000,12,0),0)</f>
        <v>650</v>
      </c>
      <c r="J1049" s="3">
        <f>_xlfn.IFNA(VLOOKUP($A1049,[3]stockregister!$A$1:$M$2000,12,0),0)-$I1049</f>
        <v>0</v>
      </c>
      <c r="K1049" s="3" t="s">
        <v>22</v>
      </c>
      <c r="L1049" s="3" t="s">
        <v>23</v>
      </c>
      <c r="M1049" s="3">
        <f>_xlfn.IFNA(VLOOKUP($A1049,[2]stockregister!$A$2:$H$2000,8,0),0)</f>
        <v>700</v>
      </c>
      <c r="N1049" s="3">
        <f>_xlfn.IFNA(VLOOKUP($A1049,[2]stockregister!$A$2:$H$2000,8,0),0)-$M1049</f>
        <v>0</v>
      </c>
      <c r="O1049" s="3" t="s">
        <v>2471</v>
      </c>
      <c r="P1049" s="3" t="s">
        <v>2471</v>
      </c>
      <c r="Q1049" s="3" t="s">
        <v>2472</v>
      </c>
      <c r="R1049" s="3" t="s">
        <v>109</v>
      </c>
      <c r="S1049" s="3" t="s">
        <v>2473</v>
      </c>
    </row>
    <row r="1050" spans="1:19">
      <c r="A1050" s="3">
        <v>174</v>
      </c>
      <c r="B1050" s="3" t="b">
        <f>ISNUMBER(MATCH(A1050,[1]stockregister!$A$2:$A$2000,0))</f>
        <v>1</v>
      </c>
      <c r="C1050" s="3" t="s">
        <v>2474</v>
      </c>
      <c r="D1050" s="3" t="str">
        <f>VLOOKUP($C1050,[1]stockregister!$B$2:$B$2000,1,0)</f>
        <v>BARDINET BRANDY VSOP 1ltr</v>
      </c>
      <c r="E1050" s="3" t="str">
        <f>IF(ISNA($D1050),VLOOKUP($A1050,[2]stockregister!$A$2:$B$2000,2,FALSE),"")</f>
        <v/>
      </c>
      <c r="F1050" s="3" t="s">
        <v>21</v>
      </c>
      <c r="G1050" s="3">
        <f>_xlfn.IFNA(VLOOKUP($A1050,[3]stockregister!$A$2:$L$2000,11,0),0)</f>
        <v>0</v>
      </c>
      <c r="H1050" s="3">
        <f>_xlfn.IFNA(VLOOKUP($A1050,[3]stockregister!$A$2:$L$2000,11,0),0)-$G1050</f>
        <v>0</v>
      </c>
      <c r="I1050" s="3">
        <f>_xlfn.IFNA(VLOOKUP($A1050,[3]stockregister!$A$2:$L$2000,12,0),0)</f>
        <v>1656</v>
      </c>
      <c r="J1050" s="3">
        <f>_xlfn.IFNA(VLOOKUP($A1050,[3]stockregister!$A$1:$M$2000,12,0),0)-$I1050</f>
        <v>0</v>
      </c>
      <c r="K1050" s="3" t="s">
        <v>22</v>
      </c>
      <c r="L1050" s="3" t="s">
        <v>23</v>
      </c>
      <c r="M1050" s="3">
        <f>_xlfn.IFNA(VLOOKUP($A1050,[2]stockregister!$A$2:$H$2000,8,0),0)</f>
        <v>1800</v>
      </c>
      <c r="N1050" s="3">
        <f>_xlfn.IFNA(VLOOKUP($A1050,[2]stockregister!$A$2:$H$2000,8,0),0)-$M1050</f>
        <v>0</v>
      </c>
      <c r="O1050" s="3" t="s">
        <v>2475</v>
      </c>
      <c r="P1050" s="3" t="s">
        <v>2475</v>
      </c>
      <c r="Q1050" s="3" t="s">
        <v>2159</v>
      </c>
      <c r="R1050" s="3" t="s">
        <v>109</v>
      </c>
      <c r="S1050" s="3" t="s">
        <v>36</v>
      </c>
    </row>
    <row r="1051" spans="1:19">
      <c r="A1051" s="3">
        <v>1156</v>
      </c>
      <c r="B1051" s="3" t="b">
        <f>ISNUMBER(MATCH(A1051,[1]stockregister!$A$2:$A$2000,0))</f>
        <v>1</v>
      </c>
      <c r="C1051" s="3" t="s">
        <v>2476</v>
      </c>
      <c r="D1051" s="3" t="str">
        <f>VLOOKUP($C1051,[1]stockregister!$B$2:$B$2000,1,0)</f>
        <v>JP CHENET VSOP 700ML</v>
      </c>
      <c r="E1051" s="3" t="str">
        <f>IF(ISNA($D1051),VLOOKUP($A1051,[2]stockregister!$A$2:$B$2000,2,FALSE),"")</f>
        <v/>
      </c>
      <c r="F1051" s="3" t="s">
        <v>21</v>
      </c>
      <c r="G1051" s="3">
        <f>_xlfn.IFNA(VLOOKUP($A1051,[3]stockregister!$A$2:$L$2000,11,0),0)</f>
        <v>0</v>
      </c>
      <c r="H1051" s="3">
        <f>_xlfn.IFNA(VLOOKUP($A1051,[3]stockregister!$A$2:$L$2000,11,0),0)-$G1051</f>
        <v>0</v>
      </c>
      <c r="I1051" s="3">
        <f>_xlfn.IFNA(VLOOKUP($A1051,[3]stockregister!$A$2:$L$2000,12,0),0)</f>
        <v>1090</v>
      </c>
      <c r="J1051" s="3">
        <f>_xlfn.IFNA(VLOOKUP($A1051,[3]stockregister!$A$1:$M$2000,12,0),0)-$I1051</f>
        <v>0</v>
      </c>
      <c r="K1051" s="3" t="s">
        <v>22</v>
      </c>
      <c r="L1051" s="3" t="s">
        <v>23</v>
      </c>
      <c r="M1051" s="3">
        <f>_xlfn.IFNA(VLOOKUP($A1051,[2]stockregister!$A$2:$H$2000,8,0),0)</f>
        <v>1600</v>
      </c>
      <c r="N1051" s="3">
        <f>_xlfn.IFNA(VLOOKUP($A1051,[2]stockregister!$A$2:$H$2000,8,0),0)-$M1051</f>
        <v>0</v>
      </c>
      <c r="O1051" s="3" t="s">
        <v>2477</v>
      </c>
      <c r="P1051" s="3" t="s">
        <v>2477</v>
      </c>
      <c r="Q1051" s="3" t="s">
        <v>1328</v>
      </c>
      <c r="R1051" s="3" t="s">
        <v>109</v>
      </c>
      <c r="S1051" s="3" t="s">
        <v>36</v>
      </c>
    </row>
    <row r="1052" spans="1:19">
      <c r="A1052" s="3">
        <v>1872</v>
      </c>
      <c r="B1052" s="3" t="b">
        <f>ISNUMBER(MATCH(A1052,[1]stockregister!$A$2:$A$2000,0))</f>
        <v>1</v>
      </c>
      <c r="C1052" s="3" t="s">
        <v>2478</v>
      </c>
      <c r="D1052" s="3" t="str">
        <f>VLOOKUP($C1052,[1]stockregister!$B$2:$B$2000,1,0)</f>
        <v>ST REMY VSOP FRENCH BRANDY 1LTR</v>
      </c>
      <c r="E1052" s="3" t="str">
        <f>IF(ISNA($D1052),VLOOKUP($A1052,[2]stockregister!$A$2:$B$2000,2,FALSE),"")</f>
        <v/>
      </c>
      <c r="F1052" s="3" t="s">
        <v>21</v>
      </c>
      <c r="G1052" s="3">
        <f>_xlfn.IFNA(VLOOKUP($A1052,[3]stockregister!$A$2:$L$2000,11,0),0)</f>
        <v>0</v>
      </c>
      <c r="H1052" s="3">
        <f>_xlfn.IFNA(VLOOKUP($A1052,[3]stockregister!$A$2:$L$2000,11,0),0)-$G1052</f>
        <v>0</v>
      </c>
      <c r="I1052" s="3">
        <f>_xlfn.IFNA(VLOOKUP($A1052,[3]stockregister!$A$2:$L$2000,12,0),0)</f>
        <v>1850</v>
      </c>
      <c r="J1052" s="3">
        <f>_xlfn.IFNA(VLOOKUP($A1052,[3]stockregister!$A$1:$M$2000,12,0),0)-$I1052</f>
        <v>0</v>
      </c>
      <c r="K1052" s="3" t="s">
        <v>22</v>
      </c>
      <c r="L1052" s="3" t="s">
        <v>23</v>
      </c>
      <c r="M1052" s="3">
        <f>_xlfn.IFNA(VLOOKUP($A1052,[2]stockregister!$A$2:$H$2000,8,0),0)</f>
        <v>2000</v>
      </c>
      <c r="N1052" s="3">
        <f>_xlfn.IFNA(VLOOKUP($A1052,[2]stockregister!$A$2:$H$2000,8,0),0)-$M1052</f>
        <v>0</v>
      </c>
      <c r="O1052" s="3" t="s">
        <v>2479</v>
      </c>
      <c r="P1052" s="3" t="s">
        <v>2479</v>
      </c>
      <c r="Q1052" s="3" t="s">
        <v>108</v>
      </c>
      <c r="R1052" s="3" t="s">
        <v>109</v>
      </c>
      <c r="S1052" s="3" t="s">
        <v>36</v>
      </c>
    </row>
    <row r="1053" spans="1:19">
      <c r="A1053" s="3">
        <v>1157</v>
      </c>
      <c r="B1053" s="3" t="b">
        <f>ISNUMBER(MATCH(A1053,[1]stockregister!$A$2:$A$2000,0))</f>
        <v>1</v>
      </c>
      <c r="C1053" s="3" t="s">
        <v>2480</v>
      </c>
      <c r="D1053" s="3" t="str">
        <f>VLOOKUP($C1053,[1]stockregister!$B$2:$B$2000,1,0)</f>
        <v>JP CHENET XO 700ML</v>
      </c>
      <c r="E1053" s="3" t="str">
        <f>IF(ISNA($D1053),VLOOKUP($A1053,[2]stockregister!$A$2:$B$2000,2,FALSE),"")</f>
        <v/>
      </c>
      <c r="F1053" s="3" t="s">
        <v>21</v>
      </c>
      <c r="G1053" s="3">
        <f>_xlfn.IFNA(VLOOKUP($A1053,[3]stockregister!$A$2:$L$2000,11,0),0)</f>
        <v>0</v>
      </c>
      <c r="H1053" s="3">
        <f>_xlfn.IFNA(VLOOKUP($A1053,[3]stockregister!$A$2:$L$2000,11,0),0)-$G1053</f>
        <v>0</v>
      </c>
      <c r="I1053" s="3">
        <f>_xlfn.IFNA(VLOOKUP($A1053,[3]stockregister!$A$2:$L$2000,12,0),0)</f>
        <v>1638</v>
      </c>
      <c r="J1053" s="3">
        <f>_xlfn.IFNA(VLOOKUP($A1053,[3]stockregister!$A$1:$M$2000,12,0),0)-$I1053</f>
        <v>0</v>
      </c>
      <c r="K1053" s="3" t="s">
        <v>22</v>
      </c>
      <c r="L1053" s="3" t="s">
        <v>23</v>
      </c>
      <c r="M1053" s="3">
        <f>_xlfn.IFNA(VLOOKUP($A1053,[2]stockregister!$A$2:$H$2000,8,0),0)</f>
        <v>2000</v>
      </c>
      <c r="N1053" s="3">
        <f>_xlfn.IFNA(VLOOKUP($A1053,[2]stockregister!$A$2:$H$2000,8,0),0)-$M1053</f>
        <v>0</v>
      </c>
      <c r="O1053" s="3" t="s">
        <v>2481</v>
      </c>
      <c r="P1053" s="3" t="s">
        <v>2481</v>
      </c>
      <c r="Q1053" s="3" t="s">
        <v>1328</v>
      </c>
      <c r="R1053" s="3" t="s">
        <v>109</v>
      </c>
      <c r="S1053" s="3" t="s">
        <v>401</v>
      </c>
    </row>
    <row r="1054" spans="1:18">
      <c r="A1054" s="3">
        <v>2873</v>
      </c>
      <c r="B1054" s="3" t="b">
        <f>ISNUMBER(MATCH(A1054,[1]stockregister!$A$2:$A$2000,0))</f>
        <v>1</v>
      </c>
      <c r="C1054" s="3" t="s">
        <v>2482</v>
      </c>
      <c r="D1054" s="3" t="str">
        <f>VLOOKUP($C1054,[1]stockregister!$B$2:$B$2000,1,0)</f>
        <v>DALLAS BRANDY 250ML</v>
      </c>
      <c r="E1054" s="3" t="str">
        <f>IF(ISNA($D1054),VLOOKUP($A1054,[2]stockregister!$A$2:$B$2000,2,FALSE),"")</f>
        <v/>
      </c>
      <c r="F1054" s="3" t="s">
        <v>21</v>
      </c>
      <c r="G1054" s="3">
        <f>_xlfn.IFNA(VLOOKUP($A1054,[3]stockregister!$A$2:$L$2000,11,0),0)</f>
        <v>2900</v>
      </c>
      <c r="H1054" s="3">
        <f>_xlfn.IFNA(VLOOKUP($A1054,[3]stockregister!$A$2:$L$2000,11,0),0)-$G1054</f>
        <v>0</v>
      </c>
      <c r="I1054" s="3">
        <f>_xlfn.IFNA(VLOOKUP($A1054,[3]stockregister!$A$2:$L$2000,12,0),0)</f>
        <v>120</v>
      </c>
      <c r="J1054" s="3">
        <f>_xlfn.IFNA(VLOOKUP($A1054,[3]stockregister!$A$1:$M$2000,12,0),0)-$I1054</f>
        <v>0</v>
      </c>
      <c r="K1054" s="3" t="s">
        <v>22</v>
      </c>
      <c r="L1054" s="3" t="s">
        <v>23</v>
      </c>
      <c r="M1054" s="3">
        <f>_xlfn.IFNA(VLOOKUP($A1054,[2]stockregister!$A$2:$H$2000,8,0),0)</f>
        <v>125</v>
      </c>
      <c r="N1054" s="3">
        <f>_xlfn.IFNA(VLOOKUP($A1054,[2]stockregister!$A$2:$H$2000,8,0),0)-$M1054</f>
        <v>0</v>
      </c>
      <c r="O1054" s="3" t="s">
        <v>2483</v>
      </c>
      <c r="P1054" s="3" t="s">
        <v>2483</v>
      </c>
      <c r="Q1054" s="3" t="s">
        <v>2484</v>
      </c>
      <c r="R1054" s="3" t="s">
        <v>2485</v>
      </c>
    </row>
    <row r="1055" spans="1:18">
      <c r="A1055" s="3">
        <v>2062</v>
      </c>
      <c r="B1055" s="3" t="b">
        <f>ISNUMBER(MATCH(A1055,[1]stockregister!$A$2:$A$2000,0))</f>
        <v>1</v>
      </c>
      <c r="C1055" s="3" t="s">
        <v>2486</v>
      </c>
      <c r="D1055" s="3" t="str">
        <f>VLOOKUP($C1055,[1]stockregister!$B$2:$B$2000,1,0)</f>
        <v>VICEROY 750ML</v>
      </c>
      <c r="E1055" s="3" t="str">
        <f>IF(ISNA($D1055),VLOOKUP($A1055,[2]stockregister!$A$2:$B$2000,2,FALSE),"")</f>
        <v/>
      </c>
      <c r="F1055" s="3" t="s">
        <v>21</v>
      </c>
      <c r="G1055" s="3">
        <f>_xlfn.IFNA(VLOOKUP($A1055,[3]stockregister!$A$2:$L$2000,11,0),0)</f>
        <v>0</v>
      </c>
      <c r="H1055" s="3">
        <f>_xlfn.IFNA(VLOOKUP($A1055,[3]stockregister!$A$2:$L$2000,11,0),0)-$G1055</f>
        <v>0</v>
      </c>
      <c r="I1055" s="3">
        <f>_xlfn.IFNA(VLOOKUP($A1055,[3]stockregister!$A$2:$L$2000,12,0),0)</f>
        <v>1215</v>
      </c>
      <c r="J1055" s="3">
        <f>_xlfn.IFNA(VLOOKUP($A1055,[3]stockregister!$A$1:$M$2000,12,0),0)-$I1055</f>
        <v>0</v>
      </c>
      <c r="K1055" s="3" t="s">
        <v>22</v>
      </c>
      <c r="L1055" s="3" t="s">
        <v>23</v>
      </c>
      <c r="M1055" s="3">
        <f>_xlfn.IFNA(VLOOKUP($A1055,[2]stockregister!$A$2:$H$2000,8,0),0)</f>
        <v>1215</v>
      </c>
      <c r="N1055" s="3">
        <f>_xlfn.IFNA(VLOOKUP($A1055,[2]stockregister!$A$2:$H$2000,8,0),0)-$M1055</f>
        <v>0</v>
      </c>
      <c r="O1055" s="3" t="s">
        <v>2487</v>
      </c>
      <c r="P1055" s="3" t="s">
        <v>2487</v>
      </c>
      <c r="Q1055" s="3" t="s">
        <v>755</v>
      </c>
      <c r="R1055" s="3" t="s">
        <v>109</v>
      </c>
    </row>
    <row r="1056" spans="1:18">
      <c r="A1056" s="3">
        <v>1203</v>
      </c>
      <c r="B1056" s="3" t="b">
        <f>ISNUMBER(MATCH(A1056,[1]stockregister!$A$2:$A$2000,0))</f>
        <v>1</v>
      </c>
      <c r="C1056" s="3" t="s">
        <v>2488</v>
      </c>
      <c r="D1056" s="3" t="str">
        <f>VLOOKUP($C1056,[1]stockregister!$B$2:$B$2000,1,0)</f>
        <v>KING OF ARAK 500ml</v>
      </c>
      <c r="E1056" s="3" t="str">
        <f>IF(ISNA($D1056),VLOOKUP($A1056,[2]stockregister!$A$2:$B$2000,2,FALSE),"")</f>
        <v/>
      </c>
      <c r="F1056" s="3" t="s">
        <v>21</v>
      </c>
      <c r="G1056" s="3">
        <f>_xlfn.IFNA(VLOOKUP($A1056,[3]stockregister!$A$2:$L$2000,11,0),0)</f>
        <v>0</v>
      </c>
      <c r="H1056" s="3">
        <f>_xlfn.IFNA(VLOOKUP($A1056,[3]stockregister!$A$2:$L$2000,11,0),0)-$G1056</f>
        <v>0</v>
      </c>
      <c r="I1056" s="3">
        <f>_xlfn.IFNA(VLOOKUP($A1056,[3]stockregister!$A$2:$L$2000,12,0),0)</f>
        <v>2300</v>
      </c>
      <c r="J1056" s="3">
        <f>_xlfn.IFNA(VLOOKUP($A1056,[3]stockregister!$A$1:$M$2000,12,0),0)-$I1056</f>
        <v>0</v>
      </c>
      <c r="K1056" s="3" t="s">
        <v>22</v>
      </c>
      <c r="L1056" s="3" t="s">
        <v>23</v>
      </c>
      <c r="M1056" s="3">
        <f>_xlfn.IFNA(VLOOKUP($A1056,[2]stockregister!$A$2:$H$2000,8,0),0)</f>
        <v>2500</v>
      </c>
      <c r="N1056" s="3">
        <f>_xlfn.IFNA(VLOOKUP($A1056,[2]stockregister!$A$2:$H$2000,8,0),0)-$M1056</f>
        <v>0</v>
      </c>
      <c r="O1056" s="3" t="s">
        <v>2489</v>
      </c>
      <c r="P1056" s="3" t="s">
        <v>2489</v>
      </c>
      <c r="Q1056" s="3" t="s">
        <v>2490</v>
      </c>
      <c r="R1056" s="3" t="s">
        <v>109</v>
      </c>
    </row>
    <row r="1057" spans="1:20">
      <c r="A1057" s="3">
        <v>625</v>
      </c>
      <c r="B1057" s="3" t="b">
        <f>ISNUMBER(MATCH(A1057,[1]stockregister!$A$2:$A$2000,0))</f>
        <v>1</v>
      </c>
      <c r="C1057" s="3" t="s">
        <v>2491</v>
      </c>
      <c r="D1057" s="3" t="str">
        <f>VLOOKUP($C1057,[1]stockregister!$B$2:$B$2000,1,0)</f>
        <v>DON MONTEGO (AGE 5 YEARS) 500ML</v>
      </c>
      <c r="E1057" s="3" t="str">
        <f>IF(ISNA($D1057),VLOOKUP($A1057,[2]stockregister!$A$2:$B$2000,2,FALSE),"")</f>
        <v/>
      </c>
      <c r="F1057" s="3" t="s">
        <v>21</v>
      </c>
      <c r="G1057" s="3">
        <f>_xlfn.IFNA(VLOOKUP($A1057,[3]stockregister!$A$2:$L$2000,11,0),0)</f>
        <v>0</v>
      </c>
      <c r="H1057" s="3">
        <f>_xlfn.IFNA(VLOOKUP($A1057,[3]stockregister!$A$2:$L$2000,11,0),0)-$G1057</f>
        <v>0</v>
      </c>
      <c r="I1057" s="3">
        <f>_xlfn.IFNA(VLOOKUP($A1057,[3]stockregister!$A$2:$L$2000,12,0),0)</f>
        <v>920</v>
      </c>
      <c r="J1057" s="3">
        <f>_xlfn.IFNA(VLOOKUP($A1057,[3]stockregister!$A$1:$M$2000,12,0),0)-$I1057</f>
        <v>0</v>
      </c>
      <c r="K1057" s="3" t="s">
        <v>22</v>
      </c>
      <c r="L1057" s="3" t="s">
        <v>23</v>
      </c>
      <c r="M1057" s="3">
        <f>_xlfn.IFNA(VLOOKUP($A1057,[2]stockregister!$A$2:$H$2000,8,0),0)</f>
        <v>1000</v>
      </c>
      <c r="N1057" s="3">
        <f>_xlfn.IFNA(VLOOKUP($A1057,[2]stockregister!$A$2:$H$2000,8,0),0)-$M1057</f>
        <v>0</v>
      </c>
      <c r="O1057" s="3" t="s">
        <v>2492</v>
      </c>
      <c r="P1057" s="3" t="s">
        <v>2492</v>
      </c>
      <c r="Q1057" s="3" t="s">
        <v>746</v>
      </c>
      <c r="R1057" s="3" t="s">
        <v>109</v>
      </c>
      <c r="T1057" s="3">
        <v>5</v>
      </c>
    </row>
    <row r="1058" spans="1:20">
      <c r="A1058" s="3">
        <v>1233</v>
      </c>
      <c r="B1058" s="3" t="b">
        <f>ISNUMBER(MATCH(A1058,[1]stockregister!$A$2:$A$2000,0))</f>
        <v>1</v>
      </c>
      <c r="C1058" s="3" t="s">
        <v>2493</v>
      </c>
      <c r="D1058" s="3" t="str">
        <f>VLOOKUP($C1058,[1]stockregister!$B$2:$B$2000,1,0)</f>
        <v>KWV 10YRS BRANDY 750ml</v>
      </c>
      <c r="E1058" s="3" t="str">
        <f>IF(ISNA($D1058),VLOOKUP($A1058,[2]stockregister!$A$2:$B$2000,2,FALSE),"")</f>
        <v/>
      </c>
      <c r="F1058" s="3" t="s">
        <v>21</v>
      </c>
      <c r="G1058" s="3">
        <f>_xlfn.IFNA(VLOOKUP($A1058,[3]stockregister!$A$2:$L$2000,11,0),0)</f>
        <v>0</v>
      </c>
      <c r="H1058" s="3">
        <f>_xlfn.IFNA(VLOOKUP($A1058,[3]stockregister!$A$2:$L$2000,11,0),0)-$G1058</f>
        <v>0</v>
      </c>
      <c r="I1058" s="3">
        <f>_xlfn.IFNA(VLOOKUP($A1058,[3]stockregister!$A$2:$L$2000,12,0),0)</f>
        <v>2600</v>
      </c>
      <c r="J1058" s="3">
        <f>_xlfn.IFNA(VLOOKUP($A1058,[3]stockregister!$A$1:$M$2000,12,0),0)-$I1058</f>
        <v>0</v>
      </c>
      <c r="K1058" s="3" t="s">
        <v>22</v>
      </c>
      <c r="L1058" s="3" t="s">
        <v>23</v>
      </c>
      <c r="M1058" s="3">
        <f>_xlfn.IFNA(VLOOKUP($A1058,[2]stockregister!$A$2:$H$2000,8,0),0)</f>
        <v>3000</v>
      </c>
      <c r="N1058" s="3">
        <f>_xlfn.IFNA(VLOOKUP($A1058,[2]stockregister!$A$2:$H$2000,8,0),0)-$M1058</f>
        <v>0</v>
      </c>
      <c r="O1058" s="3" t="s">
        <v>2494</v>
      </c>
      <c r="P1058" s="3" t="s">
        <v>2494</v>
      </c>
      <c r="Q1058" s="3" t="s">
        <v>872</v>
      </c>
      <c r="R1058" s="3" t="s">
        <v>109</v>
      </c>
      <c r="T1058" s="3">
        <v>10</v>
      </c>
    </row>
    <row r="1059" spans="1:20">
      <c r="A1059" s="3">
        <v>1786</v>
      </c>
      <c r="B1059" s="3" t="b">
        <f>ISNUMBER(MATCH(A1059,[1]stockregister!$A$2:$A$2000,0))</f>
        <v>1</v>
      </c>
      <c r="C1059" s="3" t="s">
        <v>2495</v>
      </c>
      <c r="D1059" s="3" t="str">
        <f>VLOOKUP($C1059,[1]stockregister!$B$2:$B$2000,1,0)</f>
        <v>SHUSTOFF 3YRS 1LTR</v>
      </c>
      <c r="E1059" s="3" t="str">
        <f>IF(ISNA($D1059),VLOOKUP($A1059,[2]stockregister!$A$2:$B$2000,2,FALSE),"")</f>
        <v/>
      </c>
      <c r="F1059" s="3" t="s">
        <v>21</v>
      </c>
      <c r="G1059" s="3">
        <f>_xlfn.IFNA(VLOOKUP($A1059,[3]stockregister!$A$2:$L$2000,11,0),0)</f>
        <v>0</v>
      </c>
      <c r="H1059" s="3">
        <f>_xlfn.IFNA(VLOOKUP($A1059,[3]stockregister!$A$2:$L$2000,11,0),0)-$G1059</f>
        <v>0</v>
      </c>
      <c r="I1059" s="3">
        <f>_xlfn.IFNA(VLOOKUP($A1059,[3]stockregister!$A$2:$L$2000,12,0),0)</f>
        <v>1334</v>
      </c>
      <c r="J1059" s="3">
        <f>_xlfn.IFNA(VLOOKUP($A1059,[3]stockregister!$A$1:$M$2000,12,0),0)-$I1059</f>
        <v>0</v>
      </c>
      <c r="K1059" s="3" t="s">
        <v>22</v>
      </c>
      <c r="L1059" s="3" t="s">
        <v>23</v>
      </c>
      <c r="M1059" s="3">
        <f>_xlfn.IFNA(VLOOKUP($A1059,[2]stockregister!$A$2:$H$2000,8,0),0)</f>
        <v>1450</v>
      </c>
      <c r="N1059" s="3">
        <f>_xlfn.IFNA(VLOOKUP($A1059,[2]stockregister!$A$2:$H$2000,8,0),0)-$M1059</f>
        <v>0</v>
      </c>
      <c r="O1059" s="3" t="s">
        <v>2496</v>
      </c>
      <c r="P1059" s="3" t="s">
        <v>2496</v>
      </c>
      <c r="Q1059" s="3" t="s">
        <v>2497</v>
      </c>
      <c r="R1059" s="3" t="s">
        <v>109</v>
      </c>
      <c r="T1059" s="3">
        <v>3</v>
      </c>
    </row>
    <row r="1060" spans="1:20">
      <c r="A1060" s="3">
        <v>1237</v>
      </c>
      <c r="B1060" s="3" t="b">
        <f>ISNUMBER(MATCH(A1060,[1]stockregister!$A$2:$A$2000,0))</f>
        <v>1</v>
      </c>
      <c r="C1060" s="3" t="s">
        <v>2498</v>
      </c>
      <c r="D1060" s="3" t="str">
        <f>VLOOKUP($C1060,[1]stockregister!$B$2:$B$2000,1,0)</f>
        <v>KWV 5YRS 750 ML</v>
      </c>
      <c r="E1060" s="3" t="str">
        <f>IF(ISNA($D1060),VLOOKUP($A1060,[2]stockregister!$A$2:$B$2000,2,FALSE),"")</f>
        <v/>
      </c>
      <c r="F1060" s="3" t="s">
        <v>21</v>
      </c>
      <c r="G1060" s="3">
        <f>_xlfn.IFNA(VLOOKUP($A1060,[3]stockregister!$A$2:$L$2000,11,0),0)</f>
        <v>0</v>
      </c>
      <c r="H1060" s="3">
        <f>_xlfn.IFNA(VLOOKUP($A1060,[3]stockregister!$A$2:$L$2000,11,0),0)-$G1060</f>
        <v>0</v>
      </c>
      <c r="I1060" s="3">
        <f>_xlfn.IFNA(VLOOKUP($A1060,[3]stockregister!$A$2:$L$2000,12,0),0)</f>
        <v>1196</v>
      </c>
      <c r="J1060" s="3">
        <f>_xlfn.IFNA(VLOOKUP($A1060,[3]stockregister!$A$1:$M$2000,12,0),0)-$I1060</f>
        <v>0</v>
      </c>
      <c r="K1060" s="3" t="s">
        <v>22</v>
      </c>
      <c r="L1060" s="3" t="s">
        <v>23</v>
      </c>
      <c r="M1060" s="3">
        <f>_xlfn.IFNA(VLOOKUP($A1060,[2]stockregister!$A$2:$H$2000,8,0),0)</f>
        <v>1300</v>
      </c>
      <c r="N1060" s="3">
        <f>_xlfn.IFNA(VLOOKUP($A1060,[2]stockregister!$A$2:$H$2000,8,0),0)-$M1060</f>
        <v>0</v>
      </c>
      <c r="O1060" s="3" t="s">
        <v>2499</v>
      </c>
      <c r="P1060" s="3" t="s">
        <v>2499</v>
      </c>
      <c r="Q1060" s="3" t="s">
        <v>872</v>
      </c>
      <c r="R1060" s="3" t="s">
        <v>109</v>
      </c>
      <c r="T1060" s="3">
        <v>5</v>
      </c>
    </row>
    <row r="1061" spans="1:20">
      <c r="A1061" s="3">
        <v>1783</v>
      </c>
      <c r="B1061" s="3" t="b">
        <f>ISNUMBER(MATCH(A1061,[1]stockregister!$A$2:$A$2000,0))</f>
        <v>1</v>
      </c>
      <c r="C1061" s="3" t="s">
        <v>2500</v>
      </c>
      <c r="D1061" s="3" t="str">
        <f>VLOOKUP($C1061,[1]stockregister!$B$2:$B$2000,1,0)</f>
        <v>SHUSHTOFF BRANDY 3YRS 500ML</v>
      </c>
      <c r="E1061" s="3" t="str">
        <f>IF(ISNA($D1061),VLOOKUP($A1061,[2]stockregister!$A$2:$B$2000,2,FALSE),"")</f>
        <v/>
      </c>
      <c r="F1061" s="3" t="s">
        <v>21</v>
      </c>
      <c r="G1061" s="3">
        <f>_xlfn.IFNA(VLOOKUP($A1061,[3]stockregister!$A$2:$L$2000,11,0),0)</f>
        <v>0</v>
      </c>
      <c r="H1061" s="3">
        <f>_xlfn.IFNA(VLOOKUP($A1061,[3]stockregister!$A$2:$L$2000,11,0),0)-$G1061</f>
        <v>0</v>
      </c>
      <c r="I1061" s="3">
        <f>_xlfn.IFNA(VLOOKUP($A1061,[3]stockregister!$A$2:$L$2000,12,0),0)</f>
        <v>1334</v>
      </c>
      <c r="J1061" s="3">
        <f>_xlfn.IFNA(VLOOKUP($A1061,[3]stockregister!$A$1:$M$2000,12,0),0)-$I1061</f>
        <v>0</v>
      </c>
      <c r="K1061" s="3" t="s">
        <v>22</v>
      </c>
      <c r="L1061" s="3" t="s">
        <v>23</v>
      </c>
      <c r="M1061" s="3">
        <f>_xlfn.IFNA(VLOOKUP($A1061,[2]stockregister!$A$2:$H$2000,8,0),0)</f>
        <v>1450</v>
      </c>
      <c r="N1061" s="3">
        <f>_xlfn.IFNA(VLOOKUP($A1061,[2]stockregister!$A$2:$H$2000,8,0),0)-$M1061</f>
        <v>0</v>
      </c>
      <c r="O1061" s="3" t="s">
        <v>2501</v>
      </c>
      <c r="P1061" s="3" t="s">
        <v>2501</v>
      </c>
      <c r="Q1061" s="3" t="s">
        <v>2497</v>
      </c>
      <c r="R1061" s="3" t="s">
        <v>109</v>
      </c>
      <c r="T1061" s="3">
        <v>3</v>
      </c>
    </row>
    <row r="1062" spans="1:18">
      <c r="A1062" s="3">
        <v>214</v>
      </c>
      <c r="B1062" s="3" t="b">
        <f>ISNUMBER(MATCH(A1062,[1]stockregister!$A$2:$A$2000,0))</f>
        <v>1</v>
      </c>
      <c r="C1062" s="3" t="s">
        <v>2502</v>
      </c>
      <c r="D1062" s="3" t="str">
        <f>VLOOKUP($C1062,[1]stockregister!$B$2:$B$2000,1,0)</f>
        <v>BERTRAMS TRIPLE 'R' BRANDY 750ML</v>
      </c>
      <c r="E1062" s="3" t="str">
        <f>IF(ISNA($D1062),VLOOKUP($A1062,[2]stockregister!$A$2:$B$2000,2,FALSE),"")</f>
        <v/>
      </c>
      <c r="F1062" s="3" t="s">
        <v>21</v>
      </c>
      <c r="G1062" s="3">
        <f>_xlfn.IFNA(VLOOKUP($A1062,[3]stockregister!$A$2:$L$2000,11,0),0)</f>
        <v>0</v>
      </c>
      <c r="H1062" s="3">
        <f>_xlfn.IFNA(VLOOKUP($A1062,[3]stockregister!$A$2:$L$2000,11,0),0)-$G1062</f>
        <v>0</v>
      </c>
      <c r="I1062" s="3">
        <f>_xlfn.IFNA(VLOOKUP($A1062,[3]stockregister!$A$2:$L$2000,12,0),0)</f>
        <v>552</v>
      </c>
      <c r="J1062" s="3">
        <f>_xlfn.IFNA(VLOOKUP($A1062,[3]stockregister!$A$1:$M$2000,12,0),0)-$I1062</f>
        <v>0</v>
      </c>
      <c r="K1062" s="3" t="s">
        <v>22</v>
      </c>
      <c r="L1062" s="3" t="s">
        <v>23</v>
      </c>
      <c r="M1062" s="3">
        <f>_xlfn.IFNA(VLOOKUP($A1062,[2]stockregister!$A$2:$H$2000,8,0),0)</f>
        <v>600</v>
      </c>
      <c r="N1062" s="3">
        <f>_xlfn.IFNA(VLOOKUP($A1062,[2]stockregister!$A$2:$H$2000,8,0),0)-$M1062</f>
        <v>0</v>
      </c>
      <c r="O1062" s="3" t="s">
        <v>2503</v>
      </c>
      <c r="P1062" s="3" t="s">
        <v>2503</v>
      </c>
      <c r="Q1062" s="3" t="s">
        <v>2472</v>
      </c>
      <c r="R1062" s="3" t="s">
        <v>109</v>
      </c>
    </row>
    <row r="1063" spans="1:18">
      <c r="A1063" s="3">
        <v>2185</v>
      </c>
      <c r="B1063" s="3" t="b">
        <f>ISNUMBER(MATCH(A1063,[1]stockregister!$A$2:$A$2000,0))</f>
        <v>1</v>
      </c>
      <c r="C1063" s="3" t="s">
        <v>2504</v>
      </c>
      <c r="D1063" s="3" t="str">
        <f>VLOOKUP($C1063,[1]stockregister!$B$2:$B$2000,1,0)</f>
        <v>CICERO BRANDY 350ML</v>
      </c>
      <c r="E1063" s="3" t="str">
        <f>IF(ISNA($D1063),VLOOKUP($A1063,[2]stockregister!$A$2:$B$2000,2,FALSE),"")</f>
        <v/>
      </c>
      <c r="F1063" s="3" t="s">
        <v>21</v>
      </c>
      <c r="G1063" s="3">
        <f>_xlfn.IFNA(VLOOKUP($A1063,[3]stockregister!$A$2:$L$2000,11,0),0)</f>
        <v>0</v>
      </c>
      <c r="H1063" s="3">
        <f>_xlfn.IFNA(VLOOKUP($A1063,[3]stockregister!$A$2:$L$2000,11,0),0)-$G1063</f>
        <v>0</v>
      </c>
      <c r="I1063" s="3">
        <f>_xlfn.IFNA(VLOOKUP($A1063,[3]stockregister!$A$2:$L$2000,12,0),0)</f>
        <v>450</v>
      </c>
      <c r="J1063" s="3">
        <f>_xlfn.IFNA(VLOOKUP($A1063,[3]stockregister!$A$1:$M$2000,12,0),0)-$I1063</f>
        <v>0</v>
      </c>
      <c r="K1063" s="3" t="s">
        <v>22</v>
      </c>
      <c r="L1063" s="3" t="s">
        <v>23</v>
      </c>
      <c r="M1063" s="3">
        <f>_xlfn.IFNA(VLOOKUP($A1063,[2]stockregister!$A$2:$H$2000,8,0),0)</f>
        <v>480</v>
      </c>
      <c r="N1063" s="3">
        <f>_xlfn.IFNA(VLOOKUP($A1063,[2]stockregister!$A$2:$H$2000,8,0),0)-$M1063</f>
        <v>0</v>
      </c>
      <c r="O1063" s="3" t="s">
        <v>2505</v>
      </c>
      <c r="P1063" s="3" t="s">
        <v>2505</v>
      </c>
      <c r="Q1063" s="3" t="s">
        <v>1111</v>
      </c>
      <c r="R1063" s="3" t="s">
        <v>109</v>
      </c>
    </row>
    <row r="1064" spans="1:20">
      <c r="A1064" s="3">
        <v>627</v>
      </c>
      <c r="B1064" s="3" t="b">
        <f>ISNUMBER(MATCH(A1064,[1]stockregister!$A$2:$A$2000,0))</f>
        <v>1</v>
      </c>
      <c r="C1064" s="3" t="s">
        <v>2506</v>
      </c>
      <c r="D1064" s="3" t="str">
        <f>VLOOKUP($C1064,[1]stockregister!$B$2:$B$2000,1,0)</f>
        <v>DON MONTEGO BRANDY(AGED 5 YEARS )750ML</v>
      </c>
      <c r="E1064" s="3" t="str">
        <f>IF(ISNA($D1064),VLOOKUP($A1064,[2]stockregister!$A$2:$B$2000,2,FALSE),"")</f>
        <v/>
      </c>
      <c r="F1064" s="3" t="s">
        <v>21</v>
      </c>
      <c r="G1064" s="3">
        <f>_xlfn.IFNA(VLOOKUP($A1064,[3]stockregister!$A$2:$L$2000,11,0),0)</f>
        <v>0</v>
      </c>
      <c r="H1064" s="3">
        <f>_xlfn.IFNA(VLOOKUP($A1064,[3]stockregister!$A$2:$L$2000,11,0),0)-$G1064</f>
        <v>0</v>
      </c>
      <c r="I1064" s="3">
        <f>_xlfn.IFNA(VLOOKUP($A1064,[3]stockregister!$A$2:$L$2000,12,0),0)</f>
        <v>1518</v>
      </c>
      <c r="J1064" s="3">
        <f>_xlfn.IFNA(VLOOKUP($A1064,[3]stockregister!$A$1:$M$2000,12,0),0)-$I1064</f>
        <v>0</v>
      </c>
      <c r="K1064" s="3" t="s">
        <v>22</v>
      </c>
      <c r="L1064" s="3" t="s">
        <v>23</v>
      </c>
      <c r="M1064" s="3">
        <f>_xlfn.IFNA(VLOOKUP($A1064,[2]stockregister!$A$2:$H$2000,8,0),0)</f>
        <v>1650</v>
      </c>
      <c r="N1064" s="3">
        <f>_xlfn.IFNA(VLOOKUP($A1064,[2]stockregister!$A$2:$H$2000,8,0),0)-$M1064</f>
        <v>0</v>
      </c>
      <c r="O1064" s="3" t="s">
        <v>2507</v>
      </c>
      <c r="P1064" s="3" t="s">
        <v>2507</v>
      </c>
      <c r="Q1064" s="3" t="s">
        <v>746</v>
      </c>
      <c r="R1064" s="3" t="s">
        <v>109</v>
      </c>
      <c r="T1064" s="3">
        <v>5</v>
      </c>
    </row>
    <row r="1065" spans="1:19">
      <c r="A1065" s="3">
        <v>2368</v>
      </c>
      <c r="B1065" s="3" t="b">
        <f>ISNUMBER(MATCH(A1065,[1]stockregister!$A$2:$A$2000,0))</f>
        <v>1</v>
      </c>
      <c r="C1065" s="3" t="s">
        <v>2508</v>
      </c>
      <c r="D1065" s="3" t="str">
        <f>VLOOKUP($C1065,[1]stockregister!$B$2:$B$2000,1,0)</f>
        <v>DUNHILL SINGLE SWITCH</v>
      </c>
      <c r="E1065" s="3" t="str">
        <f>IF(ISNA($D1065),VLOOKUP($A1065,[2]stockregister!$A$2:$B$2000,2,FALSE),"")</f>
        <v/>
      </c>
      <c r="F1065" s="3" t="s">
        <v>21</v>
      </c>
      <c r="G1065" s="3">
        <f>_xlfn.IFNA(VLOOKUP($A1065,[3]stockregister!$A$2:$L$2000,11,0),0)</f>
        <v>0</v>
      </c>
      <c r="H1065" s="3">
        <f>_xlfn.IFNA(VLOOKUP($A1065,[3]stockregister!$A$2:$L$2000,11,0),0)-$G1065</f>
        <v>0</v>
      </c>
      <c r="I1065" s="3">
        <f>_xlfn.IFNA(VLOOKUP($A1065,[3]stockregister!$A$2:$L$2000,12,0),0)</f>
        <v>514.6</v>
      </c>
      <c r="J1065" s="3">
        <f>_xlfn.IFNA(VLOOKUP($A1065,[3]stockregister!$A$1:$M$2000,12,0),0)-$I1065</f>
        <v>0</v>
      </c>
      <c r="K1065" s="3" t="s">
        <v>22</v>
      </c>
      <c r="L1065" s="3" t="s">
        <v>23</v>
      </c>
      <c r="M1065" s="3">
        <f>_xlfn.IFNA(VLOOKUP($A1065,[2]stockregister!$A$2:$H$2000,8,0),0)</f>
        <v>550</v>
      </c>
      <c r="N1065" s="3">
        <f>_xlfn.IFNA(VLOOKUP($A1065,[2]stockregister!$A$2:$H$2000,8,0),0)-$M1065</f>
        <v>0</v>
      </c>
      <c r="O1065" s="3" t="s">
        <v>2509</v>
      </c>
      <c r="P1065" s="3" t="s">
        <v>2509</v>
      </c>
      <c r="Q1065" s="3" t="s">
        <v>2510</v>
      </c>
      <c r="R1065" s="3" t="s">
        <v>31</v>
      </c>
      <c r="S1065" s="3" t="s">
        <v>2511</v>
      </c>
    </row>
    <row r="1066" spans="1:19">
      <c r="A1066" s="3">
        <v>1390</v>
      </c>
      <c r="B1066" s="3" t="b">
        <f>ISNUMBER(MATCH(A1066,[1]stockregister!$A$2:$A$2000,0))</f>
        <v>1</v>
      </c>
      <c r="C1066" s="3" t="s">
        <v>2512</v>
      </c>
      <c r="D1066" s="3" t="str">
        <f>VLOOKUP($C1066,[1]stockregister!$B$2:$B$2000,1,0)</f>
        <v>MARTEL BLUE SWIFT COGNAC 700ML</v>
      </c>
      <c r="E1066" s="3" t="str">
        <f>IF(ISNA($D1066),VLOOKUP($A1066,[2]stockregister!$A$2:$B$2000,2,FALSE),"")</f>
        <v/>
      </c>
      <c r="F1066" s="3" t="s">
        <v>21</v>
      </c>
      <c r="G1066" s="3">
        <f>_xlfn.IFNA(VLOOKUP($A1066,[3]stockregister!$A$2:$L$2000,11,0),0)</f>
        <v>0</v>
      </c>
      <c r="H1066" s="3">
        <f>_xlfn.IFNA(VLOOKUP($A1066,[3]stockregister!$A$2:$L$2000,11,0),0)-$G1066</f>
        <v>0</v>
      </c>
      <c r="I1066" s="3">
        <f>_xlfn.IFNA(VLOOKUP($A1066,[3]stockregister!$A$2:$L$2000,12,0),0)</f>
        <v>7800</v>
      </c>
      <c r="J1066" s="3">
        <f>_xlfn.IFNA(VLOOKUP($A1066,[3]stockregister!$A$1:$M$2000,12,0),0)-$I1066</f>
        <v>0</v>
      </c>
      <c r="K1066" s="3" t="s">
        <v>22</v>
      </c>
      <c r="L1066" s="3" t="s">
        <v>23</v>
      </c>
      <c r="M1066" s="3">
        <f>_xlfn.IFNA(VLOOKUP($A1066,[2]stockregister!$A$2:$H$2000,8,0),0)</f>
        <v>8500</v>
      </c>
      <c r="N1066" s="3">
        <f>_xlfn.IFNA(VLOOKUP($A1066,[2]stockregister!$A$2:$H$2000,8,0),0)-$M1066</f>
        <v>0</v>
      </c>
      <c r="O1066" s="3" t="s">
        <v>2513</v>
      </c>
      <c r="P1066" s="3" t="s">
        <v>2513</v>
      </c>
      <c r="Q1066" s="3" t="s">
        <v>101</v>
      </c>
      <c r="R1066" s="3" t="s">
        <v>102</v>
      </c>
      <c r="S1066" s="3" t="s">
        <v>2514</v>
      </c>
    </row>
    <row r="1067" spans="1:19">
      <c r="A1067" s="3">
        <v>959</v>
      </c>
      <c r="B1067" s="3" t="b">
        <f>ISNUMBER(MATCH(A1067,[1]stockregister!$A$2:$A$2000,0))</f>
        <v>1</v>
      </c>
      <c r="C1067" s="3" t="s">
        <v>467</v>
      </c>
      <c r="D1067" s="3" t="str">
        <f>VLOOKUP($C1067,[1]stockregister!$B$2:$B$2000,1,0)</f>
        <v>HENNESSY MASTER BLENDER'S  500ml</v>
      </c>
      <c r="E1067" s="3" t="str">
        <f>IF(ISNA($D1067),VLOOKUP($A1067,[2]stockregister!$A$2:$B$2000,2,FALSE),"")</f>
        <v/>
      </c>
      <c r="F1067" s="3" t="s">
        <v>21</v>
      </c>
      <c r="G1067" s="3">
        <f>_xlfn.IFNA(VLOOKUP($A1067,[3]stockregister!$A$2:$L$2000,11,0),0)</f>
        <v>0</v>
      </c>
      <c r="H1067" s="3">
        <f>_xlfn.IFNA(VLOOKUP($A1067,[3]stockregister!$A$2:$L$2000,11,0),0)-$G1067</f>
        <v>0</v>
      </c>
      <c r="I1067" s="3">
        <f>_xlfn.IFNA(VLOOKUP($A1067,[3]stockregister!$A$2:$L$2000,12,0),0)</f>
        <v>3900</v>
      </c>
      <c r="J1067" s="3">
        <f>_xlfn.IFNA(VLOOKUP($A1067,[3]stockregister!$A$1:$M$2000,12,0),0)-$I1067</f>
        <v>0</v>
      </c>
      <c r="K1067" s="3" t="s">
        <v>22</v>
      </c>
      <c r="L1067" s="3" t="s">
        <v>23</v>
      </c>
      <c r="M1067" s="3">
        <f>_xlfn.IFNA(VLOOKUP($A1067,[2]stockregister!$A$2:$H$2000,8,0),0)</f>
        <v>5000</v>
      </c>
      <c r="N1067" s="3">
        <f>_xlfn.IFNA(VLOOKUP($A1067,[2]stockregister!$A$2:$H$2000,8,0),0)-$M1067</f>
        <v>0</v>
      </c>
      <c r="O1067" s="3" t="s">
        <v>2515</v>
      </c>
      <c r="P1067" s="3" t="s">
        <v>2515</v>
      </c>
      <c r="Q1067" s="3" t="s">
        <v>227</v>
      </c>
      <c r="R1067" s="3" t="s">
        <v>102</v>
      </c>
      <c r="S1067" s="3" t="s">
        <v>2516</v>
      </c>
    </row>
    <row r="1068" spans="1:19">
      <c r="A1068" s="3">
        <v>1655</v>
      </c>
      <c r="B1068" s="3" t="b">
        <f>ISNUMBER(MATCH(A1068,[1]stockregister!$A$2:$A$2000,0))</f>
        <v>1</v>
      </c>
      <c r="C1068" s="3" t="s">
        <v>2517</v>
      </c>
      <c r="D1068" s="3" t="str">
        <f>VLOOKUP($C1068,[1]stockregister!$B$2:$B$2000,1,0)</f>
        <v>REMY MARTIN 1738 ACCORD ROYAL COGNAC 700ML</v>
      </c>
      <c r="E1068" s="3" t="str">
        <f>IF(ISNA($D1068),VLOOKUP($A1068,[2]stockregister!$A$2:$B$2000,2,FALSE),"")</f>
        <v/>
      </c>
      <c r="F1068" s="3" t="s">
        <v>21</v>
      </c>
      <c r="G1068" s="3">
        <f>_xlfn.IFNA(VLOOKUP($A1068,[3]stockregister!$A$2:$L$2000,11,0),0)</f>
        <v>0</v>
      </c>
      <c r="H1068" s="3">
        <f>_xlfn.IFNA(VLOOKUP($A1068,[3]stockregister!$A$2:$L$2000,11,0),0)-$G1068</f>
        <v>0</v>
      </c>
      <c r="I1068" s="3">
        <f>_xlfn.IFNA(VLOOKUP($A1068,[3]stockregister!$A$2:$L$2000,12,0),0)</f>
        <v>6900</v>
      </c>
      <c r="J1068" s="3">
        <f>_xlfn.IFNA(VLOOKUP($A1068,[3]stockregister!$A$1:$M$2000,12,0),0)-$I1068</f>
        <v>0</v>
      </c>
      <c r="K1068" s="3" t="s">
        <v>22</v>
      </c>
      <c r="L1068" s="3" t="s">
        <v>23</v>
      </c>
      <c r="M1068" s="3">
        <f>_xlfn.IFNA(VLOOKUP($A1068,[2]stockregister!$A$2:$H$2000,8,0),0)</f>
        <v>7500</v>
      </c>
      <c r="N1068" s="3">
        <f>_xlfn.IFNA(VLOOKUP($A1068,[2]stockregister!$A$2:$H$2000,8,0),0)-$M1068</f>
        <v>0</v>
      </c>
      <c r="O1068" s="3" t="s">
        <v>2518</v>
      </c>
      <c r="P1068" s="3" t="s">
        <v>2518</v>
      </c>
      <c r="Q1068" s="3" t="s">
        <v>2519</v>
      </c>
      <c r="R1068" s="3" t="s">
        <v>102</v>
      </c>
      <c r="S1068" s="3" t="s">
        <v>2520</v>
      </c>
    </row>
    <row r="1069" spans="1:19">
      <c r="A1069" s="3">
        <v>1392</v>
      </c>
      <c r="B1069" s="3" t="b">
        <f>ISNUMBER(MATCH(A1069,[1]stockregister!$A$2:$A$2000,0))</f>
        <v>1</v>
      </c>
      <c r="C1069" s="3" t="s">
        <v>469</v>
      </c>
      <c r="D1069" s="3" t="str">
        <f>VLOOKUP($C1069,[1]stockregister!$B$2:$B$2000,1,0)</f>
        <v>MARTEL V.S  COGNAC 1LTR</v>
      </c>
      <c r="E1069" s="3" t="str">
        <f>IF(ISNA($D1069),VLOOKUP($A1069,[2]stockregister!$A$2:$B$2000,2,FALSE),"")</f>
        <v/>
      </c>
      <c r="F1069" s="3" t="s">
        <v>21</v>
      </c>
      <c r="G1069" s="3">
        <f>_xlfn.IFNA(VLOOKUP($A1069,[3]stockregister!$A$2:$L$2000,11,0),0)</f>
        <v>0</v>
      </c>
      <c r="H1069" s="3">
        <f>_xlfn.IFNA(VLOOKUP($A1069,[3]stockregister!$A$2:$L$2000,11,0),0)-$G1069</f>
        <v>0</v>
      </c>
      <c r="I1069" s="3">
        <f>_xlfn.IFNA(VLOOKUP($A1069,[3]stockregister!$A$2:$L$2000,12,0),0)</f>
        <v>4780</v>
      </c>
      <c r="J1069" s="3">
        <f>_xlfn.IFNA(VLOOKUP($A1069,[3]stockregister!$A$1:$M$2000,12,0),0)-$I1069</f>
        <v>0</v>
      </c>
      <c r="K1069" s="3" t="s">
        <v>22</v>
      </c>
      <c r="L1069" s="3" t="s">
        <v>23</v>
      </c>
      <c r="M1069" s="3">
        <f>_xlfn.IFNA(VLOOKUP($A1069,[2]stockregister!$A$2:$H$2000,8,0),0)</f>
        <v>6500</v>
      </c>
      <c r="N1069" s="3">
        <f>_xlfn.IFNA(VLOOKUP($A1069,[2]stockregister!$A$2:$H$2000,8,0),0)-$M1069</f>
        <v>0</v>
      </c>
      <c r="O1069" s="3" t="s">
        <v>2521</v>
      </c>
      <c r="P1069" s="3" t="s">
        <v>2521</v>
      </c>
      <c r="Q1069" s="3" t="s">
        <v>101</v>
      </c>
      <c r="R1069" s="3" t="s">
        <v>102</v>
      </c>
      <c r="S1069" s="3" t="s">
        <v>103</v>
      </c>
    </row>
    <row r="1070" spans="1:19">
      <c r="A1070" s="3">
        <v>537</v>
      </c>
      <c r="B1070" s="3" t="b">
        <f>ISNUMBER(MATCH(A1070,[1]stockregister!$A$2:$A$2000,0))</f>
        <v>1</v>
      </c>
      <c r="C1070" s="3" t="s">
        <v>2522</v>
      </c>
      <c r="D1070" s="3" t="str">
        <f>VLOOKUP($C1070,[1]stockregister!$B$2:$B$2000,1,0)</f>
        <v>COURVOISIER V.S. 700ML</v>
      </c>
      <c r="E1070" s="3" t="str">
        <f>IF(ISNA($D1070),VLOOKUP($A1070,[2]stockregister!$A$2:$B$2000,2,FALSE),"")</f>
        <v/>
      </c>
      <c r="F1070" s="3" t="s">
        <v>21</v>
      </c>
      <c r="G1070" s="3">
        <f>_xlfn.IFNA(VLOOKUP($A1070,[3]stockregister!$A$2:$L$2000,11,0),0)</f>
        <v>0</v>
      </c>
      <c r="H1070" s="3">
        <f>_xlfn.IFNA(VLOOKUP($A1070,[3]stockregister!$A$2:$L$2000,11,0),0)-$G1070</f>
        <v>0</v>
      </c>
      <c r="I1070" s="3">
        <f>_xlfn.IFNA(VLOOKUP($A1070,[3]stockregister!$A$2:$L$2000,12,0),0)</f>
        <v>4140</v>
      </c>
      <c r="J1070" s="3">
        <f>_xlfn.IFNA(VLOOKUP($A1070,[3]stockregister!$A$1:$M$2000,12,0),0)-$I1070</f>
        <v>0</v>
      </c>
      <c r="K1070" s="3" t="s">
        <v>22</v>
      </c>
      <c r="L1070" s="3" t="s">
        <v>23</v>
      </c>
      <c r="M1070" s="3">
        <f>_xlfn.IFNA(VLOOKUP($A1070,[2]stockregister!$A$2:$H$2000,8,0),0)</f>
        <v>4500</v>
      </c>
      <c r="N1070" s="3">
        <f>_xlfn.IFNA(VLOOKUP($A1070,[2]stockregister!$A$2:$H$2000,8,0),0)-$M1070</f>
        <v>0</v>
      </c>
      <c r="O1070" s="3" t="s">
        <v>2523</v>
      </c>
      <c r="P1070" s="3" t="s">
        <v>2523</v>
      </c>
      <c r="Q1070" s="3" t="s">
        <v>813</v>
      </c>
      <c r="R1070" s="3" t="s">
        <v>102</v>
      </c>
      <c r="S1070" s="3" t="s">
        <v>103</v>
      </c>
    </row>
    <row r="1071" spans="1:19">
      <c r="A1071" s="3">
        <v>360</v>
      </c>
      <c r="B1071" s="3" t="b">
        <f>ISNUMBER(MATCH(A1071,[1]stockregister!$A$2:$A$2000,0))</f>
        <v>1</v>
      </c>
      <c r="C1071" s="3" t="s">
        <v>2524</v>
      </c>
      <c r="D1071" s="3" t="str">
        <f>VLOOKUP($C1071,[1]stockregister!$B$2:$B$2000,1,0)</f>
        <v>CAMUS VS COGNAC 700ML</v>
      </c>
      <c r="E1071" s="3" t="str">
        <f>IF(ISNA($D1071),VLOOKUP($A1071,[2]stockregister!$A$2:$B$2000,2,FALSE),"")</f>
        <v/>
      </c>
      <c r="F1071" s="3" t="s">
        <v>21</v>
      </c>
      <c r="G1071" s="3">
        <f>_xlfn.IFNA(VLOOKUP($A1071,[3]stockregister!$A$2:$L$2000,11,0),0)</f>
        <v>0</v>
      </c>
      <c r="H1071" s="3">
        <f>_xlfn.IFNA(VLOOKUP($A1071,[3]stockregister!$A$2:$L$2000,11,0),0)-$G1071</f>
        <v>0</v>
      </c>
      <c r="I1071" s="3">
        <f>_xlfn.IFNA(VLOOKUP($A1071,[3]stockregister!$A$2:$L$2000,12,0),0)</f>
        <v>3500</v>
      </c>
      <c r="J1071" s="3">
        <f>_xlfn.IFNA(VLOOKUP($A1071,[3]stockregister!$A$1:$M$2000,12,0),0)-$I1071</f>
        <v>0</v>
      </c>
      <c r="K1071" s="3" t="s">
        <v>22</v>
      </c>
      <c r="L1071" s="3" t="s">
        <v>23</v>
      </c>
      <c r="M1071" s="3">
        <f>_xlfn.IFNA(VLOOKUP($A1071,[2]stockregister!$A$2:$H$2000,8,0),0)</f>
        <v>4800</v>
      </c>
      <c r="N1071" s="3">
        <f>_xlfn.IFNA(VLOOKUP($A1071,[2]stockregister!$A$2:$H$2000,8,0),0)-$M1071</f>
        <v>0</v>
      </c>
      <c r="O1071" s="3" t="s">
        <v>2525</v>
      </c>
      <c r="P1071" s="3" t="s">
        <v>2525</v>
      </c>
      <c r="Q1071" s="3" t="s">
        <v>2526</v>
      </c>
      <c r="R1071" s="3" t="s">
        <v>102</v>
      </c>
      <c r="S1071" s="3" t="s">
        <v>103</v>
      </c>
    </row>
    <row r="1072" spans="1:19">
      <c r="A1072" s="3">
        <v>359</v>
      </c>
      <c r="B1072" s="3" t="b">
        <f>ISNUMBER(MATCH(A1072,[1]stockregister!$A$2:$A$2000,0))</f>
        <v>1</v>
      </c>
      <c r="C1072" s="3" t="s">
        <v>2527</v>
      </c>
      <c r="D1072" s="3" t="str">
        <f>VLOOKUP($C1072,[1]stockregister!$B$2:$B$2000,1,0)</f>
        <v>CAMUS VS COGNAC 1LTR</v>
      </c>
      <c r="E1072" s="3" t="str">
        <f>IF(ISNA($D1072),VLOOKUP($A1072,[2]stockregister!$A$2:$B$2000,2,FALSE),"")</f>
        <v/>
      </c>
      <c r="F1072" s="3" t="s">
        <v>21</v>
      </c>
      <c r="G1072" s="3">
        <f>_xlfn.IFNA(VLOOKUP($A1072,[3]stockregister!$A$2:$L$2000,11,0),0)</f>
        <v>0</v>
      </c>
      <c r="H1072" s="3">
        <f>_xlfn.IFNA(VLOOKUP($A1072,[3]stockregister!$A$2:$L$2000,11,0),0)-$G1072</f>
        <v>0</v>
      </c>
      <c r="I1072" s="3">
        <f>_xlfn.IFNA(VLOOKUP($A1072,[3]stockregister!$A$2:$L$2000,12,0),0)</f>
        <v>4700</v>
      </c>
      <c r="J1072" s="3">
        <f>_xlfn.IFNA(VLOOKUP($A1072,[3]stockregister!$A$1:$M$2000,12,0),0)-$I1072</f>
        <v>0</v>
      </c>
      <c r="K1072" s="3" t="s">
        <v>22</v>
      </c>
      <c r="L1072" s="3" t="s">
        <v>23</v>
      </c>
      <c r="M1072" s="3">
        <f>_xlfn.IFNA(VLOOKUP($A1072,[2]stockregister!$A$2:$H$2000,8,0),0)</f>
        <v>5500</v>
      </c>
      <c r="N1072" s="3">
        <f>_xlfn.IFNA(VLOOKUP($A1072,[2]stockregister!$A$2:$H$2000,8,0),0)-$M1072</f>
        <v>0</v>
      </c>
      <c r="O1072" s="3" t="s">
        <v>2528</v>
      </c>
      <c r="P1072" s="3" t="s">
        <v>2528</v>
      </c>
      <c r="Q1072" s="3" t="s">
        <v>2526</v>
      </c>
      <c r="R1072" s="3" t="s">
        <v>102</v>
      </c>
      <c r="S1072" s="3" t="s">
        <v>103</v>
      </c>
    </row>
    <row r="1073" spans="1:19">
      <c r="A1073" s="3">
        <v>961</v>
      </c>
      <c r="B1073" s="3" t="b">
        <f>ISNUMBER(MATCH(A1073,[1]stockregister!$A$2:$A$2000,0))</f>
        <v>1</v>
      </c>
      <c r="C1073" s="3" t="s">
        <v>2529</v>
      </c>
      <c r="D1073" s="3" t="str">
        <f>VLOOKUP($C1073,[1]stockregister!$B$2:$B$2000,1,0)</f>
        <v>HENNESSY V.S COGNAC 350ML</v>
      </c>
      <c r="E1073" s="3" t="str">
        <f>IF(ISNA($D1073),VLOOKUP($A1073,[2]stockregister!$A$2:$B$2000,2,FALSE),"")</f>
        <v/>
      </c>
      <c r="F1073" s="3" t="s">
        <v>21</v>
      </c>
      <c r="G1073" s="3">
        <f>_xlfn.IFNA(VLOOKUP($A1073,[3]stockregister!$A$2:$L$2000,11,0),0)</f>
        <v>0</v>
      </c>
      <c r="H1073" s="3">
        <f>_xlfn.IFNA(VLOOKUP($A1073,[3]stockregister!$A$2:$L$2000,11,0),0)-$G1073</f>
        <v>0</v>
      </c>
      <c r="I1073" s="3">
        <f>_xlfn.IFNA(VLOOKUP($A1073,[3]stockregister!$A$2:$L$2000,12,0),0)</f>
        <v>2668</v>
      </c>
      <c r="J1073" s="3">
        <f>_xlfn.IFNA(VLOOKUP($A1073,[3]stockregister!$A$1:$M$2000,12,0),0)-$I1073</f>
        <v>0</v>
      </c>
      <c r="K1073" s="3" t="s">
        <v>22</v>
      </c>
      <c r="L1073" s="3" t="s">
        <v>23</v>
      </c>
      <c r="M1073" s="3">
        <f>_xlfn.IFNA(VLOOKUP($A1073,[2]stockregister!$A$2:$H$2000,8,0),0)</f>
        <v>2900</v>
      </c>
      <c r="N1073" s="3">
        <f>_xlfn.IFNA(VLOOKUP($A1073,[2]stockregister!$A$2:$H$2000,8,0),0)-$M1073</f>
        <v>0</v>
      </c>
      <c r="O1073" s="3" t="s">
        <v>2530</v>
      </c>
      <c r="P1073" s="3" t="s">
        <v>2530</v>
      </c>
      <c r="Q1073" s="3" t="s">
        <v>227</v>
      </c>
      <c r="R1073" s="3" t="s">
        <v>102</v>
      </c>
      <c r="S1073" s="3" t="s">
        <v>103</v>
      </c>
    </row>
    <row r="1074" spans="1:19">
      <c r="A1074" s="3">
        <v>2477</v>
      </c>
      <c r="B1074" s="3" t="b">
        <f>ISNUMBER(MATCH(A1074,[1]stockregister!$A$2:$A$2000,0))</f>
        <v>1</v>
      </c>
      <c r="C1074" s="3" t="s">
        <v>2531</v>
      </c>
      <c r="D1074" s="3" t="str">
        <f>VLOOKUP($C1074,[1]stockregister!$B$2:$B$2000,1,0)</f>
        <v>JP CHENET VS 700ML</v>
      </c>
      <c r="E1074" s="3" t="str">
        <f>IF(ISNA($D1074),VLOOKUP($A1074,[2]stockregister!$A$2:$B$2000,2,FALSE),"")</f>
        <v/>
      </c>
      <c r="F1074" s="3" t="s">
        <v>21</v>
      </c>
      <c r="G1074" s="3">
        <f>_xlfn.IFNA(VLOOKUP($A1074,[3]stockregister!$A$2:$L$2000,11,0),0)</f>
        <v>0</v>
      </c>
      <c r="H1074" s="3">
        <f>_xlfn.IFNA(VLOOKUP($A1074,[3]stockregister!$A$2:$L$2000,11,0),0)-$G1074</f>
        <v>0</v>
      </c>
      <c r="I1074" s="3">
        <f>_xlfn.IFNA(VLOOKUP($A1074,[3]stockregister!$A$2:$L$2000,12,0),0)</f>
        <v>1076</v>
      </c>
      <c r="J1074" s="3">
        <f>_xlfn.IFNA(VLOOKUP($A1074,[3]stockregister!$A$1:$M$2000,12,0),0)-$I1074</f>
        <v>0</v>
      </c>
      <c r="K1074" s="3" t="s">
        <v>22</v>
      </c>
      <c r="L1074" s="3" t="s">
        <v>23</v>
      </c>
      <c r="M1074" s="3">
        <f>_xlfn.IFNA(VLOOKUP($A1074,[2]stockregister!$A$2:$H$2000,8,0),0)</f>
        <v>1400</v>
      </c>
      <c r="N1074" s="3">
        <f>_xlfn.IFNA(VLOOKUP($A1074,[2]stockregister!$A$2:$H$2000,8,0),0)-$M1074</f>
        <v>0</v>
      </c>
      <c r="O1074" s="3" t="s">
        <v>2532</v>
      </c>
      <c r="P1074" s="3" t="s">
        <v>2532</v>
      </c>
      <c r="Q1074" s="3" t="s">
        <v>1328</v>
      </c>
      <c r="R1074" s="3" t="s">
        <v>102</v>
      </c>
      <c r="S1074" s="3" t="s">
        <v>103</v>
      </c>
    </row>
    <row r="1075" spans="1:19">
      <c r="A1075" s="3">
        <v>2846</v>
      </c>
      <c r="B1075" s="3" t="b">
        <f>ISNUMBER(MATCH(A1075,[1]stockregister!$A$2:$A$2000,0))</f>
        <v>1</v>
      </c>
      <c r="C1075" s="3" t="s">
        <v>2533</v>
      </c>
      <c r="D1075" s="3" t="str">
        <f>VLOOKUP($C1075,[1]stockregister!$B$2:$B$2000,1,0)</f>
        <v>CHATEAU MONTIFAUD VSOP 700ML</v>
      </c>
      <c r="E1075" s="3" t="str">
        <f>IF(ISNA($D1075),VLOOKUP($A1075,[2]stockregister!$A$2:$B$2000,2,FALSE),"")</f>
        <v/>
      </c>
      <c r="F1075" s="3" t="s">
        <v>21</v>
      </c>
      <c r="G1075" s="3">
        <f>_xlfn.IFNA(VLOOKUP($A1075,[3]stockregister!$A$2:$L$2000,11,0),0)</f>
        <v>0</v>
      </c>
      <c r="H1075" s="3">
        <f>_xlfn.IFNA(VLOOKUP($A1075,[3]stockregister!$A$2:$L$2000,11,0),0)-$G1075</f>
        <v>0</v>
      </c>
      <c r="I1075" s="3">
        <f>_xlfn.IFNA(VLOOKUP($A1075,[3]stockregister!$A$2:$L$2000,12,0),0)</f>
        <v>4500</v>
      </c>
      <c r="J1075" s="3">
        <f>_xlfn.IFNA(VLOOKUP($A1075,[3]stockregister!$A$1:$M$2000,12,0),0)-$I1075</f>
        <v>0</v>
      </c>
      <c r="K1075" s="3" t="s">
        <v>22</v>
      </c>
      <c r="L1075" s="3" t="s">
        <v>23</v>
      </c>
      <c r="M1075" s="3">
        <f>_xlfn.IFNA(VLOOKUP($A1075,[2]stockregister!$A$2:$H$2000,8,0),0)</f>
        <v>6000</v>
      </c>
      <c r="N1075" s="3">
        <f>_xlfn.IFNA(VLOOKUP($A1075,[2]stockregister!$A$2:$H$2000,8,0),0)-$M1075</f>
        <v>0</v>
      </c>
      <c r="O1075" s="3" t="s">
        <v>2534</v>
      </c>
      <c r="P1075" s="3" t="s">
        <v>2534</v>
      </c>
      <c r="Q1075" s="3" t="s">
        <v>2535</v>
      </c>
      <c r="R1075" s="3" t="s">
        <v>35</v>
      </c>
      <c r="S1075" s="3" t="s">
        <v>36</v>
      </c>
    </row>
    <row r="1076" spans="1:19">
      <c r="A1076" s="3">
        <v>1653</v>
      </c>
      <c r="B1076" s="3" t="b">
        <f>ISNUMBER(MATCH(A1076,[1]stockregister!$A$2:$A$2000,0))</f>
        <v>1</v>
      </c>
      <c r="C1076" s="3" t="s">
        <v>2536</v>
      </c>
      <c r="D1076" s="3" t="str">
        <f>VLOOKUP($C1076,[1]stockregister!$B$2:$B$2000,1,0)</f>
        <v>REMY MARTIN - VSOP 700 ML</v>
      </c>
      <c r="E1076" s="3" t="str">
        <f>IF(ISNA($D1076),VLOOKUP($A1076,[2]stockregister!$A$2:$B$2000,2,FALSE),"")</f>
        <v/>
      </c>
      <c r="F1076" s="3" t="s">
        <v>21</v>
      </c>
      <c r="G1076" s="3">
        <f>_xlfn.IFNA(VLOOKUP($A1076,[3]stockregister!$A$2:$L$2000,11,0),0)</f>
        <v>0</v>
      </c>
      <c r="H1076" s="3">
        <f>_xlfn.IFNA(VLOOKUP($A1076,[3]stockregister!$A$2:$L$2000,11,0),0)-$G1076</f>
        <v>0</v>
      </c>
      <c r="I1076" s="3">
        <f>_xlfn.IFNA(VLOOKUP($A1076,[3]stockregister!$A$2:$L$2000,12,0),0)</f>
        <v>3580</v>
      </c>
      <c r="J1076" s="3">
        <f>_xlfn.IFNA(VLOOKUP($A1076,[3]stockregister!$A$1:$M$2000,12,0),0)-$I1076</f>
        <v>0</v>
      </c>
      <c r="K1076" s="3" t="s">
        <v>22</v>
      </c>
      <c r="L1076" s="3" t="s">
        <v>23</v>
      </c>
      <c r="M1076" s="3">
        <f>_xlfn.IFNA(VLOOKUP($A1076,[2]stockregister!$A$2:$H$2000,8,0),0)</f>
        <v>6800</v>
      </c>
      <c r="N1076" s="3">
        <f>_xlfn.IFNA(VLOOKUP($A1076,[2]stockregister!$A$2:$H$2000,8,0),0)-$M1076</f>
        <v>0</v>
      </c>
      <c r="O1076" s="3" t="s">
        <v>2537</v>
      </c>
      <c r="P1076" s="3" t="s">
        <v>2537</v>
      </c>
      <c r="Q1076" s="3" t="s">
        <v>426</v>
      </c>
      <c r="R1076" s="3" t="s">
        <v>102</v>
      </c>
      <c r="S1076" s="3" t="s">
        <v>36</v>
      </c>
    </row>
    <row r="1077" spans="1:19">
      <c r="A1077" s="3">
        <v>192</v>
      </c>
      <c r="B1077" s="3" t="b">
        <f>ISNUMBER(MATCH(A1077,[1]stockregister!$A$2:$A$2000,0))</f>
        <v>1</v>
      </c>
      <c r="C1077" s="3" t="s">
        <v>2538</v>
      </c>
      <c r="D1077" s="3" t="str">
        <f>VLOOKUP($C1077,[1]stockregister!$B$2:$B$2000,1,0)</f>
        <v>BEEHIVE VSOP BRANDY 1LTR</v>
      </c>
      <c r="E1077" s="3" t="str">
        <f>IF(ISNA($D1077),VLOOKUP($A1077,[2]stockregister!$A$2:$B$2000,2,FALSE),"")</f>
        <v/>
      </c>
      <c r="F1077" s="3" t="s">
        <v>21</v>
      </c>
      <c r="G1077" s="3">
        <f>_xlfn.IFNA(VLOOKUP($A1077,[3]stockregister!$A$2:$L$2000,11,0),0)</f>
        <v>0</v>
      </c>
      <c r="H1077" s="3">
        <f>_xlfn.IFNA(VLOOKUP($A1077,[3]stockregister!$A$2:$L$2000,11,0),0)-$G1077</f>
        <v>0</v>
      </c>
      <c r="I1077" s="3">
        <f>_xlfn.IFNA(VLOOKUP($A1077,[3]stockregister!$A$2:$L$2000,12,0),0)</f>
        <v>1748</v>
      </c>
      <c r="J1077" s="3">
        <f>_xlfn.IFNA(VLOOKUP($A1077,[3]stockregister!$A$1:$M$2000,12,0),0)-$I1077</f>
        <v>0</v>
      </c>
      <c r="K1077" s="3" t="s">
        <v>22</v>
      </c>
      <c r="L1077" s="3" t="s">
        <v>23</v>
      </c>
      <c r="M1077" s="3">
        <f>_xlfn.IFNA(VLOOKUP($A1077,[2]stockregister!$A$2:$H$2000,8,0),0)</f>
        <v>1900</v>
      </c>
      <c r="N1077" s="3">
        <f>_xlfn.IFNA(VLOOKUP($A1077,[2]stockregister!$A$2:$H$2000,8,0),0)-$M1077</f>
        <v>0</v>
      </c>
      <c r="O1077" s="3" t="s">
        <v>2539</v>
      </c>
      <c r="P1077" s="3" t="s">
        <v>2539</v>
      </c>
      <c r="Q1077" s="3" t="s">
        <v>2540</v>
      </c>
      <c r="R1077" s="3" t="s">
        <v>102</v>
      </c>
      <c r="S1077" s="3" t="s">
        <v>36</v>
      </c>
    </row>
    <row r="1078" spans="1:19">
      <c r="A1078" s="3">
        <v>361</v>
      </c>
      <c r="B1078" s="3" t="b">
        <f>ISNUMBER(MATCH(A1078,[1]stockregister!$A$2:$A$2000,0))</f>
        <v>1</v>
      </c>
      <c r="C1078" s="3" t="s">
        <v>2541</v>
      </c>
      <c r="D1078" s="3" t="str">
        <f>VLOOKUP($C1078,[1]stockregister!$B$2:$B$2000,1,0)</f>
        <v>CAMUS VSOP COGNAC 1LTR</v>
      </c>
      <c r="E1078" s="3" t="str">
        <f>IF(ISNA($D1078),VLOOKUP($A1078,[2]stockregister!$A$2:$B$2000,2,FALSE),"")</f>
        <v/>
      </c>
      <c r="F1078" s="3" t="s">
        <v>21</v>
      </c>
      <c r="G1078" s="3">
        <f>_xlfn.IFNA(VLOOKUP($A1078,[3]stockregister!$A$2:$L$2000,11,0),0)</f>
        <v>0</v>
      </c>
      <c r="H1078" s="3">
        <f>_xlfn.IFNA(VLOOKUP($A1078,[3]stockregister!$A$2:$L$2000,11,0),0)-$G1078</f>
        <v>0</v>
      </c>
      <c r="I1078" s="3">
        <f>_xlfn.IFNA(VLOOKUP($A1078,[3]stockregister!$A$2:$L$2000,12,0),0)</f>
        <v>5300</v>
      </c>
      <c r="J1078" s="3">
        <f>_xlfn.IFNA(VLOOKUP($A1078,[3]stockregister!$A$1:$M$2000,12,0),0)-$I1078</f>
        <v>0</v>
      </c>
      <c r="K1078" s="3" t="s">
        <v>22</v>
      </c>
      <c r="L1078" s="3" t="s">
        <v>23</v>
      </c>
      <c r="M1078" s="3">
        <f>_xlfn.IFNA(VLOOKUP($A1078,[2]stockregister!$A$2:$H$2000,8,0),0)</f>
        <v>7000</v>
      </c>
      <c r="N1078" s="3">
        <f>_xlfn.IFNA(VLOOKUP($A1078,[2]stockregister!$A$2:$H$2000,8,0),0)-$M1078</f>
        <v>0</v>
      </c>
      <c r="O1078" s="3" t="s">
        <v>2542</v>
      </c>
      <c r="P1078" s="3" t="s">
        <v>2542</v>
      </c>
      <c r="Q1078" s="3" t="s">
        <v>2526</v>
      </c>
      <c r="R1078" s="3" t="s">
        <v>102</v>
      </c>
      <c r="S1078" s="3" t="s">
        <v>36</v>
      </c>
    </row>
    <row r="1079" spans="1:19">
      <c r="A1079" s="3">
        <v>362</v>
      </c>
      <c r="B1079" s="3" t="b">
        <f>ISNUMBER(MATCH(A1079,[1]stockregister!$A$2:$A$2000,0))</f>
        <v>1</v>
      </c>
      <c r="C1079" s="3" t="s">
        <v>2543</v>
      </c>
      <c r="D1079" s="3" t="str">
        <f>VLOOKUP($C1079,[1]stockregister!$B$2:$B$2000,1,0)</f>
        <v>CAMUS VSOP COGNAC 700ML</v>
      </c>
      <c r="E1079" s="3" t="str">
        <f>IF(ISNA($D1079),VLOOKUP($A1079,[2]stockregister!$A$2:$B$2000,2,FALSE),"")</f>
        <v/>
      </c>
      <c r="F1079" s="3" t="s">
        <v>21</v>
      </c>
      <c r="G1079" s="3">
        <f>_xlfn.IFNA(VLOOKUP($A1079,[3]stockregister!$A$2:$L$2000,11,0),0)</f>
        <v>0</v>
      </c>
      <c r="H1079" s="3">
        <f>_xlfn.IFNA(VLOOKUP($A1079,[3]stockregister!$A$2:$L$2000,11,0),0)-$G1079</f>
        <v>0</v>
      </c>
      <c r="I1079" s="3">
        <f>_xlfn.IFNA(VLOOKUP($A1079,[3]stockregister!$A$2:$L$2000,12,0),0)</f>
        <v>4380</v>
      </c>
      <c r="J1079" s="3">
        <f>_xlfn.IFNA(VLOOKUP($A1079,[3]stockregister!$A$1:$M$2000,12,0),0)-$I1079</f>
        <v>0</v>
      </c>
      <c r="K1079" s="3" t="s">
        <v>22</v>
      </c>
      <c r="L1079" s="3" t="s">
        <v>23</v>
      </c>
      <c r="M1079" s="3">
        <f>_xlfn.IFNA(VLOOKUP($A1079,[2]stockregister!$A$2:$H$2000,8,0),0)</f>
        <v>5500</v>
      </c>
      <c r="N1079" s="3">
        <f>_xlfn.IFNA(VLOOKUP($A1079,[2]stockregister!$A$2:$H$2000,8,0),0)-$M1079</f>
        <v>0</v>
      </c>
      <c r="O1079" s="3" t="s">
        <v>2544</v>
      </c>
      <c r="P1079" s="3" t="s">
        <v>2544</v>
      </c>
      <c r="Q1079" s="3" t="s">
        <v>2526</v>
      </c>
      <c r="R1079" s="3" t="s">
        <v>102</v>
      </c>
      <c r="S1079" s="3" t="s">
        <v>36</v>
      </c>
    </row>
    <row r="1080" spans="1:19">
      <c r="A1080" s="3">
        <v>963</v>
      </c>
      <c r="B1080" s="3" t="b">
        <f>ISNUMBER(MATCH(A1080,[1]stockregister!$A$2:$A$2000,0))</f>
        <v>1</v>
      </c>
      <c r="C1080" s="3" t="s">
        <v>2545</v>
      </c>
      <c r="D1080" s="3" t="str">
        <f>VLOOKUP($C1080,[1]stockregister!$B$2:$B$2000,1,0)</f>
        <v>HENNESSY VSOP 1LTR</v>
      </c>
      <c r="E1080" s="3" t="str">
        <f>IF(ISNA($D1080),VLOOKUP($A1080,[2]stockregister!$A$2:$B$2000,2,FALSE),"")</f>
        <v/>
      </c>
      <c r="F1080" s="3" t="s">
        <v>21</v>
      </c>
      <c r="G1080" s="3">
        <f>_xlfn.IFNA(VLOOKUP($A1080,[3]stockregister!$A$2:$L$2000,11,0),0)</f>
        <v>0</v>
      </c>
      <c r="H1080" s="3">
        <f>_xlfn.IFNA(VLOOKUP($A1080,[3]stockregister!$A$2:$L$2000,11,0),0)-$G1080</f>
        <v>0</v>
      </c>
      <c r="I1080" s="3">
        <f>_xlfn.IFNA(VLOOKUP($A1080,[3]stockregister!$A$2:$L$2000,12,0),0)</f>
        <v>11000</v>
      </c>
      <c r="J1080" s="3">
        <f>_xlfn.IFNA(VLOOKUP($A1080,[3]stockregister!$A$1:$M$2000,12,0),0)-$I1080</f>
        <v>0</v>
      </c>
      <c r="K1080" s="3" t="s">
        <v>22</v>
      </c>
      <c r="L1080" s="3" t="s">
        <v>23</v>
      </c>
      <c r="M1080" s="3">
        <f>_xlfn.IFNA(VLOOKUP($A1080,[2]stockregister!$A$2:$H$2000,8,0),0)</f>
        <v>12500</v>
      </c>
      <c r="N1080" s="3">
        <f>_xlfn.IFNA(VLOOKUP($A1080,[2]stockregister!$A$2:$H$2000,8,0),0)-$M1080</f>
        <v>0</v>
      </c>
      <c r="O1080" s="3" t="s">
        <v>2546</v>
      </c>
      <c r="P1080" s="3" t="s">
        <v>2546</v>
      </c>
      <c r="Q1080" s="3" t="s">
        <v>227</v>
      </c>
      <c r="R1080" s="3" t="s">
        <v>102</v>
      </c>
      <c r="S1080" s="3" t="s">
        <v>36</v>
      </c>
    </row>
    <row r="1081" spans="1:19">
      <c r="A1081" s="3">
        <v>1658</v>
      </c>
      <c r="B1081" s="3" t="b">
        <f>ISNUMBER(MATCH(A1081,[1]stockregister!$A$2:$A$2000,0))</f>
        <v>1</v>
      </c>
      <c r="C1081" s="3" t="s">
        <v>2547</v>
      </c>
      <c r="D1081" s="3" t="str">
        <f>VLOOKUP($C1081,[1]stockregister!$B$2:$B$2000,1,0)</f>
        <v>REMY MARTIN VSOP GIFT PACK COGNAC 700ML</v>
      </c>
      <c r="E1081" s="3" t="str">
        <f>IF(ISNA($D1081),VLOOKUP($A1081,[2]stockregister!$A$2:$B$2000,2,FALSE),"")</f>
        <v/>
      </c>
      <c r="F1081" s="3" t="s">
        <v>21</v>
      </c>
      <c r="G1081" s="3">
        <f>_xlfn.IFNA(VLOOKUP($A1081,[3]stockregister!$A$2:$L$2000,11,0),0)</f>
        <v>0</v>
      </c>
      <c r="H1081" s="3">
        <f>_xlfn.IFNA(VLOOKUP($A1081,[3]stockregister!$A$2:$L$2000,11,0),0)-$G1081</f>
        <v>0</v>
      </c>
      <c r="I1081" s="3">
        <f>_xlfn.IFNA(VLOOKUP($A1081,[3]stockregister!$A$2:$L$2000,12,0),0)</f>
        <v>6624</v>
      </c>
      <c r="J1081" s="3">
        <f>_xlfn.IFNA(VLOOKUP($A1081,[3]stockregister!$A$1:$M$2000,12,0),0)-$I1081</f>
        <v>0</v>
      </c>
      <c r="K1081" s="3" t="s">
        <v>22</v>
      </c>
      <c r="L1081" s="3" t="s">
        <v>23</v>
      </c>
      <c r="M1081" s="3">
        <f>_xlfn.IFNA(VLOOKUP($A1081,[2]stockregister!$A$2:$H$2000,8,0),0)</f>
        <v>7200</v>
      </c>
      <c r="N1081" s="3">
        <f>_xlfn.IFNA(VLOOKUP($A1081,[2]stockregister!$A$2:$H$2000,8,0),0)-$M1081</f>
        <v>0</v>
      </c>
      <c r="O1081" s="3" t="s">
        <v>2548</v>
      </c>
      <c r="P1081" s="3" t="s">
        <v>2548</v>
      </c>
      <c r="Q1081" s="3" t="s">
        <v>2519</v>
      </c>
      <c r="R1081" s="3" t="s">
        <v>102</v>
      </c>
      <c r="S1081" s="3" t="s">
        <v>36</v>
      </c>
    </row>
    <row r="1082" spans="1:19">
      <c r="A1082" s="3">
        <v>2380</v>
      </c>
      <c r="B1082" s="3" t="b">
        <f>ISNUMBER(MATCH(A1082,[1]stockregister!$A$2:$A$2000,0))</f>
        <v>1</v>
      </c>
      <c r="C1082" s="3" t="s">
        <v>2549</v>
      </c>
      <c r="D1082" s="3" t="str">
        <f>VLOOKUP($C1082,[1]stockregister!$B$2:$B$2000,1,0)</f>
        <v>BUMBU XO 700ML</v>
      </c>
      <c r="E1082" s="3" t="str">
        <f>IF(ISNA($D1082),VLOOKUP($A1082,[2]stockregister!$A$2:$B$2000,2,FALSE),"")</f>
        <v/>
      </c>
      <c r="F1082" s="3" t="s">
        <v>21</v>
      </c>
      <c r="G1082" s="3">
        <f>_xlfn.IFNA(VLOOKUP($A1082,[3]stockregister!$A$2:$L$2000,11,0),0)</f>
        <v>0</v>
      </c>
      <c r="H1082" s="3">
        <f>_xlfn.IFNA(VLOOKUP($A1082,[3]stockregister!$A$2:$L$2000,11,0),0)-$G1082</f>
        <v>0</v>
      </c>
      <c r="I1082" s="3">
        <f>_xlfn.IFNA(VLOOKUP($A1082,[3]stockregister!$A$2:$L$2000,12,0),0)</f>
        <v>5500</v>
      </c>
      <c r="J1082" s="3">
        <f>_xlfn.IFNA(VLOOKUP($A1082,[3]stockregister!$A$1:$M$2000,12,0),0)-$I1082</f>
        <v>0</v>
      </c>
      <c r="K1082" s="3" t="s">
        <v>22</v>
      </c>
      <c r="L1082" s="3" t="s">
        <v>23</v>
      </c>
      <c r="M1082" s="3">
        <f>_xlfn.IFNA(VLOOKUP($A1082,[2]stockregister!$A$2:$H$2000,8,0),0)</f>
        <v>5700</v>
      </c>
      <c r="N1082" s="3">
        <f>_xlfn.IFNA(VLOOKUP($A1082,[2]stockregister!$A$2:$H$2000,8,0),0)-$M1082</f>
        <v>0</v>
      </c>
      <c r="O1082" s="3" t="s">
        <v>2550</v>
      </c>
      <c r="P1082" s="3" t="s">
        <v>2550</v>
      </c>
      <c r="Q1082" s="3" t="s">
        <v>2551</v>
      </c>
      <c r="R1082" s="3" t="s">
        <v>35</v>
      </c>
      <c r="S1082" s="3" t="s">
        <v>401</v>
      </c>
    </row>
    <row r="1083" spans="1:19">
      <c r="A1083" s="3">
        <v>363</v>
      </c>
      <c r="B1083" s="3" t="b">
        <f>ISNUMBER(MATCH(A1083,[1]stockregister!$A$2:$A$2000,0))</f>
        <v>1</v>
      </c>
      <c r="C1083" s="3" t="s">
        <v>2552</v>
      </c>
      <c r="D1083" s="3" t="str">
        <f>VLOOKUP($C1083,[1]stockregister!$B$2:$B$2000,1,0)</f>
        <v>CAMUS XO COGNAC 750ML</v>
      </c>
      <c r="E1083" s="3" t="str">
        <f>IF(ISNA($D1083),VLOOKUP($A1083,[2]stockregister!$A$2:$B$2000,2,FALSE),"")</f>
        <v/>
      </c>
      <c r="F1083" s="3" t="s">
        <v>21</v>
      </c>
      <c r="G1083" s="3">
        <f>_xlfn.IFNA(VLOOKUP($A1083,[3]stockregister!$A$2:$L$2000,11,0),0)</f>
        <v>0</v>
      </c>
      <c r="H1083" s="3">
        <f>_xlfn.IFNA(VLOOKUP($A1083,[3]stockregister!$A$2:$L$2000,11,0),0)-$G1083</f>
        <v>0</v>
      </c>
      <c r="I1083" s="3">
        <f>_xlfn.IFNA(VLOOKUP($A1083,[3]stockregister!$A$2:$L$2000,12,0),0)</f>
        <v>17480</v>
      </c>
      <c r="J1083" s="3">
        <f>_xlfn.IFNA(VLOOKUP($A1083,[3]stockregister!$A$1:$M$2000,12,0),0)-$I1083</f>
        <v>0</v>
      </c>
      <c r="K1083" s="3" t="s">
        <v>22</v>
      </c>
      <c r="L1083" s="3" t="s">
        <v>23</v>
      </c>
      <c r="M1083" s="3">
        <f>_xlfn.IFNA(VLOOKUP($A1083,[2]stockregister!$A$2:$H$2000,8,0),0)</f>
        <v>19000</v>
      </c>
      <c r="N1083" s="3">
        <f>_xlfn.IFNA(VLOOKUP($A1083,[2]stockregister!$A$2:$H$2000,8,0),0)-$M1083</f>
        <v>0</v>
      </c>
      <c r="O1083" s="3" t="s">
        <v>2553</v>
      </c>
      <c r="P1083" s="3" t="s">
        <v>2553</v>
      </c>
      <c r="Q1083" s="3" t="s">
        <v>2526</v>
      </c>
      <c r="R1083" s="3" t="s">
        <v>102</v>
      </c>
      <c r="S1083" s="3" t="s">
        <v>401</v>
      </c>
    </row>
    <row r="1084" spans="1:19">
      <c r="A1084" s="3">
        <v>2455</v>
      </c>
      <c r="B1084" s="3" t="b">
        <f>ISNUMBER(MATCH(A1084,[1]stockregister!$A$2:$A$2000,0))</f>
        <v>1</v>
      </c>
      <c r="C1084" s="3" t="s">
        <v>2554</v>
      </c>
      <c r="D1084" s="3" t="str">
        <f>VLOOKUP($C1084,[1]stockregister!$B$2:$B$2000,1,0)</f>
        <v>MARTEL XO 1LTR</v>
      </c>
      <c r="E1084" s="3" t="str">
        <f>IF(ISNA($D1084),VLOOKUP($A1084,[2]stockregister!$A$2:$B$2000,2,FALSE),"")</f>
        <v/>
      </c>
      <c r="F1084" s="3" t="s">
        <v>21</v>
      </c>
      <c r="G1084" s="3">
        <f>_xlfn.IFNA(VLOOKUP($A1084,[3]stockregister!$A$2:$L$2000,11,0),0)</f>
        <v>0</v>
      </c>
      <c r="H1084" s="3">
        <f>_xlfn.IFNA(VLOOKUP($A1084,[3]stockregister!$A$2:$L$2000,11,0),0)-$G1084</f>
        <v>0</v>
      </c>
      <c r="I1084" s="3">
        <f>_xlfn.IFNA(VLOOKUP($A1084,[3]stockregister!$A$2:$L$2000,12,0),0)</f>
        <v>26000</v>
      </c>
      <c r="J1084" s="3">
        <f>_xlfn.IFNA(VLOOKUP($A1084,[3]stockregister!$A$1:$M$2000,12,0),0)-$I1084</f>
        <v>0</v>
      </c>
      <c r="K1084" s="3" t="s">
        <v>22</v>
      </c>
      <c r="L1084" s="3" t="s">
        <v>23</v>
      </c>
      <c r="M1084" s="3">
        <f>_xlfn.IFNA(VLOOKUP($A1084,[2]stockregister!$A$2:$H$2000,8,0),0)</f>
        <v>30000</v>
      </c>
      <c r="N1084" s="3">
        <f>_xlfn.IFNA(VLOOKUP($A1084,[2]stockregister!$A$2:$H$2000,8,0),0)-$M1084</f>
        <v>0</v>
      </c>
      <c r="O1084" s="3" t="s">
        <v>2555</v>
      </c>
      <c r="P1084" s="3" t="s">
        <v>2555</v>
      </c>
      <c r="Q1084" s="3" t="s">
        <v>616</v>
      </c>
      <c r="R1084" s="3" t="s">
        <v>35</v>
      </c>
      <c r="S1084" s="3" t="s">
        <v>401</v>
      </c>
    </row>
    <row r="1085" spans="1:19">
      <c r="A1085" s="3">
        <v>155</v>
      </c>
      <c r="B1085" s="3" t="b">
        <f>ISNUMBER(MATCH(A1085,[1]stockregister!$A$2:$A$2000,0))</f>
        <v>1</v>
      </c>
      <c r="C1085" s="3" t="s">
        <v>2556</v>
      </c>
      <c r="D1085" s="3" t="str">
        <f>VLOOKUP($C1085,[1]stockregister!$B$2:$B$2000,1,0)</f>
        <v>BAILEYS SALTED CARAMEL 700ML</v>
      </c>
      <c r="E1085" s="3" t="str">
        <f>IF(ISNA($D1085),VLOOKUP($A1085,[2]stockregister!$A$2:$B$2000,2,FALSE),"")</f>
        <v/>
      </c>
      <c r="F1085" s="3" t="s">
        <v>21</v>
      </c>
      <c r="G1085" s="3">
        <f>_xlfn.IFNA(VLOOKUP($A1085,[3]stockregister!$A$2:$L$2000,11,0),0)</f>
        <v>0</v>
      </c>
      <c r="H1085" s="3">
        <f>_xlfn.IFNA(VLOOKUP($A1085,[3]stockregister!$A$2:$L$2000,11,0),0)-$G1085</f>
        <v>0</v>
      </c>
      <c r="I1085" s="3">
        <f>_xlfn.IFNA(VLOOKUP($A1085,[3]stockregister!$A$2:$L$2000,12,0),0)</f>
        <v>2208</v>
      </c>
      <c r="J1085" s="3">
        <f>_xlfn.IFNA(VLOOKUP($A1085,[3]stockregister!$A$1:$M$2000,12,0),0)-$I1085</f>
        <v>0</v>
      </c>
      <c r="K1085" s="3" t="s">
        <v>22</v>
      </c>
      <c r="L1085" s="3" t="s">
        <v>23</v>
      </c>
      <c r="M1085" s="3">
        <f>_xlfn.IFNA(VLOOKUP($A1085,[2]stockregister!$A$2:$H$2000,8,0),0)</f>
        <v>2400</v>
      </c>
      <c r="N1085" s="3">
        <f>_xlfn.IFNA(VLOOKUP($A1085,[2]stockregister!$A$2:$H$2000,8,0),0)-$M1085</f>
        <v>0</v>
      </c>
      <c r="O1085" s="3" t="s">
        <v>2557</v>
      </c>
      <c r="P1085" s="3" t="s">
        <v>2557</v>
      </c>
      <c r="Q1085" s="3" t="s">
        <v>2558</v>
      </c>
      <c r="R1085" s="3" t="s">
        <v>577</v>
      </c>
      <c r="S1085" s="3" t="s">
        <v>2559</v>
      </c>
    </row>
    <row r="1086" spans="1:19">
      <c r="A1086" s="3">
        <v>2292</v>
      </c>
      <c r="B1086" s="3" t="b">
        <f>ISNUMBER(MATCH(A1086,[1]stockregister!$A$2:$A$2000,0))</f>
        <v>1</v>
      </c>
      <c r="C1086" s="3" t="s">
        <v>2560</v>
      </c>
      <c r="D1086" s="3" t="str">
        <f>VLOOKUP($C1086,[1]stockregister!$B$2:$B$2000,1,0)</f>
        <v>CAPE VELVET CREAM 750ML</v>
      </c>
      <c r="E1086" s="3" t="str">
        <f>IF(ISNA($D1086),VLOOKUP($A1086,[2]stockregister!$A$2:$B$2000,2,FALSE),"")</f>
        <v/>
      </c>
      <c r="F1086" s="3" t="s">
        <v>21</v>
      </c>
      <c r="G1086" s="3">
        <f>_xlfn.IFNA(VLOOKUP($A1086,[3]stockregister!$A$2:$L$2000,11,0),0)</f>
        <v>0</v>
      </c>
      <c r="H1086" s="3">
        <f>_xlfn.IFNA(VLOOKUP($A1086,[3]stockregister!$A$2:$L$2000,11,0),0)-$G1086</f>
        <v>0</v>
      </c>
      <c r="I1086" s="3">
        <f>_xlfn.IFNA(VLOOKUP($A1086,[3]stockregister!$A$2:$L$2000,12,0),0)</f>
        <v>750</v>
      </c>
      <c r="J1086" s="3">
        <f>_xlfn.IFNA(VLOOKUP($A1086,[3]stockregister!$A$1:$M$2000,12,0),0)-$I1086</f>
        <v>0</v>
      </c>
      <c r="K1086" s="3" t="s">
        <v>22</v>
      </c>
      <c r="L1086" s="3" t="s">
        <v>23</v>
      </c>
      <c r="M1086" s="3">
        <f>_xlfn.IFNA(VLOOKUP($A1086,[2]stockregister!$A$2:$H$2000,8,0),0)</f>
        <v>800</v>
      </c>
      <c r="N1086" s="3">
        <f>_xlfn.IFNA(VLOOKUP($A1086,[2]stockregister!$A$2:$H$2000,8,0),0)-$M1086</f>
        <v>0</v>
      </c>
      <c r="O1086" s="3" t="s">
        <v>2561</v>
      </c>
      <c r="P1086" s="3" t="s">
        <v>2561</v>
      </c>
      <c r="Q1086" s="3" t="s">
        <v>2562</v>
      </c>
      <c r="R1086" s="3" t="s">
        <v>971</v>
      </c>
      <c r="S1086" s="3" t="s">
        <v>971</v>
      </c>
    </row>
    <row r="1087" spans="1:19">
      <c r="A1087" s="3">
        <v>151</v>
      </c>
      <c r="B1087" s="3" t="b">
        <f>ISNUMBER(MATCH(A1087,[1]stockregister!$A$2:$A$2000,0))</f>
        <v>1</v>
      </c>
      <c r="C1087" s="3" t="s">
        <v>2563</v>
      </c>
      <c r="D1087" s="3" t="str">
        <f>VLOOKUP($C1087,[1]stockregister!$B$2:$B$2000,1,0)</f>
        <v>BAILEYS DELIGHT 750ML</v>
      </c>
      <c r="E1087" s="3" t="str">
        <f>IF(ISNA($D1087),VLOOKUP($A1087,[2]stockregister!$A$2:$B$2000,2,FALSE),"")</f>
        <v/>
      </c>
      <c r="F1087" s="3" t="s">
        <v>21</v>
      </c>
      <c r="G1087" s="3">
        <f>_xlfn.IFNA(VLOOKUP($A1087,[3]stockregister!$A$2:$L$2000,11,0),0)</f>
        <v>0</v>
      </c>
      <c r="H1087" s="3">
        <f>_xlfn.IFNA(VLOOKUP($A1087,[3]stockregister!$A$2:$L$2000,11,0),0)-$G1087</f>
        <v>0</v>
      </c>
      <c r="I1087" s="3">
        <f>_xlfn.IFNA(VLOOKUP($A1087,[3]stockregister!$A$2:$L$2000,12,0),0)</f>
        <v>769.12</v>
      </c>
      <c r="J1087" s="3">
        <f>_xlfn.IFNA(VLOOKUP($A1087,[3]stockregister!$A$1:$M$2000,12,0),0)-$I1087</f>
        <v>0</v>
      </c>
      <c r="K1087" s="3" t="s">
        <v>22</v>
      </c>
      <c r="L1087" s="3" t="s">
        <v>23</v>
      </c>
      <c r="M1087" s="3">
        <f>_xlfn.IFNA(VLOOKUP($A1087,[2]stockregister!$A$2:$H$2000,8,0),0)</f>
        <v>836</v>
      </c>
      <c r="N1087" s="3">
        <f>_xlfn.IFNA(VLOOKUP($A1087,[2]stockregister!$A$2:$H$2000,8,0),0)-$M1087</f>
        <v>0</v>
      </c>
      <c r="O1087" s="3" t="s">
        <v>2564</v>
      </c>
      <c r="P1087" s="3" t="s">
        <v>2564</v>
      </c>
      <c r="Q1087" s="3" t="s">
        <v>2565</v>
      </c>
      <c r="R1087" s="3" t="s">
        <v>577</v>
      </c>
      <c r="S1087" s="3" t="s">
        <v>2566</v>
      </c>
    </row>
    <row r="1088" spans="1:19">
      <c r="A1088" s="3">
        <v>153</v>
      </c>
      <c r="B1088" s="3" t="b">
        <f>ISNUMBER(MATCH(A1088,[1]stockregister!$A$2:$A$2000,0))</f>
        <v>1</v>
      </c>
      <c r="C1088" s="3" t="s">
        <v>2567</v>
      </c>
      <c r="D1088" s="3" t="str">
        <f>VLOOKUP($C1088,[1]stockregister!$B$2:$B$2000,1,0)</f>
        <v>BAILEYS EXPRESSO CRÈME 1LTR</v>
      </c>
      <c r="E1088" s="3" t="str">
        <f>IF(ISNA($D1088),VLOOKUP($A1088,[2]stockregister!$A$2:$B$2000,2,FALSE),"")</f>
        <v/>
      </c>
      <c r="F1088" s="3" t="s">
        <v>21</v>
      </c>
      <c r="G1088" s="3">
        <f>_xlfn.IFNA(VLOOKUP($A1088,[3]stockregister!$A$2:$L$2000,11,0),0)</f>
        <v>0</v>
      </c>
      <c r="H1088" s="3">
        <f>_xlfn.IFNA(VLOOKUP($A1088,[3]stockregister!$A$2:$L$2000,11,0),0)-$G1088</f>
        <v>0</v>
      </c>
      <c r="I1088" s="3">
        <f>_xlfn.IFNA(VLOOKUP($A1088,[3]stockregister!$A$2:$L$2000,12,0),0)</f>
        <v>2484</v>
      </c>
      <c r="J1088" s="3">
        <f>_xlfn.IFNA(VLOOKUP($A1088,[3]stockregister!$A$1:$M$2000,12,0),0)-$I1088</f>
        <v>0</v>
      </c>
      <c r="K1088" s="3" t="s">
        <v>22</v>
      </c>
      <c r="L1088" s="3" t="s">
        <v>23</v>
      </c>
      <c r="M1088" s="3">
        <f>_xlfn.IFNA(VLOOKUP($A1088,[2]stockregister!$A$2:$H$2000,8,0),0)</f>
        <v>2700</v>
      </c>
      <c r="N1088" s="3">
        <f>_xlfn.IFNA(VLOOKUP($A1088,[2]stockregister!$A$2:$H$2000,8,0),0)-$M1088</f>
        <v>0</v>
      </c>
      <c r="O1088" s="3" t="s">
        <v>2568</v>
      </c>
      <c r="P1088" s="3" t="s">
        <v>2568</v>
      </c>
      <c r="Q1088" s="3" t="s">
        <v>2558</v>
      </c>
      <c r="R1088" s="3" t="s">
        <v>577</v>
      </c>
      <c r="S1088" s="3" t="s">
        <v>2569</v>
      </c>
    </row>
    <row r="1089" spans="1:19">
      <c r="A1089" s="3">
        <v>1897</v>
      </c>
      <c r="B1089" s="3" t="b">
        <f>ISNUMBER(MATCH(A1089,[1]stockregister!$A$2:$A$2000,0))</f>
        <v>1</v>
      </c>
      <c r="C1089" s="3" t="s">
        <v>2570</v>
      </c>
      <c r="D1089" s="3" t="str">
        <f>VLOOKUP($C1089,[1]stockregister!$B$2:$B$2000,1,0)</f>
        <v>STRAWBERRY LIPS LIQUEUR 750ML</v>
      </c>
      <c r="E1089" s="3" t="str">
        <f>IF(ISNA($D1089),VLOOKUP($A1089,[2]stockregister!$A$2:$B$2000,2,FALSE),"")</f>
        <v/>
      </c>
      <c r="F1089" s="3" t="s">
        <v>21</v>
      </c>
      <c r="G1089" s="3">
        <f>_xlfn.IFNA(VLOOKUP($A1089,[3]stockregister!$A$2:$L$2000,11,0),0)</f>
        <v>0</v>
      </c>
      <c r="H1089" s="3">
        <f>_xlfn.IFNA(VLOOKUP($A1089,[3]stockregister!$A$2:$L$2000,11,0),0)-$G1089</f>
        <v>0</v>
      </c>
      <c r="I1089" s="3">
        <f>_xlfn.IFNA(VLOOKUP($A1089,[3]stockregister!$A$2:$L$2000,12,0),0)</f>
        <v>1840</v>
      </c>
      <c r="J1089" s="3">
        <f>_xlfn.IFNA(VLOOKUP($A1089,[3]stockregister!$A$1:$M$2000,12,0),0)-$I1089</f>
        <v>0</v>
      </c>
      <c r="K1089" s="3" t="s">
        <v>22</v>
      </c>
      <c r="L1089" s="3" t="s">
        <v>23</v>
      </c>
      <c r="M1089" s="3">
        <f>_xlfn.IFNA(VLOOKUP($A1089,[2]stockregister!$A$2:$H$2000,8,0),0)</f>
        <v>2000</v>
      </c>
      <c r="N1089" s="3">
        <f>_xlfn.IFNA(VLOOKUP($A1089,[2]stockregister!$A$2:$H$2000,8,0),0)-$M1089</f>
        <v>0</v>
      </c>
      <c r="O1089" s="3" t="s">
        <v>2571</v>
      </c>
      <c r="P1089" s="3" t="s">
        <v>2571</v>
      </c>
      <c r="Q1089" s="3" t="s">
        <v>2572</v>
      </c>
      <c r="R1089" s="3" t="s">
        <v>577</v>
      </c>
      <c r="S1089" s="3" t="s">
        <v>126</v>
      </c>
    </row>
    <row r="1090" spans="1:19">
      <c r="A1090" s="3">
        <v>749</v>
      </c>
      <c r="B1090" s="3" t="b">
        <f>ISNUMBER(MATCH(A1090,[1]stockregister!$A$2:$A$2000,0))</f>
        <v>1</v>
      </c>
      <c r="C1090" s="3" t="s">
        <v>472</v>
      </c>
      <c r="D1090" s="3" t="str">
        <f>VLOOKUP($C1090,[1]stockregister!$B$2:$B$2000,1,0)</f>
        <v>FOUR COUSINS MARULA CREAM 500ML </v>
      </c>
      <c r="E1090" s="3" t="str">
        <f>IF(ISNA($D1090),VLOOKUP($A1090,[2]stockregister!$A$2:$B$2000,2,FALSE),"")</f>
        <v/>
      </c>
      <c r="F1090" s="3" t="s">
        <v>21</v>
      </c>
      <c r="G1090" s="3">
        <f>_xlfn.IFNA(VLOOKUP($A1090,[3]stockregister!$A$2:$L$2000,11,0),0)</f>
        <v>0</v>
      </c>
      <c r="H1090" s="3">
        <f>_xlfn.IFNA(VLOOKUP($A1090,[3]stockregister!$A$2:$L$2000,11,0),0)-$G1090</f>
        <v>0</v>
      </c>
      <c r="I1090" s="3">
        <f>_xlfn.IFNA(VLOOKUP($A1090,[3]stockregister!$A$2:$L$2000,12,0),0)</f>
        <v>1702</v>
      </c>
      <c r="J1090" s="3">
        <f>_xlfn.IFNA(VLOOKUP($A1090,[3]stockregister!$A$1:$M$2000,12,0),0)-$I1090</f>
        <v>0</v>
      </c>
      <c r="K1090" s="3" t="s">
        <v>22</v>
      </c>
      <c r="L1090" s="3" t="s">
        <v>23</v>
      </c>
      <c r="M1090" s="3">
        <f>_xlfn.IFNA(VLOOKUP($A1090,[2]stockregister!$A$2:$H$2000,8,0),0)</f>
        <v>1850</v>
      </c>
      <c r="N1090" s="3">
        <f>_xlfn.IFNA(VLOOKUP($A1090,[2]stockregister!$A$2:$H$2000,8,0),0)-$M1090</f>
        <v>0</v>
      </c>
      <c r="O1090" s="3" t="s">
        <v>2573</v>
      </c>
      <c r="P1090" s="3" t="s">
        <v>2573</v>
      </c>
      <c r="Q1090" s="3" t="s">
        <v>952</v>
      </c>
      <c r="R1090" s="3" t="s">
        <v>577</v>
      </c>
      <c r="S1090" s="3" t="s">
        <v>2574</v>
      </c>
    </row>
    <row r="1091" spans="1:19">
      <c r="A1091" s="3">
        <v>154</v>
      </c>
      <c r="B1091" s="3" t="b">
        <f>ISNUMBER(MATCH(A1091,[1]stockregister!$A$2:$A$2000,0))</f>
        <v>1</v>
      </c>
      <c r="C1091" s="3" t="s">
        <v>2575</v>
      </c>
      <c r="D1091" s="3" t="str">
        <f>VLOOKUP($C1091,[1]stockregister!$B$2:$B$2000,1,0)</f>
        <v>BAILEYS RED VELVET 700ML</v>
      </c>
      <c r="E1091" s="3" t="str">
        <f>IF(ISNA($D1091),VLOOKUP($A1091,[2]stockregister!$A$2:$B$2000,2,FALSE),"")</f>
        <v/>
      </c>
      <c r="F1091" s="3" t="s">
        <v>21</v>
      </c>
      <c r="G1091" s="3">
        <f>_xlfn.IFNA(VLOOKUP($A1091,[3]stockregister!$A$2:$L$2000,11,0),0)</f>
        <v>0</v>
      </c>
      <c r="H1091" s="3">
        <f>_xlfn.IFNA(VLOOKUP($A1091,[3]stockregister!$A$2:$L$2000,11,0),0)-$G1091</f>
        <v>0</v>
      </c>
      <c r="I1091" s="3">
        <f>_xlfn.IFNA(VLOOKUP($A1091,[3]stockregister!$A$2:$L$2000,12,0),0)</f>
        <v>2116</v>
      </c>
      <c r="J1091" s="3">
        <f>_xlfn.IFNA(VLOOKUP($A1091,[3]stockregister!$A$1:$M$2000,12,0),0)-$I1091</f>
        <v>0</v>
      </c>
      <c r="K1091" s="3" t="s">
        <v>22</v>
      </c>
      <c r="L1091" s="3" t="s">
        <v>23</v>
      </c>
      <c r="M1091" s="3">
        <f>_xlfn.IFNA(VLOOKUP($A1091,[2]stockregister!$A$2:$H$2000,8,0),0)</f>
        <v>2300</v>
      </c>
      <c r="N1091" s="3">
        <f>_xlfn.IFNA(VLOOKUP($A1091,[2]stockregister!$A$2:$H$2000,8,0),0)-$M1091</f>
        <v>0</v>
      </c>
      <c r="O1091" s="3" t="s">
        <v>2576</v>
      </c>
      <c r="P1091" s="3" t="s">
        <v>2576</v>
      </c>
      <c r="Q1091" s="3" t="s">
        <v>2565</v>
      </c>
      <c r="R1091" s="3" t="s">
        <v>577</v>
      </c>
      <c r="S1091" s="3" t="s">
        <v>2577</v>
      </c>
    </row>
    <row r="1092" spans="1:19">
      <c r="A1092" s="3">
        <v>156</v>
      </c>
      <c r="B1092" s="3" t="b">
        <f>ISNUMBER(MATCH(A1092,[1]stockregister!$A$2:$A$2000,0))</f>
        <v>1</v>
      </c>
      <c r="C1092" s="3" t="s">
        <v>2578</v>
      </c>
      <c r="D1092" s="3" t="str">
        <f>VLOOKUP($C1092,[1]stockregister!$B$2:$B$2000,1,0)</f>
        <v>BAILEYS STRAWBERRY CREAM 700ML</v>
      </c>
      <c r="E1092" s="3" t="str">
        <f>IF(ISNA($D1092),VLOOKUP($A1092,[2]stockregister!$A$2:$B$2000,2,FALSE),"")</f>
        <v/>
      </c>
      <c r="F1092" s="3" t="s">
        <v>21</v>
      </c>
      <c r="G1092" s="3">
        <f>_xlfn.IFNA(VLOOKUP($A1092,[3]stockregister!$A$2:$L$2000,11,0),0)</f>
        <v>0</v>
      </c>
      <c r="H1092" s="3">
        <f>_xlfn.IFNA(VLOOKUP($A1092,[3]stockregister!$A$2:$L$2000,11,0),0)-$G1092</f>
        <v>0</v>
      </c>
      <c r="I1092" s="3">
        <f>_xlfn.IFNA(VLOOKUP($A1092,[3]stockregister!$A$2:$L$2000,12,0),0)</f>
        <v>2208</v>
      </c>
      <c r="J1092" s="3">
        <f>_xlfn.IFNA(VLOOKUP($A1092,[3]stockregister!$A$1:$M$2000,12,0),0)-$I1092</f>
        <v>0</v>
      </c>
      <c r="K1092" s="3" t="s">
        <v>22</v>
      </c>
      <c r="L1092" s="3" t="s">
        <v>23</v>
      </c>
      <c r="M1092" s="3">
        <f>_xlfn.IFNA(VLOOKUP($A1092,[2]stockregister!$A$2:$H$2000,8,0),0)</f>
        <v>2400</v>
      </c>
      <c r="N1092" s="3">
        <f>_xlfn.IFNA(VLOOKUP($A1092,[2]stockregister!$A$2:$H$2000,8,0),0)-$M1092</f>
        <v>0</v>
      </c>
      <c r="O1092" s="3" t="s">
        <v>2579</v>
      </c>
      <c r="P1092" s="3" t="s">
        <v>2579</v>
      </c>
      <c r="Q1092" s="3" t="s">
        <v>2558</v>
      </c>
      <c r="R1092" s="3" t="s">
        <v>577</v>
      </c>
      <c r="S1092" s="3" t="s">
        <v>161</v>
      </c>
    </row>
    <row r="1093" spans="1:19">
      <c r="A1093" s="3">
        <v>157</v>
      </c>
      <c r="B1093" s="3" t="b">
        <f>ISNUMBER(MATCH(A1093,[1]stockregister!$A$2:$A$2000,0))</f>
        <v>1</v>
      </c>
      <c r="C1093" s="3" t="s">
        <v>2580</v>
      </c>
      <c r="D1093" s="3" t="str">
        <f>VLOOKUP($C1093,[1]stockregister!$B$2:$B$2000,1,0)</f>
        <v>BAILEYS VANILLA 1LTR</v>
      </c>
      <c r="E1093" s="3" t="str">
        <f>IF(ISNA($D1093),VLOOKUP($A1093,[2]stockregister!$A$2:$B$2000,2,FALSE),"")</f>
        <v/>
      </c>
      <c r="F1093" s="3" t="s">
        <v>21</v>
      </c>
      <c r="G1093" s="3">
        <f>_xlfn.IFNA(VLOOKUP($A1093,[3]stockregister!$A$2:$L$2000,11,0),0)</f>
        <v>0</v>
      </c>
      <c r="H1093" s="3">
        <f>_xlfn.IFNA(VLOOKUP($A1093,[3]stockregister!$A$2:$L$2000,11,0),0)-$G1093</f>
        <v>0</v>
      </c>
      <c r="I1093" s="3">
        <f>_xlfn.IFNA(VLOOKUP($A1093,[3]stockregister!$A$2:$L$2000,12,0),0)</f>
        <v>2484</v>
      </c>
      <c r="J1093" s="3">
        <f>_xlfn.IFNA(VLOOKUP($A1093,[3]stockregister!$A$1:$M$2000,12,0),0)-$I1093</f>
        <v>0</v>
      </c>
      <c r="K1093" s="3" t="s">
        <v>22</v>
      </c>
      <c r="L1093" s="3" t="s">
        <v>23</v>
      </c>
      <c r="M1093" s="3">
        <f>_xlfn.IFNA(VLOOKUP($A1093,[2]stockregister!$A$2:$H$2000,8,0),0)</f>
        <v>2700</v>
      </c>
      <c r="N1093" s="3">
        <f>_xlfn.IFNA(VLOOKUP($A1093,[2]stockregister!$A$2:$H$2000,8,0),0)-$M1093</f>
        <v>0</v>
      </c>
      <c r="O1093" s="3" t="s">
        <v>2581</v>
      </c>
      <c r="P1093" s="3" t="s">
        <v>2581</v>
      </c>
      <c r="Q1093" s="3" t="s">
        <v>2558</v>
      </c>
      <c r="R1093" s="3" t="s">
        <v>577</v>
      </c>
      <c r="S1093" s="3" t="s">
        <v>844</v>
      </c>
    </row>
    <row r="1094" spans="1:18">
      <c r="A1094" s="3">
        <v>150</v>
      </c>
      <c r="B1094" s="3" t="b">
        <f>ISNUMBER(MATCH(A1094,[1]stockregister!$A$2:$A$2000,0))</f>
        <v>1</v>
      </c>
      <c r="C1094" s="3" t="s">
        <v>2582</v>
      </c>
      <c r="D1094" s="3" t="str">
        <f>VLOOKUP($C1094,[1]stockregister!$B$2:$B$2000,1,0)</f>
        <v>BAILEYS CREAM 750ML</v>
      </c>
      <c r="E1094" s="3" t="str">
        <f>IF(ISNA($D1094),VLOOKUP($A1094,[2]stockregister!$A$2:$B$2000,2,FALSE),"")</f>
        <v/>
      </c>
      <c r="F1094" s="3" t="s">
        <v>21</v>
      </c>
      <c r="G1094" s="3">
        <f>_xlfn.IFNA(VLOOKUP($A1094,[3]stockregister!$A$2:$L$2000,11,0),0)</f>
        <v>0</v>
      </c>
      <c r="H1094" s="3">
        <f>_xlfn.IFNA(VLOOKUP($A1094,[3]stockregister!$A$2:$L$2000,11,0),0)-$G1094</f>
        <v>0</v>
      </c>
      <c r="I1094" s="3">
        <f>_xlfn.IFNA(VLOOKUP($A1094,[3]stockregister!$A$2:$L$2000,12,0),0)</f>
        <v>1700</v>
      </c>
      <c r="J1094" s="3">
        <f>_xlfn.IFNA(VLOOKUP($A1094,[3]stockregister!$A$1:$M$2000,12,0),0)-$I1094</f>
        <v>0</v>
      </c>
      <c r="K1094" s="3" t="s">
        <v>22</v>
      </c>
      <c r="L1094" s="3" t="s">
        <v>23</v>
      </c>
      <c r="M1094" s="3">
        <f>_xlfn.IFNA(VLOOKUP($A1094,[2]stockregister!$A$2:$H$2000,8,0),0)</f>
        <v>2150</v>
      </c>
      <c r="N1094" s="3">
        <f>_xlfn.IFNA(VLOOKUP($A1094,[2]stockregister!$A$2:$H$2000,8,0),0)-$M1094</f>
        <v>0</v>
      </c>
      <c r="O1094" s="3" t="s">
        <v>2583</v>
      </c>
      <c r="P1094" s="3" t="s">
        <v>2583</v>
      </c>
      <c r="Q1094" s="3" t="s">
        <v>2565</v>
      </c>
      <c r="R1094" s="3" t="s">
        <v>577</v>
      </c>
    </row>
    <row r="1095" spans="1:18">
      <c r="A1095" s="3">
        <v>148</v>
      </c>
      <c r="B1095" s="3" t="b">
        <f>ISNUMBER(MATCH(A1095,[1]stockregister!$A$2:$A$2000,0))</f>
        <v>1</v>
      </c>
      <c r="C1095" s="3" t="s">
        <v>2584</v>
      </c>
      <c r="D1095" s="3" t="str">
        <f>VLOOKUP($C1095,[1]stockregister!$B$2:$B$2000,1,0)</f>
        <v>BAILEYS CREAM 1LTR</v>
      </c>
      <c r="E1095" s="3" t="str">
        <f>IF(ISNA($D1095),VLOOKUP($A1095,[2]stockregister!$A$2:$B$2000,2,FALSE),"")</f>
        <v/>
      </c>
      <c r="F1095" s="3" t="s">
        <v>21</v>
      </c>
      <c r="G1095" s="3">
        <f>_xlfn.IFNA(VLOOKUP($A1095,[3]stockregister!$A$2:$L$2000,11,0),0)</f>
        <v>0</v>
      </c>
      <c r="H1095" s="3">
        <f>_xlfn.IFNA(VLOOKUP($A1095,[3]stockregister!$A$2:$L$2000,11,0),0)-$G1095</f>
        <v>0</v>
      </c>
      <c r="I1095" s="3">
        <f>_xlfn.IFNA(VLOOKUP($A1095,[3]stockregister!$A$2:$L$2000,12,0),0)</f>
        <v>2500</v>
      </c>
      <c r="J1095" s="3">
        <f>_xlfn.IFNA(VLOOKUP($A1095,[3]stockregister!$A$1:$M$2000,12,0),0)-$I1095</f>
        <v>0</v>
      </c>
      <c r="K1095" s="3" t="s">
        <v>22</v>
      </c>
      <c r="L1095" s="3" t="s">
        <v>23</v>
      </c>
      <c r="M1095" s="3">
        <f>_xlfn.IFNA(VLOOKUP($A1095,[2]stockregister!$A$2:$H$2000,8,0),0)</f>
        <v>2700</v>
      </c>
      <c r="N1095" s="3">
        <f>_xlfn.IFNA(VLOOKUP($A1095,[2]stockregister!$A$2:$H$2000,8,0),0)-$M1095</f>
        <v>0</v>
      </c>
      <c r="O1095" s="3" t="s">
        <v>2585</v>
      </c>
      <c r="P1095" s="3" t="s">
        <v>2585</v>
      </c>
      <c r="Q1095" s="3" t="s">
        <v>2565</v>
      </c>
      <c r="R1095" s="3" t="s">
        <v>577</v>
      </c>
    </row>
    <row r="1096" spans="1:18">
      <c r="A1096" s="3">
        <v>90</v>
      </c>
      <c r="B1096" s="3" t="b">
        <f>ISNUMBER(MATCH(A1096,[1]stockregister!$A$2:$A$2000,0))</f>
        <v>1</v>
      </c>
      <c r="C1096" s="3" t="s">
        <v>2586</v>
      </c>
      <c r="D1096" s="3" t="str">
        <f>VLOOKUP($C1096,[1]stockregister!$B$2:$B$2000,1,0)</f>
        <v>AMARULA 1LTR</v>
      </c>
      <c r="E1096" s="3" t="str">
        <f>IF(ISNA($D1096),VLOOKUP($A1096,[2]stockregister!$A$2:$B$2000,2,FALSE),"")</f>
        <v/>
      </c>
      <c r="F1096" s="3" t="s">
        <v>21</v>
      </c>
      <c r="G1096" s="3">
        <f>_xlfn.IFNA(VLOOKUP($A1096,[3]stockregister!$A$2:$L$2000,11,0),0)</f>
        <v>0</v>
      </c>
      <c r="H1096" s="3">
        <f>_xlfn.IFNA(VLOOKUP($A1096,[3]stockregister!$A$2:$L$2000,11,0),0)-$G1096</f>
        <v>0</v>
      </c>
      <c r="I1096" s="3">
        <f>_xlfn.IFNA(VLOOKUP($A1096,[3]stockregister!$A$2:$L$2000,12,0),0)</f>
        <v>1700</v>
      </c>
      <c r="J1096" s="3">
        <f>_xlfn.IFNA(VLOOKUP($A1096,[3]stockregister!$A$1:$M$2000,12,0),0)-$I1096</f>
        <v>0</v>
      </c>
      <c r="K1096" s="3" t="s">
        <v>22</v>
      </c>
      <c r="L1096" s="3" t="s">
        <v>23</v>
      </c>
      <c r="M1096" s="3">
        <f>_xlfn.IFNA(VLOOKUP($A1096,[2]stockregister!$A$2:$H$2000,8,0),0)</f>
        <v>2100</v>
      </c>
      <c r="N1096" s="3">
        <f>_xlfn.IFNA(VLOOKUP($A1096,[2]stockregister!$A$2:$H$2000,8,0),0)-$M1096</f>
        <v>0</v>
      </c>
      <c r="O1096" s="3" t="s">
        <v>2587</v>
      </c>
      <c r="P1096" s="3" t="s">
        <v>2587</v>
      </c>
      <c r="Q1096" s="3" t="s">
        <v>899</v>
      </c>
      <c r="R1096" s="3" t="s">
        <v>577</v>
      </c>
    </row>
    <row r="1097" spans="1:18">
      <c r="A1097" s="3">
        <v>91</v>
      </c>
      <c r="B1097" s="3" t="b">
        <f>ISNUMBER(MATCH(A1097,[1]stockregister!$A$2:$A$2000,0))</f>
        <v>1</v>
      </c>
      <c r="C1097" s="3" t="s">
        <v>2588</v>
      </c>
      <c r="D1097" s="3" t="str">
        <f>VLOOKUP($C1097,[1]stockregister!$B$2:$B$2000,1,0)</f>
        <v>AMARULA 375ML</v>
      </c>
      <c r="E1097" s="3" t="str">
        <f>IF(ISNA($D1097),VLOOKUP($A1097,[2]stockregister!$A$2:$B$2000,2,FALSE),"")</f>
        <v/>
      </c>
      <c r="F1097" s="3" t="s">
        <v>21</v>
      </c>
      <c r="G1097" s="3">
        <f>_xlfn.IFNA(VLOOKUP($A1097,[3]stockregister!$A$2:$L$2000,11,0),0)</f>
        <v>0</v>
      </c>
      <c r="H1097" s="3">
        <f>_xlfn.IFNA(VLOOKUP($A1097,[3]stockregister!$A$2:$L$2000,11,0),0)-$G1097</f>
        <v>0</v>
      </c>
      <c r="I1097" s="3">
        <f>_xlfn.IFNA(VLOOKUP($A1097,[3]stockregister!$A$2:$L$2000,12,0),0)</f>
        <v>590</v>
      </c>
      <c r="J1097" s="3">
        <f>_xlfn.IFNA(VLOOKUP($A1097,[3]stockregister!$A$1:$M$2000,12,0),0)-$I1097</f>
        <v>0</v>
      </c>
      <c r="K1097" s="3" t="s">
        <v>22</v>
      </c>
      <c r="L1097" s="3" t="s">
        <v>23</v>
      </c>
      <c r="M1097" s="3">
        <f>_xlfn.IFNA(VLOOKUP($A1097,[2]stockregister!$A$2:$H$2000,8,0),0)</f>
        <v>950</v>
      </c>
      <c r="N1097" s="3">
        <f>_xlfn.IFNA(VLOOKUP($A1097,[2]stockregister!$A$2:$H$2000,8,0),0)-$M1097</f>
        <v>0</v>
      </c>
      <c r="O1097" s="3" t="s">
        <v>2589</v>
      </c>
      <c r="P1097" s="3" t="s">
        <v>2589</v>
      </c>
      <c r="Q1097" s="3" t="s">
        <v>899</v>
      </c>
      <c r="R1097" s="3" t="s">
        <v>577</v>
      </c>
    </row>
    <row r="1098" spans="1:18">
      <c r="A1098" s="3">
        <v>92</v>
      </c>
      <c r="B1098" s="3" t="b">
        <f>ISNUMBER(MATCH(A1098,[1]stockregister!$A$2:$A$2000,0))</f>
        <v>1</v>
      </c>
      <c r="C1098" s="3" t="s">
        <v>2590</v>
      </c>
      <c r="D1098" s="3" t="str">
        <f>VLOOKUP($C1098,[1]stockregister!$B$2:$B$2000,1,0)</f>
        <v>AMARULA 750ML</v>
      </c>
      <c r="E1098" s="3" t="str">
        <f>IF(ISNA($D1098),VLOOKUP($A1098,[2]stockregister!$A$2:$B$2000,2,FALSE),"")</f>
        <v/>
      </c>
      <c r="F1098" s="3" t="s">
        <v>21</v>
      </c>
      <c r="G1098" s="3">
        <f>_xlfn.IFNA(VLOOKUP($A1098,[3]stockregister!$A$2:$L$2000,11,0),0)</f>
        <v>0</v>
      </c>
      <c r="H1098" s="3">
        <f>_xlfn.IFNA(VLOOKUP($A1098,[3]stockregister!$A$2:$L$2000,11,0),0)-$G1098</f>
        <v>0</v>
      </c>
      <c r="I1098" s="3">
        <f>_xlfn.IFNA(VLOOKUP($A1098,[3]stockregister!$A$2:$L$2000,12,0),0)</f>
        <v>1800</v>
      </c>
      <c r="J1098" s="3">
        <f>_xlfn.IFNA(VLOOKUP($A1098,[3]stockregister!$A$1:$M$2000,12,0),0)-$I1098</f>
        <v>0</v>
      </c>
      <c r="K1098" s="3" t="s">
        <v>22</v>
      </c>
      <c r="L1098" s="3" t="s">
        <v>23</v>
      </c>
      <c r="M1098" s="3">
        <f>_xlfn.IFNA(VLOOKUP($A1098,[2]stockregister!$A$2:$H$2000,8,0),0)</f>
        <v>2000</v>
      </c>
      <c r="N1098" s="3">
        <f>_xlfn.IFNA(VLOOKUP($A1098,[2]stockregister!$A$2:$H$2000,8,0),0)-$M1098</f>
        <v>0</v>
      </c>
      <c r="O1098" s="3" t="s">
        <v>2591</v>
      </c>
      <c r="P1098" s="3" t="s">
        <v>2591</v>
      </c>
      <c r="Q1098" s="3" t="s">
        <v>899</v>
      </c>
      <c r="R1098" s="3" t="s">
        <v>577</v>
      </c>
    </row>
    <row r="1099" spans="1:18">
      <c r="A1099" s="3">
        <v>940</v>
      </c>
      <c r="B1099" s="3" t="b">
        <f>ISNUMBER(MATCH(A1099,[1]stockregister!$A$2:$A$2000,0))</f>
        <v>1</v>
      </c>
      <c r="C1099" s="3" t="s">
        <v>2592</v>
      </c>
      <c r="D1099" s="3" t="str">
        <f>VLOOKUP($C1099,[1]stockregister!$B$2:$B$2000,1,0)</f>
        <v>HARVEYS BRISTOL CREAM 750ML</v>
      </c>
      <c r="E1099" s="3" t="str">
        <f>IF(ISNA($D1099),VLOOKUP($A1099,[2]stockregister!$A$2:$B$2000,2,FALSE),"")</f>
        <v/>
      </c>
      <c r="F1099" s="3" t="s">
        <v>21</v>
      </c>
      <c r="G1099" s="3">
        <f>_xlfn.IFNA(VLOOKUP($A1099,[3]stockregister!$A$2:$L$2000,11,0),0)</f>
        <v>0</v>
      </c>
      <c r="H1099" s="3">
        <f>_xlfn.IFNA(VLOOKUP($A1099,[3]stockregister!$A$2:$L$2000,11,0),0)-$G1099</f>
        <v>0</v>
      </c>
      <c r="I1099" s="3">
        <f>_xlfn.IFNA(VLOOKUP($A1099,[3]stockregister!$A$2:$L$2000,12,0),0)</f>
        <v>2024</v>
      </c>
      <c r="J1099" s="3">
        <f>_xlfn.IFNA(VLOOKUP($A1099,[3]stockregister!$A$1:$M$2000,12,0),0)-$I1099</f>
        <v>0</v>
      </c>
      <c r="K1099" s="3" t="s">
        <v>22</v>
      </c>
      <c r="L1099" s="3" t="s">
        <v>23</v>
      </c>
      <c r="M1099" s="3">
        <f>_xlfn.IFNA(VLOOKUP($A1099,[2]stockregister!$A$2:$H$2000,8,0),0)</f>
        <v>2200</v>
      </c>
      <c r="N1099" s="3">
        <f>_xlfn.IFNA(VLOOKUP($A1099,[2]stockregister!$A$2:$H$2000,8,0),0)-$M1099</f>
        <v>0</v>
      </c>
      <c r="O1099" s="3" t="s">
        <v>2593</v>
      </c>
      <c r="P1099" s="3" t="s">
        <v>2593</v>
      </c>
      <c r="Q1099" s="3" t="s">
        <v>989</v>
      </c>
      <c r="R1099" s="3" t="s">
        <v>577</v>
      </c>
    </row>
    <row r="1100" spans="1:18">
      <c r="A1100" s="3">
        <v>1712</v>
      </c>
      <c r="B1100" s="3" t="b">
        <f>ISNUMBER(MATCH(A1100,[1]stockregister!$A$2:$A$2000,0))</f>
        <v>1</v>
      </c>
      <c r="C1100" s="3" t="s">
        <v>2594</v>
      </c>
      <c r="D1100" s="3" t="str">
        <f>VLOOKUP($C1100,[1]stockregister!$B$2:$B$2000,1,0)</f>
        <v>ROYAL RHINO CREAM 750ml</v>
      </c>
      <c r="E1100" s="3" t="str">
        <f>IF(ISNA($D1100),VLOOKUP($A1100,[2]stockregister!$A$2:$B$2000,2,FALSE),"")</f>
        <v/>
      </c>
      <c r="F1100" s="3" t="s">
        <v>21</v>
      </c>
      <c r="G1100" s="3">
        <f>_xlfn.IFNA(VLOOKUP($A1100,[3]stockregister!$A$2:$L$2000,11,0),0)</f>
        <v>0</v>
      </c>
      <c r="H1100" s="3">
        <f>_xlfn.IFNA(VLOOKUP($A1100,[3]stockregister!$A$2:$L$2000,11,0),0)-$G1100</f>
        <v>0</v>
      </c>
      <c r="I1100" s="3">
        <f>_xlfn.IFNA(VLOOKUP($A1100,[3]stockregister!$A$2:$L$2000,12,0),0)</f>
        <v>1472</v>
      </c>
      <c r="J1100" s="3">
        <f>_xlfn.IFNA(VLOOKUP($A1100,[3]stockregister!$A$1:$M$2000,12,0),0)-$I1100</f>
        <v>0</v>
      </c>
      <c r="K1100" s="3" t="s">
        <v>22</v>
      </c>
      <c r="L1100" s="3" t="s">
        <v>23</v>
      </c>
      <c r="M1100" s="3">
        <f>_xlfn.IFNA(VLOOKUP($A1100,[2]stockregister!$A$2:$H$2000,8,0),0)</f>
        <v>1600</v>
      </c>
      <c r="N1100" s="3">
        <f>_xlfn.IFNA(VLOOKUP($A1100,[2]stockregister!$A$2:$H$2000,8,0),0)-$M1100</f>
        <v>0</v>
      </c>
      <c r="O1100" s="3" t="s">
        <v>2595</v>
      </c>
      <c r="P1100" s="3" t="s">
        <v>2595</v>
      </c>
      <c r="Q1100" s="3" t="s">
        <v>2596</v>
      </c>
      <c r="R1100" s="3" t="s">
        <v>577</v>
      </c>
    </row>
    <row r="1101" spans="1:19">
      <c r="A1101" s="3">
        <v>2093</v>
      </c>
      <c r="B1101" s="3" t="b">
        <f>ISNUMBER(MATCH(A1101,[1]stockregister!$A$2:$A$2000,0))</f>
        <v>1</v>
      </c>
      <c r="C1101" s="3" t="s">
        <v>2597</v>
      </c>
      <c r="D1101" s="3" t="str">
        <f>VLOOKUP($C1101,[1]stockregister!$B$2:$B$2000,1,0)</f>
        <v>WHITLEY NEIL ALOE &amp; CUCUMBER 1LTR</v>
      </c>
      <c r="E1101" s="3" t="str">
        <f>IF(ISNA($D1101),VLOOKUP($A1101,[2]stockregister!$A$2:$B$2000,2,FALSE),"")</f>
        <v/>
      </c>
      <c r="F1101" s="3" t="s">
        <v>21</v>
      </c>
      <c r="G1101" s="3">
        <f>_xlfn.IFNA(VLOOKUP($A1101,[3]stockregister!$A$2:$L$2000,11,0),0)</f>
        <v>0</v>
      </c>
      <c r="H1101" s="3">
        <f>_xlfn.IFNA(VLOOKUP($A1101,[3]stockregister!$A$2:$L$2000,11,0),0)-$G1101</f>
        <v>0</v>
      </c>
      <c r="I1101" s="3">
        <f>_xlfn.IFNA(VLOOKUP($A1101,[3]stockregister!$A$2:$L$2000,12,0),0)</f>
        <v>2944</v>
      </c>
      <c r="J1101" s="3">
        <f>_xlfn.IFNA(VLOOKUP($A1101,[3]stockregister!$A$1:$M$2000,12,0),0)-$I1101</f>
        <v>0</v>
      </c>
      <c r="K1101" s="3" t="s">
        <v>22</v>
      </c>
      <c r="L1101" s="3" t="s">
        <v>23</v>
      </c>
      <c r="M1101" s="3">
        <f>_xlfn.IFNA(VLOOKUP($A1101,[2]stockregister!$A$2:$H$2000,8,0),0)</f>
        <v>3200</v>
      </c>
      <c r="N1101" s="3">
        <f>_xlfn.IFNA(VLOOKUP($A1101,[2]stockregister!$A$2:$H$2000,8,0),0)-$M1101</f>
        <v>0</v>
      </c>
      <c r="O1101" s="3" t="s">
        <v>2598</v>
      </c>
      <c r="P1101" s="3" t="s">
        <v>2598</v>
      </c>
      <c r="Q1101" s="3" t="s">
        <v>1061</v>
      </c>
      <c r="R1101" s="3" t="s">
        <v>78</v>
      </c>
      <c r="S1101" s="3" t="s">
        <v>2599</v>
      </c>
    </row>
    <row r="1102" spans="1:19">
      <c r="A1102" s="3">
        <v>1009</v>
      </c>
      <c r="B1102" s="3" t="b">
        <f>ISNUMBER(MATCH(A1102,[1]stockregister!$A$2:$A$2000,0))</f>
        <v>1</v>
      </c>
      <c r="C1102" s="3" t="s">
        <v>2600</v>
      </c>
      <c r="D1102" s="3" t="str">
        <f>VLOOKUP($C1102,[1]stockregister!$B$2:$B$2000,1,0)</f>
        <v>INVERROCHE GIN AMBER 750ML</v>
      </c>
      <c r="E1102" s="3" t="str">
        <f>IF(ISNA($D1102),VLOOKUP($A1102,[2]stockregister!$A$2:$B$2000,2,FALSE),"")</f>
        <v/>
      </c>
      <c r="F1102" s="3" t="s">
        <v>21</v>
      </c>
      <c r="G1102" s="3">
        <f>_xlfn.IFNA(VLOOKUP($A1102,[3]stockregister!$A$2:$L$2000,11,0),0)</f>
        <v>0</v>
      </c>
      <c r="H1102" s="3">
        <f>_xlfn.IFNA(VLOOKUP($A1102,[3]stockregister!$A$2:$L$2000,11,0),0)-$G1102</f>
        <v>0</v>
      </c>
      <c r="I1102" s="3">
        <f>_xlfn.IFNA(VLOOKUP($A1102,[3]stockregister!$A$2:$L$2000,12,0),0)</f>
        <v>4140</v>
      </c>
      <c r="J1102" s="3">
        <f>_xlfn.IFNA(VLOOKUP($A1102,[3]stockregister!$A$1:$M$2000,12,0),0)-$I1102</f>
        <v>0</v>
      </c>
      <c r="K1102" s="3" t="s">
        <v>22</v>
      </c>
      <c r="L1102" s="3" t="s">
        <v>23</v>
      </c>
      <c r="M1102" s="3">
        <f>_xlfn.IFNA(VLOOKUP($A1102,[2]stockregister!$A$2:$H$2000,8,0),0)</f>
        <v>4500</v>
      </c>
      <c r="N1102" s="3">
        <f>_xlfn.IFNA(VLOOKUP($A1102,[2]stockregister!$A$2:$H$2000,8,0),0)-$M1102</f>
        <v>0</v>
      </c>
      <c r="O1102" s="3" t="s">
        <v>2601</v>
      </c>
      <c r="P1102" s="3" t="s">
        <v>2601</v>
      </c>
      <c r="Q1102" s="3" t="s">
        <v>1391</v>
      </c>
      <c r="R1102" s="3" t="s">
        <v>78</v>
      </c>
      <c r="S1102" s="3" t="s">
        <v>2602</v>
      </c>
    </row>
    <row r="1103" spans="1:19">
      <c r="A1103" s="3">
        <v>2097</v>
      </c>
      <c r="B1103" s="3" t="b">
        <f>ISNUMBER(MATCH(A1103,[1]stockregister!$A$2:$A$2000,0))</f>
        <v>1</v>
      </c>
      <c r="C1103" s="3" t="s">
        <v>2603</v>
      </c>
      <c r="D1103" s="3" t="str">
        <f>VLOOKUP($C1103,[1]stockregister!$B$2:$B$2000,1,0)</f>
        <v>WHITLEY NEILL BLACK BERRY GIN 1LTR</v>
      </c>
      <c r="E1103" s="3" t="str">
        <f>IF(ISNA($D1103),VLOOKUP($A1103,[2]stockregister!$A$2:$B$2000,2,FALSE),"")</f>
        <v/>
      </c>
      <c r="F1103" s="3" t="s">
        <v>21</v>
      </c>
      <c r="G1103" s="3">
        <f>_xlfn.IFNA(VLOOKUP($A1103,[3]stockregister!$A$2:$L$2000,11,0),0)</f>
        <v>0</v>
      </c>
      <c r="H1103" s="3">
        <f>_xlfn.IFNA(VLOOKUP($A1103,[3]stockregister!$A$2:$L$2000,11,0),0)-$G1103</f>
        <v>0</v>
      </c>
      <c r="I1103" s="3">
        <f>_xlfn.IFNA(VLOOKUP($A1103,[3]stockregister!$A$2:$L$2000,12,0),0)</f>
        <v>2944</v>
      </c>
      <c r="J1103" s="3">
        <f>_xlfn.IFNA(VLOOKUP($A1103,[3]stockregister!$A$1:$M$2000,12,0),0)-$I1103</f>
        <v>0</v>
      </c>
      <c r="K1103" s="3" t="s">
        <v>22</v>
      </c>
      <c r="L1103" s="3" t="s">
        <v>23</v>
      </c>
      <c r="M1103" s="3">
        <f>_xlfn.IFNA(VLOOKUP($A1103,[2]stockregister!$A$2:$H$2000,8,0),0)</f>
        <v>3200</v>
      </c>
      <c r="N1103" s="3">
        <f>_xlfn.IFNA(VLOOKUP($A1103,[2]stockregister!$A$2:$H$2000,8,0),0)-$M1103</f>
        <v>0</v>
      </c>
      <c r="O1103" s="3" t="s">
        <v>2604</v>
      </c>
      <c r="P1103" s="3" t="s">
        <v>2604</v>
      </c>
      <c r="Q1103" s="3" t="s">
        <v>1061</v>
      </c>
      <c r="R1103" s="3" t="s">
        <v>78</v>
      </c>
      <c r="S1103" s="3" t="s">
        <v>632</v>
      </c>
    </row>
    <row r="1104" spans="1:19">
      <c r="A1104" s="3">
        <v>2095</v>
      </c>
      <c r="B1104" s="3" t="b">
        <f>ISNUMBER(MATCH(A1104,[1]stockregister!$A$2:$A$2000,0))</f>
        <v>1</v>
      </c>
      <c r="C1104" s="3" t="s">
        <v>2605</v>
      </c>
      <c r="D1104" s="3" t="str">
        <f>VLOOKUP($C1104,[1]stockregister!$B$2:$B$2000,1,0)</f>
        <v>WHITLEY NEIL BLOOD ORANGE GIN 1LTR</v>
      </c>
      <c r="E1104" s="3" t="str">
        <f>IF(ISNA($D1104),VLOOKUP($A1104,[2]stockregister!$A$2:$B$2000,2,FALSE),"")</f>
        <v/>
      </c>
      <c r="F1104" s="3" t="s">
        <v>21</v>
      </c>
      <c r="G1104" s="3">
        <f>_xlfn.IFNA(VLOOKUP($A1104,[3]stockregister!$A$2:$L$2000,11,0),0)</f>
        <v>0</v>
      </c>
      <c r="H1104" s="3">
        <f>_xlfn.IFNA(VLOOKUP($A1104,[3]stockregister!$A$2:$L$2000,11,0),0)-$G1104</f>
        <v>0</v>
      </c>
      <c r="I1104" s="3">
        <f>_xlfn.IFNA(VLOOKUP($A1104,[3]stockregister!$A$2:$L$2000,12,0),0)</f>
        <v>2944</v>
      </c>
      <c r="J1104" s="3">
        <f>_xlfn.IFNA(VLOOKUP($A1104,[3]stockregister!$A$1:$M$2000,12,0),0)-$I1104</f>
        <v>0</v>
      </c>
      <c r="K1104" s="3" t="s">
        <v>22</v>
      </c>
      <c r="L1104" s="3" t="s">
        <v>23</v>
      </c>
      <c r="M1104" s="3">
        <f>_xlfn.IFNA(VLOOKUP($A1104,[2]stockregister!$A$2:$H$2000,8,0),0)</f>
        <v>3200</v>
      </c>
      <c r="N1104" s="3">
        <f>_xlfn.IFNA(VLOOKUP($A1104,[2]stockregister!$A$2:$H$2000,8,0),0)-$M1104</f>
        <v>0</v>
      </c>
      <c r="O1104" s="3" t="s">
        <v>2606</v>
      </c>
      <c r="P1104" s="3" t="s">
        <v>2606</v>
      </c>
      <c r="Q1104" s="3" t="s">
        <v>1061</v>
      </c>
      <c r="R1104" s="3" t="s">
        <v>78</v>
      </c>
      <c r="S1104" s="3" t="s">
        <v>1187</v>
      </c>
    </row>
    <row r="1105" spans="1:19">
      <c r="A1105" s="3">
        <v>1374</v>
      </c>
      <c r="B1105" s="3" t="b">
        <f>ISNUMBER(MATCH(A1105,[1]stockregister!$A$2:$A$2000,0))</f>
        <v>1</v>
      </c>
      <c r="C1105" s="3" t="s">
        <v>2607</v>
      </c>
      <c r="D1105" s="3" t="str">
        <f>VLOOKUP($C1105,[1]stockregister!$B$2:$B$2000,1,0)</f>
        <v>MALFY GINS LEMON 750ML</v>
      </c>
      <c r="E1105" s="3" t="str">
        <f>IF(ISNA($D1105),VLOOKUP($A1105,[2]stockregister!$A$2:$B$2000,2,FALSE),"")</f>
        <v/>
      </c>
      <c r="F1105" s="3" t="s">
        <v>21</v>
      </c>
      <c r="G1105" s="3">
        <f>_xlfn.IFNA(VLOOKUP($A1105,[3]stockregister!$A$2:$L$2000,11,0),0)</f>
        <v>0</v>
      </c>
      <c r="H1105" s="3">
        <f>_xlfn.IFNA(VLOOKUP($A1105,[3]stockregister!$A$2:$L$2000,11,0),0)-$G1105</f>
        <v>0</v>
      </c>
      <c r="I1105" s="3">
        <f>_xlfn.IFNA(VLOOKUP($A1105,[3]stockregister!$A$2:$L$2000,12,0),0)</f>
        <v>2485</v>
      </c>
      <c r="J1105" s="3">
        <f>_xlfn.IFNA(VLOOKUP($A1105,[3]stockregister!$A$1:$M$2000,12,0),0)-$I1105</f>
        <v>0</v>
      </c>
      <c r="K1105" s="3" t="s">
        <v>22</v>
      </c>
      <c r="L1105" s="3" t="s">
        <v>23</v>
      </c>
      <c r="M1105" s="3">
        <f>_xlfn.IFNA(VLOOKUP($A1105,[2]stockregister!$A$2:$H$2000,8,0),0)</f>
        <v>3900</v>
      </c>
      <c r="N1105" s="3">
        <f>_xlfn.IFNA(VLOOKUP($A1105,[2]stockregister!$A$2:$H$2000,8,0),0)-$M1105</f>
        <v>0</v>
      </c>
      <c r="O1105" s="3" t="s">
        <v>2608</v>
      </c>
      <c r="P1105" s="3" t="s">
        <v>2608</v>
      </c>
      <c r="Q1105" s="3" t="s">
        <v>1225</v>
      </c>
      <c r="R1105" s="3" t="s">
        <v>78</v>
      </c>
      <c r="S1105" s="3" t="s">
        <v>2609</v>
      </c>
    </row>
    <row r="1106" spans="1:19">
      <c r="A1106" s="3">
        <v>891</v>
      </c>
      <c r="B1106" s="3" t="b">
        <f>ISNUMBER(MATCH(A1106,[1]stockregister!$A$2:$A$2000,0))</f>
        <v>1</v>
      </c>
      <c r="C1106" s="3" t="s">
        <v>2610</v>
      </c>
      <c r="D1106" s="3" t="str">
        <f>VLOOKUP($C1106,[1]stockregister!$B$2:$B$2000,1,0)</f>
        <v>GORDON`S SICILIAN LEMON 700ML</v>
      </c>
      <c r="E1106" s="3" t="str">
        <f>IF(ISNA($D1106),VLOOKUP($A1106,[2]stockregister!$A$2:$B$2000,2,FALSE),"")</f>
        <v/>
      </c>
      <c r="F1106" s="3" t="s">
        <v>21</v>
      </c>
      <c r="G1106" s="3">
        <f>_xlfn.IFNA(VLOOKUP($A1106,[3]stockregister!$A$2:$L$2000,11,0),0)</f>
        <v>0</v>
      </c>
      <c r="H1106" s="3">
        <f>_xlfn.IFNA(VLOOKUP($A1106,[3]stockregister!$A$2:$L$2000,11,0),0)-$G1106</f>
        <v>0</v>
      </c>
      <c r="I1106" s="3">
        <f>_xlfn.IFNA(VLOOKUP($A1106,[3]stockregister!$A$2:$L$2000,12,0),0)</f>
        <v>1790</v>
      </c>
      <c r="J1106" s="3">
        <f>_xlfn.IFNA(VLOOKUP($A1106,[3]stockregister!$A$1:$M$2000,12,0),0)-$I1106</f>
        <v>0</v>
      </c>
      <c r="K1106" s="3" t="s">
        <v>22</v>
      </c>
      <c r="L1106" s="3" t="s">
        <v>23</v>
      </c>
      <c r="M1106" s="3">
        <f>_xlfn.IFNA(VLOOKUP($A1106,[2]stockregister!$A$2:$H$2000,8,0),0)</f>
        <v>1900</v>
      </c>
      <c r="N1106" s="3">
        <f>_xlfn.IFNA(VLOOKUP($A1106,[2]stockregister!$A$2:$H$2000,8,0),0)-$M1106</f>
        <v>0</v>
      </c>
      <c r="O1106" s="3" t="s">
        <v>2611</v>
      </c>
      <c r="P1106" s="3" t="s">
        <v>2611</v>
      </c>
      <c r="Q1106" s="3" t="s">
        <v>348</v>
      </c>
      <c r="R1106" s="3" t="s">
        <v>78</v>
      </c>
      <c r="S1106" s="3" t="s">
        <v>393</v>
      </c>
    </row>
    <row r="1107" spans="1:19">
      <c r="A1107" s="3">
        <v>2192</v>
      </c>
      <c r="B1107" s="3" t="b">
        <f>ISNUMBER(MATCH(A1107,[1]stockregister!$A$2:$A$2000,0))</f>
        <v>1</v>
      </c>
      <c r="C1107" s="3" t="s">
        <v>2612</v>
      </c>
      <c r="D1107" s="3" t="str">
        <f>VLOOKUP($C1107,[1]stockregister!$B$2:$B$2000,1,0)</f>
        <v>GORDONS LEMON 1LTR</v>
      </c>
      <c r="E1107" s="3" t="str">
        <f>IF(ISNA($D1107),VLOOKUP($A1107,[2]stockregister!$A$2:$B$2000,2,FALSE),"")</f>
        <v/>
      </c>
      <c r="F1107" s="3" t="s">
        <v>21</v>
      </c>
      <c r="G1107" s="3">
        <f>_xlfn.IFNA(VLOOKUP($A1107,[3]stockregister!$A$2:$L$2000,11,0),0)</f>
        <v>0</v>
      </c>
      <c r="H1107" s="3">
        <f>_xlfn.IFNA(VLOOKUP($A1107,[3]stockregister!$A$2:$L$2000,11,0),0)-$G1107</f>
        <v>0</v>
      </c>
      <c r="I1107" s="3">
        <f>_xlfn.IFNA(VLOOKUP($A1107,[3]stockregister!$A$2:$L$2000,12,0),0)</f>
        <v>2100</v>
      </c>
      <c r="J1107" s="3">
        <f>_xlfn.IFNA(VLOOKUP($A1107,[3]stockregister!$A$1:$M$2000,12,0),0)-$I1107</f>
        <v>0</v>
      </c>
      <c r="K1107" s="3" t="s">
        <v>22</v>
      </c>
      <c r="L1107" s="3" t="s">
        <v>23</v>
      </c>
      <c r="M1107" s="3">
        <f>_xlfn.IFNA(VLOOKUP($A1107,[2]stockregister!$A$2:$H$2000,8,0),0)</f>
        <v>2500</v>
      </c>
      <c r="N1107" s="3">
        <f>_xlfn.IFNA(VLOOKUP($A1107,[2]stockregister!$A$2:$H$2000,8,0),0)-$M1107</f>
        <v>0</v>
      </c>
      <c r="O1107" s="3" t="s">
        <v>2613</v>
      </c>
      <c r="P1107" s="3" t="s">
        <v>2613</v>
      </c>
      <c r="Q1107" s="3" t="s">
        <v>348</v>
      </c>
      <c r="R1107" s="3" t="s">
        <v>78</v>
      </c>
      <c r="S1107" s="3" t="s">
        <v>393</v>
      </c>
    </row>
    <row r="1108" spans="1:19">
      <c r="A1108" s="3">
        <v>1370</v>
      </c>
      <c r="B1108" s="3" t="b">
        <f>ISNUMBER(MATCH(A1108,[1]stockregister!$A$2:$A$2000,0))</f>
        <v>1</v>
      </c>
      <c r="C1108" s="3" t="s">
        <v>2614</v>
      </c>
      <c r="D1108" s="3" t="str">
        <f>VLOOKUP($C1108,[1]stockregister!$B$2:$B$2000,1,0)</f>
        <v>MALFY GIN LEMON 1LTR</v>
      </c>
      <c r="E1108" s="3" t="str">
        <f>IF(ISNA($D1108),VLOOKUP($A1108,[2]stockregister!$A$2:$B$2000,2,FALSE),"")</f>
        <v/>
      </c>
      <c r="F1108" s="3" t="s">
        <v>21</v>
      </c>
      <c r="G1108" s="3">
        <f>_xlfn.IFNA(VLOOKUP($A1108,[3]stockregister!$A$2:$L$2000,11,0),0)</f>
        <v>0</v>
      </c>
      <c r="H1108" s="3">
        <f>_xlfn.IFNA(VLOOKUP($A1108,[3]stockregister!$A$2:$L$2000,11,0),0)-$G1108</f>
        <v>0</v>
      </c>
      <c r="I1108" s="3">
        <f>_xlfn.IFNA(VLOOKUP($A1108,[3]stockregister!$A$2:$L$2000,12,0),0)</f>
        <v>3000</v>
      </c>
      <c r="J1108" s="3">
        <f>_xlfn.IFNA(VLOOKUP($A1108,[3]stockregister!$A$1:$M$2000,12,0),0)-$I1108</f>
        <v>0</v>
      </c>
      <c r="K1108" s="3" t="s">
        <v>22</v>
      </c>
      <c r="L1108" s="3" t="s">
        <v>23</v>
      </c>
      <c r="M1108" s="3">
        <f>_xlfn.IFNA(VLOOKUP($A1108,[2]stockregister!$A$2:$H$2000,8,0),0)</f>
        <v>4200</v>
      </c>
      <c r="N1108" s="3">
        <f>_xlfn.IFNA(VLOOKUP($A1108,[2]stockregister!$A$2:$H$2000,8,0),0)-$M1108</f>
        <v>0</v>
      </c>
      <c r="O1108" s="3" t="s">
        <v>2615</v>
      </c>
      <c r="P1108" s="3" t="s">
        <v>2615</v>
      </c>
      <c r="Q1108" s="3" t="s">
        <v>1225</v>
      </c>
      <c r="R1108" s="3" t="s">
        <v>78</v>
      </c>
      <c r="S1108" s="3" t="s">
        <v>393</v>
      </c>
    </row>
    <row r="1109" spans="1:19">
      <c r="A1109" s="3">
        <v>2101</v>
      </c>
      <c r="B1109" s="3" t="b">
        <f>ISNUMBER(MATCH(A1109,[1]stockregister!$A$2:$A$2000,0))</f>
        <v>1</v>
      </c>
      <c r="C1109" s="3" t="s">
        <v>475</v>
      </c>
      <c r="D1109" s="3" t="str">
        <f>VLOOKUP($C1109,[1]stockregister!$B$2:$B$2000,1,0)</f>
        <v>WHITLEY NEILL LEMON GRASS  GIN 750ML </v>
      </c>
      <c r="E1109" s="3" t="str">
        <f>IF(ISNA($D1109),VLOOKUP($A1109,[2]stockregister!$A$2:$B$2000,2,FALSE),"")</f>
        <v/>
      </c>
      <c r="F1109" s="3" t="s">
        <v>21</v>
      </c>
      <c r="G1109" s="3">
        <f>_xlfn.IFNA(VLOOKUP($A1109,[3]stockregister!$A$2:$L$2000,11,0),0)</f>
        <v>0</v>
      </c>
      <c r="H1109" s="3">
        <f>_xlfn.IFNA(VLOOKUP($A1109,[3]stockregister!$A$2:$L$2000,11,0),0)-$G1109</f>
        <v>0</v>
      </c>
      <c r="I1109" s="3">
        <f>_xlfn.IFNA(VLOOKUP($A1109,[3]stockregister!$A$2:$L$2000,12,0),0)</f>
        <v>2576</v>
      </c>
      <c r="J1109" s="3">
        <f>_xlfn.IFNA(VLOOKUP($A1109,[3]stockregister!$A$1:$M$2000,12,0),0)-$I1109</f>
        <v>0</v>
      </c>
      <c r="K1109" s="3" t="s">
        <v>22</v>
      </c>
      <c r="L1109" s="3" t="s">
        <v>23</v>
      </c>
      <c r="M1109" s="3">
        <f>_xlfn.IFNA(VLOOKUP($A1109,[2]stockregister!$A$2:$H$2000,8,0),0)</f>
        <v>2800</v>
      </c>
      <c r="N1109" s="3">
        <f>_xlfn.IFNA(VLOOKUP($A1109,[2]stockregister!$A$2:$H$2000,8,0),0)-$M1109</f>
        <v>0</v>
      </c>
      <c r="O1109" s="3" t="s">
        <v>2616</v>
      </c>
      <c r="P1109" s="3" t="s">
        <v>2616</v>
      </c>
      <c r="Q1109" s="3" t="s">
        <v>1061</v>
      </c>
      <c r="R1109" s="3" t="s">
        <v>78</v>
      </c>
      <c r="S1109" s="3" t="s">
        <v>2023</v>
      </c>
    </row>
    <row r="1110" spans="1:19">
      <c r="A1110" s="3">
        <v>2867</v>
      </c>
      <c r="B1110" s="3" t="b">
        <f>ISNUMBER(MATCH(A1110,[1]stockregister!$A$2:$A$2000,0))</f>
        <v>1</v>
      </c>
      <c r="C1110" s="3" t="s">
        <v>477</v>
      </c>
      <c r="D1110" s="3" t="str">
        <f>VLOOKUP($C1110,[1]stockregister!$B$2:$B$2000,1,0)</f>
        <v>GILBEYS BERRY BRAMBLE COCKTAIL 750ML</v>
      </c>
      <c r="E1110" s="3" t="str">
        <f>IF(ISNA($D1110),VLOOKUP($A1110,[2]stockregister!$A$2:$B$2000,2,FALSE),"")</f>
        <v/>
      </c>
      <c r="F1110" s="3" t="s">
        <v>21</v>
      </c>
      <c r="G1110" s="3">
        <f>_xlfn.IFNA(VLOOKUP($A1110,[3]stockregister!$A$2:$L$2000,11,0),0)</f>
        <v>36</v>
      </c>
      <c r="H1110" s="3">
        <f>_xlfn.IFNA(VLOOKUP($A1110,[3]stockregister!$A$2:$L$2000,11,0),0)-$G1110</f>
        <v>0</v>
      </c>
      <c r="I1110" s="3">
        <f>_xlfn.IFNA(VLOOKUP($A1110,[3]stockregister!$A$2:$L$2000,12,0),0)</f>
        <v>764.42</v>
      </c>
      <c r="J1110" s="3">
        <f>_xlfn.IFNA(VLOOKUP($A1110,[3]stockregister!$A$1:$M$2000,12,0),0)-$I1110</f>
        <v>0</v>
      </c>
      <c r="K1110" s="3" t="s">
        <v>22</v>
      </c>
      <c r="L1110" s="3" t="s">
        <v>23</v>
      </c>
      <c r="M1110" s="3">
        <f>_xlfn.IFNA(VLOOKUP($A1110,[2]stockregister!$A$2:$H$2000,8,0),0)</f>
        <v>800</v>
      </c>
      <c r="N1110" s="3">
        <f>_xlfn.IFNA(VLOOKUP($A1110,[2]stockregister!$A$2:$H$2000,8,0),0)-$M1110</f>
        <v>0</v>
      </c>
      <c r="O1110" s="3" t="s">
        <v>2617</v>
      </c>
      <c r="P1110" s="3" t="s">
        <v>2617</v>
      </c>
      <c r="Q1110" s="3" t="s">
        <v>1551</v>
      </c>
      <c r="R1110" s="3" t="s">
        <v>78</v>
      </c>
      <c r="S1110" s="3" t="s">
        <v>2618</v>
      </c>
    </row>
    <row r="1111" spans="1:19">
      <c r="A1111" s="3">
        <v>828</v>
      </c>
      <c r="B1111" s="3" t="b">
        <f>ISNUMBER(MATCH(A1111,[1]stockregister!$A$2:$A$2000,0))</f>
        <v>1</v>
      </c>
      <c r="C1111" s="3" t="s">
        <v>2619</v>
      </c>
      <c r="D1111" s="3" t="str">
        <f>VLOOKUP($C1111,[1]stockregister!$B$2:$B$2000,1,0)</f>
        <v>GILBEYS MIXED BERRIES 250ML</v>
      </c>
      <c r="E1111" s="3" t="str">
        <f>IF(ISNA($D1111),VLOOKUP($A1111,[2]stockregister!$A$2:$B$2000,2,FALSE),"")</f>
        <v/>
      </c>
      <c r="F1111" s="3" t="s">
        <v>21</v>
      </c>
      <c r="G1111" s="3">
        <f>_xlfn.IFNA(VLOOKUP($A1111,[3]stockregister!$A$2:$L$2000,11,0),0)</f>
        <v>0</v>
      </c>
      <c r="H1111" s="3">
        <f>_xlfn.IFNA(VLOOKUP($A1111,[3]stockregister!$A$2:$L$2000,11,0),0)-$G1111</f>
        <v>0</v>
      </c>
      <c r="I1111" s="3">
        <f>_xlfn.IFNA(VLOOKUP($A1111,[3]stockregister!$A$2:$L$2000,12,0),0)</f>
        <v>382.72</v>
      </c>
      <c r="J1111" s="3">
        <f>_xlfn.IFNA(VLOOKUP($A1111,[3]stockregister!$A$1:$M$2000,12,0),0)-$I1111</f>
        <v>0</v>
      </c>
      <c r="K1111" s="3" t="s">
        <v>22</v>
      </c>
      <c r="L1111" s="3" t="s">
        <v>23</v>
      </c>
      <c r="M1111" s="3">
        <f>_xlfn.IFNA(VLOOKUP($A1111,[2]stockregister!$A$2:$H$2000,8,0),0)</f>
        <v>416</v>
      </c>
      <c r="N1111" s="3">
        <f>_xlfn.IFNA(VLOOKUP($A1111,[2]stockregister!$A$2:$H$2000,8,0),0)-$M1111</f>
        <v>0</v>
      </c>
      <c r="O1111" s="3" t="s">
        <v>2620</v>
      </c>
      <c r="P1111" s="3" t="s">
        <v>2620</v>
      </c>
      <c r="Q1111" s="3" t="s">
        <v>245</v>
      </c>
      <c r="R1111" s="3" t="s">
        <v>78</v>
      </c>
      <c r="S1111" s="3" t="s">
        <v>2618</v>
      </c>
    </row>
    <row r="1112" spans="1:19">
      <c r="A1112" s="3">
        <v>761</v>
      </c>
      <c r="B1112" s="3" t="b">
        <f>ISNUMBER(MATCH(A1112,[1]stockregister!$A$2:$A$2000,0))</f>
        <v>1</v>
      </c>
      <c r="C1112" s="3" t="s">
        <v>2621</v>
      </c>
      <c r="D1112" s="3" t="str">
        <f>VLOOKUP($C1112,[1]stockregister!$B$2:$B$2000,1,0)</f>
        <v>FOUR PILLARS NAVY STRENGTH GIN 700ML</v>
      </c>
      <c r="E1112" s="3" t="str">
        <f>IF(ISNA($D1112),VLOOKUP($A1112,[2]stockregister!$A$2:$B$2000,2,FALSE),"")</f>
        <v/>
      </c>
      <c r="F1112" s="3" t="s">
        <v>21</v>
      </c>
      <c r="G1112" s="3">
        <f>_xlfn.IFNA(VLOOKUP($A1112,[3]stockregister!$A$2:$L$2000,11,0),0)</f>
        <v>0</v>
      </c>
      <c r="H1112" s="3">
        <f>_xlfn.IFNA(VLOOKUP($A1112,[3]stockregister!$A$2:$L$2000,11,0),0)-$G1112</f>
        <v>0</v>
      </c>
      <c r="I1112" s="3">
        <f>_xlfn.IFNA(VLOOKUP($A1112,[3]stockregister!$A$2:$L$2000,12,0),0)</f>
        <v>4462</v>
      </c>
      <c r="J1112" s="3">
        <f>_xlfn.IFNA(VLOOKUP($A1112,[3]stockregister!$A$1:$M$2000,12,0),0)-$I1112</f>
        <v>0</v>
      </c>
      <c r="K1112" s="3" t="s">
        <v>22</v>
      </c>
      <c r="L1112" s="3" t="s">
        <v>23</v>
      </c>
      <c r="M1112" s="3">
        <f>_xlfn.IFNA(VLOOKUP($A1112,[2]stockregister!$A$2:$H$2000,8,0),0)</f>
        <v>4850</v>
      </c>
      <c r="N1112" s="3">
        <f>_xlfn.IFNA(VLOOKUP($A1112,[2]stockregister!$A$2:$H$2000,8,0),0)-$M1112</f>
        <v>0</v>
      </c>
      <c r="O1112" s="3" t="s">
        <v>2622</v>
      </c>
      <c r="P1112" s="3" t="s">
        <v>2622</v>
      </c>
      <c r="Q1112" s="3" t="s">
        <v>1353</v>
      </c>
      <c r="R1112" s="3" t="s">
        <v>78</v>
      </c>
      <c r="S1112" s="3" t="s">
        <v>2623</v>
      </c>
    </row>
    <row r="1113" spans="1:19">
      <c r="A1113" s="3">
        <v>2840</v>
      </c>
      <c r="B1113" s="3" t="b">
        <f>ISNUMBER(MATCH(A1113,[1]stockregister!$A$2:$A$2000,0))</f>
        <v>1</v>
      </c>
      <c r="C1113" s="3" t="s">
        <v>2624</v>
      </c>
      <c r="D1113" s="3" t="str">
        <f>VLOOKUP($C1113,[1]stockregister!$B$2:$B$2000,1,0)</f>
        <v>DRUMSHANBO GUN POWDER ORANGE CITRUS 700ML</v>
      </c>
      <c r="E1113" s="3" t="str">
        <f>IF(ISNA($D1113),VLOOKUP($A1113,[2]stockregister!$A$2:$B$2000,2,FALSE),"")</f>
        <v/>
      </c>
      <c r="F1113" s="3" t="s">
        <v>21</v>
      </c>
      <c r="G1113" s="3">
        <f>_xlfn.IFNA(VLOOKUP($A1113,[3]stockregister!$A$2:$L$2000,11,0),0)</f>
        <v>0</v>
      </c>
      <c r="H1113" s="3">
        <f>_xlfn.IFNA(VLOOKUP($A1113,[3]stockregister!$A$2:$L$2000,11,0),0)-$G1113</f>
        <v>0</v>
      </c>
      <c r="I1113" s="3">
        <f>_xlfn.IFNA(VLOOKUP($A1113,[3]stockregister!$A$2:$L$2000,12,0),0)</f>
        <v>3500</v>
      </c>
      <c r="J1113" s="3">
        <f>_xlfn.IFNA(VLOOKUP($A1113,[3]stockregister!$A$1:$M$2000,12,0),0)-$I1113</f>
        <v>0</v>
      </c>
      <c r="K1113" s="3" t="s">
        <v>22</v>
      </c>
      <c r="L1113" s="3" t="s">
        <v>23</v>
      </c>
      <c r="M1113" s="3">
        <f>_xlfn.IFNA(VLOOKUP($A1113,[2]stockregister!$A$2:$H$2000,8,0),0)</f>
        <v>4500</v>
      </c>
      <c r="N1113" s="3">
        <f>_xlfn.IFNA(VLOOKUP($A1113,[2]stockregister!$A$2:$H$2000,8,0),0)-$M1113</f>
        <v>0</v>
      </c>
      <c r="O1113" s="3" t="s">
        <v>2625</v>
      </c>
      <c r="P1113" s="3" t="s">
        <v>2625</v>
      </c>
      <c r="Q1113" s="3" t="s">
        <v>1605</v>
      </c>
      <c r="R1113" s="3" t="s">
        <v>78</v>
      </c>
      <c r="S1113" s="3" t="s">
        <v>720</v>
      </c>
    </row>
    <row r="1114" spans="1:19">
      <c r="A1114" s="3">
        <v>887</v>
      </c>
      <c r="B1114" s="3" t="b">
        <f>ISNUMBER(MATCH(A1114,[1]stockregister!$A$2:$A$2000,0))</f>
        <v>1</v>
      </c>
      <c r="C1114" s="3" t="s">
        <v>2626</v>
      </c>
      <c r="D1114" s="3" t="str">
        <f>VLOOKUP($C1114,[1]stockregister!$B$2:$B$2000,1,0)</f>
        <v>GORDON'S MEDITERANEAN ORANGE GIN 700ML</v>
      </c>
      <c r="E1114" s="3" t="str">
        <f>IF(ISNA($D1114),VLOOKUP($A1114,[2]stockregister!$A$2:$B$2000,2,FALSE),"")</f>
        <v/>
      </c>
      <c r="F1114" s="3" t="s">
        <v>21</v>
      </c>
      <c r="G1114" s="3">
        <f>_xlfn.IFNA(VLOOKUP($A1114,[3]stockregister!$A$2:$L$2000,11,0),0)</f>
        <v>0</v>
      </c>
      <c r="H1114" s="3">
        <f>_xlfn.IFNA(VLOOKUP($A1114,[3]stockregister!$A$2:$L$2000,11,0),0)-$G1114</f>
        <v>0</v>
      </c>
      <c r="I1114" s="3">
        <f>_xlfn.IFNA(VLOOKUP($A1114,[3]stockregister!$A$2:$L$2000,12,0),0)</f>
        <v>1748</v>
      </c>
      <c r="J1114" s="3">
        <f>_xlfn.IFNA(VLOOKUP($A1114,[3]stockregister!$A$1:$M$2000,12,0),0)-$I1114</f>
        <v>0</v>
      </c>
      <c r="K1114" s="3" t="s">
        <v>22</v>
      </c>
      <c r="L1114" s="3" t="s">
        <v>23</v>
      </c>
      <c r="M1114" s="3">
        <f>_xlfn.IFNA(VLOOKUP($A1114,[2]stockregister!$A$2:$H$2000,8,0),0)</f>
        <v>2000</v>
      </c>
      <c r="N1114" s="3">
        <f>_xlfn.IFNA(VLOOKUP($A1114,[2]stockregister!$A$2:$H$2000,8,0),0)-$M1114</f>
        <v>0</v>
      </c>
      <c r="O1114" s="3" t="s">
        <v>2627</v>
      </c>
      <c r="P1114" s="3" t="s">
        <v>2627</v>
      </c>
      <c r="Q1114" s="3" t="s">
        <v>348</v>
      </c>
      <c r="R1114" s="3" t="s">
        <v>78</v>
      </c>
      <c r="S1114" s="3" t="s">
        <v>720</v>
      </c>
    </row>
    <row r="1115" spans="1:19">
      <c r="A1115" s="3">
        <v>2343</v>
      </c>
      <c r="B1115" s="3" t="b">
        <f>ISNUMBER(MATCH(A1115,[1]stockregister!$A$2:$A$2000,0))</f>
        <v>1</v>
      </c>
      <c r="C1115" s="3" t="s">
        <v>2628</v>
      </c>
      <c r="D1115" s="3" t="str">
        <f>VLOOKUP($C1115,[1]stockregister!$B$2:$B$2000,1,0)</f>
        <v>ZAFIRO ORANGE 1LTR</v>
      </c>
      <c r="E1115" s="3" t="str">
        <f>IF(ISNA($D1115),VLOOKUP($A1115,[2]stockregister!$A$2:$B$2000,2,FALSE),"")</f>
        <v/>
      </c>
      <c r="F1115" s="3" t="s">
        <v>21</v>
      </c>
      <c r="G1115" s="3">
        <f>_xlfn.IFNA(VLOOKUP($A1115,[3]stockregister!$A$2:$L$2000,11,0),0)</f>
        <v>0</v>
      </c>
      <c r="H1115" s="3">
        <f>_xlfn.IFNA(VLOOKUP($A1115,[3]stockregister!$A$2:$L$2000,11,0),0)-$G1115</f>
        <v>0</v>
      </c>
      <c r="I1115" s="3">
        <f>_xlfn.IFNA(VLOOKUP($A1115,[3]stockregister!$A$2:$L$2000,12,0),0)</f>
        <v>1250</v>
      </c>
      <c r="J1115" s="3">
        <f>_xlfn.IFNA(VLOOKUP($A1115,[3]stockregister!$A$1:$M$2000,12,0),0)-$I1115</f>
        <v>0</v>
      </c>
      <c r="K1115" s="3" t="s">
        <v>22</v>
      </c>
      <c r="L1115" s="3" t="s">
        <v>23</v>
      </c>
      <c r="M1115" s="3">
        <f>_xlfn.IFNA(VLOOKUP($A1115,[2]stockregister!$A$2:$H$2000,8,0),0)</f>
        <v>1400</v>
      </c>
      <c r="N1115" s="3">
        <f>_xlfn.IFNA(VLOOKUP($A1115,[2]stockregister!$A$2:$H$2000,8,0),0)-$M1115</f>
        <v>0</v>
      </c>
      <c r="O1115" s="3" t="s">
        <v>2629</v>
      </c>
      <c r="P1115" s="3" t="s">
        <v>2629</v>
      </c>
      <c r="Q1115" s="3" t="s">
        <v>2630</v>
      </c>
      <c r="R1115" s="3" t="s">
        <v>78</v>
      </c>
      <c r="S1115" s="3" t="s">
        <v>1249</v>
      </c>
    </row>
    <row r="1116" spans="1:19">
      <c r="A1116" s="3">
        <v>1528</v>
      </c>
      <c r="B1116" s="3" t="b">
        <f>ISNUMBER(MATCH(A1116,[1]stockregister!$A$2:$A$2000,0))</f>
        <v>1</v>
      </c>
      <c r="C1116" s="3" t="s">
        <v>2631</v>
      </c>
      <c r="D1116" s="3" t="str">
        <f>VLOOKUP($C1116,[1]stockregister!$B$2:$B$2000,1,0)</f>
        <v>NEW AMSTERDAM PEACH 750ml</v>
      </c>
      <c r="E1116" s="3" t="str">
        <f>IF(ISNA($D1116),VLOOKUP($A1116,[2]stockregister!$A$2:$B$2000,2,FALSE),"")</f>
        <v/>
      </c>
      <c r="F1116" s="3" t="s">
        <v>21</v>
      </c>
      <c r="G1116" s="3">
        <f>_xlfn.IFNA(VLOOKUP($A1116,[3]stockregister!$A$2:$L$2000,11,0),0)</f>
        <v>0</v>
      </c>
      <c r="H1116" s="3">
        <f>_xlfn.IFNA(VLOOKUP($A1116,[3]stockregister!$A$2:$L$2000,11,0),0)-$G1116</f>
        <v>0</v>
      </c>
      <c r="I1116" s="3">
        <f>_xlfn.IFNA(VLOOKUP($A1116,[3]stockregister!$A$2:$L$2000,12,0),0)</f>
        <v>782</v>
      </c>
      <c r="J1116" s="3">
        <f>_xlfn.IFNA(VLOOKUP($A1116,[3]stockregister!$A$1:$M$2000,12,0),0)-$I1116</f>
        <v>0</v>
      </c>
      <c r="K1116" s="3" t="s">
        <v>22</v>
      </c>
      <c r="L1116" s="3" t="s">
        <v>23</v>
      </c>
      <c r="M1116" s="3">
        <f>_xlfn.IFNA(VLOOKUP($A1116,[2]stockregister!$A$2:$H$2000,8,0),0)</f>
        <v>850</v>
      </c>
      <c r="N1116" s="3">
        <f>_xlfn.IFNA(VLOOKUP($A1116,[2]stockregister!$A$2:$H$2000,8,0),0)-$M1116</f>
        <v>0</v>
      </c>
      <c r="O1116" s="3" t="s">
        <v>2632</v>
      </c>
      <c r="P1116" s="3" t="s">
        <v>2632</v>
      </c>
      <c r="Q1116" s="3" t="s">
        <v>2633</v>
      </c>
      <c r="R1116" s="3" t="s">
        <v>78</v>
      </c>
      <c r="S1116" s="3" t="s">
        <v>647</v>
      </c>
    </row>
    <row r="1117" spans="1:19">
      <c r="A1117" s="3">
        <v>2142</v>
      </c>
      <c r="B1117" s="3" t="b">
        <f>ISNUMBER(MATCH(A1117,[1]stockregister!$A$2:$A$2000,0))</f>
        <v>1</v>
      </c>
      <c r="C1117" s="3" t="s">
        <v>2634</v>
      </c>
      <c r="D1117" s="3" t="str">
        <f>VLOOKUP($C1117,[1]stockregister!$B$2:$B$2000,1,0)</f>
        <v>ZAFIRO PINK 1LTR</v>
      </c>
      <c r="E1117" s="3" t="str">
        <f>IF(ISNA($D1117),VLOOKUP($A1117,[2]stockregister!$A$2:$B$2000,2,FALSE),"")</f>
        <v/>
      </c>
      <c r="F1117" s="3" t="s">
        <v>21</v>
      </c>
      <c r="G1117" s="3">
        <f>_xlfn.IFNA(VLOOKUP($A1117,[3]stockregister!$A$2:$L$2000,11,0),0)</f>
        <v>0</v>
      </c>
      <c r="H1117" s="3">
        <f>_xlfn.IFNA(VLOOKUP($A1117,[3]stockregister!$A$2:$L$2000,11,0),0)-$G1117</f>
        <v>0</v>
      </c>
      <c r="I1117" s="3">
        <f>_xlfn.IFNA(VLOOKUP($A1117,[3]stockregister!$A$2:$L$2000,12,0),0)</f>
        <v>1250</v>
      </c>
      <c r="J1117" s="3">
        <f>_xlfn.IFNA(VLOOKUP($A1117,[3]stockregister!$A$1:$M$2000,12,0),0)-$I1117</f>
        <v>0</v>
      </c>
      <c r="K1117" s="3" t="s">
        <v>22</v>
      </c>
      <c r="L1117" s="3" t="s">
        <v>23</v>
      </c>
      <c r="M1117" s="3">
        <f>_xlfn.IFNA(VLOOKUP($A1117,[2]stockregister!$A$2:$H$2000,8,0),0)</f>
        <v>1400</v>
      </c>
      <c r="N1117" s="3">
        <f>_xlfn.IFNA(VLOOKUP($A1117,[2]stockregister!$A$2:$H$2000,8,0),0)-$M1117</f>
        <v>0</v>
      </c>
      <c r="O1117" s="3" t="s">
        <v>898</v>
      </c>
      <c r="P1117" s="3" t="s">
        <v>898</v>
      </c>
      <c r="Q1117" s="3" t="s">
        <v>2630</v>
      </c>
      <c r="R1117" s="3" t="s">
        <v>78</v>
      </c>
      <c r="S1117" s="3" t="s">
        <v>2635</v>
      </c>
    </row>
    <row r="1118" spans="1:19">
      <c r="A1118" s="3">
        <v>883</v>
      </c>
      <c r="B1118" s="3" t="b">
        <f>ISNUMBER(MATCH(A1118,[1]stockregister!$A$2:$A$2000,0))</f>
        <v>1</v>
      </c>
      <c r="C1118" s="3" t="s">
        <v>2636</v>
      </c>
      <c r="D1118" s="3" t="str">
        <f>VLOOKUP($C1118,[1]stockregister!$B$2:$B$2000,1,0)</f>
        <v>GORDON PINK GIN 1LTR</v>
      </c>
      <c r="E1118" s="3" t="str">
        <f>IF(ISNA($D1118),VLOOKUP($A1118,[2]stockregister!$A$2:$B$2000,2,FALSE),"")</f>
        <v/>
      </c>
      <c r="F1118" s="3" t="s">
        <v>21</v>
      </c>
      <c r="G1118" s="3">
        <f>_xlfn.IFNA(VLOOKUP($A1118,[3]stockregister!$A$2:$L$2000,11,0),0)</f>
        <v>0</v>
      </c>
      <c r="H1118" s="3">
        <f>_xlfn.IFNA(VLOOKUP($A1118,[3]stockregister!$A$2:$L$2000,11,0),0)-$G1118</f>
        <v>0</v>
      </c>
      <c r="I1118" s="3">
        <f>_xlfn.IFNA(VLOOKUP($A1118,[3]stockregister!$A$2:$L$2000,12,0),0)</f>
        <v>2000</v>
      </c>
      <c r="J1118" s="3">
        <f>_xlfn.IFNA(VLOOKUP($A1118,[3]stockregister!$A$1:$M$2000,12,0),0)-$I1118</f>
        <v>0</v>
      </c>
      <c r="K1118" s="3" t="s">
        <v>22</v>
      </c>
      <c r="L1118" s="3" t="s">
        <v>23</v>
      </c>
      <c r="M1118" s="3">
        <f>_xlfn.IFNA(VLOOKUP($A1118,[2]stockregister!$A$2:$H$2000,8,0),0)</f>
        <v>2300</v>
      </c>
      <c r="N1118" s="3">
        <f>_xlfn.IFNA(VLOOKUP($A1118,[2]stockregister!$A$2:$H$2000,8,0),0)-$M1118</f>
        <v>0</v>
      </c>
      <c r="O1118" s="3" t="s">
        <v>2637</v>
      </c>
      <c r="P1118" s="3" t="s">
        <v>2637</v>
      </c>
      <c r="Q1118" s="3" t="s">
        <v>348</v>
      </c>
      <c r="R1118" s="3" t="s">
        <v>78</v>
      </c>
      <c r="S1118" s="3" t="s">
        <v>788</v>
      </c>
    </row>
    <row r="1119" spans="1:19">
      <c r="A1119" s="3">
        <v>882</v>
      </c>
      <c r="B1119" s="3" t="b">
        <f>ISNUMBER(MATCH(A1119,[1]stockregister!$A$2:$A$2000,0))</f>
        <v>1</v>
      </c>
      <c r="C1119" s="3" t="s">
        <v>2638</v>
      </c>
      <c r="D1119" s="3" t="str">
        <f>VLOOKUP($C1119,[1]stockregister!$B$2:$B$2000,1,0)</f>
        <v>GORDON PINK 700ML</v>
      </c>
      <c r="E1119" s="3" t="str">
        <f>IF(ISNA($D1119),VLOOKUP($A1119,[2]stockregister!$A$2:$B$2000,2,FALSE),"")</f>
        <v/>
      </c>
      <c r="F1119" s="3" t="s">
        <v>21</v>
      </c>
      <c r="G1119" s="3">
        <f>_xlfn.IFNA(VLOOKUP($A1119,[3]stockregister!$A$2:$L$2000,11,0),0)</f>
        <v>0</v>
      </c>
      <c r="H1119" s="3">
        <f>_xlfn.IFNA(VLOOKUP($A1119,[3]stockregister!$A$2:$L$2000,11,0),0)-$G1119</f>
        <v>0</v>
      </c>
      <c r="I1119" s="3">
        <f>_xlfn.IFNA(VLOOKUP($A1119,[3]stockregister!$A$2:$L$2000,12,0),0)</f>
        <v>1965</v>
      </c>
      <c r="J1119" s="3">
        <f>_xlfn.IFNA(VLOOKUP($A1119,[3]stockregister!$A$1:$M$2000,12,0),0)-$I1119</f>
        <v>0</v>
      </c>
      <c r="K1119" s="3" t="s">
        <v>22</v>
      </c>
      <c r="L1119" s="3" t="s">
        <v>23</v>
      </c>
      <c r="M1119" s="3">
        <f>_xlfn.IFNA(VLOOKUP($A1119,[2]stockregister!$A$2:$H$2000,8,0),0)</f>
        <v>2100</v>
      </c>
      <c r="N1119" s="3">
        <f>_xlfn.IFNA(VLOOKUP($A1119,[2]stockregister!$A$2:$H$2000,8,0),0)-$M1119</f>
        <v>0</v>
      </c>
      <c r="O1119" s="3" t="s">
        <v>2639</v>
      </c>
      <c r="P1119" s="3" t="s">
        <v>2639</v>
      </c>
      <c r="Q1119" s="3" t="s">
        <v>348</v>
      </c>
      <c r="R1119" s="3" t="s">
        <v>78</v>
      </c>
      <c r="S1119" s="3" t="s">
        <v>788</v>
      </c>
    </row>
    <row r="1120" spans="1:19">
      <c r="A1120" s="3">
        <v>2279</v>
      </c>
      <c r="B1120" s="3" t="b">
        <f>ISNUMBER(MATCH(A1120,[1]stockregister!$A$2:$A$2000,0))</f>
        <v>1</v>
      </c>
      <c r="C1120" s="3" t="s">
        <v>2640</v>
      </c>
      <c r="D1120" s="3" t="str">
        <f>VLOOKUP($C1120,[1]stockregister!$B$2:$B$2000,1,0)</f>
        <v>MUSGRAVE PINK GIN 750ML</v>
      </c>
      <c r="E1120" s="3" t="str">
        <f>IF(ISNA($D1120),VLOOKUP($A1120,[2]stockregister!$A$2:$B$2000,2,FALSE),"")</f>
        <v/>
      </c>
      <c r="F1120" s="3" t="s">
        <v>21</v>
      </c>
      <c r="G1120" s="3">
        <f>_xlfn.IFNA(VLOOKUP($A1120,[3]stockregister!$A$2:$L$2000,11,0),0)</f>
        <v>0</v>
      </c>
      <c r="H1120" s="3">
        <f>_xlfn.IFNA(VLOOKUP($A1120,[3]stockregister!$A$2:$L$2000,11,0),0)-$G1120</f>
        <v>0</v>
      </c>
      <c r="I1120" s="3">
        <f>_xlfn.IFNA(VLOOKUP($A1120,[3]stockregister!$A$2:$L$2000,12,0),0)</f>
        <v>5000</v>
      </c>
      <c r="J1120" s="3">
        <f>_xlfn.IFNA(VLOOKUP($A1120,[3]stockregister!$A$1:$M$2000,12,0),0)-$I1120</f>
        <v>0</v>
      </c>
      <c r="K1120" s="3" t="s">
        <v>22</v>
      </c>
      <c r="L1120" s="3" t="s">
        <v>23</v>
      </c>
      <c r="M1120" s="3">
        <f>_xlfn.IFNA(VLOOKUP($A1120,[2]stockregister!$A$2:$H$2000,8,0),0)</f>
        <v>5200</v>
      </c>
      <c r="N1120" s="3">
        <f>_xlfn.IFNA(VLOOKUP($A1120,[2]stockregister!$A$2:$H$2000,8,0),0)-$M1120</f>
        <v>0</v>
      </c>
      <c r="O1120" s="3" t="s">
        <v>2641</v>
      </c>
      <c r="P1120" s="3" t="s">
        <v>2641</v>
      </c>
      <c r="Q1120" s="3" t="s">
        <v>2642</v>
      </c>
      <c r="R1120" s="3" t="s">
        <v>78</v>
      </c>
      <c r="S1120" s="3" t="s">
        <v>1580</v>
      </c>
    </row>
    <row r="1121" spans="1:19">
      <c r="A1121" s="3">
        <v>2096</v>
      </c>
      <c r="B1121" s="3" t="b">
        <f>ISNUMBER(MATCH(A1121,[1]stockregister!$A$2:$A$2000,0))</f>
        <v>1</v>
      </c>
      <c r="C1121" s="3" t="s">
        <v>2643</v>
      </c>
      <c r="D1121" s="3" t="str">
        <f>VLOOKUP($C1121,[1]stockregister!$B$2:$B$2000,1,0)</f>
        <v>WHITLEY NEIL PROTEA &amp; HIBISCUS 750ML</v>
      </c>
      <c r="E1121" s="3" t="str">
        <f>IF(ISNA($D1121),VLOOKUP($A1121,[2]stockregister!$A$2:$B$2000,2,FALSE),"")</f>
        <v/>
      </c>
      <c r="F1121" s="3" t="s">
        <v>21</v>
      </c>
      <c r="G1121" s="3">
        <f>_xlfn.IFNA(VLOOKUP($A1121,[3]stockregister!$A$2:$L$2000,11,0),0)</f>
        <v>0</v>
      </c>
      <c r="H1121" s="3">
        <f>_xlfn.IFNA(VLOOKUP($A1121,[3]stockregister!$A$2:$L$2000,11,0),0)-$G1121</f>
        <v>0</v>
      </c>
      <c r="I1121" s="3">
        <f>_xlfn.IFNA(VLOOKUP($A1121,[3]stockregister!$A$2:$L$2000,12,0),0)</f>
        <v>2576</v>
      </c>
      <c r="J1121" s="3">
        <f>_xlfn.IFNA(VLOOKUP($A1121,[3]stockregister!$A$1:$M$2000,12,0),0)-$I1121</f>
        <v>0</v>
      </c>
      <c r="K1121" s="3" t="s">
        <v>22</v>
      </c>
      <c r="L1121" s="3" t="s">
        <v>23</v>
      </c>
      <c r="M1121" s="3">
        <f>_xlfn.IFNA(VLOOKUP($A1121,[2]stockregister!$A$2:$H$2000,8,0),0)</f>
        <v>2800</v>
      </c>
      <c r="N1121" s="3">
        <f>_xlfn.IFNA(VLOOKUP($A1121,[2]stockregister!$A$2:$H$2000,8,0),0)-$M1121</f>
        <v>0</v>
      </c>
      <c r="O1121" s="3" t="s">
        <v>2644</v>
      </c>
      <c r="P1121" s="3" t="s">
        <v>2644</v>
      </c>
      <c r="Q1121" s="3" t="s">
        <v>1061</v>
      </c>
      <c r="R1121" s="3" t="s">
        <v>78</v>
      </c>
      <c r="S1121" s="3" t="s">
        <v>1582</v>
      </c>
    </row>
    <row r="1122" spans="1:19">
      <c r="A1122" s="3">
        <v>1941</v>
      </c>
      <c r="B1122" s="3" t="b">
        <f>ISNUMBER(MATCH(A1122,[1]stockregister!$A$2:$A$2000,0))</f>
        <v>1</v>
      </c>
      <c r="C1122" s="3" t="s">
        <v>2645</v>
      </c>
      <c r="D1122" s="3" t="str">
        <f>VLOOKUP($C1122,[1]stockregister!$B$2:$B$2000,1,0)</f>
        <v>TANQUERAY RANGPUR GIN 750ML</v>
      </c>
      <c r="E1122" s="3" t="str">
        <f>IF(ISNA($D1122),VLOOKUP($A1122,[2]stockregister!$A$2:$B$2000,2,FALSE),"")</f>
        <v/>
      </c>
      <c r="F1122" s="3" t="s">
        <v>21</v>
      </c>
      <c r="G1122" s="3">
        <f>_xlfn.IFNA(VLOOKUP($A1122,[3]stockregister!$A$2:$L$2000,11,0),0)</f>
        <v>0</v>
      </c>
      <c r="H1122" s="3">
        <f>_xlfn.IFNA(VLOOKUP($A1122,[3]stockregister!$A$2:$L$2000,11,0),0)-$G1122</f>
        <v>0</v>
      </c>
      <c r="I1122" s="3">
        <f>_xlfn.IFNA(VLOOKUP($A1122,[3]stockregister!$A$2:$L$2000,12,0),0)</f>
        <v>2392</v>
      </c>
      <c r="J1122" s="3">
        <f>_xlfn.IFNA(VLOOKUP($A1122,[3]stockregister!$A$1:$M$2000,12,0),0)-$I1122</f>
        <v>0</v>
      </c>
      <c r="K1122" s="3" t="s">
        <v>22</v>
      </c>
      <c r="L1122" s="3" t="s">
        <v>23</v>
      </c>
      <c r="M1122" s="3">
        <f>_xlfn.IFNA(VLOOKUP($A1122,[2]stockregister!$A$2:$H$2000,8,0),0)</f>
        <v>2600</v>
      </c>
      <c r="N1122" s="3">
        <f>_xlfn.IFNA(VLOOKUP($A1122,[2]stockregister!$A$2:$H$2000,8,0),0)-$M1122</f>
        <v>0</v>
      </c>
      <c r="O1122" s="3" t="s">
        <v>2646</v>
      </c>
      <c r="P1122" s="3" t="s">
        <v>2646</v>
      </c>
      <c r="Q1122" s="3" t="s">
        <v>221</v>
      </c>
      <c r="R1122" s="3" t="s">
        <v>78</v>
      </c>
      <c r="S1122" s="3" t="s">
        <v>2647</v>
      </c>
    </row>
    <row r="1123" spans="1:19">
      <c r="A1123" s="3">
        <v>1940</v>
      </c>
      <c r="B1123" s="3" t="b">
        <f>ISNUMBER(MATCH(A1123,[1]stockregister!$A$2:$A$2000,0))</f>
        <v>1</v>
      </c>
      <c r="C1123" s="3" t="s">
        <v>2648</v>
      </c>
      <c r="D1123" s="3" t="str">
        <f>VLOOKUP($C1123,[1]stockregister!$B$2:$B$2000,1,0)</f>
        <v>TANQUERAY RANGPUR GIN 1LTR</v>
      </c>
      <c r="E1123" s="3" t="str">
        <f>IF(ISNA($D1123),VLOOKUP($A1123,[2]stockregister!$A$2:$B$2000,2,FALSE),"")</f>
        <v/>
      </c>
      <c r="F1123" s="3" t="s">
        <v>21</v>
      </c>
      <c r="G1123" s="3">
        <f>_xlfn.IFNA(VLOOKUP($A1123,[3]stockregister!$A$2:$L$2000,11,0),0)</f>
        <v>0</v>
      </c>
      <c r="H1123" s="3">
        <f>_xlfn.IFNA(VLOOKUP($A1123,[3]stockregister!$A$2:$L$2000,11,0),0)-$G1123</f>
        <v>0</v>
      </c>
      <c r="I1123" s="3">
        <f>_xlfn.IFNA(VLOOKUP($A1123,[3]stockregister!$A$2:$L$2000,12,0),0)</f>
        <v>3036</v>
      </c>
      <c r="J1123" s="3">
        <f>_xlfn.IFNA(VLOOKUP($A1123,[3]stockregister!$A$1:$M$2000,12,0),0)-$I1123</f>
        <v>0</v>
      </c>
      <c r="K1123" s="3" t="s">
        <v>22</v>
      </c>
      <c r="L1123" s="3" t="s">
        <v>23</v>
      </c>
      <c r="M1123" s="3">
        <f>_xlfn.IFNA(VLOOKUP($A1123,[2]stockregister!$A$2:$H$2000,8,0),0)</f>
        <v>3300</v>
      </c>
      <c r="N1123" s="3">
        <f>_xlfn.IFNA(VLOOKUP($A1123,[2]stockregister!$A$2:$H$2000,8,0),0)-$M1123</f>
        <v>0</v>
      </c>
      <c r="O1123" s="3" t="s">
        <v>2649</v>
      </c>
      <c r="P1123" s="3" t="s">
        <v>2649</v>
      </c>
      <c r="Q1123" s="3" t="s">
        <v>1600</v>
      </c>
      <c r="R1123" s="3" t="s">
        <v>78</v>
      </c>
      <c r="S1123" s="3" t="s">
        <v>2647</v>
      </c>
    </row>
    <row r="1124" spans="1:19">
      <c r="A1124" s="3">
        <v>2107</v>
      </c>
      <c r="B1124" s="3" t="b">
        <f>ISNUMBER(MATCH(A1124,[1]stockregister!$A$2:$A$2000,0))</f>
        <v>1</v>
      </c>
      <c r="C1124" s="3" t="s">
        <v>479</v>
      </c>
      <c r="D1124" s="3" t="str">
        <f>VLOOKUP($C1124,[1]stockregister!$B$2:$B$2000,1,0)</f>
        <v>WHITLEY NEILL RASPBERRY GIN 750ML </v>
      </c>
      <c r="E1124" s="3" t="str">
        <f>IF(ISNA($D1124),VLOOKUP($A1124,[2]stockregister!$A$2:$B$2000,2,FALSE),"")</f>
        <v/>
      </c>
      <c r="F1124" s="3" t="s">
        <v>21</v>
      </c>
      <c r="G1124" s="3">
        <f>_xlfn.IFNA(VLOOKUP($A1124,[3]stockregister!$A$2:$L$2000,11,0),0)</f>
        <v>0</v>
      </c>
      <c r="H1124" s="3">
        <f>_xlfn.IFNA(VLOOKUP($A1124,[3]stockregister!$A$2:$L$2000,11,0),0)-$G1124</f>
        <v>0</v>
      </c>
      <c r="I1124" s="3">
        <f>_xlfn.IFNA(VLOOKUP($A1124,[3]stockregister!$A$2:$L$2000,12,0),0)</f>
        <v>2576</v>
      </c>
      <c r="J1124" s="3">
        <f>_xlfn.IFNA(VLOOKUP($A1124,[3]stockregister!$A$1:$M$2000,12,0),0)-$I1124</f>
        <v>0</v>
      </c>
      <c r="K1124" s="3" t="s">
        <v>22</v>
      </c>
      <c r="L1124" s="3" t="s">
        <v>23</v>
      </c>
      <c r="M1124" s="3">
        <f>_xlfn.IFNA(VLOOKUP($A1124,[2]stockregister!$A$2:$H$2000,8,0),0)</f>
        <v>2800</v>
      </c>
      <c r="N1124" s="3">
        <f>_xlfn.IFNA(VLOOKUP($A1124,[2]stockregister!$A$2:$H$2000,8,0),0)-$M1124</f>
        <v>0</v>
      </c>
      <c r="O1124" s="3" t="s">
        <v>2650</v>
      </c>
      <c r="P1124" s="3" t="s">
        <v>2650</v>
      </c>
      <c r="Q1124" s="3" t="s">
        <v>1061</v>
      </c>
      <c r="R1124" s="3" t="s">
        <v>78</v>
      </c>
      <c r="S1124" s="3" t="s">
        <v>61</v>
      </c>
    </row>
    <row r="1125" spans="1:19">
      <c r="A1125" s="3">
        <v>2198</v>
      </c>
      <c r="B1125" s="3" t="b">
        <f>ISNUMBER(MATCH(A1125,[1]stockregister!$A$2:$A$2000,0))</f>
        <v>1</v>
      </c>
      <c r="C1125" s="3" t="s">
        <v>2651</v>
      </c>
      <c r="D1125" s="3" t="str">
        <f>VLOOKUP($C1125,[1]stockregister!$B$2:$B$2000,1,0)</f>
        <v>GREENALLS RASPBERRY 700ML</v>
      </c>
      <c r="E1125" s="3" t="str">
        <f>IF(ISNA($D1125),VLOOKUP($A1125,[2]stockregister!$A$2:$B$2000,2,FALSE),"")</f>
        <v/>
      </c>
      <c r="F1125" s="3" t="s">
        <v>21</v>
      </c>
      <c r="G1125" s="3">
        <f>_xlfn.IFNA(VLOOKUP($A1125,[3]stockregister!$A$2:$L$2000,11,0),0)</f>
        <v>0</v>
      </c>
      <c r="H1125" s="3">
        <f>_xlfn.IFNA(VLOOKUP($A1125,[3]stockregister!$A$2:$L$2000,11,0),0)-$G1125</f>
        <v>0</v>
      </c>
      <c r="I1125" s="3">
        <f>_xlfn.IFNA(VLOOKUP($A1125,[3]stockregister!$A$2:$L$2000,12,0),0)</f>
        <v>1700</v>
      </c>
      <c r="J1125" s="3">
        <f>_xlfn.IFNA(VLOOKUP($A1125,[3]stockregister!$A$1:$M$2000,12,0),0)-$I1125</f>
        <v>0</v>
      </c>
      <c r="K1125" s="3" t="s">
        <v>22</v>
      </c>
      <c r="L1125" s="3" t="s">
        <v>23</v>
      </c>
      <c r="M1125" s="3">
        <f>_xlfn.IFNA(VLOOKUP($A1125,[2]stockregister!$A$2:$H$2000,8,0),0)</f>
        <v>1800</v>
      </c>
      <c r="N1125" s="3">
        <f>_xlfn.IFNA(VLOOKUP($A1125,[2]stockregister!$A$2:$H$2000,8,0),0)-$M1125</f>
        <v>0</v>
      </c>
      <c r="O1125" s="3" t="s">
        <v>2652</v>
      </c>
      <c r="P1125" s="3" t="s">
        <v>2652</v>
      </c>
      <c r="Q1125" s="3" t="s">
        <v>2653</v>
      </c>
      <c r="R1125" s="3" t="s">
        <v>78</v>
      </c>
      <c r="S1125" s="3" t="s">
        <v>61</v>
      </c>
    </row>
    <row r="1126" spans="1:19">
      <c r="A1126" s="3">
        <v>2106</v>
      </c>
      <c r="B1126" s="3" t="b">
        <f>ISNUMBER(MATCH(A1126,[1]stockregister!$A$2:$A$2000,0))</f>
        <v>1</v>
      </c>
      <c r="C1126" s="3" t="s">
        <v>2654</v>
      </c>
      <c r="D1126" s="3" t="str">
        <f>VLOOKUP($C1126,[1]stockregister!$B$2:$B$2000,1,0)</f>
        <v>WHITLEY NEILL RASPBERRY GIN 1LTR</v>
      </c>
      <c r="E1126" s="3" t="str">
        <f>IF(ISNA($D1126),VLOOKUP($A1126,[2]stockregister!$A$2:$B$2000,2,FALSE),"")</f>
        <v/>
      </c>
      <c r="F1126" s="3" t="s">
        <v>21</v>
      </c>
      <c r="G1126" s="3">
        <f>_xlfn.IFNA(VLOOKUP($A1126,[3]stockregister!$A$2:$L$2000,11,0),0)</f>
        <v>0</v>
      </c>
      <c r="H1126" s="3">
        <f>_xlfn.IFNA(VLOOKUP($A1126,[3]stockregister!$A$2:$L$2000,11,0),0)-$G1126</f>
        <v>0</v>
      </c>
      <c r="I1126" s="3">
        <f>_xlfn.IFNA(VLOOKUP($A1126,[3]stockregister!$A$2:$L$2000,12,0),0)</f>
        <v>2944</v>
      </c>
      <c r="J1126" s="3">
        <f>_xlfn.IFNA(VLOOKUP($A1126,[3]stockregister!$A$1:$M$2000,12,0),0)-$I1126</f>
        <v>0</v>
      </c>
      <c r="K1126" s="3" t="s">
        <v>22</v>
      </c>
      <c r="L1126" s="3" t="s">
        <v>23</v>
      </c>
      <c r="M1126" s="3">
        <f>_xlfn.IFNA(VLOOKUP($A1126,[2]stockregister!$A$2:$H$2000,8,0),0)</f>
        <v>3200</v>
      </c>
      <c r="N1126" s="3">
        <f>_xlfn.IFNA(VLOOKUP($A1126,[2]stockregister!$A$2:$H$2000,8,0),0)-$M1126</f>
        <v>0</v>
      </c>
      <c r="O1126" s="3" t="s">
        <v>2655</v>
      </c>
      <c r="P1126" s="3" t="s">
        <v>2655</v>
      </c>
      <c r="Q1126" s="3" t="s">
        <v>1061</v>
      </c>
      <c r="R1126" s="3" t="s">
        <v>78</v>
      </c>
      <c r="S1126" s="3" t="s">
        <v>2656</v>
      </c>
    </row>
    <row r="1127" spans="1:19">
      <c r="A1127" s="3">
        <v>2108</v>
      </c>
      <c r="B1127" s="3" t="b">
        <f>ISNUMBER(MATCH(A1127,[1]stockregister!$A$2:$A$2000,0))</f>
        <v>1</v>
      </c>
      <c r="C1127" s="3" t="s">
        <v>2657</v>
      </c>
      <c r="D1127" s="3" t="str">
        <f>VLOOKUP($C1127,[1]stockregister!$B$2:$B$2000,1,0)</f>
        <v>WHITLEY NEILL RHUBARB &amp; GINGER GIN 1LTR</v>
      </c>
      <c r="E1127" s="3" t="str">
        <f>IF(ISNA($D1127),VLOOKUP($A1127,[2]stockregister!$A$2:$B$2000,2,FALSE),"")</f>
        <v/>
      </c>
      <c r="F1127" s="3" t="s">
        <v>21</v>
      </c>
      <c r="G1127" s="3">
        <f>_xlfn.IFNA(VLOOKUP($A1127,[3]stockregister!$A$2:$L$2000,11,0),0)</f>
        <v>0</v>
      </c>
      <c r="H1127" s="3">
        <f>_xlfn.IFNA(VLOOKUP($A1127,[3]stockregister!$A$2:$L$2000,11,0),0)-$G1127</f>
        <v>0</v>
      </c>
      <c r="I1127" s="3">
        <f>_xlfn.IFNA(VLOOKUP($A1127,[3]stockregister!$A$2:$L$2000,12,0),0)</f>
        <v>2944</v>
      </c>
      <c r="J1127" s="3">
        <f>_xlfn.IFNA(VLOOKUP($A1127,[3]stockregister!$A$1:$M$2000,12,0),0)-$I1127</f>
        <v>0</v>
      </c>
      <c r="K1127" s="3" t="s">
        <v>22</v>
      </c>
      <c r="L1127" s="3" t="s">
        <v>23</v>
      </c>
      <c r="M1127" s="3">
        <f>_xlfn.IFNA(VLOOKUP($A1127,[2]stockregister!$A$2:$H$2000,8,0),0)</f>
        <v>3200</v>
      </c>
      <c r="N1127" s="3">
        <f>_xlfn.IFNA(VLOOKUP($A1127,[2]stockregister!$A$2:$H$2000,8,0),0)-$M1127</f>
        <v>0</v>
      </c>
      <c r="O1127" s="3" t="s">
        <v>2658</v>
      </c>
      <c r="P1127" s="3" t="s">
        <v>2658</v>
      </c>
      <c r="Q1127" s="3" t="s">
        <v>1061</v>
      </c>
      <c r="R1127" s="3" t="s">
        <v>78</v>
      </c>
      <c r="S1127" s="3" t="s">
        <v>2659</v>
      </c>
    </row>
    <row r="1128" spans="1:19">
      <c r="A1128" s="3">
        <v>2109</v>
      </c>
      <c r="B1128" s="3" t="b">
        <f>ISNUMBER(MATCH(A1128,[1]stockregister!$A$2:$A$2000,0))</f>
        <v>1</v>
      </c>
      <c r="C1128" s="3" t="s">
        <v>2660</v>
      </c>
      <c r="D1128" s="3" t="str">
        <f>VLOOKUP($C1128,[1]stockregister!$B$2:$B$2000,1,0)</f>
        <v>WHITLEY NEILL RHUBARB &amp; GINGER GIN 750ML</v>
      </c>
      <c r="E1128" s="3" t="str">
        <f>IF(ISNA($D1128),VLOOKUP($A1128,[2]stockregister!$A$2:$B$2000,2,FALSE),"")</f>
        <v/>
      </c>
      <c r="F1128" s="3" t="s">
        <v>21</v>
      </c>
      <c r="G1128" s="3">
        <f>_xlfn.IFNA(VLOOKUP($A1128,[3]stockregister!$A$2:$L$2000,11,0),0)</f>
        <v>0</v>
      </c>
      <c r="H1128" s="3">
        <f>_xlfn.IFNA(VLOOKUP($A1128,[3]stockregister!$A$2:$L$2000,11,0),0)-$G1128</f>
        <v>0</v>
      </c>
      <c r="I1128" s="3">
        <f>_xlfn.IFNA(VLOOKUP($A1128,[3]stockregister!$A$2:$L$2000,12,0),0)</f>
        <v>2576</v>
      </c>
      <c r="J1128" s="3">
        <f>_xlfn.IFNA(VLOOKUP($A1128,[3]stockregister!$A$1:$M$2000,12,0),0)-$I1128</f>
        <v>0</v>
      </c>
      <c r="K1128" s="3" t="s">
        <v>22</v>
      </c>
      <c r="L1128" s="3" t="s">
        <v>23</v>
      </c>
      <c r="M1128" s="3">
        <f>_xlfn.IFNA(VLOOKUP($A1128,[2]stockregister!$A$2:$H$2000,8,0),0)</f>
        <v>2800</v>
      </c>
      <c r="N1128" s="3">
        <f>_xlfn.IFNA(VLOOKUP($A1128,[2]stockregister!$A$2:$H$2000,8,0),0)-$M1128</f>
        <v>0</v>
      </c>
      <c r="O1128" s="3" t="s">
        <v>2661</v>
      </c>
      <c r="P1128" s="3" t="s">
        <v>2661</v>
      </c>
      <c r="Q1128" s="3" t="s">
        <v>1061</v>
      </c>
      <c r="R1128" s="3" t="s">
        <v>78</v>
      </c>
      <c r="S1128" s="3" t="s">
        <v>2659</v>
      </c>
    </row>
    <row r="1129" spans="1:19">
      <c r="A1129" s="3">
        <v>2226</v>
      </c>
      <c r="B1129" s="3" t="b">
        <f>ISNUMBER(MATCH(A1129,[1]stockregister!$A$2:$A$2000,0))</f>
        <v>1</v>
      </c>
      <c r="C1129" s="3" t="s">
        <v>2662</v>
      </c>
      <c r="D1129" s="3" t="str">
        <f>VLOOKUP($C1129,[1]stockregister!$B$2:$B$2000,1,0)</f>
        <v>KO BLUSH PREMIUM ROSE &amp; CUCUMBER 750ML</v>
      </c>
      <c r="E1129" s="3" t="str">
        <f>IF(ISNA($D1129),VLOOKUP($A1129,[2]stockregister!$A$2:$B$2000,2,FALSE),"")</f>
        <v/>
      </c>
      <c r="F1129" s="3" t="s">
        <v>21</v>
      </c>
      <c r="G1129" s="3">
        <f>_xlfn.IFNA(VLOOKUP($A1129,[3]stockregister!$A$2:$L$2000,11,0),0)</f>
        <v>0</v>
      </c>
      <c r="H1129" s="3">
        <f>_xlfn.IFNA(VLOOKUP($A1129,[3]stockregister!$A$2:$L$2000,11,0),0)-$G1129</f>
        <v>0</v>
      </c>
      <c r="I1129" s="3">
        <f>_xlfn.IFNA(VLOOKUP($A1129,[3]stockregister!$A$2:$L$2000,12,0),0)</f>
        <v>2200</v>
      </c>
      <c r="J1129" s="3">
        <f>_xlfn.IFNA(VLOOKUP($A1129,[3]stockregister!$A$1:$M$2000,12,0),0)-$I1129</f>
        <v>0</v>
      </c>
      <c r="K1129" s="3" t="s">
        <v>22</v>
      </c>
      <c r="L1129" s="3" t="s">
        <v>23</v>
      </c>
      <c r="M1129" s="3">
        <f>_xlfn.IFNA(VLOOKUP($A1129,[2]stockregister!$A$2:$H$2000,8,0),0)</f>
        <v>2300</v>
      </c>
      <c r="N1129" s="3">
        <f>_xlfn.IFNA(VLOOKUP($A1129,[2]stockregister!$A$2:$H$2000,8,0),0)-$M1129</f>
        <v>0</v>
      </c>
      <c r="O1129" s="3" t="s">
        <v>2663</v>
      </c>
      <c r="P1129" s="3" t="s">
        <v>2663</v>
      </c>
      <c r="Q1129" s="3" t="s">
        <v>129</v>
      </c>
      <c r="R1129" s="3" t="s">
        <v>78</v>
      </c>
      <c r="S1129" s="3" t="s">
        <v>2664</v>
      </c>
    </row>
    <row r="1130" spans="1:19">
      <c r="A1130" s="3">
        <v>264</v>
      </c>
      <c r="B1130" s="3" t="b">
        <f>ISNUMBER(MATCH(A1130,[1]stockregister!$A$2:$A$2000,0))</f>
        <v>1</v>
      </c>
      <c r="C1130" s="3" t="s">
        <v>2665</v>
      </c>
      <c r="D1130" s="3" t="str">
        <f>VLOOKUP($C1130,[1]stockregister!$B$2:$B$2000,1,0)</f>
        <v>BOMBAY SAPPHIRE DRY GIN 375ML</v>
      </c>
      <c r="E1130" s="3" t="str">
        <f>IF(ISNA($D1130),VLOOKUP($A1130,[2]stockregister!$A$2:$B$2000,2,FALSE),"")</f>
        <v/>
      </c>
      <c r="F1130" s="3" t="s">
        <v>21</v>
      </c>
      <c r="G1130" s="3">
        <f>_xlfn.IFNA(VLOOKUP($A1130,[3]stockregister!$A$2:$L$2000,11,0),0)</f>
        <v>0</v>
      </c>
      <c r="H1130" s="3">
        <f>_xlfn.IFNA(VLOOKUP($A1130,[3]stockregister!$A$2:$L$2000,11,0),0)-$G1130</f>
        <v>0</v>
      </c>
      <c r="I1130" s="3">
        <f>_xlfn.IFNA(VLOOKUP($A1130,[3]stockregister!$A$2:$L$2000,12,0),0)</f>
        <v>920</v>
      </c>
      <c r="J1130" s="3">
        <f>_xlfn.IFNA(VLOOKUP($A1130,[3]stockregister!$A$1:$M$2000,12,0),0)-$I1130</f>
        <v>0</v>
      </c>
      <c r="K1130" s="3" t="s">
        <v>22</v>
      </c>
      <c r="L1130" s="3" t="s">
        <v>23</v>
      </c>
      <c r="M1130" s="3">
        <f>_xlfn.IFNA(VLOOKUP($A1130,[2]stockregister!$A$2:$H$2000,8,0),0)</f>
        <v>1000</v>
      </c>
      <c r="N1130" s="3">
        <f>_xlfn.IFNA(VLOOKUP($A1130,[2]stockregister!$A$2:$H$2000,8,0),0)-$M1130</f>
        <v>0</v>
      </c>
      <c r="O1130" s="3" t="s">
        <v>2666</v>
      </c>
      <c r="P1130" s="3" t="s">
        <v>2666</v>
      </c>
      <c r="Q1130" s="3" t="s">
        <v>255</v>
      </c>
      <c r="R1130" s="3" t="s">
        <v>78</v>
      </c>
      <c r="S1130" s="3" t="s">
        <v>256</v>
      </c>
    </row>
    <row r="1131" spans="1:19">
      <c r="A1131" s="3">
        <v>2839</v>
      </c>
      <c r="B1131" s="3" t="b">
        <f>ISNUMBER(MATCH(A1131,[1]stockregister!$A$2:$A$2000,0))</f>
        <v>1</v>
      </c>
      <c r="C1131" s="3" t="s">
        <v>2667</v>
      </c>
      <c r="D1131" s="3" t="str">
        <f>VLOOKUP($C1131,[1]stockregister!$B$2:$B$2000,1,0)</f>
        <v>DRUMSHANBO GUN POWDER SARDINIAN CITRUS 700ML</v>
      </c>
      <c r="E1131" s="3" t="str">
        <f>IF(ISNA($D1131),VLOOKUP($A1131,[2]stockregister!$A$2:$B$2000,2,FALSE),"")</f>
        <v/>
      </c>
      <c r="F1131" s="3" t="s">
        <v>21</v>
      </c>
      <c r="G1131" s="3">
        <f>_xlfn.IFNA(VLOOKUP($A1131,[3]stockregister!$A$2:$L$2000,11,0),0)</f>
        <v>0</v>
      </c>
      <c r="H1131" s="3">
        <f>_xlfn.IFNA(VLOOKUP($A1131,[3]stockregister!$A$2:$L$2000,11,0),0)-$G1131</f>
        <v>0</v>
      </c>
      <c r="I1131" s="3">
        <f>_xlfn.IFNA(VLOOKUP($A1131,[3]stockregister!$A$2:$L$2000,12,0),0)</f>
        <v>3500</v>
      </c>
      <c r="J1131" s="3">
        <f>_xlfn.IFNA(VLOOKUP($A1131,[3]stockregister!$A$1:$M$2000,12,0),0)-$I1131</f>
        <v>0</v>
      </c>
      <c r="K1131" s="3" t="s">
        <v>22</v>
      </c>
      <c r="L1131" s="3" t="s">
        <v>23</v>
      </c>
      <c r="M1131" s="3">
        <f>_xlfn.IFNA(VLOOKUP($A1131,[2]stockregister!$A$2:$H$2000,8,0),0)</f>
        <v>4500</v>
      </c>
      <c r="N1131" s="3">
        <f>_xlfn.IFNA(VLOOKUP($A1131,[2]stockregister!$A$2:$H$2000,8,0),0)-$M1131</f>
        <v>0</v>
      </c>
      <c r="O1131" s="3" t="s">
        <v>2668</v>
      </c>
      <c r="P1131" s="3" t="s">
        <v>2668</v>
      </c>
      <c r="Q1131" s="3" t="s">
        <v>1605</v>
      </c>
      <c r="R1131" s="3" t="s">
        <v>78</v>
      </c>
      <c r="S1131" s="3" t="s">
        <v>2669</v>
      </c>
    </row>
    <row r="1132" spans="1:19">
      <c r="A1132" s="3">
        <v>1937</v>
      </c>
      <c r="B1132" s="3" t="b">
        <f>ISNUMBER(MATCH(A1132,[1]stockregister!$A$2:$A$2000,0))</f>
        <v>1</v>
      </c>
      <c r="C1132" s="3" t="s">
        <v>2670</v>
      </c>
      <c r="D1132" s="3" t="str">
        <f>VLOOKUP($C1132,[1]stockregister!$B$2:$B$2000,1,0)</f>
        <v>TANQUERAY - SEVILLA 700ML</v>
      </c>
      <c r="E1132" s="3" t="str">
        <f>IF(ISNA($D1132),VLOOKUP($A1132,[2]stockregister!$A$2:$B$2000,2,FALSE),"")</f>
        <v/>
      </c>
      <c r="F1132" s="3" t="s">
        <v>21</v>
      </c>
      <c r="G1132" s="3">
        <f>_xlfn.IFNA(VLOOKUP($A1132,[3]stockregister!$A$2:$L$2000,11,0),0)</f>
        <v>0</v>
      </c>
      <c r="H1132" s="3">
        <f>_xlfn.IFNA(VLOOKUP($A1132,[3]stockregister!$A$2:$L$2000,11,0),0)-$G1132</f>
        <v>0</v>
      </c>
      <c r="I1132" s="3">
        <f>_xlfn.IFNA(VLOOKUP($A1132,[3]stockregister!$A$2:$L$2000,12,0),0)</f>
        <v>1800</v>
      </c>
      <c r="J1132" s="3">
        <f>_xlfn.IFNA(VLOOKUP($A1132,[3]stockregister!$A$1:$M$2000,12,0),0)-$I1132</f>
        <v>0</v>
      </c>
      <c r="K1132" s="3" t="s">
        <v>22</v>
      </c>
      <c r="L1132" s="3" t="s">
        <v>23</v>
      </c>
      <c r="M1132" s="3">
        <f>_xlfn.IFNA(VLOOKUP($A1132,[2]stockregister!$A$2:$H$2000,8,0),0)</f>
        <v>2600</v>
      </c>
      <c r="N1132" s="3">
        <f>_xlfn.IFNA(VLOOKUP($A1132,[2]stockregister!$A$2:$H$2000,8,0),0)-$M1132</f>
        <v>0</v>
      </c>
      <c r="O1132" s="3" t="s">
        <v>2671</v>
      </c>
      <c r="P1132" s="3" t="s">
        <v>2671</v>
      </c>
      <c r="Q1132" s="3" t="s">
        <v>221</v>
      </c>
      <c r="R1132" s="3" t="s">
        <v>78</v>
      </c>
      <c r="S1132" s="3" t="s">
        <v>2672</v>
      </c>
    </row>
    <row r="1133" spans="1:19">
      <c r="A1133" s="3">
        <v>920</v>
      </c>
      <c r="B1133" s="3" t="b">
        <f>ISNUMBER(MATCH(A1133,[1]stockregister!$A$2:$A$2000,0))</f>
        <v>1</v>
      </c>
      <c r="C1133" s="3" t="s">
        <v>2673</v>
      </c>
      <c r="D1133" s="3" t="str">
        <f>VLOOKUP($C1133,[1]stockregister!$B$2:$B$2000,1,0)</f>
        <v>GREENALLS SLOE GIN 700ML</v>
      </c>
      <c r="E1133" s="3" t="str">
        <f>IF(ISNA($D1133),VLOOKUP($A1133,[2]stockregister!$A$2:$B$2000,2,FALSE),"")</f>
        <v/>
      </c>
      <c r="F1133" s="3" t="s">
        <v>21</v>
      </c>
      <c r="G1133" s="3">
        <f>_xlfn.IFNA(VLOOKUP($A1133,[3]stockregister!$A$2:$L$2000,11,0),0)</f>
        <v>0</v>
      </c>
      <c r="H1133" s="3">
        <f>_xlfn.IFNA(VLOOKUP($A1133,[3]stockregister!$A$2:$L$2000,11,0),0)-$G1133</f>
        <v>0</v>
      </c>
      <c r="I1133" s="3">
        <f>_xlfn.IFNA(VLOOKUP($A1133,[3]stockregister!$A$2:$L$2000,12,0),0)</f>
        <v>1380</v>
      </c>
      <c r="J1133" s="3">
        <f>_xlfn.IFNA(VLOOKUP($A1133,[3]stockregister!$A$1:$M$2000,12,0),0)-$I1133</f>
        <v>0</v>
      </c>
      <c r="K1133" s="3" t="s">
        <v>22</v>
      </c>
      <c r="L1133" s="3" t="s">
        <v>23</v>
      </c>
      <c r="M1133" s="3">
        <f>_xlfn.IFNA(VLOOKUP($A1133,[2]stockregister!$A$2:$H$2000,8,0),0)</f>
        <v>1500</v>
      </c>
      <c r="N1133" s="3">
        <f>_xlfn.IFNA(VLOOKUP($A1133,[2]stockregister!$A$2:$H$2000,8,0),0)-$M1133</f>
        <v>0</v>
      </c>
      <c r="O1133" s="3" t="s">
        <v>2674</v>
      </c>
      <c r="P1133" s="3" t="s">
        <v>2674</v>
      </c>
      <c r="Q1133" s="3" t="s">
        <v>846</v>
      </c>
      <c r="R1133" s="3" t="s">
        <v>78</v>
      </c>
      <c r="S1133" s="3" t="s">
        <v>2675</v>
      </c>
    </row>
    <row r="1134" spans="1:19">
      <c r="A1134" s="3">
        <v>916</v>
      </c>
      <c r="B1134" s="3" t="b">
        <f>ISNUMBER(MATCH(A1134,[1]stockregister!$A$2:$A$2000,0))</f>
        <v>1</v>
      </c>
      <c r="C1134" s="3" t="s">
        <v>482</v>
      </c>
      <c r="D1134" s="3" t="str">
        <f>VLOOKUP($C1134,[1]stockregister!$B$2:$B$2000,1,0)</f>
        <v>GREENALL WILDBERRY  1LTR</v>
      </c>
      <c r="E1134" s="3" t="str">
        <f>IF(ISNA($D1134),VLOOKUP($A1134,[2]stockregister!$A$2:$B$2000,2,FALSE),"")</f>
        <v/>
      </c>
      <c r="F1134" s="3" t="s">
        <v>21</v>
      </c>
      <c r="G1134" s="3">
        <f>_xlfn.IFNA(VLOOKUP($A1134,[3]stockregister!$A$2:$L$2000,11,0),0)</f>
        <v>0</v>
      </c>
      <c r="H1134" s="3">
        <f>_xlfn.IFNA(VLOOKUP($A1134,[3]stockregister!$A$2:$L$2000,11,0),0)-$G1134</f>
        <v>0</v>
      </c>
      <c r="I1134" s="3">
        <f>_xlfn.IFNA(VLOOKUP($A1134,[3]stockregister!$A$2:$L$2000,12,0),0)</f>
        <v>1748</v>
      </c>
      <c r="J1134" s="3">
        <f>_xlfn.IFNA(VLOOKUP($A1134,[3]stockregister!$A$1:$M$2000,12,0),0)-$I1134</f>
        <v>0</v>
      </c>
      <c r="K1134" s="3" t="s">
        <v>22</v>
      </c>
      <c r="L1134" s="3" t="s">
        <v>23</v>
      </c>
      <c r="M1134" s="3">
        <f>_xlfn.IFNA(VLOOKUP($A1134,[2]stockregister!$A$2:$H$2000,8,0),0)</f>
        <v>1900</v>
      </c>
      <c r="N1134" s="3">
        <f>_xlfn.IFNA(VLOOKUP($A1134,[2]stockregister!$A$2:$H$2000,8,0),0)-$M1134</f>
        <v>0</v>
      </c>
      <c r="O1134" s="3" t="s">
        <v>2676</v>
      </c>
      <c r="P1134" s="3" t="s">
        <v>2676</v>
      </c>
      <c r="Q1134" s="3" t="s">
        <v>846</v>
      </c>
      <c r="R1134" s="3" t="s">
        <v>78</v>
      </c>
      <c r="S1134" s="3" t="s">
        <v>580</v>
      </c>
    </row>
    <row r="1135" spans="1:18">
      <c r="A1135" s="3">
        <v>2141</v>
      </c>
      <c r="B1135" s="3" t="b">
        <f>ISNUMBER(MATCH(A1135,[1]stockregister!$A$2:$A$2000,0))</f>
        <v>1</v>
      </c>
      <c r="C1135" s="3" t="s">
        <v>2677</v>
      </c>
      <c r="D1135" s="3" t="str">
        <f>VLOOKUP($C1135,[1]stockregister!$B$2:$B$2000,1,0)</f>
        <v>ZAFIRO CLEAR 1LTR</v>
      </c>
      <c r="E1135" s="3" t="str">
        <f>IF(ISNA($D1135),VLOOKUP($A1135,[2]stockregister!$A$2:$B$2000,2,FALSE),"")</f>
        <v/>
      </c>
      <c r="F1135" s="3" t="s">
        <v>21</v>
      </c>
      <c r="G1135" s="3">
        <f>_xlfn.IFNA(VLOOKUP($A1135,[3]stockregister!$A$2:$L$2000,11,0),0)</f>
        <v>0</v>
      </c>
      <c r="H1135" s="3">
        <f>_xlfn.IFNA(VLOOKUP($A1135,[3]stockregister!$A$2:$L$2000,11,0),0)-$G1135</f>
        <v>0</v>
      </c>
      <c r="I1135" s="3">
        <f>_xlfn.IFNA(VLOOKUP($A1135,[3]stockregister!$A$2:$L$2000,12,0),0)</f>
        <v>1250</v>
      </c>
      <c r="J1135" s="3">
        <f>_xlfn.IFNA(VLOOKUP($A1135,[3]stockregister!$A$1:$M$2000,12,0),0)-$I1135</f>
        <v>0</v>
      </c>
      <c r="K1135" s="3" t="s">
        <v>22</v>
      </c>
      <c r="L1135" s="3" t="s">
        <v>23</v>
      </c>
      <c r="M1135" s="3">
        <f>_xlfn.IFNA(VLOOKUP($A1135,[2]stockregister!$A$2:$H$2000,8,0),0)</f>
        <v>1400</v>
      </c>
      <c r="N1135" s="3">
        <f>_xlfn.IFNA(VLOOKUP($A1135,[2]stockregister!$A$2:$H$2000,8,0),0)-$M1135</f>
        <v>0</v>
      </c>
      <c r="O1135" s="3" t="s">
        <v>898</v>
      </c>
      <c r="P1135" s="3" t="s">
        <v>898</v>
      </c>
      <c r="Q1135" s="3" t="s">
        <v>2630</v>
      </c>
      <c r="R1135" s="3" t="s">
        <v>78</v>
      </c>
    </row>
    <row r="1136" spans="1:18">
      <c r="A1136" s="3">
        <v>2876</v>
      </c>
      <c r="B1136" s="3" t="b">
        <f>ISNUMBER(MATCH(A1136,[1]stockregister!$A$2:$A$2000,0))</f>
        <v>1</v>
      </c>
      <c r="C1136" s="3" t="s">
        <v>2678</v>
      </c>
      <c r="D1136" s="3" t="str">
        <f>VLOOKUP($C1136,[1]stockregister!$B$2:$B$2000,1,0)</f>
        <v>AVALON GIN 750ML</v>
      </c>
      <c r="E1136" s="3" t="str">
        <f>IF(ISNA($D1136),VLOOKUP($A1136,[2]stockregister!$A$2:$B$2000,2,FALSE),"")</f>
        <v/>
      </c>
      <c r="F1136" s="3" t="s">
        <v>21</v>
      </c>
      <c r="G1136" s="3">
        <f>_xlfn.IFNA(VLOOKUP($A1136,[3]stockregister!$A$2:$L$2000,11,0),0)</f>
        <v>36</v>
      </c>
      <c r="H1136" s="3">
        <f>_xlfn.IFNA(VLOOKUP($A1136,[3]stockregister!$A$2:$L$2000,11,0),0)-$G1136</f>
        <v>0</v>
      </c>
      <c r="I1136" s="3">
        <f>_xlfn.IFNA(VLOOKUP($A1136,[3]stockregister!$A$2:$L$2000,12,0),0)</f>
        <v>541.67</v>
      </c>
      <c r="J1136" s="3">
        <f>_xlfn.IFNA(VLOOKUP($A1136,[3]stockregister!$A$1:$M$2000,12,0),0)-$I1136</f>
        <v>0</v>
      </c>
      <c r="K1136" s="3" t="s">
        <v>22</v>
      </c>
      <c r="L1136" s="3" t="s">
        <v>23</v>
      </c>
      <c r="M1136" s="3">
        <f>_xlfn.IFNA(VLOOKUP($A1136,[2]stockregister!$A$2:$H$2000,8,0),0)</f>
        <v>650</v>
      </c>
      <c r="N1136" s="3">
        <f>_xlfn.IFNA(VLOOKUP($A1136,[2]stockregister!$A$2:$H$2000,8,0),0)-$M1136</f>
        <v>0</v>
      </c>
      <c r="O1136" s="3" t="s">
        <v>2679</v>
      </c>
      <c r="P1136" s="3" t="s">
        <v>2679</v>
      </c>
      <c r="Q1136" s="3" t="s">
        <v>2680</v>
      </c>
      <c r="R1136" s="3" t="s">
        <v>78</v>
      </c>
    </row>
    <row r="1137" spans="1:18">
      <c r="A1137" s="3">
        <v>2874</v>
      </c>
      <c r="B1137" s="3" t="b">
        <f>ISNUMBER(MATCH(A1137,[1]stockregister!$A$2:$A$2000,0))</f>
        <v>1</v>
      </c>
      <c r="C1137" s="3" t="s">
        <v>2681</v>
      </c>
      <c r="D1137" s="3" t="str">
        <f>VLOOKUP($C1137,[1]stockregister!$B$2:$B$2000,1,0)</f>
        <v>AVALON GIN 250ML</v>
      </c>
      <c r="E1137" s="3" t="str">
        <f>IF(ISNA($D1137),VLOOKUP($A1137,[2]stockregister!$A$2:$B$2000,2,FALSE),"")</f>
        <v/>
      </c>
      <c r="F1137" s="3" t="s">
        <v>21</v>
      </c>
      <c r="G1137" s="3">
        <f>_xlfn.IFNA(VLOOKUP($A1137,[3]stockregister!$A$2:$L$2000,11,0),0)</f>
        <v>540</v>
      </c>
      <c r="H1137" s="3">
        <f>_xlfn.IFNA(VLOOKUP($A1137,[3]stockregister!$A$2:$L$2000,11,0),0)-$G1137</f>
        <v>0</v>
      </c>
      <c r="I1137" s="3">
        <f>_xlfn.IFNA(VLOOKUP($A1137,[3]stockregister!$A$2:$L$2000,12,0),0)</f>
        <v>200</v>
      </c>
      <c r="J1137" s="3">
        <f>_xlfn.IFNA(VLOOKUP($A1137,[3]stockregister!$A$1:$M$2000,12,0),0)-$I1137</f>
        <v>0</v>
      </c>
      <c r="K1137" s="3" t="s">
        <v>22</v>
      </c>
      <c r="L1137" s="3" t="s">
        <v>23</v>
      </c>
      <c r="M1137" s="3">
        <f>_xlfn.IFNA(VLOOKUP($A1137,[2]stockregister!$A$2:$H$2000,8,0),0)</f>
        <v>210</v>
      </c>
      <c r="N1137" s="3">
        <f>_xlfn.IFNA(VLOOKUP($A1137,[2]stockregister!$A$2:$H$2000,8,0),0)-$M1137</f>
        <v>0</v>
      </c>
      <c r="O1137" s="3" t="s">
        <v>2682</v>
      </c>
      <c r="P1137" s="3" t="s">
        <v>2682</v>
      </c>
      <c r="Q1137" s="3" t="s">
        <v>2680</v>
      </c>
      <c r="R1137" s="3" t="s">
        <v>78</v>
      </c>
    </row>
    <row r="1138" spans="1:18">
      <c r="A1138" s="3">
        <v>2298</v>
      </c>
      <c r="B1138" s="3" t="b">
        <f>ISNUMBER(MATCH(A1138,[1]stockregister!$A$2:$A$2000,0))</f>
        <v>1</v>
      </c>
      <c r="C1138" s="3" t="s">
        <v>2683</v>
      </c>
      <c r="D1138" s="3" t="str">
        <f>VLOOKUP($C1138,[1]stockregister!$B$2:$B$2000,1,0)</f>
        <v>HOWLING OWL BLUE GIN 750ML</v>
      </c>
      <c r="E1138" s="3" t="str">
        <f>IF(ISNA($D1138),VLOOKUP($A1138,[2]stockregister!$A$2:$B$2000,2,FALSE),"")</f>
        <v/>
      </c>
      <c r="F1138" s="3" t="s">
        <v>21</v>
      </c>
      <c r="G1138" s="3">
        <f>_xlfn.IFNA(VLOOKUP($A1138,[3]stockregister!$A$2:$L$2000,11,0),0)</f>
        <v>0</v>
      </c>
      <c r="H1138" s="3">
        <f>_xlfn.IFNA(VLOOKUP($A1138,[3]stockregister!$A$2:$L$2000,11,0),0)-$G1138</f>
        <v>0</v>
      </c>
      <c r="I1138" s="3">
        <f>_xlfn.IFNA(VLOOKUP($A1138,[3]stockregister!$A$2:$L$2000,12,0),0)</f>
        <v>2870</v>
      </c>
      <c r="J1138" s="3">
        <f>_xlfn.IFNA(VLOOKUP($A1138,[3]stockregister!$A$1:$M$2000,12,0),0)-$I1138</f>
        <v>0</v>
      </c>
      <c r="K1138" s="3" t="s">
        <v>22</v>
      </c>
      <c r="L1138" s="3" t="s">
        <v>23</v>
      </c>
      <c r="M1138" s="3">
        <f>_xlfn.IFNA(VLOOKUP($A1138,[2]stockregister!$A$2:$H$2000,8,0),0)</f>
        <v>3000</v>
      </c>
      <c r="N1138" s="3">
        <f>_xlfn.IFNA(VLOOKUP($A1138,[2]stockregister!$A$2:$H$2000,8,0),0)-$M1138</f>
        <v>0</v>
      </c>
      <c r="O1138" s="3" t="s">
        <v>2684</v>
      </c>
      <c r="P1138" s="3" t="s">
        <v>2684</v>
      </c>
      <c r="Q1138" s="3" t="s">
        <v>2685</v>
      </c>
      <c r="R1138" s="3" t="s">
        <v>78</v>
      </c>
    </row>
    <row r="1139" spans="1:18">
      <c r="A1139" s="3">
        <v>833</v>
      </c>
      <c r="B1139" s="3" t="b">
        <f>ISNUMBER(MATCH(A1139,[1]stockregister!$A$2:$A$2000,0))</f>
        <v>1</v>
      </c>
      <c r="C1139" s="3" t="s">
        <v>2686</v>
      </c>
      <c r="D1139" s="3" t="str">
        <f>VLOOKUP($C1139,[1]stockregister!$B$2:$B$2000,1,0)</f>
        <v>GIN MARE 700ML</v>
      </c>
      <c r="E1139" s="3" t="str">
        <f>IF(ISNA($D1139),VLOOKUP($A1139,[2]stockregister!$A$2:$B$2000,2,FALSE),"")</f>
        <v/>
      </c>
      <c r="F1139" s="3" t="s">
        <v>21</v>
      </c>
      <c r="G1139" s="3">
        <f>_xlfn.IFNA(VLOOKUP($A1139,[3]stockregister!$A$2:$L$2000,11,0),0)</f>
        <v>0</v>
      </c>
      <c r="H1139" s="3">
        <f>_xlfn.IFNA(VLOOKUP($A1139,[3]stockregister!$A$2:$L$2000,11,0),0)-$G1139</f>
        <v>0</v>
      </c>
      <c r="I1139" s="3">
        <f>_xlfn.IFNA(VLOOKUP($A1139,[3]stockregister!$A$2:$L$2000,12,0),0)</f>
        <v>3450</v>
      </c>
      <c r="J1139" s="3">
        <f>_xlfn.IFNA(VLOOKUP($A1139,[3]stockregister!$A$1:$M$2000,12,0),0)-$I1139</f>
        <v>0</v>
      </c>
      <c r="K1139" s="3" t="s">
        <v>22</v>
      </c>
      <c r="L1139" s="3" t="s">
        <v>23</v>
      </c>
      <c r="M1139" s="3">
        <f>_xlfn.IFNA(VLOOKUP($A1139,[2]stockregister!$A$2:$H$2000,8,0),0)</f>
        <v>4000</v>
      </c>
      <c r="N1139" s="3">
        <f>_xlfn.IFNA(VLOOKUP($A1139,[2]stockregister!$A$2:$H$2000,8,0),0)-$M1139</f>
        <v>0</v>
      </c>
      <c r="O1139" s="3" t="s">
        <v>2687</v>
      </c>
      <c r="P1139" s="3" t="s">
        <v>2687</v>
      </c>
      <c r="Q1139" s="3" t="s">
        <v>1190</v>
      </c>
      <c r="R1139" s="3" t="s">
        <v>78</v>
      </c>
    </row>
    <row r="1140" spans="1:18">
      <c r="A1140" s="3">
        <v>931</v>
      </c>
      <c r="B1140" s="3" t="b">
        <f>ISNUMBER(MATCH(A1140,[1]stockregister!$A$2:$A$2000,0))</f>
        <v>1</v>
      </c>
      <c r="C1140" s="3" t="s">
        <v>2688</v>
      </c>
      <c r="D1140" s="3" t="str">
        <f>VLOOKUP($C1140,[1]stockregister!$B$2:$B$2000,1,0)</f>
        <v>GUNPOWDER IRISH GIN 750ML</v>
      </c>
      <c r="E1140" s="3" t="str">
        <f>IF(ISNA($D1140),VLOOKUP($A1140,[2]stockregister!$A$2:$B$2000,2,FALSE),"")</f>
        <v/>
      </c>
      <c r="F1140" s="3" t="s">
        <v>21</v>
      </c>
      <c r="G1140" s="3">
        <f>_xlfn.IFNA(VLOOKUP($A1140,[3]stockregister!$A$2:$L$2000,11,0),0)</f>
        <v>0</v>
      </c>
      <c r="H1140" s="3">
        <f>_xlfn.IFNA(VLOOKUP($A1140,[3]stockregister!$A$2:$L$2000,11,0),0)-$G1140</f>
        <v>0</v>
      </c>
      <c r="I1140" s="3">
        <f>_xlfn.IFNA(VLOOKUP($A1140,[3]stockregister!$A$2:$L$2000,12,0),0)</f>
        <v>3680</v>
      </c>
      <c r="J1140" s="3">
        <f>_xlfn.IFNA(VLOOKUP($A1140,[3]stockregister!$A$1:$M$2000,12,0),0)-$I1140</f>
        <v>0</v>
      </c>
      <c r="K1140" s="3" t="s">
        <v>22</v>
      </c>
      <c r="L1140" s="3" t="s">
        <v>23</v>
      </c>
      <c r="M1140" s="3">
        <f>_xlfn.IFNA(VLOOKUP($A1140,[2]stockregister!$A$2:$H$2000,8,0),0)</f>
        <v>4000</v>
      </c>
      <c r="N1140" s="3">
        <f>_xlfn.IFNA(VLOOKUP($A1140,[2]stockregister!$A$2:$H$2000,8,0),0)-$M1140</f>
        <v>0</v>
      </c>
      <c r="O1140" s="3" t="s">
        <v>2689</v>
      </c>
      <c r="P1140" s="3" t="s">
        <v>2689</v>
      </c>
      <c r="Q1140" s="3" t="s">
        <v>2690</v>
      </c>
      <c r="R1140" s="3" t="s">
        <v>78</v>
      </c>
    </row>
    <row r="1141" spans="1:18">
      <c r="A1141" s="3">
        <v>1942</v>
      </c>
      <c r="B1141" s="3" t="b">
        <f>ISNUMBER(MATCH(A1141,[1]stockregister!$A$2:$A$2000,0))</f>
        <v>1</v>
      </c>
      <c r="C1141" s="3" t="s">
        <v>2691</v>
      </c>
      <c r="D1141" s="3" t="str">
        <f>VLOOKUP($C1141,[1]stockregister!$B$2:$B$2000,1,0)</f>
        <v>TANQUERAY ROYALE GIN 700ML</v>
      </c>
      <c r="E1141" s="3" t="str">
        <f>IF(ISNA($D1141),VLOOKUP($A1141,[2]stockregister!$A$2:$B$2000,2,FALSE),"")</f>
        <v/>
      </c>
      <c r="F1141" s="3" t="s">
        <v>21</v>
      </c>
      <c r="G1141" s="3">
        <f>_xlfn.IFNA(VLOOKUP($A1141,[3]stockregister!$A$2:$L$2000,11,0),0)</f>
        <v>0</v>
      </c>
      <c r="H1141" s="3">
        <f>_xlfn.IFNA(VLOOKUP($A1141,[3]stockregister!$A$2:$L$2000,11,0),0)-$G1141</f>
        <v>0</v>
      </c>
      <c r="I1141" s="3">
        <f>_xlfn.IFNA(VLOOKUP($A1141,[3]stockregister!$A$2:$L$2000,12,0),0)</f>
        <v>2500</v>
      </c>
      <c r="J1141" s="3">
        <f>_xlfn.IFNA(VLOOKUP($A1141,[3]stockregister!$A$1:$M$2000,12,0),0)-$I1141</f>
        <v>0</v>
      </c>
      <c r="K1141" s="3" t="s">
        <v>22</v>
      </c>
      <c r="L1141" s="3" t="s">
        <v>23</v>
      </c>
      <c r="M1141" s="3">
        <f>_xlfn.IFNA(VLOOKUP($A1141,[2]stockregister!$A$2:$H$2000,8,0),0)</f>
        <v>2600</v>
      </c>
      <c r="N1141" s="3">
        <f>_xlfn.IFNA(VLOOKUP($A1141,[2]stockregister!$A$2:$H$2000,8,0),0)-$M1141</f>
        <v>0</v>
      </c>
      <c r="O1141" s="3" t="s">
        <v>2692</v>
      </c>
      <c r="P1141" s="3" t="s">
        <v>2692</v>
      </c>
      <c r="Q1141" s="3" t="s">
        <v>1600</v>
      </c>
      <c r="R1141" s="3" t="s">
        <v>78</v>
      </c>
    </row>
    <row r="1142" spans="1:18">
      <c r="A1142" s="3">
        <v>1934</v>
      </c>
      <c r="B1142" s="3" t="b">
        <f>ISNUMBER(MATCH(A1142,[1]stockregister!$A$2:$A$2000,0))</f>
        <v>1</v>
      </c>
      <c r="C1142" s="3" t="s">
        <v>2693</v>
      </c>
      <c r="D1142" s="3" t="str">
        <f>VLOOKUP($C1142,[1]stockregister!$B$2:$B$2000,1,0)</f>
        <v>TANQUERAY SEVILLA GIN 1LTR</v>
      </c>
      <c r="E1142" s="3" t="str">
        <f>IF(ISNA($D1142),VLOOKUP($A1142,[2]stockregister!$A$2:$B$2000,2,FALSE),"")</f>
        <v/>
      </c>
      <c r="F1142" s="3" t="s">
        <v>21</v>
      </c>
      <c r="G1142" s="3">
        <f>_xlfn.IFNA(VLOOKUP($A1142,[3]stockregister!$A$2:$L$2000,11,0),0)</f>
        <v>0</v>
      </c>
      <c r="H1142" s="3">
        <f>_xlfn.IFNA(VLOOKUP($A1142,[3]stockregister!$A$2:$L$2000,11,0),0)-$G1142</f>
        <v>0</v>
      </c>
      <c r="I1142" s="3">
        <f>_xlfn.IFNA(VLOOKUP($A1142,[3]stockregister!$A$2:$L$2000,12,0),0)</f>
        <v>3036</v>
      </c>
      <c r="J1142" s="3">
        <f>_xlfn.IFNA(VLOOKUP($A1142,[3]stockregister!$A$1:$M$2000,12,0),0)-$I1142</f>
        <v>0</v>
      </c>
      <c r="K1142" s="3" t="s">
        <v>22</v>
      </c>
      <c r="L1142" s="3" t="s">
        <v>23</v>
      </c>
      <c r="M1142" s="3">
        <f>_xlfn.IFNA(VLOOKUP($A1142,[2]stockregister!$A$2:$H$2000,8,0),0)</f>
        <v>3300</v>
      </c>
      <c r="N1142" s="3">
        <f>_xlfn.IFNA(VLOOKUP($A1142,[2]stockregister!$A$2:$H$2000,8,0),0)-$M1142</f>
        <v>0</v>
      </c>
      <c r="O1142" s="3" t="s">
        <v>2694</v>
      </c>
      <c r="P1142" s="3" t="s">
        <v>2694</v>
      </c>
      <c r="Q1142" s="3" t="s">
        <v>221</v>
      </c>
      <c r="R1142" s="3" t="s">
        <v>78</v>
      </c>
    </row>
    <row r="1143" spans="1:18">
      <c r="A1143" s="3">
        <v>1349</v>
      </c>
      <c r="B1143" s="3" t="b">
        <f>ISNUMBER(MATCH(A1143,[1]stockregister!$A$2:$A$2000,0))</f>
        <v>1</v>
      </c>
      <c r="C1143" s="3" t="s">
        <v>2695</v>
      </c>
      <c r="D1143" s="3" t="str">
        <f>VLOOKUP($C1143,[1]stockregister!$B$2:$B$2000,1,0)</f>
        <v>MAD CHIMP 1LTR</v>
      </c>
      <c r="E1143" s="3" t="str">
        <f>IF(ISNA($D1143),VLOOKUP($A1143,[2]stockregister!$A$2:$B$2000,2,FALSE),"")</f>
        <v/>
      </c>
      <c r="F1143" s="3" t="s">
        <v>21</v>
      </c>
      <c r="G1143" s="3">
        <f>_xlfn.IFNA(VLOOKUP($A1143,[3]stockregister!$A$2:$L$2000,11,0),0)</f>
        <v>0</v>
      </c>
      <c r="H1143" s="3">
        <f>_xlfn.IFNA(VLOOKUP($A1143,[3]stockregister!$A$2:$L$2000,11,0),0)-$G1143</f>
        <v>0</v>
      </c>
      <c r="I1143" s="3">
        <f>_xlfn.IFNA(VLOOKUP($A1143,[3]stockregister!$A$2:$L$2000,12,0),0)</f>
        <v>1300</v>
      </c>
      <c r="J1143" s="3">
        <f>_xlfn.IFNA(VLOOKUP($A1143,[3]stockregister!$A$1:$M$2000,12,0),0)-$I1143</f>
        <v>0</v>
      </c>
      <c r="K1143" s="3" t="s">
        <v>22</v>
      </c>
      <c r="L1143" s="3" t="s">
        <v>23</v>
      </c>
      <c r="M1143" s="3">
        <f>_xlfn.IFNA(VLOOKUP($A1143,[2]stockregister!$A$2:$H$2000,8,0),0)</f>
        <v>1500</v>
      </c>
      <c r="N1143" s="3">
        <f>_xlfn.IFNA(VLOOKUP($A1143,[2]stockregister!$A$2:$H$2000,8,0),0)-$M1143</f>
        <v>0</v>
      </c>
      <c r="O1143" s="3" t="s">
        <v>2696</v>
      </c>
      <c r="P1143" s="3" t="s">
        <v>2696</v>
      </c>
      <c r="Q1143" s="3" t="s">
        <v>2697</v>
      </c>
      <c r="R1143" s="3" t="s">
        <v>78</v>
      </c>
    </row>
    <row r="1144" spans="1:18">
      <c r="A1144" s="3">
        <v>2128</v>
      </c>
      <c r="B1144" s="3" t="b">
        <f>ISNUMBER(MATCH(A1144,[1]stockregister!$A$2:$A$2000,0))</f>
        <v>1</v>
      </c>
      <c r="C1144" s="3" t="s">
        <v>2698</v>
      </c>
      <c r="D1144" s="3" t="str">
        <f>VLOOKUP($C1144,[1]stockregister!$B$2:$B$2000,1,0)</f>
        <v>WINDSOR GIN 1ltr</v>
      </c>
      <c r="E1144" s="3" t="str">
        <f>IF(ISNA($D1144),VLOOKUP($A1144,[2]stockregister!$A$2:$B$2000,2,FALSE),"")</f>
        <v/>
      </c>
      <c r="F1144" s="3" t="s">
        <v>21</v>
      </c>
      <c r="G1144" s="3">
        <f>_xlfn.IFNA(VLOOKUP($A1144,[3]stockregister!$A$2:$L$2000,11,0),0)</f>
        <v>0</v>
      </c>
      <c r="H1144" s="3">
        <f>_xlfn.IFNA(VLOOKUP($A1144,[3]stockregister!$A$2:$L$2000,11,0),0)-$G1144</f>
        <v>0</v>
      </c>
      <c r="I1144" s="3">
        <f>_xlfn.IFNA(VLOOKUP($A1144,[3]stockregister!$A$2:$L$2000,12,0),0)</f>
        <v>1656</v>
      </c>
      <c r="J1144" s="3">
        <f>_xlfn.IFNA(VLOOKUP($A1144,[3]stockregister!$A$1:$M$2000,12,0),0)-$I1144</f>
        <v>0</v>
      </c>
      <c r="K1144" s="3" t="s">
        <v>22</v>
      </c>
      <c r="L1144" s="3" t="s">
        <v>23</v>
      </c>
      <c r="M1144" s="3">
        <f>_xlfn.IFNA(VLOOKUP($A1144,[2]stockregister!$A$2:$H$2000,8,0),0)</f>
        <v>1800</v>
      </c>
      <c r="N1144" s="3">
        <f>_xlfn.IFNA(VLOOKUP($A1144,[2]stockregister!$A$2:$H$2000,8,0),0)-$M1144</f>
        <v>0</v>
      </c>
      <c r="O1144" s="3" t="s">
        <v>2699</v>
      </c>
      <c r="P1144" s="3" t="s">
        <v>2699</v>
      </c>
      <c r="Q1144" s="3" t="s">
        <v>2700</v>
      </c>
      <c r="R1144" s="3" t="s">
        <v>78</v>
      </c>
    </row>
    <row r="1145" spans="1:18">
      <c r="A1145" s="3">
        <v>820</v>
      </c>
      <c r="B1145" s="3" t="b">
        <f>ISNUMBER(MATCH(A1145,[1]stockregister!$A$2:$A$2000,0))</f>
        <v>1</v>
      </c>
      <c r="C1145" s="3" t="s">
        <v>2701</v>
      </c>
      <c r="D1145" s="3" t="str">
        <f>VLOOKUP($C1145,[1]stockregister!$B$2:$B$2000,1,0)</f>
        <v>GIBSON'S GIN 1LTR</v>
      </c>
      <c r="E1145" s="3" t="str">
        <f>IF(ISNA($D1145),VLOOKUP($A1145,[2]stockregister!$A$2:$B$2000,2,FALSE),"")</f>
        <v/>
      </c>
      <c r="F1145" s="3" t="s">
        <v>21</v>
      </c>
      <c r="G1145" s="3">
        <f>_xlfn.IFNA(VLOOKUP($A1145,[3]stockregister!$A$2:$L$2000,11,0),0)</f>
        <v>0</v>
      </c>
      <c r="H1145" s="3">
        <f>_xlfn.IFNA(VLOOKUP($A1145,[3]stockregister!$A$2:$L$2000,11,0),0)-$G1145</f>
        <v>0</v>
      </c>
      <c r="I1145" s="3">
        <f>_xlfn.IFNA(VLOOKUP($A1145,[3]stockregister!$A$2:$L$2000,12,0),0)</f>
        <v>1388</v>
      </c>
      <c r="J1145" s="3">
        <f>_xlfn.IFNA(VLOOKUP($A1145,[3]stockregister!$A$1:$M$2000,12,0),0)-$I1145</f>
        <v>0</v>
      </c>
      <c r="K1145" s="3" t="s">
        <v>22</v>
      </c>
      <c r="L1145" s="3" t="s">
        <v>23</v>
      </c>
      <c r="M1145" s="3">
        <f>_xlfn.IFNA(VLOOKUP($A1145,[2]stockregister!$A$2:$H$2000,8,0),0)</f>
        <v>1500</v>
      </c>
      <c r="N1145" s="3">
        <f>_xlfn.IFNA(VLOOKUP($A1145,[2]stockregister!$A$2:$H$2000,8,0),0)-$M1145</f>
        <v>0</v>
      </c>
      <c r="O1145" s="3" t="s">
        <v>2702</v>
      </c>
      <c r="P1145" s="3" t="s">
        <v>2702</v>
      </c>
      <c r="Q1145" s="3" t="s">
        <v>1122</v>
      </c>
      <c r="R1145" s="3" t="s">
        <v>78</v>
      </c>
    </row>
    <row r="1146" spans="1:18">
      <c r="A1146" s="3">
        <v>1219</v>
      </c>
      <c r="B1146" s="3" t="b">
        <f>ISNUMBER(MATCH(A1146,[1]stockregister!$A$2:$A$2000,0))</f>
        <v>1</v>
      </c>
      <c r="C1146" s="3" t="s">
        <v>486</v>
      </c>
      <c r="D1146" s="3" t="str">
        <f>VLOOKUP($C1146,[1]stockregister!$B$2:$B$2000,1,0)</f>
        <v>KO CLASSIC GIN 750ML </v>
      </c>
      <c r="E1146" s="3" t="str">
        <f>IF(ISNA($D1146),VLOOKUP($A1146,[2]stockregister!$A$2:$B$2000,2,FALSE),"")</f>
        <v/>
      </c>
      <c r="F1146" s="3" t="s">
        <v>21</v>
      </c>
      <c r="G1146" s="3">
        <f>_xlfn.IFNA(VLOOKUP($A1146,[3]stockregister!$A$2:$L$2000,11,0),0)</f>
        <v>0</v>
      </c>
      <c r="H1146" s="3">
        <f>_xlfn.IFNA(VLOOKUP($A1146,[3]stockregister!$A$2:$L$2000,11,0),0)-$G1146</f>
        <v>0</v>
      </c>
      <c r="I1146" s="3">
        <f>_xlfn.IFNA(VLOOKUP($A1146,[3]stockregister!$A$2:$L$2000,12,0),0)</f>
        <v>1748</v>
      </c>
      <c r="J1146" s="3">
        <f>_xlfn.IFNA(VLOOKUP($A1146,[3]stockregister!$A$1:$M$2000,12,0),0)-$I1146</f>
        <v>0</v>
      </c>
      <c r="K1146" s="3" t="s">
        <v>22</v>
      </c>
      <c r="L1146" s="3" t="s">
        <v>23</v>
      </c>
      <c r="M1146" s="3">
        <f>_xlfn.IFNA(VLOOKUP($A1146,[2]stockregister!$A$2:$H$2000,8,0),0)</f>
        <v>1900</v>
      </c>
      <c r="N1146" s="3">
        <f>_xlfn.IFNA(VLOOKUP($A1146,[2]stockregister!$A$2:$H$2000,8,0),0)-$M1146</f>
        <v>0</v>
      </c>
      <c r="O1146" s="3" t="s">
        <v>2703</v>
      </c>
      <c r="P1146" s="3" t="s">
        <v>2703</v>
      </c>
      <c r="Q1146" s="3" t="s">
        <v>129</v>
      </c>
      <c r="R1146" s="3" t="s">
        <v>78</v>
      </c>
    </row>
    <row r="1147" spans="1:18">
      <c r="A1147" s="3">
        <v>22</v>
      </c>
      <c r="B1147" s="3" t="b">
        <f>ISNUMBER(MATCH(A1147,[1]stockregister!$A$2:$A$2000,0))</f>
        <v>1</v>
      </c>
      <c r="C1147" s="3" t="s">
        <v>2704</v>
      </c>
      <c r="D1147" s="3" t="str">
        <f>VLOOKUP($C1147,[1]stockregister!$B$2:$B$2000,1,0)</f>
        <v>58 GIN 350ml</v>
      </c>
      <c r="E1147" s="3" t="str">
        <f>IF(ISNA($D1147),VLOOKUP($A1147,[2]stockregister!$A$2:$B$2000,2,FALSE),"")</f>
        <v/>
      </c>
      <c r="F1147" s="3" t="s">
        <v>21</v>
      </c>
      <c r="G1147" s="3">
        <f>_xlfn.IFNA(VLOOKUP($A1147,[3]stockregister!$A$2:$L$2000,11,0),0)</f>
        <v>0</v>
      </c>
      <c r="H1147" s="3">
        <f>_xlfn.IFNA(VLOOKUP($A1147,[3]stockregister!$A$2:$L$2000,11,0),0)-$G1147</f>
        <v>0</v>
      </c>
      <c r="I1147" s="3">
        <f>_xlfn.IFNA(VLOOKUP($A1147,[3]stockregister!$A$2:$L$2000,12,0),0)</f>
        <v>506</v>
      </c>
      <c r="J1147" s="3">
        <f>_xlfn.IFNA(VLOOKUP($A1147,[3]stockregister!$A$1:$M$2000,12,0),0)-$I1147</f>
        <v>0</v>
      </c>
      <c r="K1147" s="3" t="s">
        <v>22</v>
      </c>
      <c r="L1147" s="3" t="s">
        <v>23</v>
      </c>
      <c r="M1147" s="3">
        <f>_xlfn.IFNA(VLOOKUP($A1147,[2]stockregister!$A$2:$H$2000,8,0),0)</f>
        <v>550</v>
      </c>
      <c r="N1147" s="3">
        <f>_xlfn.IFNA(VLOOKUP($A1147,[2]stockregister!$A$2:$H$2000,8,0),0)-$M1147</f>
        <v>0</v>
      </c>
      <c r="O1147" s="3" t="s">
        <v>898</v>
      </c>
      <c r="P1147" s="3" t="s">
        <v>898</v>
      </c>
      <c r="Q1147" s="3" t="s">
        <v>811</v>
      </c>
      <c r="R1147" s="3" t="s">
        <v>78</v>
      </c>
    </row>
    <row r="1148" spans="1:18">
      <c r="A1148" s="3">
        <v>261</v>
      </c>
      <c r="B1148" s="3" t="b">
        <f>ISNUMBER(MATCH(A1148,[1]stockregister!$A$2:$A$2000,0))</f>
        <v>1</v>
      </c>
      <c r="C1148" s="3" t="s">
        <v>2705</v>
      </c>
      <c r="D1148" s="3" t="str">
        <f>VLOOKUP($C1148,[1]stockregister!$B$2:$B$2000,1,0)</f>
        <v>BOMBAY DRY GIN 1LTR</v>
      </c>
      <c r="E1148" s="3" t="str">
        <f>IF(ISNA($D1148),VLOOKUP($A1148,[2]stockregister!$A$2:$B$2000,2,FALSE),"")</f>
        <v/>
      </c>
      <c r="F1148" s="3" t="s">
        <v>21</v>
      </c>
      <c r="G1148" s="3">
        <f>_xlfn.IFNA(VLOOKUP($A1148,[3]stockregister!$A$2:$L$2000,11,0),0)</f>
        <v>0</v>
      </c>
      <c r="H1148" s="3">
        <f>_xlfn.IFNA(VLOOKUP($A1148,[3]stockregister!$A$2:$L$2000,11,0),0)-$G1148</f>
        <v>0</v>
      </c>
      <c r="I1148" s="3">
        <f>_xlfn.IFNA(VLOOKUP($A1148,[3]stockregister!$A$2:$L$2000,12,0),0)</f>
        <v>1800</v>
      </c>
      <c r="J1148" s="3">
        <f>_xlfn.IFNA(VLOOKUP($A1148,[3]stockregister!$A$1:$M$2000,12,0),0)-$I1148</f>
        <v>0</v>
      </c>
      <c r="K1148" s="3" t="s">
        <v>22</v>
      </c>
      <c r="L1148" s="3" t="s">
        <v>23</v>
      </c>
      <c r="M1148" s="3">
        <f>_xlfn.IFNA(VLOOKUP($A1148,[2]stockregister!$A$2:$H$2000,8,0),0)</f>
        <v>1900</v>
      </c>
      <c r="N1148" s="3">
        <f>_xlfn.IFNA(VLOOKUP($A1148,[2]stockregister!$A$2:$H$2000,8,0),0)-$M1148</f>
        <v>0</v>
      </c>
      <c r="O1148" s="3" t="s">
        <v>2706</v>
      </c>
      <c r="P1148" s="3" t="s">
        <v>2706</v>
      </c>
      <c r="Q1148" s="3" t="s">
        <v>1585</v>
      </c>
      <c r="R1148" s="3" t="s">
        <v>78</v>
      </c>
    </row>
    <row r="1149" spans="1:18">
      <c r="A1149" s="3">
        <v>915</v>
      </c>
      <c r="B1149" s="3" t="b">
        <f>ISNUMBER(MATCH(A1149,[1]stockregister!$A$2:$A$2000,0))</f>
        <v>1</v>
      </c>
      <c r="C1149" s="3" t="s">
        <v>2707</v>
      </c>
      <c r="D1149" s="3" t="str">
        <f>VLOOKUP($C1149,[1]stockregister!$B$2:$B$2000,1,0)</f>
        <v>GREENALL ORIGINAL 1LTR</v>
      </c>
      <c r="E1149" s="3" t="str">
        <f>IF(ISNA($D1149),VLOOKUP($A1149,[2]stockregister!$A$2:$B$2000,2,FALSE),"")</f>
        <v/>
      </c>
      <c r="F1149" s="3" t="s">
        <v>21</v>
      </c>
      <c r="G1149" s="3">
        <f>_xlfn.IFNA(VLOOKUP($A1149,[3]stockregister!$A$2:$L$2000,11,0),0)</f>
        <v>0</v>
      </c>
      <c r="H1149" s="3">
        <f>_xlfn.IFNA(VLOOKUP($A1149,[3]stockregister!$A$2:$L$2000,11,0),0)-$G1149</f>
        <v>0</v>
      </c>
      <c r="I1149" s="3">
        <f>_xlfn.IFNA(VLOOKUP($A1149,[3]stockregister!$A$2:$L$2000,12,0),0)</f>
        <v>1748</v>
      </c>
      <c r="J1149" s="3">
        <f>_xlfn.IFNA(VLOOKUP($A1149,[3]stockregister!$A$1:$M$2000,12,0),0)-$I1149</f>
        <v>0</v>
      </c>
      <c r="K1149" s="3" t="s">
        <v>22</v>
      </c>
      <c r="L1149" s="3" t="s">
        <v>23</v>
      </c>
      <c r="M1149" s="3">
        <f>_xlfn.IFNA(VLOOKUP($A1149,[2]stockregister!$A$2:$H$2000,8,0),0)</f>
        <v>1900</v>
      </c>
      <c r="N1149" s="3">
        <f>_xlfn.IFNA(VLOOKUP($A1149,[2]stockregister!$A$2:$H$2000,8,0),0)-$M1149</f>
        <v>0</v>
      </c>
      <c r="O1149" s="3" t="s">
        <v>2708</v>
      </c>
      <c r="P1149" s="3" t="s">
        <v>2708</v>
      </c>
      <c r="Q1149" s="3" t="s">
        <v>846</v>
      </c>
      <c r="R1149" s="3" t="s">
        <v>78</v>
      </c>
    </row>
    <row r="1150" spans="1:18">
      <c r="A1150" s="3">
        <v>218</v>
      </c>
      <c r="B1150" s="3" t="b">
        <f>ISNUMBER(MATCH(A1150,[1]stockregister!$A$2:$A$2000,0))</f>
        <v>1</v>
      </c>
      <c r="C1150" s="3" t="s">
        <v>2709</v>
      </c>
      <c r="D1150" s="3" t="str">
        <f>VLOOKUP($C1150,[1]stockregister!$B$2:$B$2000,1,0)</f>
        <v>BEST GIN 250ML</v>
      </c>
      <c r="E1150" s="3" t="str">
        <f>IF(ISNA($D1150),VLOOKUP($A1150,[2]stockregister!$A$2:$B$2000,2,FALSE),"")</f>
        <v/>
      </c>
      <c r="F1150" s="3" t="s">
        <v>21</v>
      </c>
      <c r="G1150" s="3">
        <f>_xlfn.IFNA(VLOOKUP($A1150,[3]stockregister!$A$2:$L$2000,11,0),0)</f>
        <v>0</v>
      </c>
      <c r="H1150" s="3">
        <f>_xlfn.IFNA(VLOOKUP($A1150,[3]stockregister!$A$2:$L$2000,11,0),0)-$G1150</f>
        <v>0</v>
      </c>
      <c r="I1150" s="3">
        <f>_xlfn.IFNA(VLOOKUP($A1150,[3]stockregister!$A$2:$L$2000,12,0),0)</f>
        <v>252.9</v>
      </c>
      <c r="J1150" s="3">
        <f>_xlfn.IFNA(VLOOKUP($A1150,[3]stockregister!$A$1:$M$2000,12,0),0)-$I1150</f>
        <v>0</v>
      </c>
      <c r="K1150" s="3" t="s">
        <v>22</v>
      </c>
      <c r="L1150" s="3" t="s">
        <v>23</v>
      </c>
      <c r="M1150" s="3">
        <f>_xlfn.IFNA(VLOOKUP($A1150,[2]stockregister!$A$2:$H$2000,8,0),0)</f>
        <v>257</v>
      </c>
      <c r="N1150" s="3">
        <f>_xlfn.IFNA(VLOOKUP($A1150,[2]stockregister!$A$2:$H$2000,8,0),0)-$M1150</f>
        <v>0</v>
      </c>
      <c r="O1150" s="3" t="s">
        <v>2710</v>
      </c>
      <c r="P1150" s="3" t="s">
        <v>2710</v>
      </c>
      <c r="Q1150" s="3" t="s">
        <v>77</v>
      </c>
      <c r="R1150" s="3" t="s">
        <v>78</v>
      </c>
    </row>
    <row r="1151" spans="1:18">
      <c r="A1151" s="3">
        <v>262</v>
      </c>
      <c r="B1151" s="3" t="b">
        <f>ISNUMBER(MATCH(A1151,[1]stockregister!$A$2:$A$2000,0))</f>
        <v>1</v>
      </c>
      <c r="C1151" s="3" t="s">
        <v>2711</v>
      </c>
      <c r="D1151" s="3" t="str">
        <f>VLOOKUP($C1151,[1]stockregister!$B$2:$B$2000,1,0)</f>
        <v>BOMBAY DRY GIN 750ML</v>
      </c>
      <c r="E1151" s="3" t="str">
        <f>IF(ISNA($D1151),VLOOKUP($A1151,[2]stockregister!$A$2:$B$2000,2,FALSE),"")</f>
        <v/>
      </c>
      <c r="F1151" s="3" t="s">
        <v>21</v>
      </c>
      <c r="G1151" s="3">
        <f>_xlfn.IFNA(VLOOKUP($A1151,[3]stockregister!$A$2:$L$2000,11,0),0)</f>
        <v>0</v>
      </c>
      <c r="H1151" s="3">
        <f>_xlfn.IFNA(VLOOKUP($A1151,[3]stockregister!$A$2:$L$2000,11,0),0)-$G1151</f>
        <v>0</v>
      </c>
      <c r="I1151" s="3">
        <f>_xlfn.IFNA(VLOOKUP($A1151,[3]stockregister!$A$2:$L$2000,12,0),0)</f>
        <v>1380</v>
      </c>
      <c r="J1151" s="3">
        <f>_xlfn.IFNA(VLOOKUP($A1151,[3]stockregister!$A$1:$M$2000,12,0),0)-$I1151</f>
        <v>0</v>
      </c>
      <c r="K1151" s="3" t="s">
        <v>22</v>
      </c>
      <c r="L1151" s="3" t="s">
        <v>23</v>
      </c>
      <c r="M1151" s="3">
        <f>_xlfn.IFNA(VLOOKUP($A1151,[2]stockregister!$A$2:$H$2000,8,0),0)</f>
        <v>1500</v>
      </c>
      <c r="N1151" s="3">
        <f>_xlfn.IFNA(VLOOKUP($A1151,[2]stockregister!$A$2:$H$2000,8,0),0)-$M1151</f>
        <v>0</v>
      </c>
      <c r="O1151" s="3" t="s">
        <v>2712</v>
      </c>
      <c r="P1151" s="3" t="s">
        <v>2712</v>
      </c>
      <c r="Q1151" s="3" t="s">
        <v>255</v>
      </c>
      <c r="R1151" s="3" t="s">
        <v>78</v>
      </c>
    </row>
    <row r="1152" spans="1:18">
      <c r="A1152" s="3">
        <v>282</v>
      </c>
      <c r="B1152" s="3" t="b">
        <f>ISNUMBER(MATCH(A1152,[1]stockregister!$A$2:$A$2000,0))</f>
        <v>1</v>
      </c>
      <c r="C1152" s="3" t="s">
        <v>2713</v>
      </c>
      <c r="D1152" s="3" t="str">
        <f>VLOOKUP($C1152,[1]stockregister!$B$2:$B$2000,1,0)</f>
        <v>BROOKLYN GIN 750ML</v>
      </c>
      <c r="E1152" s="3" t="str">
        <f>IF(ISNA($D1152),VLOOKUP($A1152,[2]stockregister!$A$2:$B$2000,2,FALSE),"")</f>
        <v/>
      </c>
      <c r="F1152" s="3" t="s">
        <v>21</v>
      </c>
      <c r="G1152" s="3">
        <f>_xlfn.IFNA(VLOOKUP($A1152,[3]stockregister!$A$2:$L$2000,11,0),0)</f>
        <v>0</v>
      </c>
      <c r="H1152" s="3">
        <f>_xlfn.IFNA(VLOOKUP($A1152,[3]stockregister!$A$2:$L$2000,11,0),0)-$G1152</f>
        <v>0</v>
      </c>
      <c r="I1152" s="3">
        <f>_xlfn.IFNA(VLOOKUP($A1152,[3]stockregister!$A$2:$L$2000,12,0),0)</f>
        <v>4784</v>
      </c>
      <c r="J1152" s="3">
        <f>_xlfn.IFNA(VLOOKUP($A1152,[3]stockregister!$A$1:$M$2000,12,0),0)-$I1152</f>
        <v>0</v>
      </c>
      <c r="K1152" s="3" t="s">
        <v>22</v>
      </c>
      <c r="L1152" s="3" t="s">
        <v>23</v>
      </c>
      <c r="M1152" s="3">
        <f>_xlfn.IFNA(VLOOKUP($A1152,[2]stockregister!$A$2:$H$2000,8,0),0)</f>
        <v>5200</v>
      </c>
      <c r="N1152" s="3">
        <f>_xlfn.IFNA(VLOOKUP($A1152,[2]stockregister!$A$2:$H$2000,8,0),0)-$M1152</f>
        <v>0</v>
      </c>
      <c r="O1152" s="3" t="s">
        <v>2714</v>
      </c>
      <c r="P1152" s="3" t="s">
        <v>2714</v>
      </c>
      <c r="Q1152" s="3" t="s">
        <v>2715</v>
      </c>
      <c r="R1152" s="3" t="s">
        <v>78</v>
      </c>
    </row>
    <row r="1153" spans="1:18">
      <c r="A1153" s="3">
        <v>2404</v>
      </c>
      <c r="B1153" s="3" t="b">
        <f>ISNUMBER(MATCH(A1153,[1]stockregister!$A$2:$A$2000,0))</f>
        <v>1</v>
      </c>
      <c r="C1153" s="3" t="s">
        <v>2716</v>
      </c>
      <c r="D1153" s="3" t="str">
        <f>VLOOKUP($C1153,[1]stockregister!$B$2:$B$2000,1,0)</f>
        <v>CRUXLAND TUFFLE GIN 750ML</v>
      </c>
      <c r="E1153" s="3" t="str">
        <f>IF(ISNA($D1153),VLOOKUP($A1153,[2]stockregister!$A$2:$B$2000,2,FALSE),"")</f>
        <v/>
      </c>
      <c r="F1153" s="3" t="s">
        <v>21</v>
      </c>
      <c r="G1153" s="3">
        <f>_xlfn.IFNA(VLOOKUP($A1153,[3]stockregister!$A$2:$L$2000,11,0),0)</f>
        <v>0</v>
      </c>
      <c r="H1153" s="3">
        <f>_xlfn.IFNA(VLOOKUP($A1153,[3]stockregister!$A$2:$L$2000,11,0),0)-$G1153</f>
        <v>0</v>
      </c>
      <c r="I1153" s="3">
        <f>_xlfn.IFNA(VLOOKUP($A1153,[3]stockregister!$A$2:$L$2000,12,0),0)</f>
        <v>2600</v>
      </c>
      <c r="J1153" s="3">
        <f>_xlfn.IFNA(VLOOKUP($A1153,[3]stockregister!$A$1:$M$2000,12,0),0)-$I1153</f>
        <v>0</v>
      </c>
      <c r="K1153" s="3" t="s">
        <v>22</v>
      </c>
      <c r="L1153" s="3" t="s">
        <v>23</v>
      </c>
      <c r="M1153" s="3">
        <f>_xlfn.IFNA(VLOOKUP($A1153,[2]stockregister!$A$2:$H$2000,8,0),0)</f>
        <v>3500</v>
      </c>
      <c r="N1153" s="3">
        <f>_xlfn.IFNA(VLOOKUP($A1153,[2]stockregister!$A$2:$H$2000,8,0),0)-$M1153</f>
        <v>0</v>
      </c>
      <c r="O1153" s="3" t="s">
        <v>2717</v>
      </c>
      <c r="P1153" s="3" t="s">
        <v>2717</v>
      </c>
      <c r="Q1153" s="3" t="s">
        <v>2718</v>
      </c>
      <c r="R1153" s="3" t="s">
        <v>78</v>
      </c>
    </row>
    <row r="1154" spans="1:18">
      <c r="A1154" s="3">
        <v>892</v>
      </c>
      <c r="B1154" s="3" t="b">
        <f>ISNUMBER(MATCH(A1154,[1]stockregister!$A$2:$A$2000,0))</f>
        <v>1</v>
      </c>
      <c r="C1154" s="3" t="s">
        <v>2719</v>
      </c>
      <c r="D1154" s="3" t="str">
        <f>VLOOKUP($C1154,[1]stockregister!$B$2:$B$2000,1,0)</f>
        <v>GORDONS 375ML</v>
      </c>
      <c r="E1154" s="3" t="str">
        <f>IF(ISNA($D1154),VLOOKUP($A1154,[2]stockregister!$A$2:$B$2000,2,FALSE),"")</f>
        <v/>
      </c>
      <c r="F1154" s="3" t="s">
        <v>21</v>
      </c>
      <c r="G1154" s="3">
        <f>_xlfn.IFNA(VLOOKUP($A1154,[3]stockregister!$A$2:$L$2000,11,0),0)</f>
        <v>0</v>
      </c>
      <c r="H1154" s="3">
        <f>_xlfn.IFNA(VLOOKUP($A1154,[3]stockregister!$A$2:$L$2000,11,0),0)-$G1154</f>
        <v>0</v>
      </c>
      <c r="I1154" s="3">
        <f>_xlfn.IFNA(VLOOKUP($A1154,[3]stockregister!$A$2:$L$2000,12,0),0)</f>
        <v>736</v>
      </c>
      <c r="J1154" s="3">
        <f>_xlfn.IFNA(VLOOKUP($A1154,[3]stockregister!$A$1:$M$2000,12,0),0)-$I1154</f>
        <v>0</v>
      </c>
      <c r="K1154" s="3" t="s">
        <v>22</v>
      </c>
      <c r="L1154" s="3" t="s">
        <v>23</v>
      </c>
      <c r="M1154" s="3">
        <f>_xlfn.IFNA(VLOOKUP($A1154,[2]stockregister!$A$2:$H$2000,8,0),0)</f>
        <v>1000</v>
      </c>
      <c r="N1154" s="3">
        <f>_xlfn.IFNA(VLOOKUP($A1154,[2]stockregister!$A$2:$H$2000,8,0),0)-$M1154</f>
        <v>0</v>
      </c>
      <c r="O1154" s="3" t="s">
        <v>2720</v>
      </c>
      <c r="P1154" s="3" t="s">
        <v>2720</v>
      </c>
      <c r="Q1154" s="3" t="s">
        <v>348</v>
      </c>
      <c r="R1154" s="3" t="s">
        <v>78</v>
      </c>
    </row>
    <row r="1155" spans="1:18">
      <c r="A1155" s="3">
        <v>2817</v>
      </c>
      <c r="B1155" s="3" t="b">
        <f>ISNUMBER(MATCH(A1155,[1]stockregister!$A$2:$A$2000,0))</f>
        <v>1</v>
      </c>
      <c r="C1155" s="3" t="s">
        <v>2721</v>
      </c>
      <c r="D1155" s="3" t="str">
        <f>VLOOKUP($C1155,[1]stockregister!$B$2:$B$2000,1,0)</f>
        <v>HAYMAN'S LONDON DRY GIN 700ML</v>
      </c>
      <c r="E1155" s="3" t="str">
        <f>IF(ISNA($D1155),VLOOKUP($A1155,[2]stockregister!$A$2:$B$2000,2,FALSE),"")</f>
        <v/>
      </c>
      <c r="F1155" s="3" t="s">
        <v>21</v>
      </c>
      <c r="G1155" s="3">
        <f>_xlfn.IFNA(VLOOKUP($A1155,[3]stockregister!$A$2:$L$2000,11,0),0)</f>
        <v>0</v>
      </c>
      <c r="H1155" s="3">
        <f>_xlfn.IFNA(VLOOKUP($A1155,[3]stockregister!$A$2:$L$2000,11,0),0)-$G1155</f>
        <v>0</v>
      </c>
      <c r="I1155" s="3">
        <f>_xlfn.IFNA(VLOOKUP($A1155,[3]stockregister!$A$2:$L$2000,12,0),0)</f>
        <v>2210</v>
      </c>
      <c r="J1155" s="3">
        <f>_xlfn.IFNA(VLOOKUP($A1155,[3]stockregister!$A$1:$M$2000,12,0),0)-$I1155</f>
        <v>0</v>
      </c>
      <c r="K1155" s="3" t="s">
        <v>22</v>
      </c>
      <c r="L1155" s="3" t="s">
        <v>23</v>
      </c>
      <c r="M1155" s="3">
        <f>_xlfn.IFNA(VLOOKUP($A1155,[2]stockregister!$A$2:$H$2000,8,0),0)</f>
        <v>2800</v>
      </c>
      <c r="N1155" s="3">
        <f>_xlfn.IFNA(VLOOKUP($A1155,[2]stockregister!$A$2:$H$2000,8,0),0)-$M1155</f>
        <v>0</v>
      </c>
      <c r="O1155" s="3" t="s">
        <v>2722</v>
      </c>
      <c r="P1155" s="3" t="s">
        <v>2722</v>
      </c>
      <c r="Q1155" s="3" t="s">
        <v>1395</v>
      </c>
      <c r="R1155" s="3" t="s">
        <v>78</v>
      </c>
    </row>
    <row r="1156" spans="1:18">
      <c r="A1156" s="3">
        <v>946</v>
      </c>
      <c r="B1156" s="3" t="b">
        <f>ISNUMBER(MATCH(A1156,[1]stockregister!$A$2:$A$2000,0))</f>
        <v>1</v>
      </c>
      <c r="C1156" s="3" t="s">
        <v>2723</v>
      </c>
      <c r="D1156" s="3" t="str">
        <f>VLOOKUP($C1156,[1]stockregister!$B$2:$B$2000,1,0)</f>
        <v>HAYMANS GIN 750ML</v>
      </c>
      <c r="E1156" s="3" t="str">
        <f>IF(ISNA($D1156),VLOOKUP($A1156,[2]stockregister!$A$2:$B$2000,2,FALSE),"")</f>
        <v/>
      </c>
      <c r="F1156" s="3" t="s">
        <v>21</v>
      </c>
      <c r="G1156" s="3">
        <f>_xlfn.IFNA(VLOOKUP($A1156,[3]stockregister!$A$2:$L$2000,11,0),0)</f>
        <v>0</v>
      </c>
      <c r="H1156" s="3">
        <f>_xlfn.IFNA(VLOOKUP($A1156,[3]stockregister!$A$2:$L$2000,11,0),0)-$G1156</f>
        <v>0</v>
      </c>
      <c r="I1156" s="3">
        <f>_xlfn.IFNA(VLOOKUP($A1156,[3]stockregister!$A$2:$L$2000,12,0),0)</f>
        <v>2024</v>
      </c>
      <c r="J1156" s="3">
        <f>_xlfn.IFNA(VLOOKUP($A1156,[3]stockregister!$A$1:$M$2000,12,0),0)-$I1156</f>
        <v>0</v>
      </c>
      <c r="K1156" s="3" t="s">
        <v>22</v>
      </c>
      <c r="L1156" s="3" t="s">
        <v>23</v>
      </c>
      <c r="M1156" s="3">
        <f>_xlfn.IFNA(VLOOKUP($A1156,[2]stockregister!$A$2:$H$2000,8,0),0)</f>
        <v>2200</v>
      </c>
      <c r="N1156" s="3">
        <f>_xlfn.IFNA(VLOOKUP($A1156,[2]stockregister!$A$2:$H$2000,8,0),0)-$M1156</f>
        <v>0</v>
      </c>
      <c r="O1156" s="3" t="s">
        <v>2724</v>
      </c>
      <c r="P1156" s="3" t="s">
        <v>2724</v>
      </c>
      <c r="Q1156" s="3" t="s">
        <v>1395</v>
      </c>
      <c r="R1156" s="3" t="s">
        <v>78</v>
      </c>
    </row>
    <row r="1157" spans="1:18">
      <c r="A1157" s="3">
        <v>1000</v>
      </c>
      <c r="B1157" s="3" t="b">
        <f>ISNUMBER(MATCH(A1157,[1]stockregister!$A$2:$A$2000,0))</f>
        <v>1</v>
      </c>
      <c r="C1157" s="3" t="s">
        <v>2725</v>
      </c>
      <c r="D1157" s="3" t="str">
        <f>VLOOKUP($C1157,[1]stockregister!$B$2:$B$2000,1,0)</f>
        <v>HUNTING LODGE GIN 750ML</v>
      </c>
      <c r="E1157" s="3" t="str">
        <f>IF(ISNA($D1157),VLOOKUP($A1157,[2]stockregister!$A$2:$B$2000,2,FALSE),"")</f>
        <v/>
      </c>
      <c r="F1157" s="3" t="s">
        <v>21</v>
      </c>
      <c r="G1157" s="3">
        <f>_xlfn.IFNA(VLOOKUP($A1157,[3]stockregister!$A$2:$L$2000,11,0),0)</f>
        <v>0</v>
      </c>
      <c r="H1157" s="3">
        <f>_xlfn.IFNA(VLOOKUP($A1157,[3]stockregister!$A$2:$L$2000,11,0),0)-$G1157</f>
        <v>0</v>
      </c>
      <c r="I1157" s="3">
        <f>_xlfn.IFNA(VLOOKUP($A1157,[3]stockregister!$A$2:$L$2000,12,0),0)</f>
        <v>690</v>
      </c>
      <c r="J1157" s="3">
        <f>_xlfn.IFNA(VLOOKUP($A1157,[3]stockregister!$A$1:$M$2000,12,0),0)-$I1157</f>
        <v>0</v>
      </c>
      <c r="K1157" s="3" t="s">
        <v>22</v>
      </c>
      <c r="L1157" s="3" t="s">
        <v>23</v>
      </c>
      <c r="M1157" s="3">
        <f>_xlfn.IFNA(VLOOKUP($A1157,[2]stockregister!$A$2:$H$2000,8,0),0)</f>
        <v>750</v>
      </c>
      <c r="N1157" s="3">
        <f>_xlfn.IFNA(VLOOKUP($A1157,[2]stockregister!$A$2:$H$2000,8,0),0)-$M1157</f>
        <v>0</v>
      </c>
      <c r="O1157" s="3" t="s">
        <v>2726</v>
      </c>
      <c r="P1157" s="3" t="s">
        <v>2726</v>
      </c>
      <c r="Q1157" s="3" t="s">
        <v>1887</v>
      </c>
      <c r="R1157" s="3" t="s">
        <v>78</v>
      </c>
    </row>
    <row r="1158" spans="1:18">
      <c r="A1158" s="3">
        <v>2294</v>
      </c>
      <c r="B1158" s="3" t="b">
        <f>ISNUMBER(MATCH(A1158,[1]stockregister!$A$2:$A$2000,0))</f>
        <v>1</v>
      </c>
      <c r="C1158" s="3" t="s">
        <v>488</v>
      </c>
      <c r="D1158" s="3" t="str">
        <f>VLOOKUP($C1158,[1]stockregister!$B$2:$B$2000,1,0)</f>
        <v>IRISH  MIST 1LTR</v>
      </c>
      <c r="E1158" s="3" t="str">
        <f>IF(ISNA($D1158),VLOOKUP($A1158,[2]stockregister!$A$2:$B$2000,2,FALSE),"")</f>
        <v/>
      </c>
      <c r="F1158" s="3" t="s">
        <v>21</v>
      </c>
      <c r="G1158" s="3">
        <f>_xlfn.IFNA(VLOOKUP($A1158,[3]stockregister!$A$2:$L$2000,11,0),0)</f>
        <v>0</v>
      </c>
      <c r="H1158" s="3">
        <f>_xlfn.IFNA(VLOOKUP($A1158,[3]stockregister!$A$2:$L$2000,11,0),0)-$G1158</f>
        <v>0</v>
      </c>
      <c r="I1158" s="3">
        <f>_xlfn.IFNA(VLOOKUP($A1158,[3]stockregister!$A$2:$L$2000,12,0),0)</f>
        <v>3400</v>
      </c>
      <c r="J1158" s="3">
        <f>_xlfn.IFNA(VLOOKUP($A1158,[3]stockregister!$A$1:$M$2000,12,0),0)-$I1158</f>
        <v>0</v>
      </c>
      <c r="K1158" s="3" t="s">
        <v>22</v>
      </c>
      <c r="L1158" s="3" t="s">
        <v>23</v>
      </c>
      <c r="M1158" s="3">
        <f>_xlfn.IFNA(VLOOKUP($A1158,[2]stockregister!$A$2:$H$2000,8,0),0)</f>
        <v>3500</v>
      </c>
      <c r="N1158" s="3">
        <f>_xlfn.IFNA(VLOOKUP($A1158,[2]stockregister!$A$2:$H$2000,8,0),0)-$M1158</f>
        <v>0</v>
      </c>
      <c r="O1158" s="3" t="s">
        <v>2727</v>
      </c>
      <c r="P1158" s="3" t="s">
        <v>2727</v>
      </c>
      <c r="Q1158" s="3" t="s">
        <v>2728</v>
      </c>
      <c r="R1158" s="3" t="s">
        <v>78</v>
      </c>
    </row>
    <row r="1159" spans="1:18">
      <c r="A1159" s="3">
        <v>1205</v>
      </c>
      <c r="B1159" s="3" t="b">
        <f>ISNUMBER(MATCH(A1159,[1]stockregister!$A$2:$A$2000,0))</f>
        <v>1</v>
      </c>
      <c r="C1159" s="3" t="s">
        <v>2729</v>
      </c>
      <c r="D1159" s="3" t="str">
        <f>VLOOKUP($C1159,[1]stockregister!$B$2:$B$2000,1,0)</f>
        <v>KING ROBERT GIN 1LTR</v>
      </c>
      <c r="E1159" s="3" t="str">
        <f>IF(ISNA($D1159),VLOOKUP($A1159,[2]stockregister!$A$2:$B$2000,2,FALSE),"")</f>
        <v/>
      </c>
      <c r="F1159" s="3" t="s">
        <v>21</v>
      </c>
      <c r="G1159" s="3">
        <f>_xlfn.IFNA(VLOOKUP($A1159,[3]stockregister!$A$2:$L$2000,11,0),0)</f>
        <v>0</v>
      </c>
      <c r="H1159" s="3">
        <f>_xlfn.IFNA(VLOOKUP($A1159,[3]stockregister!$A$2:$L$2000,11,0),0)-$G1159</f>
        <v>0</v>
      </c>
      <c r="I1159" s="3">
        <f>_xlfn.IFNA(VLOOKUP($A1159,[3]stockregister!$A$2:$L$2000,12,0),0)</f>
        <v>1104</v>
      </c>
      <c r="J1159" s="3">
        <f>_xlfn.IFNA(VLOOKUP($A1159,[3]stockregister!$A$1:$M$2000,12,0),0)-$I1159</f>
        <v>0</v>
      </c>
      <c r="K1159" s="3" t="s">
        <v>22</v>
      </c>
      <c r="L1159" s="3" t="s">
        <v>23</v>
      </c>
      <c r="M1159" s="3">
        <f>_xlfn.IFNA(VLOOKUP($A1159,[2]stockregister!$A$2:$H$2000,8,0),0)</f>
        <v>1200</v>
      </c>
      <c r="N1159" s="3">
        <f>_xlfn.IFNA(VLOOKUP($A1159,[2]stockregister!$A$2:$H$2000,8,0),0)-$M1159</f>
        <v>0</v>
      </c>
      <c r="O1159" s="3" t="s">
        <v>2730</v>
      </c>
      <c r="P1159" s="3" t="s">
        <v>2730</v>
      </c>
      <c r="Q1159" s="3" t="s">
        <v>1274</v>
      </c>
      <c r="R1159" s="3" t="s">
        <v>78</v>
      </c>
    </row>
    <row r="1160" spans="1:18">
      <c r="A1160" s="3">
        <v>2225</v>
      </c>
      <c r="B1160" s="3" t="b">
        <f>ISNUMBER(MATCH(A1160,[1]stockregister!$A$2:$A$2000,0))</f>
        <v>1</v>
      </c>
      <c r="C1160" s="3" t="s">
        <v>2731</v>
      </c>
      <c r="D1160" s="3" t="str">
        <f>VLOOKUP($C1160,[1]stockregister!$B$2:$B$2000,1,0)</f>
        <v>KINGSTONE GIN 1LTR</v>
      </c>
      <c r="E1160" s="3" t="str">
        <f>IF(ISNA($D1160),VLOOKUP($A1160,[2]stockregister!$A$2:$B$2000,2,FALSE),"")</f>
        <v/>
      </c>
      <c r="F1160" s="3" t="s">
        <v>21</v>
      </c>
      <c r="G1160" s="3">
        <f>_xlfn.IFNA(VLOOKUP($A1160,[3]stockregister!$A$2:$L$2000,11,0),0)</f>
        <v>0</v>
      </c>
      <c r="H1160" s="3">
        <f>_xlfn.IFNA(VLOOKUP($A1160,[3]stockregister!$A$2:$L$2000,11,0),0)-$G1160</f>
        <v>0</v>
      </c>
      <c r="I1160" s="3">
        <f>_xlfn.IFNA(VLOOKUP($A1160,[3]stockregister!$A$2:$L$2000,12,0),0)</f>
        <v>700</v>
      </c>
      <c r="J1160" s="3">
        <f>_xlfn.IFNA(VLOOKUP($A1160,[3]stockregister!$A$1:$M$2000,12,0),0)-$I1160</f>
        <v>0</v>
      </c>
      <c r="K1160" s="3" t="s">
        <v>22</v>
      </c>
      <c r="L1160" s="3" t="s">
        <v>23</v>
      </c>
      <c r="M1160" s="3">
        <f>_xlfn.IFNA(VLOOKUP($A1160,[2]stockregister!$A$2:$H$2000,8,0),0)</f>
        <v>750</v>
      </c>
      <c r="N1160" s="3">
        <f>_xlfn.IFNA(VLOOKUP($A1160,[2]stockregister!$A$2:$H$2000,8,0),0)-$M1160</f>
        <v>0</v>
      </c>
      <c r="O1160" s="3" t="s">
        <v>2732</v>
      </c>
      <c r="P1160" s="3" t="s">
        <v>2732</v>
      </c>
      <c r="Q1160" s="3" t="s">
        <v>2733</v>
      </c>
      <c r="R1160" s="3" t="s">
        <v>78</v>
      </c>
    </row>
    <row r="1161" spans="1:18">
      <c r="A1161" s="3">
        <v>1482</v>
      </c>
      <c r="B1161" s="3" t="b">
        <f>ISNUMBER(MATCH(A1161,[1]stockregister!$A$2:$A$2000,0))</f>
        <v>1</v>
      </c>
      <c r="C1161" s="3" t="s">
        <v>2734</v>
      </c>
      <c r="D1161" s="3" t="str">
        <f>VLOOKUP($C1161,[1]stockregister!$B$2:$B$2000,1,0)</f>
        <v>MR. BOSTON GIN 750ml</v>
      </c>
      <c r="E1161" s="3" t="str">
        <f>IF(ISNA($D1161),VLOOKUP($A1161,[2]stockregister!$A$2:$B$2000,2,FALSE),"")</f>
        <v/>
      </c>
      <c r="F1161" s="3" t="s">
        <v>21</v>
      </c>
      <c r="G1161" s="3">
        <f>_xlfn.IFNA(VLOOKUP($A1161,[3]stockregister!$A$2:$L$2000,11,0),0)</f>
        <v>0</v>
      </c>
      <c r="H1161" s="3">
        <f>_xlfn.IFNA(VLOOKUP($A1161,[3]stockregister!$A$2:$L$2000,11,0),0)-$G1161</f>
        <v>0</v>
      </c>
      <c r="I1161" s="3">
        <f>_xlfn.IFNA(VLOOKUP($A1161,[3]stockregister!$A$2:$L$2000,12,0),0)</f>
        <v>920</v>
      </c>
      <c r="J1161" s="3">
        <f>_xlfn.IFNA(VLOOKUP($A1161,[3]stockregister!$A$1:$M$2000,12,0),0)-$I1161</f>
        <v>0</v>
      </c>
      <c r="K1161" s="3" t="s">
        <v>22</v>
      </c>
      <c r="L1161" s="3" t="s">
        <v>23</v>
      </c>
      <c r="M1161" s="3">
        <f>_xlfn.IFNA(VLOOKUP($A1161,[2]stockregister!$A$2:$H$2000,8,0),0)</f>
        <v>1000</v>
      </c>
      <c r="N1161" s="3">
        <f>_xlfn.IFNA(VLOOKUP($A1161,[2]stockregister!$A$2:$H$2000,8,0),0)-$M1161</f>
        <v>0</v>
      </c>
      <c r="O1161" s="3" t="s">
        <v>2735</v>
      </c>
      <c r="P1161" s="3" t="s">
        <v>2735</v>
      </c>
      <c r="Q1161" s="3" t="s">
        <v>2736</v>
      </c>
      <c r="R1161" s="3" t="s">
        <v>78</v>
      </c>
    </row>
    <row r="1162" spans="1:18">
      <c r="A1162" s="3">
        <v>2338</v>
      </c>
      <c r="B1162" s="3" t="b">
        <f>ISNUMBER(MATCH(A1162,[1]stockregister!$A$2:$A$2000,0))</f>
        <v>1</v>
      </c>
      <c r="C1162" s="3" t="s">
        <v>2737</v>
      </c>
      <c r="D1162" s="3" t="str">
        <f>VLOOKUP($C1162,[1]stockregister!$B$2:$B$2000,1,0)</f>
        <v>OPIHR 1LTR</v>
      </c>
      <c r="E1162" s="3" t="str">
        <f>IF(ISNA($D1162),VLOOKUP($A1162,[2]stockregister!$A$2:$B$2000,2,FALSE),"")</f>
        <v/>
      </c>
      <c r="F1162" s="3" t="s">
        <v>21</v>
      </c>
      <c r="G1162" s="3">
        <f>_xlfn.IFNA(VLOOKUP($A1162,[3]stockregister!$A$2:$L$2000,11,0),0)</f>
        <v>0</v>
      </c>
      <c r="H1162" s="3">
        <f>_xlfn.IFNA(VLOOKUP($A1162,[3]stockregister!$A$2:$L$2000,11,0),0)-$G1162</f>
        <v>0</v>
      </c>
      <c r="I1162" s="3">
        <f>_xlfn.IFNA(VLOOKUP($A1162,[3]stockregister!$A$2:$L$2000,12,0),0)</f>
        <v>4400</v>
      </c>
      <c r="J1162" s="3">
        <f>_xlfn.IFNA(VLOOKUP($A1162,[3]stockregister!$A$1:$M$2000,12,0),0)-$I1162</f>
        <v>0</v>
      </c>
      <c r="K1162" s="3" t="s">
        <v>22</v>
      </c>
      <c r="L1162" s="3" t="s">
        <v>23</v>
      </c>
      <c r="M1162" s="3">
        <f>_xlfn.IFNA(VLOOKUP($A1162,[2]stockregister!$A$2:$H$2000,8,0),0)</f>
        <v>4500</v>
      </c>
      <c r="N1162" s="3">
        <f>_xlfn.IFNA(VLOOKUP($A1162,[2]stockregister!$A$2:$H$2000,8,0),0)-$M1162</f>
        <v>0</v>
      </c>
      <c r="O1162" s="3" t="s">
        <v>2738</v>
      </c>
      <c r="P1162" s="3" t="s">
        <v>2738</v>
      </c>
      <c r="Q1162" s="3" t="s">
        <v>2739</v>
      </c>
      <c r="R1162" s="3" t="s">
        <v>78</v>
      </c>
    </row>
    <row r="1163" spans="1:18">
      <c r="A1163" s="3">
        <v>1852</v>
      </c>
      <c r="B1163" s="3" t="b">
        <f>ISNUMBER(MATCH(A1163,[1]stockregister!$A$2:$A$2000,0))</f>
        <v>1</v>
      </c>
      <c r="C1163" s="3" t="s">
        <v>2740</v>
      </c>
      <c r="D1163" s="3" t="str">
        <f>VLOOKUP($C1163,[1]stockregister!$B$2:$B$2000,1,0)</f>
        <v>SOLO AVIATOR 500ML</v>
      </c>
      <c r="E1163" s="3" t="str">
        <f>IF(ISNA($D1163),VLOOKUP($A1163,[2]stockregister!$A$2:$B$2000,2,FALSE),"")</f>
        <v/>
      </c>
      <c r="F1163" s="3" t="s">
        <v>21</v>
      </c>
      <c r="G1163" s="3">
        <f>_xlfn.IFNA(VLOOKUP($A1163,[3]stockregister!$A$2:$L$2000,11,0),0)</f>
        <v>0</v>
      </c>
      <c r="H1163" s="3">
        <f>_xlfn.IFNA(VLOOKUP($A1163,[3]stockregister!$A$2:$L$2000,11,0),0)-$G1163</f>
        <v>0</v>
      </c>
      <c r="I1163" s="3">
        <f>_xlfn.IFNA(VLOOKUP($A1163,[3]stockregister!$A$2:$L$2000,12,0),0)</f>
        <v>2000</v>
      </c>
      <c r="J1163" s="3">
        <f>_xlfn.IFNA(VLOOKUP($A1163,[3]stockregister!$A$1:$M$2000,12,0),0)-$I1163</f>
        <v>0</v>
      </c>
      <c r="K1163" s="3" t="s">
        <v>22</v>
      </c>
      <c r="L1163" s="3" t="s">
        <v>23</v>
      </c>
      <c r="M1163" s="3">
        <f>_xlfn.IFNA(VLOOKUP($A1163,[2]stockregister!$A$2:$H$2000,8,0),0)</f>
        <v>2200</v>
      </c>
      <c r="N1163" s="3">
        <f>_xlfn.IFNA(VLOOKUP($A1163,[2]stockregister!$A$2:$H$2000,8,0),0)-$M1163</f>
        <v>0</v>
      </c>
      <c r="O1163" s="3" t="s">
        <v>2741</v>
      </c>
      <c r="P1163" s="3" t="s">
        <v>2741</v>
      </c>
      <c r="Q1163" s="3" t="s">
        <v>2742</v>
      </c>
      <c r="R1163" s="3" t="s">
        <v>78</v>
      </c>
    </row>
    <row r="1164" spans="1:18">
      <c r="A1164" s="3">
        <v>2043</v>
      </c>
      <c r="B1164" s="3" t="b">
        <f>ISNUMBER(MATCH(A1164,[1]stockregister!$A$2:$A$2000,0))</f>
        <v>1</v>
      </c>
      <c r="C1164" s="3" t="s">
        <v>2743</v>
      </c>
      <c r="D1164" s="3" t="str">
        <f>VLOOKUP($C1164,[1]stockregister!$B$2:$B$2000,1,0)</f>
        <v>VALE GIN 750ML</v>
      </c>
      <c r="E1164" s="3" t="str">
        <f>IF(ISNA($D1164),VLOOKUP($A1164,[2]stockregister!$A$2:$B$2000,2,FALSE),"")</f>
        <v/>
      </c>
      <c r="F1164" s="3" t="s">
        <v>21</v>
      </c>
      <c r="G1164" s="3">
        <f>_xlfn.IFNA(VLOOKUP($A1164,[3]stockregister!$A$2:$L$2000,11,0),0)</f>
        <v>0</v>
      </c>
      <c r="H1164" s="3">
        <f>_xlfn.IFNA(VLOOKUP($A1164,[3]stockregister!$A$2:$L$2000,11,0),0)-$G1164</f>
        <v>0</v>
      </c>
      <c r="I1164" s="3">
        <f>_xlfn.IFNA(VLOOKUP($A1164,[3]stockregister!$A$2:$L$2000,12,0),0)</f>
        <v>4800</v>
      </c>
      <c r="J1164" s="3">
        <f>_xlfn.IFNA(VLOOKUP($A1164,[3]stockregister!$A$1:$M$2000,12,0),0)-$I1164</f>
        <v>0</v>
      </c>
      <c r="K1164" s="3" t="s">
        <v>22</v>
      </c>
      <c r="L1164" s="3" t="s">
        <v>23</v>
      </c>
      <c r="M1164" s="3">
        <f>_xlfn.IFNA(VLOOKUP($A1164,[2]stockregister!$A$2:$H$2000,8,0),0)</f>
        <v>5000</v>
      </c>
      <c r="N1164" s="3">
        <f>_xlfn.IFNA(VLOOKUP($A1164,[2]stockregister!$A$2:$H$2000,8,0),0)-$M1164</f>
        <v>0</v>
      </c>
      <c r="O1164" s="3" t="s">
        <v>2744</v>
      </c>
      <c r="P1164" s="3" t="s">
        <v>2744</v>
      </c>
      <c r="Q1164" s="3" t="s">
        <v>1579</v>
      </c>
      <c r="R1164" s="3" t="s">
        <v>78</v>
      </c>
    </row>
    <row r="1165" spans="1:18">
      <c r="A1165" s="3">
        <v>1404</v>
      </c>
      <c r="B1165" s="3" t="b">
        <f>ISNUMBER(MATCH(A1165,[1]stockregister!$A$2:$A$2000,0))</f>
        <v>1</v>
      </c>
      <c r="C1165" s="3" t="s">
        <v>2745</v>
      </c>
      <c r="D1165" s="3" t="str">
        <f>VLOOKUP($C1165,[1]stockregister!$B$2:$B$2000,1,0)</f>
        <v>MARTINI EXTRA DRY 1LTR</v>
      </c>
      <c r="E1165" s="3" t="str">
        <f>IF(ISNA($D1165),VLOOKUP($A1165,[2]stockregister!$A$2:$B$2000,2,FALSE),"")</f>
        <v/>
      </c>
      <c r="F1165" s="3" t="s">
        <v>21</v>
      </c>
      <c r="G1165" s="3">
        <f>_xlfn.IFNA(VLOOKUP($A1165,[3]stockregister!$A$2:$L$2000,11,0),0)</f>
        <v>0</v>
      </c>
      <c r="H1165" s="3">
        <f>_xlfn.IFNA(VLOOKUP($A1165,[3]stockregister!$A$2:$L$2000,11,0),0)-$G1165</f>
        <v>0</v>
      </c>
      <c r="I1165" s="3">
        <f>_xlfn.IFNA(VLOOKUP($A1165,[3]stockregister!$A$2:$L$2000,12,0),0)</f>
        <v>1334</v>
      </c>
      <c r="J1165" s="3">
        <f>_xlfn.IFNA(VLOOKUP($A1165,[3]stockregister!$A$1:$M$2000,12,0),0)-$I1165</f>
        <v>0</v>
      </c>
      <c r="K1165" s="3" t="s">
        <v>22</v>
      </c>
      <c r="L1165" s="3" t="s">
        <v>23</v>
      </c>
      <c r="M1165" s="3">
        <f>_xlfn.IFNA(VLOOKUP($A1165,[2]stockregister!$A$2:$H$2000,8,0),0)</f>
        <v>1450</v>
      </c>
      <c r="N1165" s="3">
        <f>_xlfn.IFNA(VLOOKUP($A1165,[2]stockregister!$A$2:$H$2000,8,0),0)-$M1165</f>
        <v>0</v>
      </c>
      <c r="O1165" s="3" t="s">
        <v>2746</v>
      </c>
      <c r="P1165" s="3" t="s">
        <v>2746</v>
      </c>
      <c r="Q1165" s="3" t="s">
        <v>801</v>
      </c>
      <c r="R1165" s="3" t="s">
        <v>78</v>
      </c>
    </row>
    <row r="1166" spans="1:18">
      <c r="A1166" s="3">
        <v>1565</v>
      </c>
      <c r="B1166" s="3" t="b">
        <f>ISNUMBER(MATCH(A1166,[1]stockregister!$A$2:$A$2000,0))</f>
        <v>1</v>
      </c>
      <c r="C1166" s="3" t="s">
        <v>2747</v>
      </c>
      <c r="D1166" s="3" t="str">
        <f>VLOOKUP($C1166,[1]stockregister!$B$2:$B$2000,1,0)</f>
        <v>OPIHR ORIENTAL SPICED LONDON GIN 700ML</v>
      </c>
      <c r="E1166" s="3" t="str">
        <f>IF(ISNA($D1166),VLOOKUP($A1166,[2]stockregister!$A$2:$B$2000,2,FALSE),"")</f>
        <v/>
      </c>
      <c r="F1166" s="3" t="s">
        <v>21</v>
      </c>
      <c r="G1166" s="3">
        <f>_xlfn.IFNA(VLOOKUP($A1166,[3]stockregister!$A$2:$L$2000,11,0),0)</f>
        <v>0</v>
      </c>
      <c r="H1166" s="3">
        <f>_xlfn.IFNA(VLOOKUP($A1166,[3]stockregister!$A$2:$L$2000,11,0),0)-$G1166</f>
        <v>0</v>
      </c>
      <c r="I1166" s="3">
        <f>_xlfn.IFNA(VLOOKUP($A1166,[3]stockregister!$A$2:$L$2000,12,0),0)</f>
        <v>3358</v>
      </c>
      <c r="J1166" s="3">
        <f>_xlfn.IFNA(VLOOKUP($A1166,[3]stockregister!$A$1:$M$2000,12,0),0)-$I1166</f>
        <v>0</v>
      </c>
      <c r="K1166" s="3" t="s">
        <v>22</v>
      </c>
      <c r="L1166" s="3" t="s">
        <v>23</v>
      </c>
      <c r="M1166" s="3">
        <f>_xlfn.IFNA(VLOOKUP($A1166,[2]stockregister!$A$2:$H$2000,8,0),0)</f>
        <v>3650</v>
      </c>
      <c r="N1166" s="3">
        <f>_xlfn.IFNA(VLOOKUP($A1166,[2]stockregister!$A$2:$H$2000,8,0),0)-$M1166</f>
        <v>0</v>
      </c>
      <c r="O1166" s="3" t="s">
        <v>2748</v>
      </c>
      <c r="P1166" s="3" t="s">
        <v>2748</v>
      </c>
      <c r="Q1166" s="3" t="s">
        <v>2749</v>
      </c>
      <c r="R1166" s="3" t="s">
        <v>78</v>
      </c>
    </row>
    <row r="1167" spans="1:18">
      <c r="A1167" s="3">
        <v>2197</v>
      </c>
      <c r="B1167" s="3" t="b">
        <f>ISNUMBER(MATCH(A1167,[1]stockregister!$A$2:$A$2000,0))</f>
        <v>1</v>
      </c>
      <c r="C1167" s="3" t="s">
        <v>2750</v>
      </c>
      <c r="D1167" s="3" t="str">
        <f>VLOOKUP($C1167,[1]stockregister!$B$2:$B$2000,1,0)</f>
        <v>GREENALLS WILDBERRIES ROSEA 1LTR</v>
      </c>
      <c r="E1167" s="3" t="str">
        <f>IF(ISNA($D1167),VLOOKUP($A1167,[2]stockregister!$A$2:$B$2000,2,FALSE),"")</f>
        <v/>
      </c>
      <c r="F1167" s="3" t="s">
        <v>21</v>
      </c>
      <c r="G1167" s="3">
        <f>_xlfn.IFNA(VLOOKUP($A1167,[3]stockregister!$A$2:$L$2000,11,0),0)</f>
        <v>0</v>
      </c>
      <c r="H1167" s="3">
        <f>_xlfn.IFNA(VLOOKUP($A1167,[3]stockregister!$A$2:$L$2000,11,0),0)-$G1167</f>
        <v>0</v>
      </c>
      <c r="I1167" s="3">
        <f>_xlfn.IFNA(VLOOKUP($A1167,[3]stockregister!$A$2:$L$2000,12,0),0)</f>
        <v>1800</v>
      </c>
      <c r="J1167" s="3">
        <f>_xlfn.IFNA(VLOOKUP($A1167,[3]stockregister!$A$1:$M$2000,12,0),0)-$I1167</f>
        <v>0</v>
      </c>
      <c r="K1167" s="3" t="s">
        <v>22</v>
      </c>
      <c r="L1167" s="3" t="s">
        <v>23</v>
      </c>
      <c r="M1167" s="3">
        <f>_xlfn.IFNA(VLOOKUP($A1167,[2]stockregister!$A$2:$H$2000,8,0),0)</f>
        <v>1900</v>
      </c>
      <c r="N1167" s="3">
        <f>_xlfn.IFNA(VLOOKUP($A1167,[2]stockregister!$A$2:$H$2000,8,0),0)-$M1167</f>
        <v>0</v>
      </c>
      <c r="O1167" s="3" t="s">
        <v>845</v>
      </c>
      <c r="P1167" s="3" t="s">
        <v>845</v>
      </c>
      <c r="Q1167" s="3" t="s">
        <v>2653</v>
      </c>
      <c r="R1167" s="3" t="s">
        <v>78</v>
      </c>
    </row>
    <row r="1168" spans="1:18">
      <c r="A1168" s="3">
        <v>1481</v>
      </c>
      <c r="B1168" s="3" t="b">
        <f>ISNUMBER(MATCH(A1168,[1]stockregister!$A$2:$A$2000,0))</f>
        <v>1</v>
      </c>
      <c r="C1168" s="3" t="s">
        <v>2751</v>
      </c>
      <c r="D1168" s="3" t="str">
        <f>VLOOKUP($C1168,[1]stockregister!$B$2:$B$2000,1,0)</f>
        <v>MR. BOSTON GIN 1ltr</v>
      </c>
      <c r="E1168" s="3" t="str">
        <f>IF(ISNA($D1168),VLOOKUP($A1168,[2]stockregister!$A$2:$B$2000,2,FALSE),"")</f>
        <v/>
      </c>
      <c r="F1168" s="3" t="s">
        <v>21</v>
      </c>
      <c r="G1168" s="3">
        <f>_xlfn.IFNA(VLOOKUP($A1168,[3]stockregister!$A$2:$L$2000,11,0),0)</f>
        <v>0</v>
      </c>
      <c r="H1168" s="3">
        <f>_xlfn.IFNA(VLOOKUP($A1168,[3]stockregister!$A$2:$L$2000,11,0),0)-$G1168</f>
        <v>0</v>
      </c>
      <c r="I1168" s="3">
        <f>_xlfn.IFNA(VLOOKUP($A1168,[3]stockregister!$A$2:$L$2000,12,0),0)</f>
        <v>1104</v>
      </c>
      <c r="J1168" s="3">
        <f>_xlfn.IFNA(VLOOKUP($A1168,[3]stockregister!$A$1:$M$2000,12,0),0)-$I1168</f>
        <v>0</v>
      </c>
      <c r="K1168" s="3" t="s">
        <v>22</v>
      </c>
      <c r="L1168" s="3" t="s">
        <v>23</v>
      </c>
      <c r="M1168" s="3">
        <f>_xlfn.IFNA(VLOOKUP($A1168,[2]stockregister!$A$2:$H$2000,8,0),0)</f>
        <v>1200</v>
      </c>
      <c r="N1168" s="3">
        <f>_xlfn.IFNA(VLOOKUP($A1168,[2]stockregister!$A$2:$H$2000,8,0),0)-$M1168</f>
        <v>0</v>
      </c>
      <c r="O1168" s="3" t="s">
        <v>2752</v>
      </c>
      <c r="P1168" s="3" t="s">
        <v>2752</v>
      </c>
      <c r="Q1168" s="3" t="s">
        <v>1259</v>
      </c>
      <c r="R1168" s="3" t="s">
        <v>78</v>
      </c>
    </row>
    <row r="1169" spans="1:18">
      <c r="A1169" s="3">
        <v>2549</v>
      </c>
      <c r="B1169" s="3" t="b">
        <f>ISNUMBER(MATCH(A1169,[1]stockregister!$A$2:$A$2000,0))</f>
        <v>1</v>
      </c>
      <c r="C1169" s="3" t="s">
        <v>2753</v>
      </c>
      <c r="D1169" s="3" t="str">
        <f>VLOOKUP($C1169,[1]stockregister!$B$2:$B$2000,1,0)</f>
        <v>PERIGANS LONDON 700ML</v>
      </c>
      <c r="E1169" s="3" t="str">
        <f>IF(ISNA($D1169),VLOOKUP($A1169,[2]stockregister!$A$2:$B$2000,2,FALSE),"")</f>
        <v/>
      </c>
      <c r="F1169" s="3" t="s">
        <v>21</v>
      </c>
      <c r="G1169" s="3">
        <f>_xlfn.IFNA(VLOOKUP($A1169,[3]stockregister!$A$2:$L$2000,11,0),0)</f>
        <v>0</v>
      </c>
      <c r="H1169" s="3">
        <f>_xlfn.IFNA(VLOOKUP($A1169,[3]stockregister!$A$2:$L$2000,11,0),0)-$G1169</f>
        <v>0</v>
      </c>
      <c r="I1169" s="3">
        <f>_xlfn.IFNA(VLOOKUP($A1169,[3]stockregister!$A$2:$L$2000,12,0),0)</f>
        <v>1101</v>
      </c>
      <c r="J1169" s="3">
        <f>_xlfn.IFNA(VLOOKUP($A1169,[3]stockregister!$A$1:$M$2000,12,0),0)-$I1169</f>
        <v>0</v>
      </c>
      <c r="K1169" s="3" t="s">
        <v>22</v>
      </c>
      <c r="L1169" s="3" t="s">
        <v>23</v>
      </c>
      <c r="M1169" s="3">
        <f>_xlfn.IFNA(VLOOKUP($A1169,[2]stockregister!$A$2:$H$2000,8,0),0)</f>
        <v>1250</v>
      </c>
      <c r="N1169" s="3">
        <f>_xlfn.IFNA(VLOOKUP($A1169,[2]stockregister!$A$2:$H$2000,8,0),0)-$M1169</f>
        <v>0</v>
      </c>
      <c r="O1169" s="3" t="s">
        <v>2754</v>
      </c>
      <c r="P1169" s="3" t="s">
        <v>2754</v>
      </c>
      <c r="Q1169" s="3" t="s">
        <v>2755</v>
      </c>
      <c r="R1169" s="3" t="s">
        <v>78</v>
      </c>
    </row>
    <row r="1170" spans="1:18">
      <c r="A1170" s="3">
        <v>1935</v>
      </c>
      <c r="B1170" s="3" t="b">
        <f>ISNUMBER(MATCH(A1170,[1]stockregister!$A$2:$A$2000,0))</f>
        <v>1</v>
      </c>
      <c r="C1170" s="3" t="s">
        <v>2756</v>
      </c>
      <c r="D1170" s="3" t="str">
        <f>VLOOKUP($C1170,[1]stockregister!$B$2:$B$2000,1,0)</f>
        <v>TANQUERAY STERLING 1LTR</v>
      </c>
      <c r="E1170" s="3" t="str">
        <f>IF(ISNA($D1170),VLOOKUP($A1170,[2]stockregister!$A$2:$B$2000,2,FALSE),"")</f>
        <v/>
      </c>
      <c r="F1170" s="3" t="s">
        <v>21</v>
      </c>
      <c r="G1170" s="3">
        <f>_xlfn.IFNA(VLOOKUP($A1170,[3]stockregister!$A$2:$L$2000,11,0),0)</f>
        <v>0</v>
      </c>
      <c r="H1170" s="3">
        <f>_xlfn.IFNA(VLOOKUP($A1170,[3]stockregister!$A$2:$L$2000,11,0),0)-$G1170</f>
        <v>0</v>
      </c>
      <c r="I1170" s="3">
        <f>_xlfn.IFNA(VLOOKUP($A1170,[3]stockregister!$A$2:$L$2000,12,0),0)</f>
        <v>3036</v>
      </c>
      <c r="J1170" s="3">
        <f>_xlfn.IFNA(VLOOKUP($A1170,[3]stockregister!$A$1:$M$2000,12,0),0)-$I1170</f>
        <v>0</v>
      </c>
      <c r="K1170" s="3" t="s">
        <v>22</v>
      </c>
      <c r="L1170" s="3" t="s">
        <v>23</v>
      </c>
      <c r="M1170" s="3">
        <f>_xlfn.IFNA(VLOOKUP($A1170,[2]stockregister!$A$2:$H$2000,8,0),0)</f>
        <v>3300</v>
      </c>
      <c r="N1170" s="3">
        <f>_xlfn.IFNA(VLOOKUP($A1170,[2]stockregister!$A$2:$H$2000,8,0),0)-$M1170</f>
        <v>0</v>
      </c>
      <c r="O1170" s="3" t="s">
        <v>2757</v>
      </c>
      <c r="P1170" s="3" t="s">
        <v>2757</v>
      </c>
      <c r="Q1170" s="3" t="s">
        <v>221</v>
      </c>
      <c r="R1170" s="3" t="s">
        <v>78</v>
      </c>
    </row>
    <row r="1171" spans="1:18">
      <c r="A1171" s="3">
        <v>2318</v>
      </c>
      <c r="B1171" s="3" t="b">
        <f>ISNUMBER(MATCH(A1171,[1]stockregister!$A$2:$A$2000,0))</f>
        <v>1</v>
      </c>
      <c r="C1171" s="3" t="s">
        <v>2758</v>
      </c>
      <c r="D1171" s="3" t="str">
        <f>VLOOKUP($C1171,[1]stockregister!$B$2:$B$2000,1,0)</f>
        <v>WHITLEY NEIL PARMA VIOLET 1LTR</v>
      </c>
      <c r="E1171" s="3" t="str">
        <f>IF(ISNA($D1171),VLOOKUP($A1171,[2]stockregister!$A$2:$B$2000,2,FALSE),"")</f>
        <v/>
      </c>
      <c r="F1171" s="3" t="s">
        <v>21</v>
      </c>
      <c r="G1171" s="3">
        <f>_xlfn.IFNA(VLOOKUP($A1171,[3]stockregister!$A$2:$L$2000,11,0),0)</f>
        <v>0</v>
      </c>
      <c r="H1171" s="3">
        <f>_xlfn.IFNA(VLOOKUP($A1171,[3]stockregister!$A$2:$L$2000,11,0),0)-$G1171</f>
        <v>0</v>
      </c>
      <c r="I1171" s="3">
        <f>_xlfn.IFNA(VLOOKUP($A1171,[3]stockregister!$A$2:$L$2000,12,0),0)</f>
        <v>3000</v>
      </c>
      <c r="J1171" s="3">
        <f>_xlfn.IFNA(VLOOKUP($A1171,[3]stockregister!$A$1:$M$2000,12,0),0)-$I1171</f>
        <v>0</v>
      </c>
      <c r="K1171" s="3" t="s">
        <v>22</v>
      </c>
      <c r="L1171" s="3" t="s">
        <v>23</v>
      </c>
      <c r="M1171" s="3">
        <f>_xlfn.IFNA(VLOOKUP($A1171,[2]stockregister!$A$2:$H$2000,8,0),0)</f>
        <v>3200</v>
      </c>
      <c r="N1171" s="3">
        <f>_xlfn.IFNA(VLOOKUP($A1171,[2]stockregister!$A$2:$H$2000,8,0),0)-$M1171</f>
        <v>0</v>
      </c>
      <c r="O1171" s="3" t="s">
        <v>2759</v>
      </c>
      <c r="P1171" s="3" t="s">
        <v>2759</v>
      </c>
      <c r="Q1171" s="3" t="s">
        <v>1061</v>
      </c>
      <c r="R1171" s="3" t="s">
        <v>78</v>
      </c>
    </row>
    <row r="1172" spans="1:18">
      <c r="A1172" s="3">
        <v>1899</v>
      </c>
      <c r="B1172" s="3" t="b">
        <f>ISNUMBER(MATCH(A1172,[1]stockregister!$A$2:$A$2000,0))</f>
        <v>1</v>
      </c>
      <c r="C1172" s="3" t="s">
        <v>2760</v>
      </c>
      <c r="D1172" s="3" t="str">
        <f>VLOOKUP($C1172,[1]stockregister!$B$2:$B$2000,1,0)</f>
        <v>STRETTON`S ORIGINAL 750ML</v>
      </c>
      <c r="E1172" s="3" t="str">
        <f>IF(ISNA($D1172),VLOOKUP($A1172,[2]stockregister!$A$2:$B$2000,2,FALSE),"")</f>
        <v/>
      </c>
      <c r="F1172" s="3" t="s">
        <v>21</v>
      </c>
      <c r="G1172" s="3">
        <f>_xlfn.IFNA(VLOOKUP($A1172,[3]stockregister!$A$2:$L$2000,11,0),0)</f>
        <v>0</v>
      </c>
      <c r="H1172" s="3">
        <f>_xlfn.IFNA(VLOOKUP($A1172,[3]stockregister!$A$2:$L$2000,11,0),0)-$G1172</f>
        <v>0</v>
      </c>
      <c r="I1172" s="3">
        <f>_xlfn.IFNA(VLOOKUP($A1172,[3]stockregister!$A$2:$L$2000,12,0),0)</f>
        <v>1472</v>
      </c>
      <c r="J1172" s="3">
        <f>_xlfn.IFNA(VLOOKUP($A1172,[3]stockregister!$A$1:$M$2000,12,0),0)-$I1172</f>
        <v>0</v>
      </c>
      <c r="K1172" s="3" t="s">
        <v>22</v>
      </c>
      <c r="L1172" s="3" t="s">
        <v>23</v>
      </c>
      <c r="M1172" s="3">
        <f>_xlfn.IFNA(VLOOKUP($A1172,[2]stockregister!$A$2:$H$2000,8,0),0)</f>
        <v>1600</v>
      </c>
      <c r="N1172" s="3">
        <f>_xlfn.IFNA(VLOOKUP($A1172,[2]stockregister!$A$2:$H$2000,8,0),0)-$M1172</f>
        <v>0</v>
      </c>
      <c r="O1172" s="3" t="s">
        <v>2761</v>
      </c>
      <c r="P1172" s="3" t="s">
        <v>2761</v>
      </c>
      <c r="Q1172" s="3" t="s">
        <v>541</v>
      </c>
      <c r="R1172" s="3" t="s">
        <v>78</v>
      </c>
    </row>
    <row r="1173" spans="1:18">
      <c r="A1173" s="3">
        <v>2102</v>
      </c>
      <c r="B1173" s="3" t="b">
        <f>ISNUMBER(MATCH(A1173,[1]stockregister!$A$2:$A$2000,0))</f>
        <v>1</v>
      </c>
      <c r="C1173" s="3" t="s">
        <v>490</v>
      </c>
      <c r="D1173" s="3" t="str">
        <f>VLOOKUP($C1173,[1]stockregister!$B$2:$B$2000,1,0)</f>
        <v>WHITLEY NEILL ORIGINAL  GIN 1LTR</v>
      </c>
      <c r="E1173" s="3" t="str">
        <f>IF(ISNA($D1173),VLOOKUP($A1173,[2]stockregister!$A$2:$B$2000,2,FALSE),"")</f>
        <v/>
      </c>
      <c r="F1173" s="3" t="s">
        <v>21</v>
      </c>
      <c r="G1173" s="3">
        <f>_xlfn.IFNA(VLOOKUP($A1173,[3]stockregister!$A$2:$L$2000,11,0),0)</f>
        <v>0</v>
      </c>
      <c r="H1173" s="3">
        <f>_xlfn.IFNA(VLOOKUP($A1173,[3]stockregister!$A$2:$L$2000,11,0),0)-$G1173</f>
        <v>0</v>
      </c>
      <c r="I1173" s="3">
        <f>_xlfn.IFNA(VLOOKUP($A1173,[3]stockregister!$A$2:$L$2000,12,0),0)</f>
        <v>2944</v>
      </c>
      <c r="J1173" s="3">
        <f>_xlfn.IFNA(VLOOKUP($A1173,[3]stockregister!$A$1:$M$2000,12,0),0)-$I1173</f>
        <v>0</v>
      </c>
      <c r="K1173" s="3" t="s">
        <v>22</v>
      </c>
      <c r="L1173" s="3" t="s">
        <v>23</v>
      </c>
      <c r="M1173" s="3">
        <f>_xlfn.IFNA(VLOOKUP($A1173,[2]stockregister!$A$2:$H$2000,8,0),0)</f>
        <v>3200</v>
      </c>
      <c r="N1173" s="3">
        <f>_xlfn.IFNA(VLOOKUP($A1173,[2]stockregister!$A$2:$H$2000,8,0),0)-$M1173</f>
        <v>0</v>
      </c>
      <c r="O1173" s="3" t="s">
        <v>2762</v>
      </c>
      <c r="P1173" s="3" t="s">
        <v>2762</v>
      </c>
      <c r="Q1173" s="3" t="s">
        <v>1061</v>
      </c>
      <c r="R1173" s="3" t="s">
        <v>78</v>
      </c>
    </row>
    <row r="1174" spans="1:18">
      <c r="A1174" s="3">
        <v>2103</v>
      </c>
      <c r="B1174" s="3" t="b">
        <f>ISNUMBER(MATCH(A1174,[1]stockregister!$A$2:$A$2000,0))</f>
        <v>1</v>
      </c>
      <c r="C1174" s="3" t="s">
        <v>492</v>
      </c>
      <c r="D1174" s="3" t="str">
        <f>VLOOKUP($C1174,[1]stockregister!$B$2:$B$2000,1,0)</f>
        <v>WHITLEY NEILL ORIGINAL  GIN 750ML </v>
      </c>
      <c r="E1174" s="3" t="str">
        <f>IF(ISNA($D1174),VLOOKUP($A1174,[2]stockregister!$A$2:$B$2000,2,FALSE),"")</f>
        <v/>
      </c>
      <c r="F1174" s="3" t="s">
        <v>21</v>
      </c>
      <c r="G1174" s="3">
        <f>_xlfn.IFNA(VLOOKUP($A1174,[3]stockregister!$A$2:$L$2000,11,0),0)</f>
        <v>0</v>
      </c>
      <c r="H1174" s="3">
        <f>_xlfn.IFNA(VLOOKUP($A1174,[3]stockregister!$A$2:$L$2000,11,0),0)-$G1174</f>
        <v>0</v>
      </c>
      <c r="I1174" s="3">
        <f>_xlfn.IFNA(VLOOKUP($A1174,[3]stockregister!$A$2:$L$2000,12,0),0)</f>
        <v>2576</v>
      </c>
      <c r="J1174" s="3">
        <f>_xlfn.IFNA(VLOOKUP($A1174,[3]stockregister!$A$1:$M$2000,12,0),0)-$I1174</f>
        <v>0</v>
      </c>
      <c r="K1174" s="3" t="s">
        <v>22</v>
      </c>
      <c r="L1174" s="3" t="s">
        <v>23</v>
      </c>
      <c r="M1174" s="3">
        <f>_xlfn.IFNA(VLOOKUP($A1174,[2]stockregister!$A$2:$H$2000,8,0),0)</f>
        <v>2800</v>
      </c>
      <c r="N1174" s="3">
        <f>_xlfn.IFNA(VLOOKUP($A1174,[2]stockregister!$A$2:$H$2000,8,0),0)-$M1174</f>
        <v>0</v>
      </c>
      <c r="O1174" s="3" t="s">
        <v>2763</v>
      </c>
      <c r="P1174" s="3" t="s">
        <v>2763</v>
      </c>
      <c r="Q1174" s="3" t="s">
        <v>1061</v>
      </c>
      <c r="R1174" s="3" t="s">
        <v>78</v>
      </c>
    </row>
    <row r="1175" spans="1:18">
      <c r="A1175" s="3">
        <v>1987</v>
      </c>
      <c r="B1175" s="3" t="b">
        <f>ISNUMBER(MATCH(A1175,[1]stockregister!$A$2:$A$2000,0))</f>
        <v>1</v>
      </c>
      <c r="C1175" s="3" t="s">
        <v>2764</v>
      </c>
      <c r="D1175" s="3" t="str">
        <f>VLOOKUP($C1175,[1]stockregister!$B$2:$B$2000,1,0)</f>
        <v>THREE MONKEYS RED 750ML</v>
      </c>
      <c r="E1175" s="3" t="str">
        <f>IF(ISNA($D1175),VLOOKUP($A1175,[2]stockregister!$A$2:$B$2000,2,FALSE),"")</f>
        <v/>
      </c>
      <c r="F1175" s="3" t="s">
        <v>21</v>
      </c>
      <c r="G1175" s="3">
        <f>_xlfn.IFNA(VLOOKUP($A1175,[3]stockregister!$A$2:$L$2000,11,0),0)</f>
        <v>0</v>
      </c>
      <c r="H1175" s="3">
        <f>_xlfn.IFNA(VLOOKUP($A1175,[3]stockregister!$A$2:$L$2000,11,0),0)-$G1175</f>
        <v>0</v>
      </c>
      <c r="I1175" s="3">
        <f>_xlfn.IFNA(VLOOKUP($A1175,[3]stockregister!$A$2:$L$2000,12,0),0)</f>
        <v>1000</v>
      </c>
      <c r="J1175" s="3">
        <f>_xlfn.IFNA(VLOOKUP($A1175,[3]stockregister!$A$1:$M$2000,12,0),0)-$I1175</f>
        <v>0</v>
      </c>
      <c r="K1175" s="3" t="s">
        <v>22</v>
      </c>
      <c r="L1175" s="3" t="s">
        <v>23</v>
      </c>
      <c r="M1175" s="3">
        <f>_xlfn.IFNA(VLOOKUP($A1175,[2]stockregister!$A$2:$H$2000,8,0),0)</f>
        <v>1200</v>
      </c>
      <c r="N1175" s="3">
        <f>_xlfn.IFNA(VLOOKUP($A1175,[2]stockregister!$A$2:$H$2000,8,0),0)-$M1175</f>
        <v>0</v>
      </c>
      <c r="O1175" s="3" t="s">
        <v>2765</v>
      </c>
      <c r="P1175" s="3" t="s">
        <v>2765</v>
      </c>
      <c r="Q1175" s="3" t="s">
        <v>2766</v>
      </c>
      <c r="R1175" s="3" t="s">
        <v>78</v>
      </c>
    </row>
    <row r="1176" spans="1:18">
      <c r="A1176" s="3">
        <v>2548</v>
      </c>
      <c r="B1176" s="3" t="b">
        <f>ISNUMBER(MATCH(A1176,[1]stockregister!$A$2:$A$2000,0))</f>
        <v>1</v>
      </c>
      <c r="C1176" s="3" t="s">
        <v>495</v>
      </c>
      <c r="D1176" s="3" t="str">
        <f>VLOOKUP($C1176,[1]stockregister!$B$2:$B$2000,1,0)</f>
        <v>GINBERYS LONDON DRY GIN  700ML</v>
      </c>
      <c r="E1176" s="3" t="str">
        <f>IF(ISNA($D1176),VLOOKUP($A1176,[2]stockregister!$A$2:$B$2000,2,FALSE),"")</f>
        <v/>
      </c>
      <c r="F1176" s="3" t="s">
        <v>21</v>
      </c>
      <c r="G1176" s="3">
        <f>_xlfn.IFNA(VLOOKUP($A1176,[3]stockregister!$A$2:$L$2000,11,0),0)</f>
        <v>0</v>
      </c>
      <c r="H1176" s="3">
        <f>_xlfn.IFNA(VLOOKUP($A1176,[3]stockregister!$A$2:$L$2000,11,0),0)-$G1176</f>
        <v>0</v>
      </c>
      <c r="I1176" s="3">
        <f>_xlfn.IFNA(VLOOKUP($A1176,[3]stockregister!$A$2:$L$2000,12,0),0)</f>
        <v>1183</v>
      </c>
      <c r="J1176" s="3">
        <f>_xlfn.IFNA(VLOOKUP($A1176,[3]stockregister!$A$1:$M$2000,12,0),0)-$I1176</f>
        <v>0</v>
      </c>
      <c r="K1176" s="3" t="s">
        <v>22</v>
      </c>
      <c r="L1176" s="3" t="s">
        <v>23</v>
      </c>
      <c r="M1176" s="3">
        <f>_xlfn.IFNA(VLOOKUP($A1176,[2]stockregister!$A$2:$H$2000,8,0),0)</f>
        <v>1300</v>
      </c>
      <c r="N1176" s="3">
        <f>_xlfn.IFNA(VLOOKUP($A1176,[2]stockregister!$A$2:$H$2000,8,0),0)-$M1176</f>
        <v>0</v>
      </c>
      <c r="O1176" s="3" t="s">
        <v>2767</v>
      </c>
      <c r="P1176" s="3" t="s">
        <v>2767</v>
      </c>
      <c r="Q1176" s="3" t="s">
        <v>2768</v>
      </c>
      <c r="R1176" s="3" t="s">
        <v>78</v>
      </c>
    </row>
    <row r="1177" spans="1:19">
      <c r="A1177" s="3">
        <v>105</v>
      </c>
      <c r="B1177" s="3" t="b">
        <f>ISNUMBER(MATCH(A1177,[1]stockregister!$A$2:$A$2000,0))</f>
        <v>1</v>
      </c>
      <c r="C1177" s="3" t="s">
        <v>2769</v>
      </c>
      <c r="D1177" s="3" t="str">
        <f>VLOOKUP($C1177,[1]stockregister!$B$2:$B$2000,1,0)</f>
        <v>APEROL 1LTR</v>
      </c>
      <c r="E1177" s="3" t="str">
        <f>IF(ISNA($D1177),VLOOKUP($A1177,[2]stockregister!$A$2:$B$2000,2,FALSE),"")</f>
        <v/>
      </c>
      <c r="F1177" s="3" t="s">
        <v>21</v>
      </c>
      <c r="G1177" s="3">
        <f>_xlfn.IFNA(VLOOKUP($A1177,[3]stockregister!$A$2:$L$2000,11,0),0)</f>
        <v>0</v>
      </c>
      <c r="H1177" s="3">
        <f>_xlfn.IFNA(VLOOKUP($A1177,[3]stockregister!$A$2:$L$2000,11,0),0)-$G1177</f>
        <v>0</v>
      </c>
      <c r="I1177" s="3">
        <f>_xlfn.IFNA(VLOOKUP($A1177,[3]stockregister!$A$2:$L$2000,12,0),0)</f>
        <v>1600</v>
      </c>
      <c r="J1177" s="3">
        <f>_xlfn.IFNA(VLOOKUP($A1177,[3]stockregister!$A$1:$M$2000,12,0),0)-$I1177</f>
        <v>0</v>
      </c>
      <c r="K1177" s="3" t="s">
        <v>22</v>
      </c>
      <c r="L1177" s="3" t="s">
        <v>23</v>
      </c>
      <c r="M1177" s="3">
        <f>_xlfn.IFNA(VLOOKUP($A1177,[2]stockregister!$A$2:$H$2000,8,0),0)</f>
        <v>3000</v>
      </c>
      <c r="N1177" s="3">
        <f>_xlfn.IFNA(VLOOKUP($A1177,[2]stockregister!$A$2:$H$2000,8,0),0)-$M1177</f>
        <v>0</v>
      </c>
      <c r="O1177" s="3" t="s">
        <v>2770</v>
      </c>
      <c r="P1177" s="3" t="s">
        <v>2770</v>
      </c>
      <c r="Q1177" s="3" t="s">
        <v>2771</v>
      </c>
      <c r="R1177" s="3" t="s">
        <v>126</v>
      </c>
      <c r="S1177" s="3" t="s">
        <v>2772</v>
      </c>
    </row>
    <row r="1178" spans="1:19">
      <c r="A1178" s="3">
        <v>106</v>
      </c>
      <c r="B1178" s="3" t="b">
        <f>ISNUMBER(MATCH(A1178,[1]stockregister!$A$2:$A$2000,0))</f>
        <v>1</v>
      </c>
      <c r="C1178" s="3" t="s">
        <v>2773</v>
      </c>
      <c r="D1178" s="3" t="str">
        <f>VLOOKUP($C1178,[1]stockregister!$B$2:$B$2000,1,0)</f>
        <v>APEROL APERITIF 700ml</v>
      </c>
      <c r="E1178" s="3" t="str">
        <f>IF(ISNA($D1178),VLOOKUP($A1178,[2]stockregister!$A$2:$B$2000,2,FALSE),"")</f>
        <v/>
      </c>
      <c r="F1178" s="3" t="s">
        <v>21</v>
      </c>
      <c r="G1178" s="3">
        <f>_xlfn.IFNA(VLOOKUP($A1178,[3]stockregister!$A$2:$L$2000,11,0),0)</f>
        <v>0</v>
      </c>
      <c r="H1178" s="3">
        <f>_xlfn.IFNA(VLOOKUP($A1178,[3]stockregister!$A$2:$L$2000,11,0),0)-$G1178</f>
        <v>0</v>
      </c>
      <c r="I1178" s="3">
        <f>_xlfn.IFNA(VLOOKUP($A1178,[3]stockregister!$A$2:$L$2000,12,0),0)</f>
        <v>2254</v>
      </c>
      <c r="J1178" s="3">
        <f>_xlfn.IFNA(VLOOKUP($A1178,[3]stockregister!$A$1:$M$2000,12,0),0)-$I1178</f>
        <v>0</v>
      </c>
      <c r="K1178" s="3" t="s">
        <v>22</v>
      </c>
      <c r="L1178" s="3" t="s">
        <v>23</v>
      </c>
      <c r="M1178" s="3">
        <f>_xlfn.IFNA(VLOOKUP($A1178,[2]stockregister!$A$2:$H$2000,8,0),0)</f>
        <v>2450</v>
      </c>
      <c r="N1178" s="3">
        <f>_xlfn.IFNA(VLOOKUP($A1178,[2]stockregister!$A$2:$H$2000,8,0),0)-$M1178</f>
        <v>0</v>
      </c>
      <c r="O1178" s="3" t="s">
        <v>2774</v>
      </c>
      <c r="P1178" s="3" t="s">
        <v>2774</v>
      </c>
      <c r="Q1178" s="3" t="s">
        <v>2771</v>
      </c>
      <c r="R1178" s="3" t="s">
        <v>126</v>
      </c>
      <c r="S1178" s="3" t="s">
        <v>2772</v>
      </c>
    </row>
    <row r="1179" spans="1:19">
      <c r="A1179" s="3">
        <v>1931</v>
      </c>
      <c r="B1179" s="3" t="b">
        <f>ISNUMBER(MATCH(A1179,[1]stockregister!$A$2:$A$2000,0))</f>
        <v>1</v>
      </c>
      <c r="C1179" s="3" t="s">
        <v>498</v>
      </c>
      <c r="D1179" s="3" t="str">
        <f>VLOOKUP($C1179,[1]stockregister!$B$2:$B$2000,1,0)</f>
        <v>TANG SOUR  - APPLE 750ML</v>
      </c>
      <c r="E1179" s="3" t="str">
        <f>IF(ISNA($D1179),VLOOKUP($A1179,[2]stockregister!$A$2:$B$2000,2,FALSE),"")</f>
        <v/>
      </c>
      <c r="F1179" s="3" t="s">
        <v>21</v>
      </c>
      <c r="G1179" s="3">
        <f>_xlfn.IFNA(VLOOKUP($A1179,[3]stockregister!$A$2:$L$2000,11,0),0)</f>
        <v>0</v>
      </c>
      <c r="H1179" s="3">
        <f>_xlfn.IFNA(VLOOKUP($A1179,[3]stockregister!$A$2:$L$2000,11,0),0)-$G1179</f>
        <v>0</v>
      </c>
      <c r="I1179" s="3">
        <f>_xlfn.IFNA(VLOOKUP($A1179,[3]stockregister!$A$2:$L$2000,12,0),0)</f>
        <v>1380</v>
      </c>
      <c r="J1179" s="3">
        <f>_xlfn.IFNA(VLOOKUP($A1179,[3]stockregister!$A$1:$M$2000,12,0),0)-$I1179</f>
        <v>0</v>
      </c>
      <c r="K1179" s="3" t="s">
        <v>22</v>
      </c>
      <c r="L1179" s="3" t="s">
        <v>23</v>
      </c>
      <c r="M1179" s="3">
        <f>_xlfn.IFNA(VLOOKUP($A1179,[2]stockregister!$A$2:$H$2000,8,0),0)</f>
        <v>1500</v>
      </c>
      <c r="N1179" s="3">
        <f>_xlfn.IFNA(VLOOKUP($A1179,[2]stockregister!$A$2:$H$2000,8,0),0)-$M1179</f>
        <v>0</v>
      </c>
      <c r="O1179" s="3" t="s">
        <v>2775</v>
      </c>
      <c r="P1179" s="3" t="s">
        <v>2775</v>
      </c>
      <c r="Q1179" s="3" t="s">
        <v>2776</v>
      </c>
      <c r="R1179" s="3" t="s">
        <v>126</v>
      </c>
      <c r="S1179" s="3" t="s">
        <v>352</v>
      </c>
    </row>
    <row r="1180" spans="1:19">
      <c r="A1180" s="3">
        <v>2145</v>
      </c>
      <c r="B1180" s="3" t="b">
        <f>ISNUMBER(MATCH(A1180,[1]stockregister!$A$2:$A$2000,0))</f>
        <v>1</v>
      </c>
      <c r="C1180" s="3" t="s">
        <v>2777</v>
      </c>
      <c r="D1180" s="3" t="str">
        <f>VLOOKUP($C1180,[1]stockregister!$B$2:$B$2000,1,0)</f>
        <v>ZAPPA - BLACK 750ML</v>
      </c>
      <c r="E1180" s="3" t="str">
        <f>IF(ISNA($D1180),VLOOKUP($A1180,[2]stockregister!$A$2:$B$2000,2,FALSE),"")</f>
        <v/>
      </c>
      <c r="F1180" s="3" t="s">
        <v>21</v>
      </c>
      <c r="G1180" s="3">
        <f>_xlfn.IFNA(VLOOKUP($A1180,[3]stockregister!$A$2:$L$2000,11,0),0)</f>
        <v>0</v>
      </c>
      <c r="H1180" s="3">
        <f>_xlfn.IFNA(VLOOKUP($A1180,[3]stockregister!$A$2:$L$2000,11,0),0)-$G1180</f>
        <v>0</v>
      </c>
      <c r="I1180" s="3">
        <f>_xlfn.IFNA(VLOOKUP($A1180,[3]stockregister!$A$2:$L$2000,12,0),0)</f>
        <v>1334</v>
      </c>
      <c r="J1180" s="3">
        <f>_xlfn.IFNA(VLOOKUP($A1180,[3]stockregister!$A$1:$M$2000,12,0),0)-$I1180</f>
        <v>0</v>
      </c>
      <c r="K1180" s="3" t="s">
        <v>22</v>
      </c>
      <c r="L1180" s="3" t="s">
        <v>23</v>
      </c>
      <c r="M1180" s="3">
        <f>_xlfn.IFNA(VLOOKUP($A1180,[2]stockregister!$A$2:$H$2000,8,0),0)</f>
        <v>1450</v>
      </c>
      <c r="N1180" s="3">
        <f>_xlfn.IFNA(VLOOKUP($A1180,[2]stockregister!$A$2:$H$2000,8,0),0)-$M1180</f>
        <v>0</v>
      </c>
      <c r="O1180" s="3" t="s">
        <v>2778</v>
      </c>
      <c r="P1180" s="3" t="s">
        <v>2778</v>
      </c>
      <c r="Q1180" s="3" t="s">
        <v>606</v>
      </c>
      <c r="R1180" s="3" t="s">
        <v>126</v>
      </c>
      <c r="S1180" s="3" t="s">
        <v>385</v>
      </c>
    </row>
    <row r="1181" spans="1:19">
      <c r="A1181" s="3">
        <v>250</v>
      </c>
      <c r="B1181" s="3" t="b">
        <f>ISNUMBER(MATCH(A1181,[1]stockregister!$A$2:$A$2000,0))</f>
        <v>1</v>
      </c>
      <c r="C1181" s="3" t="s">
        <v>2779</v>
      </c>
      <c r="D1181" s="3" t="str">
        <f>VLOOKUP($C1181,[1]stockregister!$B$2:$B$2000,1,0)</f>
        <v>BLUE CURACAO LIQUEUR 750ML</v>
      </c>
      <c r="E1181" s="3" t="str">
        <f>IF(ISNA($D1181),VLOOKUP($A1181,[2]stockregister!$A$2:$B$2000,2,FALSE),"")</f>
        <v/>
      </c>
      <c r="F1181" s="3" t="s">
        <v>21</v>
      </c>
      <c r="G1181" s="3">
        <f>_xlfn.IFNA(VLOOKUP($A1181,[3]stockregister!$A$2:$L$2000,11,0),0)</f>
        <v>0</v>
      </c>
      <c r="H1181" s="3">
        <f>_xlfn.IFNA(VLOOKUP($A1181,[3]stockregister!$A$2:$L$2000,11,0),0)-$G1181</f>
        <v>0</v>
      </c>
      <c r="I1181" s="3">
        <f>_xlfn.IFNA(VLOOKUP($A1181,[3]stockregister!$A$2:$L$2000,12,0),0)</f>
        <v>1472</v>
      </c>
      <c r="J1181" s="3">
        <f>_xlfn.IFNA(VLOOKUP($A1181,[3]stockregister!$A$1:$M$2000,12,0),0)-$I1181</f>
        <v>0</v>
      </c>
      <c r="K1181" s="3" t="s">
        <v>22</v>
      </c>
      <c r="L1181" s="3" t="s">
        <v>23</v>
      </c>
      <c r="M1181" s="3">
        <f>_xlfn.IFNA(VLOOKUP($A1181,[2]stockregister!$A$2:$H$2000,8,0),0)</f>
        <v>1600</v>
      </c>
      <c r="N1181" s="3">
        <f>_xlfn.IFNA(VLOOKUP($A1181,[2]stockregister!$A$2:$H$2000,8,0),0)-$M1181</f>
        <v>0</v>
      </c>
      <c r="O1181" s="3" t="s">
        <v>2780</v>
      </c>
      <c r="P1181" s="3" t="s">
        <v>2780</v>
      </c>
      <c r="Q1181" s="3" t="s">
        <v>2781</v>
      </c>
      <c r="R1181" s="3" t="s">
        <v>126</v>
      </c>
      <c r="S1181" s="3" t="s">
        <v>2163</v>
      </c>
    </row>
    <row r="1182" spans="1:19">
      <c r="A1182" s="3">
        <v>318</v>
      </c>
      <c r="B1182" s="3" t="b">
        <f>ISNUMBER(MATCH(A1182,[1]stockregister!$A$2:$A$2000,0))</f>
        <v>1</v>
      </c>
      <c r="C1182" s="3" t="s">
        <v>2782</v>
      </c>
      <c r="D1182" s="3" t="str">
        <f>VLOOKUP($C1182,[1]stockregister!$B$2:$B$2000,1,0)</f>
        <v>BUTLERS CHERRY KIRSCH 700ML</v>
      </c>
      <c r="E1182" s="3" t="str">
        <f>IF(ISNA($D1182),VLOOKUP($A1182,[2]stockregister!$A$2:$B$2000,2,FALSE),"")</f>
        <v/>
      </c>
      <c r="F1182" s="3" t="s">
        <v>21</v>
      </c>
      <c r="G1182" s="3">
        <f>_xlfn.IFNA(VLOOKUP($A1182,[3]stockregister!$A$2:$L$2000,11,0),0)</f>
        <v>0</v>
      </c>
      <c r="H1182" s="3">
        <f>_xlfn.IFNA(VLOOKUP($A1182,[3]stockregister!$A$2:$L$2000,11,0),0)-$G1182</f>
        <v>0</v>
      </c>
      <c r="I1182" s="3">
        <f>_xlfn.IFNA(VLOOKUP($A1182,[3]stockregister!$A$2:$L$2000,12,0),0)</f>
        <v>1472</v>
      </c>
      <c r="J1182" s="3">
        <f>_xlfn.IFNA(VLOOKUP($A1182,[3]stockregister!$A$1:$M$2000,12,0),0)-$I1182</f>
        <v>0</v>
      </c>
      <c r="K1182" s="3" t="s">
        <v>22</v>
      </c>
      <c r="L1182" s="3" t="s">
        <v>23</v>
      </c>
      <c r="M1182" s="3">
        <f>_xlfn.IFNA(VLOOKUP($A1182,[2]stockregister!$A$2:$H$2000,8,0),0)</f>
        <v>1600</v>
      </c>
      <c r="N1182" s="3">
        <f>_xlfn.IFNA(VLOOKUP($A1182,[2]stockregister!$A$2:$H$2000,8,0),0)-$M1182</f>
        <v>0</v>
      </c>
      <c r="O1182" s="3" t="s">
        <v>2783</v>
      </c>
      <c r="P1182" s="3" t="s">
        <v>2783</v>
      </c>
      <c r="Q1182" s="3" t="s">
        <v>641</v>
      </c>
      <c r="R1182" s="3" t="s">
        <v>126</v>
      </c>
      <c r="S1182" s="3" t="s">
        <v>642</v>
      </c>
    </row>
    <row r="1183" spans="1:19">
      <c r="A1183" s="3">
        <v>1782</v>
      </c>
      <c r="B1183" s="3" t="b">
        <f>ISNUMBER(MATCH(A1183,[1]stockregister!$A$2:$A$2000,0))</f>
        <v>1</v>
      </c>
      <c r="C1183" s="3" t="s">
        <v>2784</v>
      </c>
      <c r="D1183" s="3" t="str">
        <f>VLOOKUP($C1183,[1]stockregister!$B$2:$B$2000,1,0)</f>
        <v>SHERIDANS LIQUEUR 750ML</v>
      </c>
      <c r="E1183" s="3" t="str">
        <f>IF(ISNA($D1183),VLOOKUP($A1183,[2]stockregister!$A$2:$B$2000,2,FALSE),"")</f>
        <v/>
      </c>
      <c r="F1183" s="3" t="s">
        <v>21</v>
      </c>
      <c r="G1183" s="3">
        <f>_xlfn.IFNA(VLOOKUP($A1183,[3]stockregister!$A$2:$L$2000,11,0),0)</f>
        <v>0</v>
      </c>
      <c r="H1183" s="3">
        <f>_xlfn.IFNA(VLOOKUP($A1183,[3]stockregister!$A$2:$L$2000,11,0),0)-$G1183</f>
        <v>0</v>
      </c>
      <c r="I1183" s="3">
        <f>_xlfn.IFNA(VLOOKUP($A1183,[3]stockregister!$A$2:$L$2000,12,0),0)</f>
        <v>3220</v>
      </c>
      <c r="J1183" s="3">
        <f>_xlfn.IFNA(VLOOKUP($A1183,[3]stockregister!$A$1:$M$2000,12,0),0)-$I1183</f>
        <v>0</v>
      </c>
      <c r="K1183" s="3" t="s">
        <v>22</v>
      </c>
      <c r="L1183" s="3" t="s">
        <v>23</v>
      </c>
      <c r="M1183" s="3">
        <f>_xlfn.IFNA(VLOOKUP($A1183,[2]stockregister!$A$2:$H$2000,8,0),0)</f>
        <v>3500</v>
      </c>
      <c r="N1183" s="3">
        <f>_xlfn.IFNA(VLOOKUP($A1183,[2]stockregister!$A$2:$H$2000,8,0),0)-$M1183</f>
        <v>0</v>
      </c>
      <c r="O1183" s="3" t="s">
        <v>2785</v>
      </c>
      <c r="P1183" s="3" t="s">
        <v>2785</v>
      </c>
      <c r="Q1183" s="3" t="s">
        <v>2786</v>
      </c>
      <c r="R1183" s="3" t="s">
        <v>126</v>
      </c>
      <c r="S1183" s="3" t="s">
        <v>301</v>
      </c>
    </row>
    <row r="1184" spans="1:19">
      <c r="A1184" s="3">
        <v>1781</v>
      </c>
      <c r="B1184" s="3" t="b">
        <f>ISNUMBER(MATCH(A1184,[1]stockregister!$A$2:$A$2000,0))</f>
        <v>1</v>
      </c>
      <c r="C1184" s="3" t="s">
        <v>2787</v>
      </c>
      <c r="D1184" s="3" t="str">
        <f>VLOOKUP($C1184,[1]stockregister!$B$2:$B$2000,1,0)</f>
        <v>SHERIDAN'S LIQUEUR 1LTR</v>
      </c>
      <c r="E1184" s="3" t="str">
        <f>IF(ISNA($D1184),VLOOKUP($A1184,[2]stockregister!$A$2:$B$2000,2,FALSE),"")</f>
        <v/>
      </c>
      <c r="F1184" s="3" t="s">
        <v>21</v>
      </c>
      <c r="G1184" s="3">
        <f>_xlfn.IFNA(VLOOKUP($A1184,[3]stockregister!$A$2:$L$2000,11,0),0)</f>
        <v>0</v>
      </c>
      <c r="H1184" s="3">
        <f>_xlfn.IFNA(VLOOKUP($A1184,[3]stockregister!$A$2:$L$2000,11,0),0)-$G1184</f>
        <v>0</v>
      </c>
      <c r="I1184" s="3">
        <f>_xlfn.IFNA(VLOOKUP($A1184,[3]stockregister!$A$2:$L$2000,12,0),0)</f>
        <v>3800</v>
      </c>
      <c r="J1184" s="3">
        <f>_xlfn.IFNA(VLOOKUP($A1184,[3]stockregister!$A$1:$M$2000,12,0),0)-$I1184</f>
        <v>0</v>
      </c>
      <c r="K1184" s="3" t="s">
        <v>22</v>
      </c>
      <c r="L1184" s="3" t="s">
        <v>23</v>
      </c>
      <c r="M1184" s="3">
        <f>_xlfn.IFNA(VLOOKUP($A1184,[2]stockregister!$A$2:$H$2000,8,0),0)</f>
        <v>4200</v>
      </c>
      <c r="N1184" s="3">
        <f>_xlfn.IFNA(VLOOKUP($A1184,[2]stockregister!$A$2:$H$2000,8,0),0)-$M1184</f>
        <v>0</v>
      </c>
      <c r="O1184" s="3" t="s">
        <v>2788</v>
      </c>
      <c r="P1184" s="3" t="s">
        <v>2788</v>
      </c>
      <c r="Q1184" s="3" t="s">
        <v>2789</v>
      </c>
      <c r="R1184" s="3" t="s">
        <v>126</v>
      </c>
      <c r="S1184" s="3" t="s">
        <v>1759</v>
      </c>
    </row>
    <row r="1185" spans="1:19">
      <c r="A1185" s="3">
        <v>1168</v>
      </c>
      <c r="B1185" s="3" t="b">
        <f>ISNUMBER(MATCH(A1185,[1]stockregister!$A$2:$A$2000,0))</f>
        <v>1</v>
      </c>
      <c r="C1185" s="3" t="s">
        <v>2790</v>
      </c>
      <c r="D1185" s="3" t="str">
        <f>VLOOKUP($C1185,[1]stockregister!$B$2:$B$2000,1,0)</f>
        <v>KAHLUA 700ML</v>
      </c>
      <c r="E1185" s="3" t="str">
        <f>IF(ISNA($D1185),VLOOKUP($A1185,[2]stockregister!$A$2:$B$2000,2,FALSE),"")</f>
        <v/>
      </c>
      <c r="F1185" s="3" t="s">
        <v>21</v>
      </c>
      <c r="G1185" s="3">
        <f>_xlfn.IFNA(VLOOKUP($A1185,[3]stockregister!$A$2:$L$2000,11,0),0)</f>
        <v>0</v>
      </c>
      <c r="H1185" s="3">
        <f>_xlfn.IFNA(VLOOKUP($A1185,[3]stockregister!$A$2:$L$2000,11,0),0)-$G1185</f>
        <v>0</v>
      </c>
      <c r="I1185" s="3">
        <f>_xlfn.IFNA(VLOOKUP($A1185,[3]stockregister!$A$2:$L$2000,12,0),0)</f>
        <v>1228</v>
      </c>
      <c r="J1185" s="3">
        <f>_xlfn.IFNA(VLOOKUP($A1185,[3]stockregister!$A$1:$M$2000,12,0),0)-$I1185</f>
        <v>0</v>
      </c>
      <c r="K1185" s="3" t="s">
        <v>22</v>
      </c>
      <c r="L1185" s="3" t="s">
        <v>23</v>
      </c>
      <c r="M1185" s="3">
        <f>_xlfn.IFNA(VLOOKUP($A1185,[2]stockregister!$A$2:$H$2000,8,0),0)</f>
        <v>2100</v>
      </c>
      <c r="N1185" s="3">
        <f>_xlfn.IFNA(VLOOKUP($A1185,[2]stockregister!$A$2:$H$2000,8,0),0)-$M1185</f>
        <v>0</v>
      </c>
      <c r="O1185" s="3" t="s">
        <v>2791</v>
      </c>
      <c r="P1185" s="3" t="s">
        <v>2791</v>
      </c>
      <c r="Q1185" s="3" t="s">
        <v>300</v>
      </c>
      <c r="R1185" s="3" t="s">
        <v>126</v>
      </c>
      <c r="S1185" s="3" t="s">
        <v>301</v>
      </c>
    </row>
    <row r="1186" spans="1:19">
      <c r="A1186" s="3">
        <v>2824</v>
      </c>
      <c r="B1186" s="3" t="b">
        <f>ISNUMBER(MATCH(A1186,[1]stockregister!$A$2:$A$2000,0))</f>
        <v>1</v>
      </c>
      <c r="C1186" s="3" t="s">
        <v>501</v>
      </c>
      <c r="D1186" s="3" t="str">
        <f>VLOOKUP($C1186,[1]stockregister!$B$2:$B$2000,1,0)</f>
        <v>JAGERMEISTER 1.75L</v>
      </c>
      <c r="E1186" s="3" t="str">
        <f>IF(ISNA($D1186),VLOOKUP($A1186,[2]stockregister!$A$2:$B$2000,2,FALSE),"")</f>
        <v/>
      </c>
      <c r="F1186" s="3" t="s">
        <v>21</v>
      </c>
      <c r="G1186" s="3">
        <f>_xlfn.IFNA(VLOOKUP($A1186,[3]stockregister!$A$2:$L$2000,11,0),0)</f>
        <v>0</v>
      </c>
      <c r="H1186" s="3">
        <f>_xlfn.IFNA(VLOOKUP($A1186,[3]stockregister!$A$2:$L$2000,11,0),0)-$G1186</f>
        <v>0</v>
      </c>
      <c r="I1186" s="3">
        <f>_xlfn.IFNA(VLOOKUP($A1186,[3]stockregister!$A$2:$L$2000,12,0),0)</f>
        <v>3000</v>
      </c>
      <c r="J1186" s="3">
        <f>_xlfn.IFNA(VLOOKUP($A1186,[3]stockregister!$A$1:$M$2000,12,0),0)-$I1186</f>
        <v>0</v>
      </c>
      <c r="K1186" s="3" t="s">
        <v>22</v>
      </c>
      <c r="L1186" s="3" t="s">
        <v>23</v>
      </c>
      <c r="M1186" s="3">
        <f>_xlfn.IFNA(VLOOKUP($A1186,[2]stockregister!$A$2:$H$2000,8,0),0)</f>
        <v>4500</v>
      </c>
      <c r="N1186" s="3">
        <f>_xlfn.IFNA(VLOOKUP($A1186,[2]stockregister!$A$2:$H$2000,8,0),0)-$M1186</f>
        <v>0</v>
      </c>
      <c r="O1186" s="3" t="s">
        <v>2792</v>
      </c>
      <c r="P1186" s="3" t="s">
        <v>2792</v>
      </c>
      <c r="Q1186" s="3" t="s">
        <v>151</v>
      </c>
      <c r="R1186" s="3" t="s">
        <v>126</v>
      </c>
      <c r="S1186" s="3" t="s">
        <v>152</v>
      </c>
    </row>
    <row r="1187" spans="1:19">
      <c r="A1187" s="3">
        <v>1051</v>
      </c>
      <c r="B1187" s="3" t="b">
        <f>ISNUMBER(MATCH(A1187,[1]stockregister!$A$2:$A$2000,0))</f>
        <v>1</v>
      </c>
      <c r="C1187" s="3" t="s">
        <v>503</v>
      </c>
      <c r="D1187" s="3" t="str">
        <f>VLOOKUP($C1187,[1]stockregister!$B$2:$B$2000,1,0)</f>
        <v>JAGERMEISTER WITH CORK  750ML </v>
      </c>
      <c r="E1187" s="3" t="str">
        <f>IF(ISNA($D1187),VLOOKUP($A1187,[2]stockregister!$A$2:$B$2000,2,FALSE),"")</f>
        <v/>
      </c>
      <c r="F1187" s="3" t="s">
        <v>21</v>
      </c>
      <c r="G1187" s="3">
        <f>_xlfn.IFNA(VLOOKUP($A1187,[3]stockregister!$A$2:$L$2000,11,0),0)</f>
        <v>0</v>
      </c>
      <c r="H1187" s="3">
        <f>_xlfn.IFNA(VLOOKUP($A1187,[3]stockregister!$A$2:$L$2000,11,0),0)-$G1187</f>
        <v>0</v>
      </c>
      <c r="I1187" s="3">
        <f>_xlfn.IFNA(VLOOKUP($A1187,[3]stockregister!$A$2:$L$2000,12,0),0)</f>
        <v>2100</v>
      </c>
      <c r="J1187" s="3">
        <f>_xlfn.IFNA(VLOOKUP($A1187,[3]stockregister!$A$1:$M$2000,12,0),0)-$I1187</f>
        <v>0</v>
      </c>
      <c r="K1187" s="3" t="s">
        <v>22</v>
      </c>
      <c r="L1187" s="3" t="s">
        <v>23</v>
      </c>
      <c r="M1187" s="3">
        <f>_xlfn.IFNA(VLOOKUP($A1187,[2]stockregister!$A$2:$H$2000,8,0),0)</f>
        <v>2200</v>
      </c>
      <c r="N1187" s="3">
        <f>_xlfn.IFNA(VLOOKUP($A1187,[2]stockregister!$A$2:$H$2000,8,0),0)-$M1187</f>
        <v>0</v>
      </c>
      <c r="O1187" s="3" t="s">
        <v>2793</v>
      </c>
      <c r="P1187" s="3" t="s">
        <v>2793</v>
      </c>
      <c r="Q1187" s="3" t="s">
        <v>151</v>
      </c>
      <c r="R1187" s="3" t="s">
        <v>126</v>
      </c>
      <c r="S1187" s="3" t="s">
        <v>152</v>
      </c>
    </row>
    <row r="1188" spans="1:19">
      <c r="A1188" s="3">
        <v>1046</v>
      </c>
      <c r="B1188" s="3" t="b">
        <f>ISNUMBER(MATCH(A1188,[1]stockregister!$A$2:$A$2000,0))</f>
        <v>1</v>
      </c>
      <c r="C1188" s="3" t="s">
        <v>2794</v>
      </c>
      <c r="D1188" s="3" t="str">
        <f>VLOOKUP($C1188,[1]stockregister!$B$2:$B$2000,1,0)</f>
        <v>JAGERMEISTER 1LTR</v>
      </c>
      <c r="E1188" s="3" t="str">
        <f>IF(ISNA($D1188),VLOOKUP($A1188,[2]stockregister!$A$2:$B$2000,2,FALSE),"")</f>
        <v/>
      </c>
      <c r="F1188" s="3" t="s">
        <v>21</v>
      </c>
      <c r="G1188" s="3">
        <f>_xlfn.IFNA(VLOOKUP($A1188,[3]stockregister!$A$2:$L$2000,11,0),0)</f>
        <v>0</v>
      </c>
      <c r="H1188" s="3">
        <f>_xlfn.IFNA(VLOOKUP($A1188,[3]stockregister!$A$2:$L$2000,11,0),0)-$G1188</f>
        <v>0</v>
      </c>
      <c r="I1188" s="3">
        <f>_xlfn.IFNA(VLOOKUP($A1188,[3]stockregister!$A$2:$L$2000,12,0),0)</f>
        <v>2580</v>
      </c>
      <c r="J1188" s="3">
        <f>_xlfn.IFNA(VLOOKUP($A1188,[3]stockregister!$A$1:$M$2000,12,0),0)-$I1188</f>
        <v>0</v>
      </c>
      <c r="K1188" s="3" t="s">
        <v>22</v>
      </c>
      <c r="L1188" s="3" t="s">
        <v>23</v>
      </c>
      <c r="M1188" s="3">
        <f>_xlfn.IFNA(VLOOKUP($A1188,[2]stockregister!$A$2:$H$2000,8,0),0)</f>
        <v>2700</v>
      </c>
      <c r="N1188" s="3">
        <f>_xlfn.IFNA(VLOOKUP($A1188,[2]stockregister!$A$2:$H$2000,8,0),0)-$M1188</f>
        <v>0</v>
      </c>
      <c r="O1188" s="3" t="s">
        <v>2795</v>
      </c>
      <c r="P1188" s="3" t="s">
        <v>2795</v>
      </c>
      <c r="Q1188" s="3" t="s">
        <v>151</v>
      </c>
      <c r="R1188" s="3" t="s">
        <v>126</v>
      </c>
      <c r="S1188" s="3" t="s">
        <v>152</v>
      </c>
    </row>
    <row r="1189" spans="1:19">
      <c r="A1189" s="3">
        <v>2398</v>
      </c>
      <c r="B1189" s="3" t="b">
        <f>ISNUMBER(MATCH(A1189,[1]stockregister!$A$2:$A$2000,0))</f>
        <v>1</v>
      </c>
      <c r="C1189" s="3" t="s">
        <v>2796</v>
      </c>
      <c r="D1189" s="3" t="str">
        <f>VLOOKUP($C1189,[1]stockregister!$B$2:$B$2000,1,0)</f>
        <v>JAGERMEISTER COLD BREW 1LTR</v>
      </c>
      <c r="E1189" s="3" t="str">
        <f>IF(ISNA($D1189),VLOOKUP($A1189,[2]stockregister!$A$2:$B$2000,2,FALSE),"")</f>
        <v/>
      </c>
      <c r="F1189" s="3" t="s">
        <v>21</v>
      </c>
      <c r="G1189" s="3">
        <f>_xlfn.IFNA(VLOOKUP($A1189,[3]stockregister!$A$2:$L$2000,11,0),0)</f>
        <v>0</v>
      </c>
      <c r="H1189" s="3">
        <f>_xlfn.IFNA(VLOOKUP($A1189,[3]stockregister!$A$2:$L$2000,11,0),0)-$G1189</f>
        <v>0</v>
      </c>
      <c r="I1189" s="3">
        <f>_xlfn.IFNA(VLOOKUP($A1189,[3]stockregister!$A$2:$L$2000,12,0),0)</f>
        <v>2352</v>
      </c>
      <c r="J1189" s="3">
        <f>_xlfn.IFNA(VLOOKUP($A1189,[3]stockregister!$A$1:$M$2000,12,0),0)-$I1189</f>
        <v>0</v>
      </c>
      <c r="K1189" s="3" t="s">
        <v>22</v>
      </c>
      <c r="L1189" s="3" t="s">
        <v>23</v>
      </c>
      <c r="M1189" s="3">
        <f>_xlfn.IFNA(VLOOKUP($A1189,[2]stockregister!$A$2:$H$2000,8,0),0)</f>
        <v>3400</v>
      </c>
      <c r="N1189" s="3">
        <f>_xlfn.IFNA(VLOOKUP($A1189,[2]stockregister!$A$2:$H$2000,8,0),0)-$M1189</f>
        <v>0</v>
      </c>
      <c r="O1189" s="3" t="s">
        <v>2797</v>
      </c>
      <c r="P1189" s="3" t="s">
        <v>2797</v>
      </c>
      <c r="Q1189" s="3" t="s">
        <v>151</v>
      </c>
      <c r="R1189" s="3" t="s">
        <v>126</v>
      </c>
      <c r="S1189" s="3" t="s">
        <v>152</v>
      </c>
    </row>
    <row r="1190" spans="1:19">
      <c r="A1190" s="3">
        <v>320</v>
      </c>
      <c r="B1190" s="3" t="b">
        <f>ISNUMBER(MATCH(A1190,[1]stockregister!$A$2:$A$2000,0))</f>
        <v>1</v>
      </c>
      <c r="C1190" s="3" t="s">
        <v>2798</v>
      </c>
      <c r="D1190" s="3" t="str">
        <f>VLOOKUP($C1190,[1]stockregister!$B$2:$B$2000,1,0)</f>
        <v>BUTLERS ESPRESSO 750ML</v>
      </c>
      <c r="E1190" s="3" t="str">
        <f>IF(ISNA($D1190),VLOOKUP($A1190,[2]stockregister!$A$2:$B$2000,2,FALSE),"")</f>
        <v/>
      </c>
      <c r="F1190" s="3" t="s">
        <v>21</v>
      </c>
      <c r="G1190" s="3">
        <f>_xlfn.IFNA(VLOOKUP($A1190,[3]stockregister!$A$2:$L$2000,11,0),0)</f>
        <v>0</v>
      </c>
      <c r="H1190" s="3">
        <f>_xlfn.IFNA(VLOOKUP($A1190,[3]stockregister!$A$2:$L$2000,11,0),0)-$G1190</f>
        <v>0</v>
      </c>
      <c r="I1190" s="3">
        <f>_xlfn.IFNA(VLOOKUP($A1190,[3]stockregister!$A$2:$L$2000,12,0),0)</f>
        <v>1472</v>
      </c>
      <c r="J1190" s="3">
        <f>_xlfn.IFNA(VLOOKUP($A1190,[3]stockregister!$A$1:$M$2000,12,0),0)-$I1190</f>
        <v>0</v>
      </c>
      <c r="K1190" s="3" t="s">
        <v>22</v>
      </c>
      <c r="L1190" s="3" t="s">
        <v>23</v>
      </c>
      <c r="M1190" s="3">
        <f>_xlfn.IFNA(VLOOKUP($A1190,[2]stockregister!$A$2:$H$2000,8,0),0)</f>
        <v>1600</v>
      </c>
      <c r="N1190" s="3">
        <f>_xlfn.IFNA(VLOOKUP($A1190,[2]stockregister!$A$2:$H$2000,8,0),0)-$M1190</f>
        <v>0</v>
      </c>
      <c r="O1190" s="3" t="s">
        <v>970</v>
      </c>
      <c r="P1190" s="3" t="s">
        <v>970</v>
      </c>
      <c r="Q1190" s="3" t="s">
        <v>2799</v>
      </c>
      <c r="R1190" s="3" t="s">
        <v>126</v>
      </c>
      <c r="S1190" s="3" t="s">
        <v>2800</v>
      </c>
    </row>
    <row r="1191" spans="1:19">
      <c r="A1191" s="3">
        <v>259</v>
      </c>
      <c r="B1191" s="3" t="b">
        <f>ISNUMBER(MATCH(A1191,[1]stockregister!$A$2:$A$2000,0))</f>
        <v>1</v>
      </c>
      <c r="C1191" s="3" t="s">
        <v>2801</v>
      </c>
      <c r="D1191" s="3" t="str">
        <f>VLOOKUP($C1191,[1]stockregister!$B$2:$B$2000,1,0)</f>
        <v>BOLS TRIPLE SEC LIQUEUR 700ML</v>
      </c>
      <c r="E1191" s="3" t="str">
        <f>IF(ISNA($D1191),VLOOKUP($A1191,[2]stockregister!$A$2:$B$2000,2,FALSE),"")</f>
        <v/>
      </c>
      <c r="F1191" s="3" t="s">
        <v>21</v>
      </c>
      <c r="G1191" s="3">
        <f>_xlfn.IFNA(VLOOKUP($A1191,[3]stockregister!$A$2:$L$2000,11,0),0)</f>
        <v>0</v>
      </c>
      <c r="H1191" s="3">
        <f>_xlfn.IFNA(VLOOKUP($A1191,[3]stockregister!$A$2:$L$2000,11,0),0)-$G1191</f>
        <v>0</v>
      </c>
      <c r="I1191" s="3">
        <f>_xlfn.IFNA(VLOOKUP($A1191,[3]stockregister!$A$2:$L$2000,12,0),0)</f>
        <v>1070</v>
      </c>
      <c r="J1191" s="3">
        <f>_xlfn.IFNA(VLOOKUP($A1191,[3]stockregister!$A$1:$M$2000,12,0),0)-$I1191</f>
        <v>0</v>
      </c>
      <c r="K1191" s="3" t="s">
        <v>22</v>
      </c>
      <c r="L1191" s="3" t="s">
        <v>23</v>
      </c>
      <c r="M1191" s="3">
        <f>_xlfn.IFNA(VLOOKUP($A1191,[2]stockregister!$A$2:$H$2000,8,0),0)</f>
        <v>1700</v>
      </c>
      <c r="N1191" s="3">
        <f>_xlfn.IFNA(VLOOKUP($A1191,[2]stockregister!$A$2:$H$2000,8,0),0)-$M1191</f>
        <v>0</v>
      </c>
      <c r="O1191" s="3" t="s">
        <v>2802</v>
      </c>
      <c r="P1191" s="3" t="s">
        <v>2802</v>
      </c>
      <c r="Q1191" s="3" t="s">
        <v>2170</v>
      </c>
      <c r="R1191" s="3" t="s">
        <v>126</v>
      </c>
      <c r="S1191" s="3" t="s">
        <v>2803</v>
      </c>
    </row>
    <row r="1192" spans="1:19">
      <c r="A1192" s="3">
        <v>505</v>
      </c>
      <c r="B1192" s="3" t="b">
        <f>ISNUMBER(MATCH(A1192,[1]stockregister!$A$2:$A$2000,0))</f>
        <v>1</v>
      </c>
      <c r="C1192" s="3" t="s">
        <v>2804</v>
      </c>
      <c r="D1192" s="3" t="str">
        <f>VLOOKUP($C1192,[1]stockregister!$B$2:$B$2000,1,0)</f>
        <v>COINTREAU LIQUEUR 700ML</v>
      </c>
      <c r="E1192" s="3" t="str">
        <f>IF(ISNA($D1192),VLOOKUP($A1192,[2]stockregister!$A$2:$B$2000,2,FALSE),"")</f>
        <v/>
      </c>
      <c r="F1192" s="3" t="s">
        <v>21</v>
      </c>
      <c r="G1192" s="3">
        <f>_xlfn.IFNA(VLOOKUP($A1192,[3]stockregister!$A$2:$L$2000,11,0),0)</f>
        <v>0</v>
      </c>
      <c r="H1192" s="3">
        <f>_xlfn.IFNA(VLOOKUP($A1192,[3]stockregister!$A$2:$L$2000,11,0),0)-$G1192</f>
        <v>0</v>
      </c>
      <c r="I1192" s="3">
        <f>_xlfn.IFNA(VLOOKUP($A1192,[3]stockregister!$A$2:$L$2000,12,0),0)</f>
        <v>2450</v>
      </c>
      <c r="J1192" s="3">
        <f>_xlfn.IFNA(VLOOKUP($A1192,[3]stockregister!$A$1:$M$2000,12,0),0)-$I1192</f>
        <v>0</v>
      </c>
      <c r="K1192" s="3" t="s">
        <v>22</v>
      </c>
      <c r="L1192" s="3" t="s">
        <v>23</v>
      </c>
      <c r="M1192" s="3">
        <f>_xlfn.IFNA(VLOOKUP($A1192,[2]stockregister!$A$2:$H$2000,8,0),0)</f>
        <v>2500</v>
      </c>
      <c r="N1192" s="3">
        <f>_xlfn.IFNA(VLOOKUP($A1192,[2]stockregister!$A$2:$H$2000,8,0),0)-$M1192</f>
        <v>0</v>
      </c>
      <c r="O1192" s="3" t="s">
        <v>2805</v>
      </c>
      <c r="P1192" s="3" t="s">
        <v>2805</v>
      </c>
      <c r="Q1192" s="3" t="s">
        <v>1005</v>
      </c>
      <c r="R1192" s="3" t="s">
        <v>126</v>
      </c>
      <c r="S1192" s="3" t="s">
        <v>1006</v>
      </c>
    </row>
    <row r="1193" spans="1:19">
      <c r="A1193" s="3">
        <v>2351</v>
      </c>
      <c r="B1193" s="3" t="b">
        <f>ISNUMBER(MATCH(A1193,[1]stockregister!$A$2:$A$2000,0))</f>
        <v>1</v>
      </c>
      <c r="C1193" s="3" t="s">
        <v>2806</v>
      </c>
      <c r="D1193" s="3" t="str">
        <f>VLOOKUP($C1193,[1]stockregister!$B$2:$B$2000,1,0)</f>
        <v>BARDINET TRIPLE SEC 750ML</v>
      </c>
      <c r="E1193" s="3" t="str">
        <f>IF(ISNA($D1193),VLOOKUP($A1193,[2]stockregister!$A$2:$B$2000,2,FALSE),"")</f>
        <v/>
      </c>
      <c r="F1193" s="3" t="s">
        <v>21</v>
      </c>
      <c r="G1193" s="3">
        <f>_xlfn.IFNA(VLOOKUP($A1193,[3]stockregister!$A$2:$L$2000,11,0),0)</f>
        <v>0</v>
      </c>
      <c r="H1193" s="3">
        <f>_xlfn.IFNA(VLOOKUP($A1193,[3]stockregister!$A$2:$L$2000,11,0),0)-$G1193</f>
        <v>0</v>
      </c>
      <c r="I1193" s="3">
        <f>_xlfn.IFNA(VLOOKUP($A1193,[3]stockregister!$A$2:$L$2000,12,0),0)</f>
        <v>1200</v>
      </c>
      <c r="J1193" s="3">
        <f>_xlfn.IFNA(VLOOKUP($A1193,[3]stockregister!$A$1:$M$2000,12,0),0)-$I1193</f>
        <v>0</v>
      </c>
      <c r="K1193" s="3" t="s">
        <v>22</v>
      </c>
      <c r="L1193" s="3" t="s">
        <v>23</v>
      </c>
      <c r="M1193" s="3">
        <f>_xlfn.IFNA(VLOOKUP($A1193,[2]stockregister!$A$2:$H$2000,8,0),0)</f>
        <v>1300</v>
      </c>
      <c r="N1193" s="3">
        <f>_xlfn.IFNA(VLOOKUP($A1193,[2]stockregister!$A$2:$H$2000,8,0),0)-$M1193</f>
        <v>0</v>
      </c>
      <c r="O1193" s="3" t="s">
        <v>2807</v>
      </c>
      <c r="P1193" s="3" t="s">
        <v>2807</v>
      </c>
      <c r="Q1193" s="3" t="s">
        <v>2159</v>
      </c>
      <c r="R1193" s="3" t="s">
        <v>126</v>
      </c>
      <c r="S1193" s="3" t="s">
        <v>1006</v>
      </c>
    </row>
    <row r="1194" spans="1:19">
      <c r="A1194" s="3">
        <v>325</v>
      </c>
      <c r="B1194" s="3" t="b">
        <f>ISNUMBER(MATCH(A1194,[1]stockregister!$A$2:$A$2000,0))</f>
        <v>1</v>
      </c>
      <c r="C1194" s="3" t="s">
        <v>2808</v>
      </c>
      <c r="D1194" s="3" t="str">
        <f>VLOOKUP($C1194,[1]stockregister!$B$2:$B$2000,1,0)</f>
        <v>BUTLERS TRIPLE SEC LIQUEUR 750ML</v>
      </c>
      <c r="E1194" s="3" t="str">
        <f>IF(ISNA($D1194),VLOOKUP($A1194,[2]stockregister!$A$2:$B$2000,2,FALSE),"")</f>
        <v/>
      </c>
      <c r="F1194" s="3" t="s">
        <v>21</v>
      </c>
      <c r="G1194" s="3">
        <f>_xlfn.IFNA(VLOOKUP($A1194,[3]stockregister!$A$2:$L$2000,11,0),0)</f>
        <v>0</v>
      </c>
      <c r="H1194" s="3">
        <f>_xlfn.IFNA(VLOOKUP($A1194,[3]stockregister!$A$2:$L$2000,11,0),0)-$G1194</f>
        <v>0</v>
      </c>
      <c r="I1194" s="3">
        <f>_xlfn.IFNA(VLOOKUP($A1194,[3]stockregister!$A$2:$L$2000,12,0),0)</f>
        <v>1500</v>
      </c>
      <c r="J1194" s="3">
        <f>_xlfn.IFNA(VLOOKUP($A1194,[3]stockregister!$A$1:$M$2000,12,0),0)-$I1194</f>
        <v>0</v>
      </c>
      <c r="K1194" s="3" t="s">
        <v>22</v>
      </c>
      <c r="L1194" s="3" t="s">
        <v>23</v>
      </c>
      <c r="M1194" s="3">
        <f>_xlfn.IFNA(VLOOKUP($A1194,[2]stockregister!$A$2:$H$2000,8,0),0)</f>
        <v>1600</v>
      </c>
      <c r="N1194" s="3">
        <f>_xlfn.IFNA(VLOOKUP($A1194,[2]stockregister!$A$2:$H$2000,8,0),0)-$M1194</f>
        <v>0</v>
      </c>
      <c r="O1194" s="3" t="s">
        <v>2809</v>
      </c>
      <c r="P1194" s="3" t="s">
        <v>2809</v>
      </c>
      <c r="Q1194" s="3" t="s">
        <v>641</v>
      </c>
      <c r="R1194" s="3" t="s">
        <v>126</v>
      </c>
      <c r="S1194" s="3" t="s">
        <v>1006</v>
      </c>
    </row>
    <row r="1195" spans="1:18">
      <c r="A1195" s="3">
        <v>611</v>
      </c>
      <c r="B1195" s="3" t="b">
        <f>ISNUMBER(MATCH(A1195,[1]stockregister!$A$2:$A$2000,0))</f>
        <v>1</v>
      </c>
      <c r="C1195" s="3" t="s">
        <v>2810</v>
      </c>
      <c r="D1195" s="3" t="str">
        <f>VLOOKUP($C1195,[1]stockregister!$B$2:$B$2000,1,0)</f>
        <v>DISARONNO VELVET 700ML</v>
      </c>
      <c r="E1195" s="3" t="str">
        <f>IF(ISNA($D1195),VLOOKUP($A1195,[2]stockregister!$A$2:$B$2000,2,FALSE),"")</f>
        <v/>
      </c>
      <c r="F1195" s="3" t="s">
        <v>21</v>
      </c>
      <c r="G1195" s="3">
        <f>_xlfn.IFNA(VLOOKUP($A1195,[3]stockregister!$A$2:$L$2000,11,0),0)</f>
        <v>0</v>
      </c>
      <c r="H1195" s="3">
        <f>_xlfn.IFNA(VLOOKUP($A1195,[3]stockregister!$A$2:$L$2000,11,0),0)-$G1195</f>
        <v>0</v>
      </c>
      <c r="I1195" s="3">
        <f>_xlfn.IFNA(VLOOKUP($A1195,[3]stockregister!$A$2:$L$2000,12,0),0)</f>
        <v>3220</v>
      </c>
      <c r="J1195" s="3">
        <f>_xlfn.IFNA(VLOOKUP($A1195,[3]stockregister!$A$1:$M$2000,12,0),0)-$I1195</f>
        <v>0</v>
      </c>
      <c r="K1195" s="3" t="s">
        <v>22</v>
      </c>
      <c r="L1195" s="3" t="s">
        <v>23</v>
      </c>
      <c r="M1195" s="3">
        <f>_xlfn.IFNA(VLOOKUP($A1195,[2]stockregister!$A$2:$H$2000,8,0),0)</f>
        <v>3500</v>
      </c>
      <c r="N1195" s="3">
        <f>_xlfn.IFNA(VLOOKUP($A1195,[2]stockregister!$A$2:$H$2000,8,0),0)-$M1195</f>
        <v>0</v>
      </c>
      <c r="O1195" s="3" t="s">
        <v>2811</v>
      </c>
      <c r="P1195" s="3" t="s">
        <v>2811</v>
      </c>
      <c r="Q1195" s="3" t="s">
        <v>2176</v>
      </c>
      <c r="R1195" s="3" t="s">
        <v>126</v>
      </c>
    </row>
    <row r="1196" spans="1:18">
      <c r="A1196" s="3">
        <v>901</v>
      </c>
      <c r="B1196" s="3" t="b">
        <f>ISNUMBER(MATCH(A1196,[1]stockregister!$A$2:$A$2000,0))</f>
        <v>1</v>
      </c>
      <c r="C1196" s="3" t="s">
        <v>2812</v>
      </c>
      <c r="D1196" s="3" t="str">
        <f>VLOOKUP($C1196,[1]stockregister!$B$2:$B$2000,1,0)</f>
        <v>GRAND MANIER LIQUEUR 750ML</v>
      </c>
      <c r="E1196" s="3" t="str">
        <f>IF(ISNA($D1196),VLOOKUP($A1196,[2]stockregister!$A$2:$B$2000,2,FALSE),"")</f>
        <v/>
      </c>
      <c r="F1196" s="3" t="s">
        <v>21</v>
      </c>
      <c r="G1196" s="3">
        <f>_xlfn.IFNA(VLOOKUP($A1196,[3]stockregister!$A$2:$L$2000,11,0),0)</f>
        <v>0</v>
      </c>
      <c r="H1196" s="3">
        <f>_xlfn.IFNA(VLOOKUP($A1196,[3]stockregister!$A$2:$L$2000,11,0),0)-$G1196</f>
        <v>0</v>
      </c>
      <c r="I1196" s="3">
        <f>_xlfn.IFNA(VLOOKUP($A1196,[3]stockregister!$A$2:$L$2000,12,0),0)</f>
        <v>3220</v>
      </c>
      <c r="J1196" s="3">
        <f>_xlfn.IFNA(VLOOKUP($A1196,[3]stockregister!$A$1:$M$2000,12,0),0)-$I1196</f>
        <v>0</v>
      </c>
      <c r="K1196" s="3" t="s">
        <v>22</v>
      </c>
      <c r="L1196" s="3" t="s">
        <v>23</v>
      </c>
      <c r="M1196" s="3">
        <f>_xlfn.IFNA(VLOOKUP($A1196,[2]stockregister!$A$2:$H$2000,8,0),0)</f>
        <v>3500</v>
      </c>
      <c r="N1196" s="3">
        <f>_xlfn.IFNA(VLOOKUP($A1196,[2]stockregister!$A$2:$H$2000,8,0),0)-$M1196</f>
        <v>0</v>
      </c>
      <c r="O1196" s="3" t="s">
        <v>2813</v>
      </c>
      <c r="P1196" s="3" t="s">
        <v>2813</v>
      </c>
      <c r="Q1196" s="3" t="s">
        <v>1608</v>
      </c>
      <c r="R1196" s="3" t="s">
        <v>126</v>
      </c>
    </row>
    <row r="1197" spans="1:18">
      <c r="A1197" s="3">
        <v>903</v>
      </c>
      <c r="B1197" s="3" t="b">
        <f>ISNUMBER(MATCH(A1197,[1]stockregister!$A$2:$A$2000,0))</f>
        <v>1</v>
      </c>
      <c r="C1197" s="3" t="s">
        <v>2814</v>
      </c>
      <c r="D1197" s="3" t="str">
        <f>VLOOKUP($C1197,[1]stockregister!$B$2:$B$2000,1,0)</f>
        <v>GRAND MARNIER LIQUEUR 1LTR</v>
      </c>
      <c r="E1197" s="3" t="str">
        <f>IF(ISNA($D1197),VLOOKUP($A1197,[2]stockregister!$A$2:$B$2000,2,FALSE),"")</f>
        <v/>
      </c>
      <c r="F1197" s="3" t="s">
        <v>21</v>
      </c>
      <c r="G1197" s="3">
        <f>_xlfn.IFNA(VLOOKUP($A1197,[3]stockregister!$A$2:$L$2000,11,0),0)</f>
        <v>0</v>
      </c>
      <c r="H1197" s="3">
        <f>_xlfn.IFNA(VLOOKUP($A1197,[3]stockregister!$A$2:$L$2000,11,0),0)-$G1197</f>
        <v>0</v>
      </c>
      <c r="I1197" s="3">
        <f>_xlfn.IFNA(VLOOKUP($A1197,[3]stockregister!$A$2:$L$2000,12,0),0)</f>
        <v>3680</v>
      </c>
      <c r="J1197" s="3">
        <f>_xlfn.IFNA(VLOOKUP($A1197,[3]stockregister!$A$1:$M$2000,12,0),0)-$I1197</f>
        <v>0</v>
      </c>
      <c r="K1197" s="3" t="s">
        <v>22</v>
      </c>
      <c r="L1197" s="3" t="s">
        <v>23</v>
      </c>
      <c r="M1197" s="3">
        <f>_xlfn.IFNA(VLOOKUP($A1197,[2]stockregister!$A$2:$H$2000,8,0),0)</f>
        <v>3800</v>
      </c>
      <c r="N1197" s="3">
        <f>_xlfn.IFNA(VLOOKUP($A1197,[2]stockregister!$A$2:$H$2000,8,0),0)-$M1197</f>
        <v>0</v>
      </c>
      <c r="O1197" s="3" t="s">
        <v>2815</v>
      </c>
      <c r="P1197" s="3" t="s">
        <v>2815</v>
      </c>
      <c r="Q1197" s="3" t="s">
        <v>1608</v>
      </c>
      <c r="R1197" s="3" t="s">
        <v>126</v>
      </c>
    </row>
    <row r="1198" spans="1:18">
      <c r="A1198" s="3">
        <v>1859</v>
      </c>
      <c r="B1198" s="3" t="b">
        <f>ISNUMBER(MATCH(A1198,[1]stockregister!$A$2:$A$2000,0))</f>
        <v>1</v>
      </c>
      <c r="C1198" s="3" t="s">
        <v>2816</v>
      </c>
      <c r="D1198" s="3" t="str">
        <f>VLOOKUP($C1198,[1]stockregister!$B$2:$B$2000,1,0)</f>
        <v>SOUTHERN COMFORT BLACK 700ML</v>
      </c>
      <c r="E1198" s="3" t="str">
        <f>IF(ISNA($D1198),VLOOKUP($A1198,[2]stockregister!$A$2:$B$2000,2,FALSE),"")</f>
        <v/>
      </c>
      <c r="F1198" s="3" t="s">
        <v>21</v>
      </c>
      <c r="G1198" s="3">
        <f>_xlfn.IFNA(VLOOKUP($A1198,[3]stockregister!$A$2:$L$2000,11,0),0)</f>
        <v>0</v>
      </c>
      <c r="H1198" s="3">
        <f>_xlfn.IFNA(VLOOKUP($A1198,[3]stockregister!$A$2:$L$2000,11,0),0)-$G1198</f>
        <v>0</v>
      </c>
      <c r="I1198" s="3">
        <f>_xlfn.IFNA(VLOOKUP($A1198,[3]stockregister!$A$2:$L$2000,12,0),0)</f>
        <v>1656</v>
      </c>
      <c r="J1198" s="3">
        <f>_xlfn.IFNA(VLOOKUP($A1198,[3]stockregister!$A$1:$M$2000,12,0),0)-$I1198</f>
        <v>0</v>
      </c>
      <c r="K1198" s="3" t="s">
        <v>22</v>
      </c>
      <c r="L1198" s="3" t="s">
        <v>23</v>
      </c>
      <c r="M1198" s="3">
        <f>_xlfn.IFNA(VLOOKUP($A1198,[2]stockregister!$A$2:$H$2000,8,0),0)</f>
        <v>1800</v>
      </c>
      <c r="N1198" s="3">
        <f>_xlfn.IFNA(VLOOKUP($A1198,[2]stockregister!$A$2:$H$2000,8,0),0)-$M1198</f>
        <v>0</v>
      </c>
      <c r="O1198" s="3" t="s">
        <v>2817</v>
      </c>
      <c r="P1198" s="3" t="s">
        <v>2817</v>
      </c>
      <c r="Q1198" s="3" t="s">
        <v>2818</v>
      </c>
      <c r="R1198" s="3" t="s">
        <v>126</v>
      </c>
    </row>
    <row r="1199" spans="1:18">
      <c r="A1199" s="3">
        <v>1991</v>
      </c>
      <c r="B1199" s="3" t="b">
        <f>ISNUMBER(MATCH(A1199,[1]stockregister!$A$2:$A$2000,0))</f>
        <v>1</v>
      </c>
      <c r="C1199" s="3" t="s">
        <v>2819</v>
      </c>
      <c r="D1199" s="3" t="str">
        <f>VLOOKUP($C1199,[1]stockregister!$B$2:$B$2000,1,0)</f>
        <v>TIA MARIA DARK LIQOUR 1LT</v>
      </c>
      <c r="E1199" s="3" t="str">
        <f>IF(ISNA($D1199),VLOOKUP($A1199,[2]stockregister!$A$2:$B$2000,2,FALSE),"")</f>
        <v/>
      </c>
      <c r="F1199" s="3" t="s">
        <v>21</v>
      </c>
      <c r="G1199" s="3">
        <f>_xlfn.IFNA(VLOOKUP($A1199,[3]stockregister!$A$2:$L$2000,11,0),0)</f>
        <v>0</v>
      </c>
      <c r="H1199" s="3">
        <f>_xlfn.IFNA(VLOOKUP($A1199,[3]stockregister!$A$2:$L$2000,11,0),0)-$G1199</f>
        <v>0</v>
      </c>
      <c r="I1199" s="3">
        <f>_xlfn.IFNA(VLOOKUP($A1199,[3]stockregister!$A$2:$L$2000,12,0),0)</f>
        <v>2760</v>
      </c>
      <c r="J1199" s="3">
        <f>_xlfn.IFNA(VLOOKUP($A1199,[3]stockregister!$A$1:$M$2000,12,0),0)-$I1199</f>
        <v>0</v>
      </c>
      <c r="K1199" s="3" t="s">
        <v>22</v>
      </c>
      <c r="L1199" s="3" t="s">
        <v>23</v>
      </c>
      <c r="M1199" s="3">
        <f>_xlfn.IFNA(VLOOKUP($A1199,[2]stockregister!$A$2:$H$2000,8,0),0)</f>
        <v>3000</v>
      </c>
      <c r="N1199" s="3">
        <f>_xlfn.IFNA(VLOOKUP($A1199,[2]stockregister!$A$2:$H$2000,8,0),0)-$M1199</f>
        <v>0</v>
      </c>
      <c r="O1199" s="3" t="s">
        <v>2820</v>
      </c>
      <c r="P1199" s="3" t="s">
        <v>2820</v>
      </c>
      <c r="Q1199" s="3" t="s">
        <v>1758</v>
      </c>
      <c r="R1199" s="3" t="s">
        <v>126</v>
      </c>
    </row>
    <row r="1200" spans="1:18">
      <c r="A1200" s="3">
        <v>1857</v>
      </c>
      <c r="B1200" s="3" t="b">
        <f>ISNUMBER(MATCH(A1200,[1]stockregister!$A$2:$A$2000,0))</f>
        <v>1</v>
      </c>
      <c r="C1200" s="3" t="s">
        <v>2821</v>
      </c>
      <c r="D1200" s="3" t="str">
        <f>VLOOKUP($C1200,[1]stockregister!$B$2:$B$2000,1,0)</f>
        <v>SOUTHERN COMFORT 350ML</v>
      </c>
      <c r="E1200" s="3" t="str">
        <f>IF(ISNA($D1200),VLOOKUP($A1200,[2]stockregister!$A$2:$B$2000,2,FALSE),"")</f>
        <v/>
      </c>
      <c r="F1200" s="3" t="s">
        <v>21</v>
      </c>
      <c r="G1200" s="3">
        <f>_xlfn.IFNA(VLOOKUP($A1200,[3]stockregister!$A$2:$L$2000,11,0),0)</f>
        <v>0</v>
      </c>
      <c r="H1200" s="3">
        <f>_xlfn.IFNA(VLOOKUP($A1200,[3]stockregister!$A$2:$L$2000,11,0),0)-$G1200</f>
        <v>0</v>
      </c>
      <c r="I1200" s="3">
        <f>_xlfn.IFNA(VLOOKUP($A1200,[3]stockregister!$A$2:$L$2000,12,0),0)</f>
        <v>828</v>
      </c>
      <c r="J1200" s="3">
        <f>_xlfn.IFNA(VLOOKUP($A1200,[3]stockregister!$A$1:$M$2000,12,0),0)-$I1200</f>
        <v>0</v>
      </c>
      <c r="K1200" s="3" t="s">
        <v>22</v>
      </c>
      <c r="L1200" s="3" t="s">
        <v>23</v>
      </c>
      <c r="M1200" s="3">
        <f>_xlfn.IFNA(VLOOKUP($A1200,[2]stockregister!$A$2:$H$2000,8,0),0)</f>
        <v>900</v>
      </c>
      <c r="N1200" s="3">
        <f>_xlfn.IFNA(VLOOKUP($A1200,[2]stockregister!$A$2:$H$2000,8,0),0)-$M1200</f>
        <v>0</v>
      </c>
      <c r="O1200" s="3" t="s">
        <v>2822</v>
      </c>
      <c r="P1200" s="3" t="s">
        <v>2822</v>
      </c>
      <c r="Q1200" s="3" t="s">
        <v>140</v>
      </c>
      <c r="R1200" s="3" t="s">
        <v>126</v>
      </c>
    </row>
    <row r="1201" spans="1:18">
      <c r="A1201" s="3">
        <v>684</v>
      </c>
      <c r="B1201" s="3" t="b">
        <f>ISNUMBER(MATCH(A1201,[1]stockregister!$A$2:$A$2000,0))</f>
        <v>1</v>
      </c>
      <c r="C1201" s="3" t="s">
        <v>2823</v>
      </c>
      <c r="D1201" s="3" t="str">
        <f>VLOOKUP($C1201,[1]stockregister!$B$2:$B$2000,1,0)</f>
        <v>FERNET BRANCA LIQUEUR 1LTR</v>
      </c>
      <c r="E1201" s="3" t="str">
        <f>IF(ISNA($D1201),VLOOKUP($A1201,[2]stockregister!$A$2:$B$2000,2,FALSE),"")</f>
        <v/>
      </c>
      <c r="F1201" s="3" t="s">
        <v>21</v>
      </c>
      <c r="G1201" s="3">
        <f>_xlfn.IFNA(VLOOKUP($A1201,[3]stockregister!$A$2:$L$2000,11,0),0)</f>
        <v>0</v>
      </c>
      <c r="H1201" s="3">
        <f>_xlfn.IFNA(VLOOKUP($A1201,[3]stockregister!$A$2:$L$2000,11,0),0)-$G1201</f>
        <v>0</v>
      </c>
      <c r="I1201" s="3">
        <f>_xlfn.IFNA(VLOOKUP($A1201,[3]stockregister!$A$2:$L$2000,12,0),0)</f>
        <v>3082</v>
      </c>
      <c r="J1201" s="3">
        <f>_xlfn.IFNA(VLOOKUP($A1201,[3]stockregister!$A$1:$M$2000,12,0),0)-$I1201</f>
        <v>0</v>
      </c>
      <c r="K1201" s="3" t="s">
        <v>22</v>
      </c>
      <c r="L1201" s="3" t="s">
        <v>23</v>
      </c>
      <c r="M1201" s="3">
        <f>_xlfn.IFNA(VLOOKUP($A1201,[2]stockregister!$A$2:$H$2000,8,0),0)</f>
        <v>3350</v>
      </c>
      <c r="N1201" s="3">
        <f>_xlfn.IFNA(VLOOKUP($A1201,[2]stockregister!$A$2:$H$2000,8,0),0)-$M1201</f>
        <v>0</v>
      </c>
      <c r="O1201" s="3" t="s">
        <v>2824</v>
      </c>
      <c r="P1201" s="3" t="s">
        <v>2824</v>
      </c>
      <c r="Q1201" s="3" t="s">
        <v>2825</v>
      </c>
      <c r="R1201" s="3" t="s">
        <v>126</v>
      </c>
    </row>
    <row r="1202" spans="1:18">
      <c r="A1202" s="3">
        <v>1617</v>
      </c>
      <c r="B1202" s="3" t="b">
        <f>ISNUMBER(MATCH(A1202,[1]stockregister!$A$2:$A$2000,0))</f>
        <v>1</v>
      </c>
      <c r="C1202" s="3" t="s">
        <v>2826</v>
      </c>
      <c r="D1202" s="3" t="str">
        <f>VLOOKUP($C1202,[1]stockregister!$B$2:$B$2000,1,0)</f>
        <v>PERNOD LIQUEUR 700ML</v>
      </c>
      <c r="E1202" s="3" t="str">
        <f>IF(ISNA($D1202),VLOOKUP($A1202,[2]stockregister!$A$2:$B$2000,2,FALSE),"")</f>
        <v/>
      </c>
      <c r="F1202" s="3" t="s">
        <v>21</v>
      </c>
      <c r="G1202" s="3">
        <f>_xlfn.IFNA(VLOOKUP($A1202,[3]stockregister!$A$2:$L$2000,11,0),0)</f>
        <v>0</v>
      </c>
      <c r="H1202" s="3">
        <f>_xlfn.IFNA(VLOOKUP($A1202,[3]stockregister!$A$2:$L$2000,11,0),0)-$G1202</f>
        <v>0</v>
      </c>
      <c r="I1202" s="3">
        <f>_xlfn.IFNA(VLOOKUP($A1202,[3]stockregister!$A$2:$L$2000,12,0),0)</f>
        <v>1840</v>
      </c>
      <c r="J1202" s="3">
        <f>_xlfn.IFNA(VLOOKUP($A1202,[3]stockregister!$A$1:$M$2000,12,0),0)-$I1202</f>
        <v>0</v>
      </c>
      <c r="K1202" s="3" t="s">
        <v>22</v>
      </c>
      <c r="L1202" s="3" t="s">
        <v>23</v>
      </c>
      <c r="M1202" s="3">
        <f>_xlfn.IFNA(VLOOKUP($A1202,[2]stockregister!$A$2:$H$2000,8,0),0)</f>
        <v>2000</v>
      </c>
      <c r="N1202" s="3">
        <f>_xlfn.IFNA(VLOOKUP($A1202,[2]stockregister!$A$2:$H$2000,8,0),0)-$M1202</f>
        <v>0</v>
      </c>
      <c r="O1202" s="3" t="s">
        <v>2827</v>
      </c>
      <c r="P1202" s="3" t="s">
        <v>2827</v>
      </c>
      <c r="Q1202" s="3" t="s">
        <v>2828</v>
      </c>
      <c r="R1202" s="3" t="s">
        <v>126</v>
      </c>
    </row>
    <row r="1203" spans="1:18">
      <c r="A1203" s="3">
        <v>2854</v>
      </c>
      <c r="B1203" s="3" t="b">
        <f>ISNUMBER(MATCH(A1203,[1]stockregister!$A$2:$A$2000,0))</f>
        <v>1</v>
      </c>
      <c r="C1203" s="3" t="s">
        <v>2829</v>
      </c>
      <c r="D1203" s="3" t="str">
        <f>VLOOKUP($C1203,[1]stockregister!$B$2:$B$2000,1,0)</f>
        <v>TORRERO 700ML</v>
      </c>
      <c r="E1203" s="3" t="str">
        <f>IF(ISNA($D1203),VLOOKUP($A1203,[2]stockregister!$A$2:$B$2000,2,FALSE),"")</f>
        <v/>
      </c>
      <c r="F1203" s="3" t="s">
        <v>21</v>
      </c>
      <c r="G1203" s="3">
        <f>_xlfn.IFNA(VLOOKUP($A1203,[3]stockregister!$A$2:$L$2000,11,0),0)</f>
        <v>0</v>
      </c>
      <c r="H1203" s="3">
        <f>_xlfn.IFNA(VLOOKUP($A1203,[3]stockregister!$A$2:$L$2000,11,0),0)-$G1203</f>
        <v>0</v>
      </c>
      <c r="I1203" s="3">
        <f>_xlfn.IFNA(VLOOKUP($A1203,[3]stockregister!$A$2:$L$2000,12,0),0)</f>
        <v>670</v>
      </c>
      <c r="J1203" s="3">
        <f>_xlfn.IFNA(VLOOKUP($A1203,[3]stockregister!$A$1:$M$2000,12,0),0)-$I1203</f>
        <v>0</v>
      </c>
      <c r="K1203" s="3" t="s">
        <v>22</v>
      </c>
      <c r="L1203" s="3" t="s">
        <v>23</v>
      </c>
      <c r="M1203" s="3">
        <f>_xlfn.IFNA(VLOOKUP($A1203,[2]stockregister!$A$2:$H$2000,8,0),0)</f>
        <v>710</v>
      </c>
      <c r="N1203" s="3">
        <f>_xlfn.IFNA(VLOOKUP($A1203,[2]stockregister!$A$2:$H$2000,8,0),0)-$M1203</f>
        <v>0</v>
      </c>
      <c r="O1203" s="3" t="s">
        <v>2830</v>
      </c>
      <c r="P1203" s="3" t="s">
        <v>2830</v>
      </c>
      <c r="Q1203" s="3" t="s">
        <v>2831</v>
      </c>
      <c r="R1203" s="3" t="s">
        <v>126</v>
      </c>
    </row>
    <row r="1204" spans="1:18">
      <c r="A1204" s="3">
        <v>1856</v>
      </c>
      <c r="B1204" s="3" t="b">
        <f>ISNUMBER(MATCH(A1204,[1]stockregister!$A$2:$A$2000,0))</f>
        <v>1</v>
      </c>
      <c r="C1204" s="3" t="s">
        <v>2832</v>
      </c>
      <c r="D1204" s="3" t="str">
        <f>VLOOKUP($C1204,[1]stockregister!$B$2:$B$2000,1,0)</f>
        <v>SOUTHERN COMFORT BLACK 1LT</v>
      </c>
      <c r="E1204" s="3" t="str">
        <f>IF(ISNA($D1204),VLOOKUP($A1204,[2]stockregister!$A$2:$B$2000,2,FALSE),"")</f>
        <v/>
      </c>
      <c r="F1204" s="3" t="s">
        <v>21</v>
      </c>
      <c r="G1204" s="3">
        <f>_xlfn.IFNA(VLOOKUP($A1204,[3]stockregister!$A$2:$L$2000,11,0),0)</f>
        <v>0</v>
      </c>
      <c r="H1204" s="3">
        <f>_xlfn.IFNA(VLOOKUP($A1204,[3]stockregister!$A$2:$L$2000,11,0),0)-$G1204</f>
        <v>0</v>
      </c>
      <c r="I1204" s="3">
        <f>_xlfn.IFNA(VLOOKUP($A1204,[3]stockregister!$A$2:$L$2000,12,0),0)</f>
        <v>1500</v>
      </c>
      <c r="J1204" s="3">
        <f>_xlfn.IFNA(VLOOKUP($A1204,[3]stockregister!$A$1:$M$2000,12,0),0)-$I1204</f>
        <v>0</v>
      </c>
      <c r="K1204" s="3" t="s">
        <v>22</v>
      </c>
      <c r="L1204" s="3" t="s">
        <v>23</v>
      </c>
      <c r="M1204" s="3">
        <f>_xlfn.IFNA(VLOOKUP($A1204,[2]stockregister!$A$2:$H$2000,8,0),0)</f>
        <v>2200</v>
      </c>
      <c r="N1204" s="3">
        <f>_xlfn.IFNA(VLOOKUP($A1204,[2]stockregister!$A$2:$H$2000,8,0),0)-$M1204</f>
        <v>0</v>
      </c>
      <c r="O1204" s="3" t="s">
        <v>2833</v>
      </c>
      <c r="P1204" s="3" t="s">
        <v>2833</v>
      </c>
      <c r="Q1204" s="3" t="s">
        <v>822</v>
      </c>
      <c r="R1204" s="3" t="s">
        <v>126</v>
      </c>
    </row>
    <row r="1205" spans="1:18">
      <c r="A1205" s="3">
        <v>825</v>
      </c>
      <c r="B1205" s="3" t="b">
        <f>ISNUMBER(MATCH(A1205,[1]stockregister!$A$2:$A$2000,0))</f>
        <v>1</v>
      </c>
      <c r="C1205" s="3" t="s">
        <v>481</v>
      </c>
      <c r="D1205" s="3" t="str">
        <f>VLOOKUP($C1205,[1]stockregister!$B$2:$B$2000,1,0)</f>
        <v>SMIRNOFF</v>
      </c>
      <c r="E1205" s="3" t="str">
        <f>IF(ISNA($D1205),VLOOKUP($A1205,[2]stockregister!$A$2:$B$2000,2,FALSE),"")</f>
        <v/>
      </c>
      <c r="F1205" s="3" t="s">
        <v>21</v>
      </c>
      <c r="G1205" s="3">
        <f>_xlfn.IFNA(VLOOKUP($A1205,[3]stockregister!$A$2:$L$2000,11,0),0)</f>
        <v>0</v>
      </c>
      <c r="H1205" s="3">
        <f>_xlfn.IFNA(VLOOKUP($A1205,[3]stockregister!$A$2:$L$2000,11,0),0)-$G1205</f>
        <v>0</v>
      </c>
      <c r="I1205" s="3">
        <f>_xlfn.IFNA(VLOOKUP($A1205,[3]stockregister!$A$2:$L$2000,12,0),0)</f>
        <v>410</v>
      </c>
      <c r="J1205" s="3">
        <f>_xlfn.IFNA(VLOOKUP($A1205,[3]stockregister!$A$1:$M$2000,12,0),0)-$I1205</f>
        <v>0</v>
      </c>
      <c r="K1205" s="3" t="s">
        <v>22</v>
      </c>
      <c r="L1205" s="3" t="s">
        <v>23</v>
      </c>
      <c r="M1205" s="3">
        <f>_xlfn.IFNA(VLOOKUP($A1205,[2]stockregister!$A$2:$H$2000,8,0),0)</f>
        <v>416</v>
      </c>
      <c r="N1205" s="3">
        <f>_xlfn.IFNA(VLOOKUP($A1205,[2]stockregister!$A$2:$H$2000,8,0),0)-$M1205</f>
        <v>0</v>
      </c>
      <c r="O1205" s="3" t="s">
        <v>2834</v>
      </c>
      <c r="P1205" s="3" t="s">
        <v>2834</v>
      </c>
      <c r="Q1205" s="3" t="s">
        <v>189</v>
      </c>
      <c r="R1205" s="3" t="s">
        <v>146</v>
      </c>
    </row>
    <row r="1206" spans="1:19">
      <c r="A1206" s="3">
        <v>941</v>
      </c>
      <c r="B1206" s="3" t="b">
        <f>ISNUMBER(MATCH(A1206,[1]stockregister!$A$2:$A$2000,0))</f>
        <v>1</v>
      </c>
      <c r="C1206" s="3" t="s">
        <v>2835</v>
      </c>
      <c r="D1206" s="3" t="str">
        <f>VLOOKUP($C1206,[1]stockregister!$B$2:$B$2000,1,0)</f>
        <v>HAVANA ANEJO ESPECIAL TEQUILA 700ML</v>
      </c>
      <c r="E1206" s="3" t="str">
        <f>IF(ISNA($D1206),VLOOKUP($A1206,[2]stockregister!$A$2:$B$2000,2,FALSE),"")</f>
        <v/>
      </c>
      <c r="F1206" s="3" t="s">
        <v>21</v>
      </c>
      <c r="G1206" s="3">
        <f>_xlfn.IFNA(VLOOKUP($A1206,[3]stockregister!$A$2:$L$2000,11,0),0)</f>
        <v>0</v>
      </c>
      <c r="H1206" s="3">
        <f>_xlfn.IFNA(VLOOKUP($A1206,[3]stockregister!$A$2:$L$2000,11,0),0)-$G1206</f>
        <v>0</v>
      </c>
      <c r="I1206" s="3">
        <f>_xlfn.IFNA(VLOOKUP($A1206,[3]stockregister!$A$2:$L$2000,12,0),0)</f>
        <v>1518</v>
      </c>
      <c r="J1206" s="3">
        <f>_xlfn.IFNA(VLOOKUP($A1206,[3]stockregister!$A$1:$M$2000,12,0),0)-$I1206</f>
        <v>0</v>
      </c>
      <c r="K1206" s="3" t="s">
        <v>22</v>
      </c>
      <c r="L1206" s="3" t="s">
        <v>23</v>
      </c>
      <c r="M1206" s="3">
        <f>_xlfn.IFNA(VLOOKUP($A1206,[2]stockregister!$A$2:$H$2000,8,0),0)</f>
        <v>1650</v>
      </c>
      <c r="N1206" s="3">
        <f>_xlfn.IFNA(VLOOKUP($A1206,[2]stockregister!$A$2:$H$2000,8,0),0)-$M1206</f>
        <v>0</v>
      </c>
      <c r="O1206" s="3" t="s">
        <v>2836</v>
      </c>
      <c r="P1206" s="3" t="s">
        <v>2836</v>
      </c>
      <c r="Q1206" s="3" t="s">
        <v>2837</v>
      </c>
      <c r="R1206" s="3" t="s">
        <v>156</v>
      </c>
      <c r="S1206" s="3" t="s">
        <v>818</v>
      </c>
    </row>
    <row r="1207" spans="1:19">
      <c r="A1207" s="3">
        <v>373</v>
      </c>
      <c r="B1207" s="3" t="b">
        <f>ISNUMBER(MATCH(A1207,[1]stockregister!$A$2:$A$2000,0))</f>
        <v>1</v>
      </c>
      <c r="C1207" s="3" t="s">
        <v>508</v>
      </c>
      <c r="D1207" s="3" t="str">
        <f>VLOOKUP($C1207,[1]stockregister!$B$2:$B$2000,1,0)</f>
        <v>CAPTAIN MORGAN DARK 750ML</v>
      </c>
      <c r="E1207" s="3" t="str">
        <f>IF(ISNA($D1207),VLOOKUP($A1207,[2]stockregister!$A$2:$B$2000,2,FALSE),"")</f>
        <v/>
      </c>
      <c r="F1207" s="3" t="s">
        <v>21</v>
      </c>
      <c r="G1207" s="3">
        <f>_xlfn.IFNA(VLOOKUP($A1207,[3]stockregister!$A$2:$L$2000,11,0),0)</f>
        <v>0</v>
      </c>
      <c r="H1207" s="3">
        <f>_xlfn.IFNA(VLOOKUP($A1207,[3]stockregister!$A$2:$L$2000,11,0),0)-$G1207</f>
        <v>0</v>
      </c>
      <c r="I1207" s="3">
        <f>_xlfn.IFNA(VLOOKUP($A1207,[3]stockregister!$A$2:$L$2000,12,0),0)</f>
        <v>775.86</v>
      </c>
      <c r="J1207" s="3">
        <f>_xlfn.IFNA(VLOOKUP($A1207,[3]stockregister!$A$1:$M$2000,12,0),0)-$I1207</f>
        <v>0</v>
      </c>
      <c r="K1207" s="3" t="s">
        <v>22</v>
      </c>
      <c r="L1207" s="3" t="s">
        <v>23</v>
      </c>
      <c r="M1207" s="3">
        <f>_xlfn.IFNA(VLOOKUP($A1207,[2]stockregister!$A$2:$H$2000,8,0),0)</f>
        <v>1700</v>
      </c>
      <c r="N1207" s="3">
        <f>_xlfn.IFNA(VLOOKUP($A1207,[2]stockregister!$A$2:$H$2000,8,0),0)-$M1207</f>
        <v>0</v>
      </c>
      <c r="O1207" s="3" t="s">
        <v>2838</v>
      </c>
      <c r="P1207" s="3" t="s">
        <v>2838</v>
      </c>
      <c r="Q1207" s="3" t="s">
        <v>201</v>
      </c>
      <c r="R1207" s="3" t="s">
        <v>156</v>
      </c>
      <c r="S1207" s="3" t="s">
        <v>385</v>
      </c>
    </row>
    <row r="1208" spans="1:19">
      <c r="A1208" s="3">
        <v>136</v>
      </c>
      <c r="B1208" s="3" t="b">
        <f>ISNUMBER(MATCH(A1208,[1]stockregister!$A$2:$A$2000,0))</f>
        <v>1</v>
      </c>
      <c r="C1208" s="3" t="s">
        <v>2839</v>
      </c>
      <c r="D1208" s="3" t="str">
        <f>VLOOKUP($C1208,[1]stockregister!$B$2:$B$2000,1,0)</f>
        <v>BACARDI BLACK 1LTR</v>
      </c>
      <c r="E1208" s="3" t="str">
        <f>IF(ISNA($D1208),VLOOKUP($A1208,[2]stockregister!$A$2:$B$2000,2,FALSE),"")</f>
        <v/>
      </c>
      <c r="F1208" s="3" t="s">
        <v>21</v>
      </c>
      <c r="G1208" s="3">
        <f>_xlfn.IFNA(VLOOKUP($A1208,[3]stockregister!$A$2:$L$2000,11,0),0)</f>
        <v>0</v>
      </c>
      <c r="H1208" s="3">
        <f>_xlfn.IFNA(VLOOKUP($A1208,[3]stockregister!$A$2:$L$2000,11,0),0)-$G1208</f>
        <v>0</v>
      </c>
      <c r="I1208" s="3">
        <f>_xlfn.IFNA(VLOOKUP($A1208,[3]stockregister!$A$2:$L$2000,12,0),0)</f>
        <v>2024</v>
      </c>
      <c r="J1208" s="3">
        <f>_xlfn.IFNA(VLOOKUP($A1208,[3]stockregister!$A$1:$M$2000,12,0),0)-$I1208</f>
        <v>0</v>
      </c>
      <c r="K1208" s="3" t="s">
        <v>22</v>
      </c>
      <c r="L1208" s="3" t="s">
        <v>23</v>
      </c>
      <c r="M1208" s="3">
        <f>_xlfn.IFNA(VLOOKUP($A1208,[2]stockregister!$A$2:$H$2000,8,0),0)</f>
        <v>2200</v>
      </c>
      <c r="N1208" s="3">
        <f>_xlfn.IFNA(VLOOKUP($A1208,[2]stockregister!$A$2:$H$2000,8,0),0)-$M1208</f>
        <v>0</v>
      </c>
      <c r="O1208" s="3" t="s">
        <v>2840</v>
      </c>
      <c r="P1208" s="3" t="s">
        <v>2840</v>
      </c>
      <c r="Q1208" s="3" t="s">
        <v>956</v>
      </c>
      <c r="R1208" s="3" t="s">
        <v>156</v>
      </c>
      <c r="S1208" s="3" t="s">
        <v>385</v>
      </c>
    </row>
    <row r="1209" spans="1:19">
      <c r="A1209" s="3">
        <v>137</v>
      </c>
      <c r="B1209" s="3" t="b">
        <f>ISNUMBER(MATCH(A1209,[1]stockregister!$A$2:$A$2000,0))</f>
        <v>1</v>
      </c>
      <c r="C1209" s="3" t="s">
        <v>2841</v>
      </c>
      <c r="D1209" s="3" t="str">
        <f>VLOOKUP($C1209,[1]stockregister!$B$2:$B$2000,1,0)</f>
        <v>BACARDI BLACK 750ML</v>
      </c>
      <c r="E1209" s="3" t="str">
        <f>IF(ISNA($D1209),VLOOKUP($A1209,[2]stockregister!$A$2:$B$2000,2,FALSE),"")</f>
        <v/>
      </c>
      <c r="F1209" s="3" t="s">
        <v>21</v>
      </c>
      <c r="G1209" s="3">
        <f>_xlfn.IFNA(VLOOKUP($A1209,[3]stockregister!$A$2:$L$2000,11,0),0)</f>
        <v>0</v>
      </c>
      <c r="H1209" s="3">
        <f>_xlfn.IFNA(VLOOKUP($A1209,[3]stockregister!$A$2:$L$2000,11,0),0)-$G1209</f>
        <v>0</v>
      </c>
      <c r="I1209" s="3">
        <f>_xlfn.IFNA(VLOOKUP($A1209,[3]stockregister!$A$2:$L$2000,12,0),0)</f>
        <v>1840</v>
      </c>
      <c r="J1209" s="3">
        <f>_xlfn.IFNA(VLOOKUP($A1209,[3]stockregister!$A$1:$M$2000,12,0),0)-$I1209</f>
        <v>0</v>
      </c>
      <c r="K1209" s="3" t="s">
        <v>22</v>
      </c>
      <c r="L1209" s="3" t="s">
        <v>23</v>
      </c>
      <c r="M1209" s="3">
        <f>_xlfn.IFNA(VLOOKUP($A1209,[2]stockregister!$A$2:$H$2000,8,0),0)</f>
        <v>2000</v>
      </c>
      <c r="N1209" s="3">
        <f>_xlfn.IFNA(VLOOKUP($A1209,[2]stockregister!$A$2:$H$2000,8,0),0)-$M1209</f>
        <v>0</v>
      </c>
      <c r="O1209" s="3" t="s">
        <v>2840</v>
      </c>
      <c r="P1209" s="3" t="s">
        <v>2840</v>
      </c>
      <c r="Q1209" s="3" t="s">
        <v>956</v>
      </c>
      <c r="R1209" s="3" t="s">
        <v>156</v>
      </c>
      <c r="S1209" s="3" t="s">
        <v>385</v>
      </c>
    </row>
    <row r="1210" spans="1:19">
      <c r="A1210" s="3">
        <v>141</v>
      </c>
      <c r="B1210" s="3" t="b">
        <f>ISNUMBER(MATCH(A1210,[1]stockregister!$A$2:$A$2000,0))</f>
        <v>1</v>
      </c>
      <c r="C1210" s="3" t="s">
        <v>2842</v>
      </c>
      <c r="D1210" s="3" t="str">
        <f>VLOOKUP($C1210,[1]stockregister!$B$2:$B$2000,1,0)</f>
        <v>BACARDI CARTA NEGRA 750ML</v>
      </c>
      <c r="E1210" s="3" t="str">
        <f>IF(ISNA($D1210),VLOOKUP($A1210,[2]stockregister!$A$2:$B$2000,2,FALSE),"")</f>
        <v/>
      </c>
      <c r="F1210" s="3" t="s">
        <v>21</v>
      </c>
      <c r="G1210" s="3">
        <f>_xlfn.IFNA(VLOOKUP($A1210,[3]stockregister!$A$2:$L$2000,11,0),0)</f>
        <v>0</v>
      </c>
      <c r="H1210" s="3">
        <f>_xlfn.IFNA(VLOOKUP($A1210,[3]stockregister!$A$2:$L$2000,11,0),0)-$G1210</f>
        <v>0</v>
      </c>
      <c r="I1210" s="3">
        <f>_xlfn.IFNA(VLOOKUP($A1210,[3]stockregister!$A$2:$L$2000,12,0),0)</f>
        <v>1840</v>
      </c>
      <c r="J1210" s="3">
        <f>_xlfn.IFNA(VLOOKUP($A1210,[3]stockregister!$A$1:$M$2000,12,0),0)-$I1210</f>
        <v>0</v>
      </c>
      <c r="K1210" s="3" t="s">
        <v>22</v>
      </c>
      <c r="L1210" s="3" t="s">
        <v>23</v>
      </c>
      <c r="M1210" s="3">
        <f>_xlfn.IFNA(VLOOKUP($A1210,[2]stockregister!$A$2:$H$2000,8,0),0)</f>
        <v>2000</v>
      </c>
      <c r="N1210" s="3">
        <f>_xlfn.IFNA(VLOOKUP($A1210,[2]stockregister!$A$2:$H$2000,8,0),0)-$M1210</f>
        <v>0</v>
      </c>
      <c r="O1210" s="3" t="s">
        <v>2843</v>
      </c>
      <c r="P1210" s="3" t="s">
        <v>2843</v>
      </c>
      <c r="Q1210" s="3" t="s">
        <v>155</v>
      </c>
      <c r="R1210" s="3" t="s">
        <v>156</v>
      </c>
      <c r="S1210" s="3" t="s">
        <v>838</v>
      </c>
    </row>
    <row r="1211" spans="1:19">
      <c r="A1211" s="3">
        <v>1380</v>
      </c>
      <c r="B1211" s="3" t="b">
        <f>ISNUMBER(MATCH(A1211,[1]stockregister!$A$2:$A$2000,0))</f>
        <v>1</v>
      </c>
      <c r="C1211" s="3" t="s">
        <v>2844</v>
      </c>
      <c r="D1211" s="3" t="str">
        <f>VLOOKUP($C1211,[1]stockregister!$B$2:$B$2000,1,0)</f>
        <v>MALIBU RUM COCONUT 21% 750ML</v>
      </c>
      <c r="E1211" s="3" t="str">
        <f>IF(ISNA($D1211),VLOOKUP($A1211,[2]stockregister!$A$2:$B$2000,2,FALSE),"")</f>
        <v/>
      </c>
      <c r="F1211" s="3" t="s">
        <v>21</v>
      </c>
      <c r="G1211" s="3">
        <f>_xlfn.IFNA(VLOOKUP($A1211,[3]stockregister!$A$2:$L$2000,11,0),0)</f>
        <v>0</v>
      </c>
      <c r="H1211" s="3">
        <f>_xlfn.IFNA(VLOOKUP($A1211,[3]stockregister!$A$2:$L$2000,11,0),0)-$G1211</f>
        <v>0</v>
      </c>
      <c r="I1211" s="3">
        <f>_xlfn.IFNA(VLOOKUP($A1211,[3]stockregister!$A$2:$L$2000,12,0),0)</f>
        <v>1196</v>
      </c>
      <c r="J1211" s="3">
        <f>_xlfn.IFNA(VLOOKUP($A1211,[3]stockregister!$A$1:$M$2000,12,0),0)-$I1211</f>
        <v>0</v>
      </c>
      <c r="K1211" s="3" t="s">
        <v>22</v>
      </c>
      <c r="L1211" s="3" t="s">
        <v>23</v>
      </c>
      <c r="M1211" s="3">
        <f>_xlfn.IFNA(VLOOKUP($A1211,[2]stockregister!$A$2:$H$2000,8,0),0)</f>
        <v>1650</v>
      </c>
      <c r="N1211" s="3">
        <f>_xlfn.IFNA(VLOOKUP($A1211,[2]stockregister!$A$2:$H$2000,8,0),0)-$M1211</f>
        <v>0</v>
      </c>
      <c r="O1211" s="3" t="s">
        <v>2845</v>
      </c>
      <c r="P1211" s="3" t="s">
        <v>2845</v>
      </c>
      <c r="Q1211" s="3" t="s">
        <v>1032</v>
      </c>
      <c r="R1211" s="3" t="s">
        <v>156</v>
      </c>
      <c r="S1211" s="3" t="s">
        <v>2846</v>
      </c>
    </row>
    <row r="1212" spans="1:19">
      <c r="A1212" s="3">
        <v>374</v>
      </c>
      <c r="B1212" s="3" t="b">
        <f>ISNUMBER(MATCH(A1212,[1]stockregister!$A$2:$A$2000,0))</f>
        <v>1</v>
      </c>
      <c r="C1212" s="3" t="s">
        <v>511</v>
      </c>
      <c r="D1212" s="3" t="str">
        <f>VLOOKUP($C1212,[1]stockregister!$B$2:$B$2000,1,0)</f>
        <v>CAPTAIN MORGAN SPICED GOLD 750ML</v>
      </c>
      <c r="E1212" s="3" t="str">
        <f>IF(ISNA($D1212),VLOOKUP($A1212,[2]stockregister!$A$2:$B$2000,2,FALSE),"")</f>
        <v/>
      </c>
      <c r="F1212" s="3" t="s">
        <v>21</v>
      </c>
      <c r="G1212" s="3">
        <f>_xlfn.IFNA(VLOOKUP($A1212,[3]stockregister!$A$2:$L$2000,11,0),0)</f>
        <v>0</v>
      </c>
      <c r="H1212" s="3">
        <f>_xlfn.IFNA(VLOOKUP($A1212,[3]stockregister!$A$2:$L$2000,11,0),0)-$G1212</f>
        <v>0</v>
      </c>
      <c r="I1212" s="3">
        <f>_xlfn.IFNA(VLOOKUP($A1212,[3]stockregister!$A$2:$L$2000,12,0),0)</f>
        <v>1564</v>
      </c>
      <c r="J1212" s="3">
        <f>_xlfn.IFNA(VLOOKUP($A1212,[3]stockregister!$A$1:$M$2000,12,0),0)-$I1212</f>
        <v>0</v>
      </c>
      <c r="K1212" s="3" t="s">
        <v>22</v>
      </c>
      <c r="L1212" s="3" t="s">
        <v>23</v>
      </c>
      <c r="M1212" s="3">
        <f>_xlfn.IFNA(VLOOKUP($A1212,[2]stockregister!$A$2:$H$2000,8,0),0)</f>
        <v>1700</v>
      </c>
      <c r="N1212" s="3">
        <f>_xlfn.IFNA(VLOOKUP($A1212,[2]stockregister!$A$2:$H$2000,8,0),0)-$M1212</f>
        <v>0</v>
      </c>
      <c r="O1212" s="3" t="s">
        <v>2847</v>
      </c>
      <c r="P1212" s="3" t="s">
        <v>2847</v>
      </c>
      <c r="Q1212" s="3" t="s">
        <v>201</v>
      </c>
      <c r="R1212" s="3" t="s">
        <v>156</v>
      </c>
      <c r="S1212" s="3" t="s">
        <v>74</v>
      </c>
    </row>
    <row r="1213" spans="1:19">
      <c r="A1213" s="3">
        <v>2467</v>
      </c>
      <c r="B1213" s="3" t="b">
        <f>ISNUMBER(MATCH(A1213,[1]stockregister!$A$2:$A$2000,0))</f>
        <v>1</v>
      </c>
      <c r="C1213" s="3" t="s">
        <v>514</v>
      </c>
      <c r="D1213" s="3" t="str">
        <f>VLOOKUP($C1213,[1]stockregister!$B$2:$B$2000,1,0)</f>
        <v>BACARDI LIMON 1 LITRE</v>
      </c>
      <c r="E1213" s="3" t="str">
        <f>IF(ISNA($D1213),VLOOKUP($A1213,[2]stockregister!$A$2:$B$2000,2,FALSE),"")</f>
        <v/>
      </c>
      <c r="F1213" s="3" t="s">
        <v>21</v>
      </c>
      <c r="G1213" s="3">
        <f>_xlfn.IFNA(VLOOKUP($A1213,[3]stockregister!$A$2:$L$2000,11,0),0)</f>
        <v>0</v>
      </c>
      <c r="H1213" s="3">
        <f>_xlfn.IFNA(VLOOKUP($A1213,[3]stockregister!$A$2:$L$2000,11,0),0)-$G1213</f>
        <v>0</v>
      </c>
      <c r="I1213" s="3">
        <f>_xlfn.IFNA(VLOOKUP($A1213,[3]stockregister!$A$2:$L$2000,12,0),0)</f>
        <v>1800</v>
      </c>
      <c r="J1213" s="3">
        <f>_xlfn.IFNA(VLOOKUP($A1213,[3]stockregister!$A$1:$M$2000,12,0),0)-$I1213</f>
        <v>0</v>
      </c>
      <c r="K1213" s="3" t="s">
        <v>22</v>
      </c>
      <c r="L1213" s="3" t="s">
        <v>23</v>
      </c>
      <c r="M1213" s="3">
        <f>_xlfn.IFNA(VLOOKUP($A1213,[2]stockregister!$A$2:$H$2000,8,0),0)</f>
        <v>2250</v>
      </c>
      <c r="N1213" s="3">
        <f>_xlfn.IFNA(VLOOKUP($A1213,[2]stockregister!$A$2:$H$2000,8,0),0)-$M1213</f>
        <v>0</v>
      </c>
      <c r="O1213" s="3" t="s">
        <v>2848</v>
      </c>
      <c r="P1213" s="3" t="s">
        <v>2848</v>
      </c>
      <c r="Q1213" s="3" t="s">
        <v>155</v>
      </c>
      <c r="R1213" s="3" t="s">
        <v>156</v>
      </c>
      <c r="S1213" s="3" t="s">
        <v>1344</v>
      </c>
    </row>
    <row r="1214" spans="1:19">
      <c r="A1214" s="3">
        <v>172</v>
      </c>
      <c r="B1214" s="3" t="b">
        <f>ISNUMBER(MATCH(A1214,[1]stockregister!$A$2:$A$2000,0))</f>
        <v>1</v>
      </c>
      <c r="C1214" s="3" t="s">
        <v>2849</v>
      </c>
      <c r="D1214" s="3" t="str">
        <f>VLOOKUP($C1214,[1]stockregister!$B$2:$B$2000,1,0)</f>
        <v>BARCARDI OAKHEART RUM 1LTR</v>
      </c>
      <c r="E1214" s="3" t="str">
        <f>IF(ISNA($D1214),VLOOKUP($A1214,[2]stockregister!$A$2:$B$2000,2,FALSE),"")</f>
        <v/>
      </c>
      <c r="F1214" s="3" t="s">
        <v>21</v>
      </c>
      <c r="G1214" s="3">
        <f>_xlfn.IFNA(VLOOKUP($A1214,[3]stockregister!$A$2:$L$2000,11,0),0)</f>
        <v>0</v>
      </c>
      <c r="H1214" s="3">
        <f>_xlfn.IFNA(VLOOKUP($A1214,[3]stockregister!$A$2:$L$2000,11,0),0)-$G1214</f>
        <v>0</v>
      </c>
      <c r="I1214" s="3">
        <f>_xlfn.IFNA(VLOOKUP($A1214,[3]stockregister!$A$2:$L$2000,12,0),0)</f>
        <v>1840</v>
      </c>
      <c r="J1214" s="3">
        <f>_xlfn.IFNA(VLOOKUP($A1214,[3]stockregister!$A$1:$M$2000,12,0),0)-$I1214</f>
        <v>0</v>
      </c>
      <c r="K1214" s="3" t="s">
        <v>22</v>
      </c>
      <c r="L1214" s="3" t="s">
        <v>23</v>
      </c>
      <c r="M1214" s="3">
        <f>_xlfn.IFNA(VLOOKUP($A1214,[2]stockregister!$A$2:$H$2000,8,0),0)</f>
        <v>2000</v>
      </c>
      <c r="N1214" s="3">
        <f>_xlfn.IFNA(VLOOKUP($A1214,[2]stockregister!$A$2:$H$2000,8,0),0)-$M1214</f>
        <v>0</v>
      </c>
      <c r="O1214" s="3" t="s">
        <v>2850</v>
      </c>
      <c r="P1214" s="3" t="s">
        <v>2850</v>
      </c>
      <c r="Q1214" s="3" t="s">
        <v>155</v>
      </c>
      <c r="R1214" s="3" t="s">
        <v>156</v>
      </c>
      <c r="S1214" s="3" t="s">
        <v>2851</v>
      </c>
    </row>
    <row r="1215" spans="1:19">
      <c r="A1215" s="3">
        <v>2240</v>
      </c>
      <c r="B1215" s="3" t="b">
        <f>ISNUMBER(MATCH(A1215,[1]stockregister!$A$2:$A$2000,0))</f>
        <v>1</v>
      </c>
      <c r="C1215" s="3" t="s">
        <v>2852</v>
      </c>
      <c r="D1215" s="3" t="str">
        <f>VLOOKUP($C1215,[1]stockregister!$B$2:$B$2000,1,0)</f>
        <v>BARCADI OAKHEART 700ML</v>
      </c>
      <c r="E1215" s="3" t="str">
        <f>IF(ISNA($D1215),VLOOKUP($A1215,[2]stockregister!$A$2:$B$2000,2,FALSE),"")</f>
        <v/>
      </c>
      <c r="F1215" s="3" t="s">
        <v>21</v>
      </c>
      <c r="G1215" s="3">
        <f>_xlfn.IFNA(VLOOKUP($A1215,[3]stockregister!$A$2:$L$2000,11,0),0)</f>
        <v>0</v>
      </c>
      <c r="H1215" s="3">
        <f>_xlfn.IFNA(VLOOKUP($A1215,[3]stockregister!$A$2:$L$2000,11,0),0)-$G1215</f>
        <v>0</v>
      </c>
      <c r="I1215" s="3">
        <f>_xlfn.IFNA(VLOOKUP($A1215,[3]stockregister!$A$2:$L$2000,12,0),0)</f>
        <v>1900</v>
      </c>
      <c r="J1215" s="3">
        <f>_xlfn.IFNA(VLOOKUP($A1215,[3]stockregister!$A$1:$M$2000,12,0),0)-$I1215</f>
        <v>0</v>
      </c>
      <c r="K1215" s="3" t="s">
        <v>22</v>
      </c>
      <c r="L1215" s="3" t="s">
        <v>23</v>
      </c>
      <c r="M1215" s="3">
        <f>_xlfn.IFNA(VLOOKUP($A1215,[2]stockregister!$A$2:$H$2000,8,0),0)</f>
        <v>2000</v>
      </c>
      <c r="N1215" s="3">
        <f>_xlfn.IFNA(VLOOKUP($A1215,[2]stockregister!$A$2:$H$2000,8,0),0)-$M1215</f>
        <v>0</v>
      </c>
      <c r="O1215" s="3" t="s">
        <v>2853</v>
      </c>
      <c r="P1215" s="3" t="s">
        <v>2853</v>
      </c>
      <c r="Q1215" s="3" t="s">
        <v>155</v>
      </c>
      <c r="R1215" s="3" t="s">
        <v>156</v>
      </c>
      <c r="S1215" s="3" t="s">
        <v>2854</v>
      </c>
    </row>
    <row r="1216" spans="1:19">
      <c r="A1216" s="3">
        <v>144</v>
      </c>
      <c r="B1216" s="3" t="b">
        <f>ISNUMBER(MATCH(A1216,[1]stockregister!$A$2:$A$2000,0))</f>
        <v>1</v>
      </c>
      <c r="C1216" s="3" t="s">
        <v>2855</v>
      </c>
      <c r="D1216" s="3" t="str">
        <f>VLOOKUP($C1216,[1]stockregister!$B$2:$B$2000,1,0)</f>
        <v>BACARDI RAZZ 1LTR</v>
      </c>
      <c r="E1216" s="3" t="str">
        <f>IF(ISNA($D1216),VLOOKUP($A1216,[2]stockregister!$A$2:$B$2000,2,FALSE),"")</f>
        <v/>
      </c>
      <c r="F1216" s="3" t="s">
        <v>21</v>
      </c>
      <c r="G1216" s="3">
        <f>_xlfn.IFNA(VLOOKUP($A1216,[3]stockregister!$A$2:$L$2000,11,0),0)</f>
        <v>0</v>
      </c>
      <c r="H1216" s="3">
        <f>_xlfn.IFNA(VLOOKUP($A1216,[3]stockregister!$A$2:$L$2000,11,0),0)-$G1216</f>
        <v>0</v>
      </c>
      <c r="I1216" s="3">
        <f>_xlfn.IFNA(VLOOKUP($A1216,[3]stockregister!$A$2:$L$2000,12,0),0)</f>
        <v>2024</v>
      </c>
      <c r="J1216" s="3">
        <f>_xlfn.IFNA(VLOOKUP($A1216,[3]stockregister!$A$1:$M$2000,12,0),0)-$I1216</f>
        <v>0</v>
      </c>
      <c r="K1216" s="3" t="s">
        <v>22</v>
      </c>
      <c r="L1216" s="3" t="s">
        <v>23</v>
      </c>
      <c r="M1216" s="3">
        <f>_xlfn.IFNA(VLOOKUP($A1216,[2]stockregister!$A$2:$H$2000,8,0),0)</f>
        <v>2200</v>
      </c>
      <c r="N1216" s="3">
        <f>_xlfn.IFNA(VLOOKUP($A1216,[2]stockregister!$A$2:$H$2000,8,0),0)-$M1216</f>
        <v>0</v>
      </c>
      <c r="O1216" s="3" t="s">
        <v>2856</v>
      </c>
      <c r="P1216" s="3" t="s">
        <v>2856</v>
      </c>
      <c r="Q1216" s="3" t="s">
        <v>155</v>
      </c>
      <c r="R1216" s="3" t="s">
        <v>156</v>
      </c>
      <c r="S1216" s="3" t="s">
        <v>2857</v>
      </c>
    </row>
    <row r="1217" spans="1:19">
      <c r="A1217" s="3">
        <v>145</v>
      </c>
      <c r="B1217" s="3" t="b">
        <f>ISNUMBER(MATCH(A1217,[1]stockregister!$A$2:$A$2000,0))</f>
        <v>1</v>
      </c>
      <c r="C1217" s="3" t="s">
        <v>2858</v>
      </c>
      <c r="D1217" s="3" t="str">
        <f>VLOOKUP($C1217,[1]stockregister!$B$2:$B$2000,1,0)</f>
        <v>BACARDI RUM SPICED 700ML</v>
      </c>
      <c r="E1217" s="3" t="str">
        <f>IF(ISNA($D1217),VLOOKUP($A1217,[2]stockregister!$A$2:$B$2000,2,FALSE),"")</f>
        <v/>
      </c>
      <c r="F1217" s="3" t="s">
        <v>21</v>
      </c>
      <c r="G1217" s="3">
        <f>_xlfn.IFNA(VLOOKUP($A1217,[3]stockregister!$A$2:$L$2000,11,0),0)</f>
        <v>0</v>
      </c>
      <c r="H1217" s="3">
        <f>_xlfn.IFNA(VLOOKUP($A1217,[3]stockregister!$A$2:$L$2000,11,0),0)-$G1217</f>
        <v>0</v>
      </c>
      <c r="I1217" s="3">
        <f>_xlfn.IFNA(VLOOKUP($A1217,[3]stockregister!$A$2:$L$2000,12,0),0)</f>
        <v>1840</v>
      </c>
      <c r="J1217" s="3">
        <f>_xlfn.IFNA(VLOOKUP($A1217,[3]stockregister!$A$1:$M$2000,12,0),0)-$I1217</f>
        <v>0</v>
      </c>
      <c r="K1217" s="3" t="s">
        <v>22</v>
      </c>
      <c r="L1217" s="3" t="s">
        <v>23</v>
      </c>
      <c r="M1217" s="3">
        <f>_xlfn.IFNA(VLOOKUP($A1217,[2]stockregister!$A$2:$H$2000,8,0),0)</f>
        <v>2000</v>
      </c>
      <c r="N1217" s="3">
        <f>_xlfn.IFNA(VLOOKUP($A1217,[2]stockregister!$A$2:$H$2000,8,0),0)-$M1217</f>
        <v>0</v>
      </c>
      <c r="O1217" s="3" t="s">
        <v>2859</v>
      </c>
      <c r="P1217" s="3" t="s">
        <v>2859</v>
      </c>
      <c r="Q1217" s="3" t="s">
        <v>956</v>
      </c>
      <c r="R1217" s="3" t="s">
        <v>156</v>
      </c>
      <c r="S1217" s="3" t="s">
        <v>202</v>
      </c>
    </row>
    <row r="1218" spans="1:19">
      <c r="A1218" s="3">
        <v>138</v>
      </c>
      <c r="B1218" s="3" t="b">
        <f>ISNUMBER(MATCH(A1218,[1]stockregister!$A$2:$A$2000,0))</f>
        <v>1</v>
      </c>
      <c r="C1218" s="3" t="s">
        <v>516</v>
      </c>
      <c r="D1218" s="3" t="str">
        <f>VLOOKUP($C1218,[1]stockregister!$B$2:$B$2000,1,0)</f>
        <v>BACARDI CARTA BLANCA 700 ML</v>
      </c>
      <c r="E1218" s="3" t="str">
        <f>IF(ISNA($D1218),VLOOKUP($A1218,[2]stockregister!$A$2:$B$2000,2,FALSE),"")</f>
        <v/>
      </c>
      <c r="F1218" s="3" t="s">
        <v>21</v>
      </c>
      <c r="G1218" s="3">
        <f>_xlfn.IFNA(VLOOKUP($A1218,[3]stockregister!$A$2:$L$2000,11,0),0)</f>
        <v>0</v>
      </c>
      <c r="H1218" s="3">
        <f>_xlfn.IFNA(VLOOKUP($A1218,[3]stockregister!$A$2:$L$2000,11,0),0)-$G1218</f>
        <v>0</v>
      </c>
      <c r="I1218" s="3">
        <f>_xlfn.IFNA(VLOOKUP($A1218,[3]stockregister!$A$2:$L$2000,12,0),0)</f>
        <v>1550</v>
      </c>
      <c r="J1218" s="3">
        <f>_xlfn.IFNA(VLOOKUP($A1218,[3]stockregister!$A$1:$M$2000,12,0),0)-$I1218</f>
        <v>0</v>
      </c>
      <c r="K1218" s="3" t="s">
        <v>22</v>
      </c>
      <c r="L1218" s="3" t="s">
        <v>23</v>
      </c>
      <c r="M1218" s="3">
        <f>_xlfn.IFNA(VLOOKUP($A1218,[2]stockregister!$A$2:$H$2000,8,0),0)</f>
        <v>1700</v>
      </c>
      <c r="N1218" s="3">
        <f>_xlfn.IFNA(VLOOKUP($A1218,[2]stockregister!$A$2:$H$2000,8,0),0)-$M1218</f>
        <v>0</v>
      </c>
      <c r="O1218" s="3" t="s">
        <v>2860</v>
      </c>
      <c r="P1218" s="3" t="s">
        <v>2860</v>
      </c>
      <c r="Q1218" s="3" t="s">
        <v>956</v>
      </c>
      <c r="R1218" s="3" t="s">
        <v>156</v>
      </c>
      <c r="S1218" s="3" t="s">
        <v>157</v>
      </c>
    </row>
    <row r="1219" spans="1:18">
      <c r="A1219" s="3">
        <v>1493</v>
      </c>
      <c r="B1219" s="3" t="b">
        <f>ISNUMBER(MATCH(A1219,[1]stockregister!$A$2:$A$2000,0))</f>
        <v>1</v>
      </c>
      <c r="C1219" s="3" t="s">
        <v>2861</v>
      </c>
      <c r="D1219" s="3" t="str">
        <f>VLOOKUP($C1219,[1]stockregister!$B$2:$B$2000,1,0)</f>
        <v>MYERS RUM 1LT</v>
      </c>
      <c r="E1219" s="3" t="str">
        <f>IF(ISNA($D1219),VLOOKUP($A1219,[2]stockregister!$A$2:$B$2000,2,FALSE),"")</f>
        <v/>
      </c>
      <c r="F1219" s="3" t="s">
        <v>21</v>
      </c>
      <c r="G1219" s="3">
        <f>_xlfn.IFNA(VLOOKUP($A1219,[3]stockregister!$A$2:$L$2000,11,0),0)</f>
        <v>0</v>
      </c>
      <c r="H1219" s="3">
        <f>_xlfn.IFNA(VLOOKUP($A1219,[3]stockregister!$A$2:$L$2000,11,0),0)-$G1219</f>
        <v>0</v>
      </c>
      <c r="I1219" s="3">
        <f>_xlfn.IFNA(VLOOKUP($A1219,[3]stockregister!$A$2:$L$2000,12,0),0)</f>
        <v>1800</v>
      </c>
      <c r="J1219" s="3">
        <f>_xlfn.IFNA(VLOOKUP($A1219,[3]stockregister!$A$1:$M$2000,12,0),0)-$I1219</f>
        <v>0</v>
      </c>
      <c r="K1219" s="3" t="s">
        <v>22</v>
      </c>
      <c r="L1219" s="3" t="s">
        <v>23</v>
      </c>
      <c r="M1219" s="3">
        <f>_xlfn.IFNA(VLOOKUP($A1219,[2]stockregister!$A$2:$H$2000,8,0),0)</f>
        <v>2500</v>
      </c>
      <c r="N1219" s="3">
        <f>_xlfn.IFNA(VLOOKUP($A1219,[2]stockregister!$A$2:$H$2000,8,0),0)-$M1219</f>
        <v>0</v>
      </c>
      <c r="O1219" s="3" t="s">
        <v>2862</v>
      </c>
      <c r="P1219" s="3" t="s">
        <v>2862</v>
      </c>
      <c r="Q1219" s="3" t="s">
        <v>960</v>
      </c>
      <c r="R1219" s="3" t="s">
        <v>156</v>
      </c>
    </row>
    <row r="1220" spans="1:18">
      <c r="A1220" s="3">
        <v>2813</v>
      </c>
      <c r="B1220" s="3" t="b">
        <f>ISNUMBER(MATCH(A1220,[1]stockregister!$A$2:$A$2000,0))</f>
        <v>1</v>
      </c>
      <c r="C1220" s="3" t="s">
        <v>2863</v>
      </c>
      <c r="D1220" s="3" t="str">
        <f>VLOOKUP($C1220,[1]stockregister!$B$2:$B$2000,1,0)</f>
        <v>DON PAPA SINGLE ISLAND RUM 700ML</v>
      </c>
      <c r="E1220" s="3" t="str">
        <f>IF(ISNA($D1220),VLOOKUP($A1220,[2]stockregister!$A$2:$B$2000,2,FALSE),"")</f>
        <v/>
      </c>
      <c r="F1220" s="3" t="s">
        <v>21</v>
      </c>
      <c r="G1220" s="3">
        <f>_xlfn.IFNA(VLOOKUP($A1220,[3]stockregister!$A$2:$L$2000,11,0),0)</f>
        <v>0</v>
      </c>
      <c r="H1220" s="3">
        <f>_xlfn.IFNA(VLOOKUP($A1220,[3]stockregister!$A$2:$L$2000,11,0),0)-$G1220</f>
        <v>0</v>
      </c>
      <c r="I1220" s="3">
        <f>_xlfn.IFNA(VLOOKUP($A1220,[3]stockregister!$A$2:$L$2000,12,0),0)</f>
        <v>3770</v>
      </c>
      <c r="J1220" s="3">
        <f>_xlfn.IFNA(VLOOKUP($A1220,[3]stockregister!$A$1:$M$2000,12,0),0)-$I1220</f>
        <v>0</v>
      </c>
      <c r="K1220" s="3" t="s">
        <v>22</v>
      </c>
      <c r="L1220" s="3" t="s">
        <v>23</v>
      </c>
      <c r="M1220" s="3">
        <f>_xlfn.IFNA(VLOOKUP($A1220,[2]stockregister!$A$2:$H$2000,8,0),0)</f>
        <v>5000</v>
      </c>
      <c r="N1220" s="3">
        <f>_xlfn.IFNA(VLOOKUP($A1220,[2]stockregister!$A$2:$H$2000,8,0),0)-$M1220</f>
        <v>0</v>
      </c>
      <c r="O1220" s="3" t="s">
        <v>2864</v>
      </c>
      <c r="P1220" s="3" t="s">
        <v>2864</v>
      </c>
      <c r="Q1220" s="3" t="s">
        <v>2865</v>
      </c>
      <c r="R1220" s="3" t="s">
        <v>156</v>
      </c>
    </row>
    <row r="1221" spans="1:18">
      <c r="A1221" s="3">
        <v>1494</v>
      </c>
      <c r="B1221" s="3" t="b">
        <f>ISNUMBER(MATCH(A1221,[1]stockregister!$A$2:$A$2000,0))</f>
        <v>1</v>
      </c>
      <c r="C1221" s="3" t="s">
        <v>2866</v>
      </c>
      <c r="D1221" s="3" t="str">
        <f>VLOOKUP($C1221,[1]stockregister!$B$2:$B$2000,1,0)</f>
        <v>MYERS RUM 750ML</v>
      </c>
      <c r="E1221" s="3" t="str">
        <f>IF(ISNA($D1221),VLOOKUP($A1221,[2]stockregister!$A$2:$B$2000,2,FALSE),"")</f>
        <v/>
      </c>
      <c r="F1221" s="3" t="s">
        <v>21</v>
      </c>
      <c r="G1221" s="3">
        <f>_xlfn.IFNA(VLOOKUP($A1221,[3]stockregister!$A$2:$L$2000,11,0),0)</f>
        <v>9</v>
      </c>
      <c r="H1221" s="3">
        <f>_xlfn.IFNA(VLOOKUP($A1221,[3]stockregister!$A$2:$L$2000,11,0),0)-$G1221</f>
        <v>0</v>
      </c>
      <c r="I1221" s="3">
        <f>_xlfn.IFNA(VLOOKUP($A1221,[3]stockregister!$A$2:$L$2000,12,0),0)</f>
        <v>1702</v>
      </c>
      <c r="J1221" s="3">
        <f>_xlfn.IFNA(VLOOKUP($A1221,[3]stockregister!$A$1:$M$2000,12,0),0)-$I1221</f>
        <v>0</v>
      </c>
      <c r="K1221" s="3" t="s">
        <v>22</v>
      </c>
      <c r="L1221" s="3" t="s">
        <v>23</v>
      </c>
      <c r="M1221" s="3">
        <f>_xlfn.IFNA(VLOOKUP($A1221,[2]stockregister!$A$2:$H$2000,8,0),0)</f>
        <v>1850</v>
      </c>
      <c r="N1221" s="3">
        <f>_xlfn.IFNA(VLOOKUP($A1221,[2]stockregister!$A$2:$H$2000,8,0),0)-$M1221</f>
        <v>0</v>
      </c>
      <c r="O1221" s="3" t="s">
        <v>2867</v>
      </c>
      <c r="P1221" s="3" t="s">
        <v>2867</v>
      </c>
      <c r="Q1221" s="3" t="s">
        <v>960</v>
      </c>
      <c r="R1221" s="3" t="s">
        <v>156</v>
      </c>
    </row>
    <row r="1222" spans="1:18">
      <c r="A1222" s="3">
        <v>306</v>
      </c>
      <c r="B1222" s="3" t="b">
        <f>ISNUMBER(MATCH(A1222,[1]stockregister!$A$2:$A$2000,0))</f>
        <v>1</v>
      </c>
      <c r="C1222" s="3" t="s">
        <v>2868</v>
      </c>
      <c r="D1222" s="3" t="str">
        <f>VLOOKUP($C1222,[1]stockregister!$B$2:$B$2000,1,0)</f>
        <v>BUMBU RUM 700ML</v>
      </c>
      <c r="E1222" s="3" t="str">
        <f>IF(ISNA($D1222),VLOOKUP($A1222,[2]stockregister!$A$2:$B$2000,2,FALSE),"")</f>
        <v/>
      </c>
      <c r="F1222" s="3" t="s">
        <v>21</v>
      </c>
      <c r="G1222" s="3">
        <f>_xlfn.IFNA(VLOOKUP($A1222,[3]stockregister!$A$2:$L$2000,11,0),0)</f>
        <v>0</v>
      </c>
      <c r="H1222" s="3">
        <f>_xlfn.IFNA(VLOOKUP($A1222,[3]stockregister!$A$2:$L$2000,11,0),0)-$G1222</f>
        <v>0</v>
      </c>
      <c r="I1222" s="3">
        <f>_xlfn.IFNA(VLOOKUP($A1222,[3]stockregister!$A$2:$L$2000,12,0),0)</f>
        <v>4324</v>
      </c>
      <c r="J1222" s="3">
        <f>_xlfn.IFNA(VLOOKUP($A1222,[3]stockregister!$A$1:$M$2000,12,0),0)-$I1222</f>
        <v>0</v>
      </c>
      <c r="K1222" s="3" t="s">
        <v>22</v>
      </c>
      <c r="L1222" s="3" t="s">
        <v>23</v>
      </c>
      <c r="M1222" s="3">
        <f>_xlfn.IFNA(VLOOKUP($A1222,[2]stockregister!$A$2:$H$2000,8,0),0)</f>
        <v>4700</v>
      </c>
      <c r="N1222" s="3">
        <f>_xlfn.IFNA(VLOOKUP($A1222,[2]stockregister!$A$2:$H$2000,8,0),0)-$M1222</f>
        <v>0</v>
      </c>
      <c r="O1222" s="3" t="s">
        <v>2869</v>
      </c>
      <c r="P1222" s="3" t="s">
        <v>2869</v>
      </c>
      <c r="Q1222" s="3" t="s">
        <v>2870</v>
      </c>
      <c r="R1222" s="3" t="s">
        <v>156</v>
      </c>
    </row>
    <row r="1223" spans="1:18">
      <c r="A1223" s="3">
        <v>1208</v>
      </c>
      <c r="B1223" s="3" t="b">
        <f>ISNUMBER(MATCH(A1223,[1]stockregister!$A$2:$A$2000,0))</f>
        <v>1</v>
      </c>
      <c r="C1223" s="3" t="s">
        <v>2871</v>
      </c>
      <c r="D1223" s="3" t="str">
        <f>VLOOKUP($C1223,[1]stockregister!$B$2:$B$2000,1,0)</f>
        <v>KING ROBERT RUM 750ML</v>
      </c>
      <c r="E1223" s="3" t="str">
        <f>IF(ISNA($D1223),VLOOKUP($A1223,[2]stockregister!$A$2:$B$2000,2,FALSE),"")</f>
        <v/>
      </c>
      <c r="F1223" s="3" t="s">
        <v>21</v>
      </c>
      <c r="G1223" s="3">
        <f>_xlfn.IFNA(VLOOKUP($A1223,[3]stockregister!$A$2:$L$2000,11,0),0)</f>
        <v>0</v>
      </c>
      <c r="H1223" s="3">
        <f>_xlfn.IFNA(VLOOKUP($A1223,[3]stockregister!$A$2:$L$2000,11,0),0)-$G1223</f>
        <v>0</v>
      </c>
      <c r="I1223" s="3">
        <f>_xlfn.IFNA(VLOOKUP($A1223,[3]stockregister!$A$2:$L$2000,12,0),0)</f>
        <v>920</v>
      </c>
      <c r="J1223" s="3">
        <f>_xlfn.IFNA(VLOOKUP($A1223,[3]stockregister!$A$1:$M$2000,12,0),0)-$I1223</f>
        <v>0</v>
      </c>
      <c r="K1223" s="3" t="s">
        <v>22</v>
      </c>
      <c r="L1223" s="3" t="s">
        <v>23</v>
      </c>
      <c r="M1223" s="3">
        <f>_xlfn.IFNA(VLOOKUP($A1223,[2]stockregister!$A$2:$H$2000,8,0),0)</f>
        <v>1000</v>
      </c>
      <c r="N1223" s="3">
        <f>_xlfn.IFNA(VLOOKUP($A1223,[2]stockregister!$A$2:$H$2000,8,0),0)-$M1223</f>
        <v>0</v>
      </c>
      <c r="O1223" s="3" t="s">
        <v>2872</v>
      </c>
      <c r="P1223" s="3" t="s">
        <v>2872</v>
      </c>
      <c r="Q1223" s="3" t="s">
        <v>1274</v>
      </c>
      <c r="R1223" s="3" t="s">
        <v>156</v>
      </c>
    </row>
    <row r="1224" spans="1:19">
      <c r="A1224" s="3">
        <v>2833</v>
      </c>
      <c r="B1224" s="3" t="b">
        <f>ISNUMBER(MATCH(A1224,[1]stockregister!$A$2:$A$2000,0))</f>
        <v>1</v>
      </c>
      <c r="C1224" s="3" t="s">
        <v>2873</v>
      </c>
      <c r="D1224" s="3" t="str">
        <f>VLOOKUP($C1224,[1]stockregister!$B$2:$B$2000,1,0)</f>
        <v>JINRO CHAMISUL ORIGINAL SOJU 350 ML</v>
      </c>
      <c r="E1224" s="3" t="str">
        <f>IF(ISNA($D1224),VLOOKUP($A1224,[2]stockregister!$A$2:$B$2000,2,FALSE),"")</f>
        <v/>
      </c>
      <c r="F1224" s="3" t="s">
        <v>21</v>
      </c>
      <c r="G1224" s="3">
        <f>_xlfn.IFNA(VLOOKUP($A1224,[3]stockregister!$A$2:$L$2000,11,0),0)</f>
        <v>0</v>
      </c>
      <c r="H1224" s="3">
        <f>_xlfn.IFNA(VLOOKUP($A1224,[3]stockregister!$A$2:$L$2000,11,0),0)-$G1224</f>
        <v>0</v>
      </c>
      <c r="I1224" s="3">
        <f>_xlfn.IFNA(VLOOKUP($A1224,[3]stockregister!$A$2:$L$2000,12,0),0)</f>
        <v>350</v>
      </c>
      <c r="J1224" s="3">
        <f>_xlfn.IFNA(VLOOKUP($A1224,[3]stockregister!$A$1:$M$2000,12,0),0)-$I1224</f>
        <v>0</v>
      </c>
      <c r="K1224" s="3" t="s">
        <v>22</v>
      </c>
      <c r="L1224" s="3" t="s">
        <v>23</v>
      </c>
      <c r="M1224" s="3">
        <f>_xlfn.IFNA(VLOOKUP($A1224,[2]stockregister!$A$2:$H$2000,8,0),0)</f>
        <v>380</v>
      </c>
      <c r="N1224" s="3">
        <f>_xlfn.IFNA(VLOOKUP($A1224,[2]stockregister!$A$2:$H$2000,8,0),0)-$M1224</f>
        <v>0</v>
      </c>
      <c r="O1224" s="3" t="s">
        <v>2874</v>
      </c>
      <c r="P1224" s="3" t="s">
        <v>2874</v>
      </c>
      <c r="Q1224" s="3" t="s">
        <v>505</v>
      </c>
      <c r="R1224" s="3" t="s">
        <v>506</v>
      </c>
      <c r="S1224" s="3" t="s">
        <v>744</v>
      </c>
    </row>
    <row r="1225" spans="1:19">
      <c r="A1225" s="3">
        <v>2413</v>
      </c>
      <c r="B1225" s="3" t="b">
        <f>ISNUMBER(MATCH(A1225,[1]stockregister!$A$2:$A$2000,0))</f>
        <v>1</v>
      </c>
      <c r="C1225" s="3" t="s">
        <v>2875</v>
      </c>
      <c r="D1225" s="3" t="str">
        <f>VLOOKUP($C1225,[1]stockregister!$B$2:$B$2000,1,0)</f>
        <v>JINRO GRAPE FRUIT SOJU 360</v>
      </c>
      <c r="E1225" s="3" t="str">
        <f>IF(ISNA($D1225),VLOOKUP($A1225,[2]stockregister!$A$2:$B$2000,2,FALSE),"")</f>
        <v/>
      </c>
      <c r="F1225" s="3" t="s">
        <v>21</v>
      </c>
      <c r="G1225" s="3">
        <f>_xlfn.IFNA(VLOOKUP($A1225,[3]stockregister!$A$2:$L$2000,11,0),0)</f>
        <v>0</v>
      </c>
      <c r="H1225" s="3">
        <f>_xlfn.IFNA(VLOOKUP($A1225,[3]stockregister!$A$2:$L$2000,11,0),0)-$G1225</f>
        <v>0</v>
      </c>
      <c r="I1225" s="3">
        <f>_xlfn.IFNA(VLOOKUP($A1225,[3]stockregister!$A$2:$L$2000,12,0),0)</f>
        <v>350</v>
      </c>
      <c r="J1225" s="3">
        <f>_xlfn.IFNA(VLOOKUP($A1225,[3]stockregister!$A$1:$M$2000,12,0),0)-$I1225</f>
        <v>0</v>
      </c>
      <c r="K1225" s="3" t="s">
        <v>22</v>
      </c>
      <c r="L1225" s="3" t="s">
        <v>23</v>
      </c>
      <c r="M1225" s="3">
        <f>_xlfn.IFNA(VLOOKUP($A1225,[2]stockregister!$A$2:$H$2000,8,0),0)</f>
        <v>380</v>
      </c>
      <c r="N1225" s="3">
        <f>_xlfn.IFNA(VLOOKUP($A1225,[2]stockregister!$A$2:$H$2000,8,0),0)-$M1225</f>
        <v>0</v>
      </c>
      <c r="O1225" s="3" t="s">
        <v>2876</v>
      </c>
      <c r="P1225" s="3" t="s">
        <v>2876</v>
      </c>
      <c r="Q1225" s="3" t="s">
        <v>505</v>
      </c>
      <c r="R1225" s="3" t="s">
        <v>506</v>
      </c>
      <c r="S1225" s="3" t="s">
        <v>2185</v>
      </c>
    </row>
    <row r="1226" spans="1:19">
      <c r="A1226" s="3">
        <v>2410</v>
      </c>
      <c r="B1226" s="3" t="b">
        <f>ISNUMBER(MATCH(A1226,[1]stockregister!$A$2:$A$2000,0))</f>
        <v>1</v>
      </c>
      <c r="C1226" s="3" t="s">
        <v>2877</v>
      </c>
      <c r="D1226" s="3" t="str">
        <f>VLOOKUP($C1226,[1]stockregister!$B$2:$B$2000,1,0)</f>
        <v>JINRO GREEN GRAPE 360ML</v>
      </c>
      <c r="E1226" s="3" t="str">
        <f>IF(ISNA($D1226),VLOOKUP($A1226,[2]stockregister!$A$2:$B$2000,2,FALSE),"")</f>
        <v/>
      </c>
      <c r="F1226" s="3" t="s">
        <v>21</v>
      </c>
      <c r="G1226" s="3">
        <f>_xlfn.IFNA(VLOOKUP($A1226,[3]stockregister!$A$2:$L$2000,11,0),0)</f>
        <v>0</v>
      </c>
      <c r="H1226" s="3">
        <f>_xlfn.IFNA(VLOOKUP($A1226,[3]stockregister!$A$2:$L$2000,11,0),0)-$G1226</f>
        <v>0</v>
      </c>
      <c r="I1226" s="3">
        <f>_xlfn.IFNA(VLOOKUP($A1226,[3]stockregister!$A$2:$L$2000,12,0),0)</f>
        <v>350</v>
      </c>
      <c r="J1226" s="3">
        <f>_xlfn.IFNA(VLOOKUP($A1226,[3]stockregister!$A$1:$M$2000,12,0),0)-$I1226</f>
        <v>0</v>
      </c>
      <c r="K1226" s="3" t="s">
        <v>22</v>
      </c>
      <c r="L1226" s="3" t="s">
        <v>23</v>
      </c>
      <c r="M1226" s="3">
        <f>_xlfn.IFNA(VLOOKUP($A1226,[2]stockregister!$A$2:$H$2000,8,0),0)</f>
        <v>380</v>
      </c>
      <c r="N1226" s="3">
        <f>_xlfn.IFNA(VLOOKUP($A1226,[2]stockregister!$A$2:$H$2000,8,0),0)-$M1226</f>
        <v>0</v>
      </c>
      <c r="O1226" s="3" t="s">
        <v>2878</v>
      </c>
      <c r="P1226" s="3" t="s">
        <v>2878</v>
      </c>
      <c r="Q1226" s="3" t="s">
        <v>505</v>
      </c>
      <c r="R1226" s="3" t="s">
        <v>506</v>
      </c>
      <c r="S1226" s="3" t="s">
        <v>2879</v>
      </c>
    </row>
    <row r="1227" spans="1:19">
      <c r="A1227" s="3">
        <v>2900</v>
      </c>
      <c r="B1227" s="3" t="b">
        <f>ISNUMBER(MATCH(A1227,[1]stockregister!$A$2:$A$2000,0))</f>
        <v>1</v>
      </c>
      <c r="C1227" s="3" t="s">
        <v>2880</v>
      </c>
      <c r="D1227" s="3" t="str">
        <f>VLOOKUP($C1227,[1]stockregister!$B$2:$B$2000,1,0)</f>
        <v>JINRO LEMON SOJU 350ML</v>
      </c>
      <c r="E1227" s="3" t="str">
        <f>IF(ISNA($D1227),VLOOKUP($A1227,[2]stockregister!$A$2:$B$2000,2,FALSE),"")</f>
        <v/>
      </c>
      <c r="F1227" s="3" t="s">
        <v>21</v>
      </c>
      <c r="G1227" s="3">
        <f>_xlfn.IFNA(VLOOKUP($A1227,[3]stockregister!$A$2:$L$2000,11,0),0)</f>
        <v>0</v>
      </c>
      <c r="H1227" s="3">
        <f>_xlfn.IFNA(VLOOKUP($A1227,[3]stockregister!$A$2:$L$2000,11,0),0)-$G1227</f>
        <v>0</v>
      </c>
      <c r="I1227" s="3">
        <f>_xlfn.IFNA(VLOOKUP($A1227,[3]stockregister!$A$2:$L$2000,12,0),0)</f>
        <v>350</v>
      </c>
      <c r="J1227" s="3">
        <f>_xlfn.IFNA(VLOOKUP($A1227,[3]stockregister!$A$1:$M$2000,12,0),0)-$I1227</f>
        <v>0</v>
      </c>
      <c r="K1227" s="3" t="s">
        <v>22</v>
      </c>
      <c r="L1227" s="3" t="s">
        <v>23</v>
      </c>
      <c r="M1227" s="3">
        <f>_xlfn.IFNA(VLOOKUP($A1227,[2]stockregister!$A$2:$H$2000,8,0),0)</f>
        <v>380</v>
      </c>
      <c r="N1227" s="3">
        <f>_xlfn.IFNA(VLOOKUP($A1227,[2]stockregister!$A$2:$H$2000,8,0),0)-$M1227</f>
        <v>0</v>
      </c>
      <c r="O1227" s="3" t="s">
        <v>2881</v>
      </c>
      <c r="P1227" s="3" t="s">
        <v>2881</v>
      </c>
      <c r="Q1227" s="3" t="s">
        <v>505</v>
      </c>
      <c r="R1227" s="3" t="s">
        <v>506</v>
      </c>
      <c r="S1227" s="3" t="s">
        <v>2609</v>
      </c>
    </row>
    <row r="1228" spans="1:19">
      <c r="A1228" s="3">
        <v>2411</v>
      </c>
      <c r="B1228" s="3" t="b">
        <f>ISNUMBER(MATCH(A1228,[1]stockregister!$A$2:$A$2000,0))</f>
        <v>1</v>
      </c>
      <c r="C1228" s="3" t="s">
        <v>2882</v>
      </c>
      <c r="D1228" s="3" t="str">
        <f>VLOOKUP($C1228,[1]stockregister!$B$2:$B$2000,1,0)</f>
        <v>JINRO PEACH 360ML</v>
      </c>
      <c r="E1228" s="3" t="str">
        <f>IF(ISNA($D1228),VLOOKUP($A1228,[2]stockregister!$A$2:$B$2000,2,FALSE),"")</f>
        <v/>
      </c>
      <c r="F1228" s="3" t="s">
        <v>21</v>
      </c>
      <c r="G1228" s="3">
        <f>_xlfn.IFNA(VLOOKUP($A1228,[3]stockregister!$A$2:$L$2000,11,0),0)</f>
        <v>0</v>
      </c>
      <c r="H1228" s="3">
        <f>_xlfn.IFNA(VLOOKUP($A1228,[3]stockregister!$A$2:$L$2000,11,0),0)-$G1228</f>
        <v>0</v>
      </c>
      <c r="I1228" s="3">
        <f>_xlfn.IFNA(VLOOKUP($A1228,[3]stockregister!$A$2:$L$2000,12,0),0)</f>
        <v>350</v>
      </c>
      <c r="J1228" s="3">
        <f>_xlfn.IFNA(VLOOKUP($A1228,[3]stockregister!$A$1:$M$2000,12,0),0)-$I1228</f>
        <v>0</v>
      </c>
      <c r="K1228" s="3" t="s">
        <v>22</v>
      </c>
      <c r="L1228" s="3" t="s">
        <v>23</v>
      </c>
      <c r="M1228" s="3">
        <f>_xlfn.IFNA(VLOOKUP($A1228,[2]stockregister!$A$2:$H$2000,8,0),0)</f>
        <v>380</v>
      </c>
      <c r="N1228" s="3">
        <f>_xlfn.IFNA(VLOOKUP($A1228,[2]stockregister!$A$2:$H$2000,8,0),0)-$M1228</f>
        <v>0</v>
      </c>
      <c r="O1228" s="3" t="s">
        <v>2883</v>
      </c>
      <c r="P1228" s="3" t="s">
        <v>2883</v>
      </c>
      <c r="Q1228" s="3" t="s">
        <v>505</v>
      </c>
      <c r="R1228" s="3" t="s">
        <v>506</v>
      </c>
      <c r="S1228" s="3" t="s">
        <v>51</v>
      </c>
    </row>
    <row r="1229" spans="1:19">
      <c r="A1229" s="3">
        <v>2412</v>
      </c>
      <c r="B1229" s="3" t="b">
        <f>ISNUMBER(MATCH(A1229,[1]stockregister!$A$2:$A$2000,0))</f>
        <v>1</v>
      </c>
      <c r="C1229" s="3" t="s">
        <v>2884</v>
      </c>
      <c r="D1229" s="3" t="str">
        <f>VLOOKUP($C1229,[1]stockregister!$B$2:$B$2000,1,0)</f>
        <v>JINRO PLUM SOJU 360ML</v>
      </c>
      <c r="E1229" s="3" t="str">
        <f>IF(ISNA($D1229),VLOOKUP($A1229,[2]stockregister!$A$2:$B$2000,2,FALSE),"")</f>
        <v/>
      </c>
      <c r="F1229" s="3" t="s">
        <v>21</v>
      </c>
      <c r="G1229" s="3">
        <f>_xlfn.IFNA(VLOOKUP($A1229,[3]stockregister!$A$2:$L$2000,11,0),0)</f>
        <v>0</v>
      </c>
      <c r="H1229" s="3">
        <f>_xlfn.IFNA(VLOOKUP($A1229,[3]stockregister!$A$2:$L$2000,11,0),0)-$G1229</f>
        <v>0</v>
      </c>
      <c r="I1229" s="3">
        <f>_xlfn.IFNA(VLOOKUP($A1229,[3]stockregister!$A$2:$L$2000,12,0),0)</f>
        <v>350</v>
      </c>
      <c r="J1229" s="3">
        <f>_xlfn.IFNA(VLOOKUP($A1229,[3]stockregister!$A$1:$M$2000,12,0),0)-$I1229</f>
        <v>0</v>
      </c>
      <c r="K1229" s="3" t="s">
        <v>22</v>
      </c>
      <c r="L1229" s="3" t="s">
        <v>23</v>
      </c>
      <c r="M1229" s="3">
        <f>_xlfn.IFNA(VLOOKUP($A1229,[2]stockregister!$A$2:$H$2000,8,0),0)</f>
        <v>380</v>
      </c>
      <c r="N1229" s="3">
        <f>_xlfn.IFNA(VLOOKUP($A1229,[2]stockregister!$A$2:$H$2000,8,0),0)-$M1229</f>
        <v>0</v>
      </c>
      <c r="O1229" s="3" t="s">
        <v>2885</v>
      </c>
      <c r="P1229" s="3" t="s">
        <v>2885</v>
      </c>
      <c r="Q1229" s="3" t="s">
        <v>505</v>
      </c>
      <c r="R1229" s="3" t="s">
        <v>506</v>
      </c>
      <c r="S1229" s="3" t="s">
        <v>2886</v>
      </c>
    </row>
    <row r="1230" spans="1:19">
      <c r="A1230" s="3">
        <v>2414</v>
      </c>
      <c r="B1230" s="3" t="b">
        <f>ISNUMBER(MATCH(A1230,[1]stockregister!$A$2:$A$2000,0))</f>
        <v>1</v>
      </c>
      <c r="C1230" s="3" t="s">
        <v>2887</v>
      </c>
      <c r="D1230" s="3" t="str">
        <f>VLOOKUP($C1230,[1]stockregister!$B$2:$B$2000,1,0)</f>
        <v>JINRO STRAWBERRY 360ML</v>
      </c>
      <c r="E1230" s="3" t="str">
        <f>IF(ISNA($D1230),VLOOKUP($A1230,[2]stockregister!$A$2:$B$2000,2,FALSE),"")</f>
        <v/>
      </c>
      <c r="F1230" s="3" t="s">
        <v>21</v>
      </c>
      <c r="G1230" s="3">
        <f>_xlfn.IFNA(VLOOKUP($A1230,[3]stockregister!$A$2:$L$2000,11,0),0)</f>
        <v>0</v>
      </c>
      <c r="H1230" s="3">
        <f>_xlfn.IFNA(VLOOKUP($A1230,[3]stockregister!$A$2:$L$2000,11,0),0)-$G1230</f>
        <v>0</v>
      </c>
      <c r="I1230" s="3">
        <f>_xlfn.IFNA(VLOOKUP($A1230,[3]stockregister!$A$2:$L$2000,12,0),0)</f>
        <v>350</v>
      </c>
      <c r="J1230" s="3">
        <f>_xlfn.IFNA(VLOOKUP($A1230,[3]stockregister!$A$1:$M$2000,12,0),0)-$I1230</f>
        <v>0</v>
      </c>
      <c r="K1230" s="3" t="s">
        <v>22</v>
      </c>
      <c r="L1230" s="3" t="s">
        <v>23</v>
      </c>
      <c r="M1230" s="3">
        <f>_xlfn.IFNA(VLOOKUP($A1230,[2]stockregister!$A$2:$H$2000,8,0),0)</f>
        <v>380</v>
      </c>
      <c r="N1230" s="3">
        <f>_xlfn.IFNA(VLOOKUP($A1230,[2]stockregister!$A$2:$H$2000,8,0),0)-$M1230</f>
        <v>0</v>
      </c>
      <c r="O1230" s="3" t="s">
        <v>2888</v>
      </c>
      <c r="P1230" s="3" t="s">
        <v>2888</v>
      </c>
      <c r="Q1230" s="3" t="s">
        <v>505</v>
      </c>
      <c r="R1230" s="3" t="s">
        <v>506</v>
      </c>
      <c r="S1230" s="3" t="s">
        <v>2572</v>
      </c>
    </row>
    <row r="1231" spans="1:19">
      <c r="A1231" s="3">
        <v>2331</v>
      </c>
      <c r="B1231" s="3" t="b">
        <f>ISNUMBER(MATCH(A1231,[1]stockregister!$A$2:$A$2000,0))</f>
        <v>1</v>
      </c>
      <c r="C1231" s="3" t="s">
        <v>2889</v>
      </c>
      <c r="D1231" s="3" t="str">
        <f>VLOOKUP($C1231,[1]stockregister!$B$2:$B$2000,1,0)</f>
        <v>KENYA CANE LEMON &amp; GINGER 250ML</v>
      </c>
      <c r="E1231" s="3" t="str">
        <f>IF(ISNA($D1231),VLOOKUP($A1231,[2]stockregister!$A$2:$B$2000,2,FALSE),"")</f>
        <v/>
      </c>
      <c r="F1231" s="3" t="s">
        <v>21</v>
      </c>
      <c r="G1231" s="3">
        <f>_xlfn.IFNA(VLOOKUP($A1231,[3]stockregister!$A$2:$L$2000,11,0),0)</f>
        <v>1920</v>
      </c>
      <c r="H1231" s="3">
        <f>_xlfn.IFNA(VLOOKUP($A1231,[3]stockregister!$A$2:$L$2000,11,0),0)-$G1231</f>
        <v>0</v>
      </c>
      <c r="I1231" s="3">
        <f>_xlfn.IFNA(VLOOKUP($A1231,[3]stockregister!$A$2:$L$2000,12,0),0)</f>
        <v>252</v>
      </c>
      <c r="J1231" s="3">
        <f>_xlfn.IFNA(VLOOKUP($A1231,[3]stockregister!$A$1:$M$2000,12,0),0)-$I1231</f>
        <v>0</v>
      </c>
      <c r="K1231" s="3" t="s">
        <v>22</v>
      </c>
      <c r="L1231" s="3" t="s">
        <v>23</v>
      </c>
      <c r="M1231" s="3">
        <f>_xlfn.IFNA(VLOOKUP($A1231,[2]stockregister!$A$2:$H$2000,8,0),0)</f>
        <v>260</v>
      </c>
      <c r="N1231" s="3">
        <f>_xlfn.IFNA(VLOOKUP($A1231,[2]stockregister!$A$2:$H$2000,8,0),0)-$M1231</f>
        <v>0</v>
      </c>
      <c r="O1231" s="3" t="s">
        <v>2890</v>
      </c>
      <c r="P1231" s="3" t="s">
        <v>2890</v>
      </c>
      <c r="Q1231" s="3" t="s">
        <v>248</v>
      </c>
      <c r="R1231" s="3" t="s">
        <v>466</v>
      </c>
      <c r="S1231" s="3" t="s">
        <v>249</v>
      </c>
    </row>
    <row r="1232" spans="1:18">
      <c r="A1232" s="3">
        <v>1228</v>
      </c>
      <c r="B1232" s="3" t="b">
        <f>ISNUMBER(MATCH(A1232,[1]stockregister!$A$2:$A$2000,0))</f>
        <v>1</v>
      </c>
      <c r="C1232" s="3" t="s">
        <v>2891</v>
      </c>
      <c r="D1232" s="3" t="str">
        <f>VLOOKUP($C1232,[1]stockregister!$B$2:$B$2000,1,0)</f>
        <v>KONYAGI 750 ML</v>
      </c>
      <c r="E1232" s="3" t="str">
        <f>IF(ISNA($D1232),VLOOKUP($A1232,[2]stockregister!$A$2:$B$2000,2,FALSE),"")</f>
        <v/>
      </c>
      <c r="F1232" s="3" t="s">
        <v>21</v>
      </c>
      <c r="G1232" s="3">
        <f>_xlfn.IFNA(VLOOKUP($A1232,[3]stockregister!$A$2:$L$2000,11,0),0)</f>
        <v>0</v>
      </c>
      <c r="H1232" s="3">
        <f>_xlfn.IFNA(VLOOKUP($A1232,[3]stockregister!$A$2:$L$2000,11,0),0)-$G1232</f>
        <v>0</v>
      </c>
      <c r="I1232" s="3">
        <f>_xlfn.IFNA(VLOOKUP($A1232,[3]stockregister!$A$2:$L$2000,12,0),0)</f>
        <v>639.97</v>
      </c>
      <c r="J1232" s="3">
        <f>_xlfn.IFNA(VLOOKUP($A1232,[3]stockregister!$A$1:$M$2000,12,0),0)-$I1232</f>
        <v>0</v>
      </c>
      <c r="K1232" s="3" t="s">
        <v>22</v>
      </c>
      <c r="L1232" s="3" t="s">
        <v>23</v>
      </c>
      <c r="M1232" s="3">
        <f>_xlfn.IFNA(VLOOKUP($A1232,[2]stockregister!$A$2:$H$2000,8,0),0)</f>
        <v>750</v>
      </c>
      <c r="N1232" s="3">
        <f>_xlfn.IFNA(VLOOKUP($A1232,[2]stockregister!$A$2:$H$2000,8,0),0)-$M1232</f>
        <v>0</v>
      </c>
      <c r="O1232" s="3" t="s">
        <v>2892</v>
      </c>
      <c r="P1232" s="3" t="s">
        <v>2892</v>
      </c>
      <c r="Q1232" s="3" t="s">
        <v>2893</v>
      </c>
      <c r="R1232" s="3" t="s">
        <v>466</v>
      </c>
    </row>
    <row r="1233" spans="1:18">
      <c r="A1233" s="3">
        <v>1230</v>
      </c>
      <c r="B1233" s="3" t="b">
        <f>ISNUMBER(MATCH(A1233,[1]stockregister!$A$2:$A$2000,0))</f>
        <v>1</v>
      </c>
      <c r="C1233" s="3" t="s">
        <v>2894</v>
      </c>
      <c r="D1233" s="3" t="str">
        <f>VLOOKUP($C1233,[1]stockregister!$B$2:$B$2000,1,0)</f>
        <v>KONYAGI 500 ML</v>
      </c>
      <c r="E1233" s="3" t="str">
        <f>IF(ISNA($D1233),VLOOKUP($A1233,[2]stockregister!$A$2:$B$2000,2,FALSE),"")</f>
        <v/>
      </c>
      <c r="F1233" s="3" t="s">
        <v>21</v>
      </c>
      <c r="G1233" s="3">
        <f>_xlfn.IFNA(VLOOKUP($A1233,[3]stockregister!$A$2:$L$2000,11,0),0)</f>
        <v>0</v>
      </c>
      <c r="H1233" s="3">
        <f>_xlfn.IFNA(VLOOKUP($A1233,[3]stockregister!$A$2:$L$2000,11,0),0)-$G1233</f>
        <v>0</v>
      </c>
      <c r="I1233" s="3">
        <f>_xlfn.IFNA(VLOOKUP($A1233,[3]stockregister!$A$2:$L$2000,12,0),0)</f>
        <v>450</v>
      </c>
      <c r="J1233" s="3">
        <f>_xlfn.IFNA(VLOOKUP($A1233,[3]stockregister!$A$1:$M$2000,12,0),0)-$I1233</f>
        <v>0</v>
      </c>
      <c r="K1233" s="3" t="s">
        <v>22</v>
      </c>
      <c r="L1233" s="3" t="s">
        <v>23</v>
      </c>
      <c r="M1233" s="3">
        <f>_xlfn.IFNA(VLOOKUP($A1233,[2]stockregister!$A$2:$H$2000,8,0),0)</f>
        <v>550</v>
      </c>
      <c r="N1233" s="3">
        <f>_xlfn.IFNA(VLOOKUP($A1233,[2]stockregister!$A$2:$H$2000,8,0),0)-$M1233</f>
        <v>0</v>
      </c>
      <c r="O1233" s="3" t="s">
        <v>2895</v>
      </c>
      <c r="P1233" s="3" t="s">
        <v>2895</v>
      </c>
      <c r="Q1233" s="3" t="s">
        <v>465</v>
      </c>
      <c r="R1233" s="3" t="s">
        <v>466</v>
      </c>
    </row>
    <row r="1234" spans="1:18">
      <c r="A1234" s="3">
        <v>2297</v>
      </c>
      <c r="B1234" s="3" t="b">
        <f>ISNUMBER(MATCH(A1234,[1]stockregister!$A$2:$A$2000,0))</f>
        <v>1</v>
      </c>
      <c r="C1234" s="3" t="s">
        <v>2896</v>
      </c>
      <c r="D1234" s="3" t="str">
        <f>VLOOKUP($C1234,[1]stockregister!$B$2:$B$2000,1,0)</f>
        <v>KENYA GOLD 250ML</v>
      </c>
      <c r="E1234" s="3" t="str">
        <f>IF(ISNA($D1234),VLOOKUP($A1234,[2]stockregister!$A$2:$B$2000,2,FALSE),"")</f>
        <v/>
      </c>
      <c r="F1234" s="3" t="s">
        <v>21</v>
      </c>
      <c r="G1234" s="3">
        <f>_xlfn.IFNA(VLOOKUP($A1234,[3]stockregister!$A$2:$L$2000,11,0),0)</f>
        <v>0</v>
      </c>
      <c r="H1234" s="3">
        <f>_xlfn.IFNA(VLOOKUP($A1234,[3]stockregister!$A$2:$L$2000,11,0),0)-$G1234</f>
        <v>0</v>
      </c>
      <c r="I1234" s="3">
        <f>_xlfn.IFNA(VLOOKUP($A1234,[3]stockregister!$A$2:$L$2000,12,0),0)</f>
        <v>180</v>
      </c>
      <c r="J1234" s="3">
        <f>_xlfn.IFNA(VLOOKUP($A1234,[3]stockregister!$A$1:$M$2000,12,0),0)-$I1234</f>
        <v>0</v>
      </c>
      <c r="K1234" s="3" t="s">
        <v>22</v>
      </c>
      <c r="L1234" s="3" t="s">
        <v>23</v>
      </c>
      <c r="M1234" s="3">
        <f>_xlfn.IFNA(VLOOKUP($A1234,[2]stockregister!$A$2:$H$2000,8,0),0)</f>
        <v>200</v>
      </c>
      <c r="N1234" s="3">
        <f>_xlfn.IFNA(VLOOKUP($A1234,[2]stockregister!$A$2:$H$2000,8,0),0)-$M1234</f>
        <v>0</v>
      </c>
      <c r="O1234" s="3" t="s">
        <v>2897</v>
      </c>
      <c r="P1234" s="3" t="s">
        <v>2897</v>
      </c>
      <c r="Q1234" s="3" t="s">
        <v>2898</v>
      </c>
      <c r="R1234" s="3" t="s">
        <v>466</v>
      </c>
    </row>
    <row r="1235" spans="1:18">
      <c r="A1235" s="3">
        <v>2265</v>
      </c>
      <c r="B1235" s="3" t="b">
        <f>ISNUMBER(MATCH(A1235,[1]stockregister!$A$2:$A$2000,0))</f>
        <v>1</v>
      </c>
      <c r="C1235" s="3" t="s">
        <v>2899</v>
      </c>
      <c r="D1235" s="3" t="str">
        <f>VLOOKUP($C1235,[1]stockregister!$B$2:$B$2000,1,0)</f>
        <v>BLUE MOON 750ML</v>
      </c>
      <c r="E1235" s="3" t="str">
        <f>IF(ISNA($D1235),VLOOKUP($A1235,[2]stockregister!$A$2:$B$2000,2,FALSE),"")</f>
        <v/>
      </c>
      <c r="F1235" s="3" t="s">
        <v>21</v>
      </c>
      <c r="G1235" s="3">
        <f>_xlfn.IFNA(VLOOKUP($A1235,[3]stockregister!$A$2:$L$2000,11,0),0)</f>
        <v>0</v>
      </c>
      <c r="H1235" s="3">
        <f>_xlfn.IFNA(VLOOKUP($A1235,[3]stockregister!$A$2:$L$2000,11,0),0)-$G1235</f>
        <v>0</v>
      </c>
      <c r="I1235" s="3">
        <f>_xlfn.IFNA(VLOOKUP($A1235,[3]stockregister!$A$2:$L$2000,12,0),0)</f>
        <v>600</v>
      </c>
      <c r="J1235" s="3">
        <f>_xlfn.IFNA(VLOOKUP($A1235,[3]stockregister!$A$1:$M$2000,12,0),0)-$I1235</f>
        <v>0</v>
      </c>
      <c r="K1235" s="3" t="s">
        <v>22</v>
      </c>
      <c r="L1235" s="3" t="s">
        <v>23</v>
      </c>
      <c r="M1235" s="3">
        <f>_xlfn.IFNA(VLOOKUP($A1235,[2]stockregister!$A$2:$H$2000,8,0),0)</f>
        <v>650</v>
      </c>
      <c r="N1235" s="3">
        <f>_xlfn.IFNA(VLOOKUP($A1235,[2]stockregister!$A$2:$H$2000,8,0),0)-$M1235</f>
        <v>0</v>
      </c>
      <c r="O1235" s="3" t="s">
        <v>2900</v>
      </c>
      <c r="P1235" s="3" t="s">
        <v>2900</v>
      </c>
      <c r="Q1235" s="3" t="s">
        <v>2901</v>
      </c>
      <c r="R1235" s="3" t="s">
        <v>466</v>
      </c>
    </row>
    <row r="1236" spans="1:19">
      <c r="A1236" s="3">
        <v>7</v>
      </c>
      <c r="B1236" s="3" t="b">
        <f>ISNUMBER(MATCH(A1236,[1]stockregister!$A$2:$A$2000,0))</f>
        <v>1</v>
      </c>
      <c r="C1236" s="3" t="s">
        <v>2902</v>
      </c>
      <c r="D1236" s="3" t="str">
        <f>VLOOKUP($C1236,[1]stockregister!$B$2:$B$2000,1,0)</f>
        <v>1800 TEQUILA ANEJO 700ml</v>
      </c>
      <c r="E1236" s="3" t="str">
        <f>IF(ISNA($D1236),VLOOKUP($A1236,[2]stockregister!$A$2:$B$2000,2,FALSE),"")</f>
        <v/>
      </c>
      <c r="F1236" s="3" t="s">
        <v>21</v>
      </c>
      <c r="G1236" s="3">
        <f>_xlfn.IFNA(VLOOKUP($A1236,[3]stockregister!$A$2:$L$2000,11,0),0)</f>
        <v>0</v>
      </c>
      <c r="H1236" s="3">
        <f>_xlfn.IFNA(VLOOKUP($A1236,[3]stockregister!$A$2:$L$2000,11,0),0)-$G1236</f>
        <v>0</v>
      </c>
      <c r="I1236" s="3">
        <f>_xlfn.IFNA(VLOOKUP($A1236,[3]stockregister!$A$2:$L$2000,12,0),0)</f>
        <v>3220</v>
      </c>
      <c r="J1236" s="3">
        <f>_xlfn.IFNA(VLOOKUP($A1236,[3]stockregister!$A$1:$M$2000,12,0),0)-$I1236</f>
        <v>0</v>
      </c>
      <c r="K1236" s="3" t="s">
        <v>22</v>
      </c>
      <c r="L1236" s="3" t="s">
        <v>23</v>
      </c>
      <c r="M1236" s="3">
        <f>_xlfn.IFNA(VLOOKUP($A1236,[2]stockregister!$A$2:$H$2000,8,0),0)</f>
        <v>3500</v>
      </c>
      <c r="N1236" s="3">
        <f>_xlfn.IFNA(VLOOKUP($A1236,[2]stockregister!$A$2:$H$2000,8,0),0)-$M1236</f>
        <v>0</v>
      </c>
      <c r="O1236" s="3" t="s">
        <v>2903</v>
      </c>
      <c r="P1236" s="3" t="s">
        <v>2903</v>
      </c>
      <c r="Q1236" s="3" t="s">
        <v>293</v>
      </c>
      <c r="R1236" s="3" t="s">
        <v>73</v>
      </c>
      <c r="S1236" s="3" t="s">
        <v>818</v>
      </c>
    </row>
    <row r="1237" spans="1:19">
      <c r="A1237" s="3">
        <v>2468</v>
      </c>
      <c r="B1237" s="3" t="b">
        <f>ISNUMBER(MATCH(A1237,[1]stockregister!$A$2:$A$2000,0))</f>
        <v>1</v>
      </c>
      <c r="C1237" s="3" t="s">
        <v>2904</v>
      </c>
      <c r="D1237" s="3" t="str">
        <f>VLOOKUP($C1237,[1]stockregister!$B$2:$B$2000,1,0)</f>
        <v>CASA MIGOS ANEJO 700ML</v>
      </c>
      <c r="E1237" s="3" t="str">
        <f>IF(ISNA($D1237),VLOOKUP($A1237,[2]stockregister!$A$2:$B$2000,2,FALSE),"")</f>
        <v/>
      </c>
      <c r="F1237" s="3" t="s">
        <v>21</v>
      </c>
      <c r="G1237" s="3">
        <f>_xlfn.IFNA(VLOOKUP($A1237,[3]stockregister!$A$2:$L$2000,11,0),0)</f>
        <v>0</v>
      </c>
      <c r="H1237" s="3">
        <f>_xlfn.IFNA(VLOOKUP($A1237,[3]stockregister!$A$2:$L$2000,11,0),0)-$G1237</f>
        <v>0</v>
      </c>
      <c r="I1237" s="3">
        <f>_xlfn.IFNA(VLOOKUP($A1237,[3]stockregister!$A$2:$L$2000,12,0),0)</f>
        <v>6150</v>
      </c>
      <c r="J1237" s="3">
        <f>_xlfn.IFNA(VLOOKUP($A1237,[3]stockregister!$A$1:$M$2000,12,0),0)-$I1237</f>
        <v>0</v>
      </c>
      <c r="K1237" s="3" t="s">
        <v>22</v>
      </c>
      <c r="L1237" s="3" t="s">
        <v>23</v>
      </c>
      <c r="M1237" s="3">
        <f>_xlfn.IFNA(VLOOKUP($A1237,[2]stockregister!$A$2:$H$2000,8,0),0)</f>
        <v>7600</v>
      </c>
      <c r="N1237" s="3">
        <f>_xlfn.IFNA(VLOOKUP($A1237,[2]stockregister!$A$2:$H$2000,8,0),0)-$M1237</f>
        <v>0</v>
      </c>
      <c r="O1237" s="3" t="s">
        <v>2905</v>
      </c>
      <c r="P1237" s="3" t="s">
        <v>2905</v>
      </c>
      <c r="Q1237" s="3" t="s">
        <v>2906</v>
      </c>
      <c r="R1237" s="3" t="s">
        <v>73</v>
      </c>
      <c r="S1237" s="3" t="s">
        <v>2907</v>
      </c>
    </row>
    <row r="1238" spans="1:19">
      <c r="A1238" s="3">
        <v>1558</v>
      </c>
      <c r="B1238" s="3" t="b">
        <f>ISNUMBER(MATCH(A1238,[1]stockregister!$A$2:$A$2000,0))</f>
        <v>1</v>
      </c>
      <c r="C1238" s="3" t="s">
        <v>520</v>
      </c>
      <c r="D1238" s="3" t="str">
        <f>VLOOKUP($C1238,[1]stockregister!$B$2:$B$2000,1,0)</f>
        <v>OLMECA ANEJO 750ML </v>
      </c>
      <c r="E1238" s="3" t="str">
        <f>IF(ISNA($D1238),VLOOKUP($A1238,[2]stockregister!$A$2:$B$2000,2,FALSE),"")</f>
        <v/>
      </c>
      <c r="F1238" s="3" t="s">
        <v>21</v>
      </c>
      <c r="G1238" s="3">
        <f>_xlfn.IFNA(VLOOKUP($A1238,[3]stockregister!$A$2:$L$2000,11,0),0)</f>
        <v>0</v>
      </c>
      <c r="H1238" s="3">
        <f>_xlfn.IFNA(VLOOKUP($A1238,[3]stockregister!$A$2:$L$2000,11,0),0)-$G1238</f>
        <v>0</v>
      </c>
      <c r="I1238" s="3">
        <f>_xlfn.IFNA(VLOOKUP($A1238,[3]stockregister!$A$2:$L$2000,12,0),0)</f>
        <v>2300</v>
      </c>
      <c r="J1238" s="3">
        <f>_xlfn.IFNA(VLOOKUP($A1238,[3]stockregister!$A$1:$M$2000,12,0),0)-$I1238</f>
        <v>0</v>
      </c>
      <c r="K1238" s="3" t="s">
        <v>22</v>
      </c>
      <c r="L1238" s="3" t="s">
        <v>23</v>
      </c>
      <c r="M1238" s="3">
        <f>_xlfn.IFNA(VLOOKUP($A1238,[2]stockregister!$A$2:$H$2000,8,0),0)</f>
        <v>2500</v>
      </c>
      <c r="N1238" s="3">
        <f>_xlfn.IFNA(VLOOKUP($A1238,[2]stockregister!$A$2:$H$2000,8,0),0)-$M1238</f>
        <v>0</v>
      </c>
      <c r="O1238" s="3" t="s">
        <v>2908</v>
      </c>
      <c r="P1238" s="3" t="s">
        <v>2908</v>
      </c>
      <c r="Q1238" s="3" t="s">
        <v>2909</v>
      </c>
      <c r="R1238" s="3" t="s">
        <v>73</v>
      </c>
      <c r="S1238" s="3" t="s">
        <v>818</v>
      </c>
    </row>
    <row r="1239" spans="1:19">
      <c r="A1239" s="3">
        <v>493</v>
      </c>
      <c r="B1239" s="3" t="b">
        <f>ISNUMBER(MATCH(A1239,[1]stockregister!$A$2:$A$2000,0))</f>
        <v>1</v>
      </c>
      <c r="C1239" s="3" t="s">
        <v>523</v>
      </c>
      <c r="D1239" s="3" t="str">
        <f>VLOOKUP($C1239,[1]stockregister!$B$2:$B$2000,1,0)</f>
        <v>CLASE AZUL ANEJO 700ML </v>
      </c>
      <c r="E1239" s="3" t="str">
        <f>IF(ISNA($D1239),VLOOKUP($A1239,[2]stockregister!$A$2:$B$2000,2,FALSE),"")</f>
        <v/>
      </c>
      <c r="F1239" s="3" t="s">
        <v>21</v>
      </c>
      <c r="G1239" s="3">
        <f>_xlfn.IFNA(VLOOKUP($A1239,[3]stockregister!$A$2:$L$2000,11,0),0)</f>
        <v>0</v>
      </c>
      <c r="H1239" s="3">
        <f>_xlfn.IFNA(VLOOKUP($A1239,[3]stockregister!$A$2:$L$2000,11,0),0)-$G1239</f>
        <v>0</v>
      </c>
      <c r="I1239" s="3">
        <f>_xlfn.IFNA(VLOOKUP($A1239,[3]stockregister!$A$2:$L$2000,12,0),0)</f>
        <v>92000</v>
      </c>
      <c r="J1239" s="3">
        <f>_xlfn.IFNA(VLOOKUP($A1239,[3]stockregister!$A$1:$M$2000,12,0),0)-$I1239</f>
        <v>0</v>
      </c>
      <c r="K1239" s="3" t="s">
        <v>22</v>
      </c>
      <c r="L1239" s="3" t="s">
        <v>23</v>
      </c>
      <c r="M1239" s="3">
        <f>_xlfn.IFNA(VLOOKUP($A1239,[2]stockregister!$A$2:$H$2000,8,0),0)</f>
        <v>100000</v>
      </c>
      <c r="N1239" s="3">
        <f>_xlfn.IFNA(VLOOKUP($A1239,[2]stockregister!$A$2:$H$2000,8,0),0)-$M1239</f>
        <v>0</v>
      </c>
      <c r="O1239" s="3" t="s">
        <v>2910</v>
      </c>
      <c r="P1239" s="3" t="s">
        <v>2910</v>
      </c>
      <c r="Q1239" s="3" t="s">
        <v>494</v>
      </c>
      <c r="R1239" s="3" t="s">
        <v>73</v>
      </c>
      <c r="S1239" s="3" t="s">
        <v>818</v>
      </c>
    </row>
    <row r="1240" spans="1:19">
      <c r="A1240" s="3">
        <v>1589</v>
      </c>
      <c r="B1240" s="3" t="b">
        <f>ISNUMBER(MATCH(A1240,[1]stockregister!$A$2:$A$2000,0))</f>
        <v>1</v>
      </c>
      <c r="C1240" s="3" t="s">
        <v>2911</v>
      </c>
      <c r="D1240" s="3" t="str">
        <f>VLOOKUP($C1240,[1]stockregister!$B$2:$B$2000,1,0)</f>
        <v>PATRON - ANEJO TEQUILLA 1LT</v>
      </c>
      <c r="E1240" s="3" t="str">
        <f>IF(ISNA($D1240),VLOOKUP($A1240,[2]stockregister!$A$2:$B$2000,2,FALSE),"")</f>
        <v/>
      </c>
      <c r="F1240" s="3" t="s">
        <v>21</v>
      </c>
      <c r="G1240" s="3">
        <f>_xlfn.IFNA(VLOOKUP($A1240,[3]stockregister!$A$2:$L$2000,11,0),0)</f>
        <v>0</v>
      </c>
      <c r="H1240" s="3">
        <f>_xlfn.IFNA(VLOOKUP($A1240,[3]stockregister!$A$2:$L$2000,11,0),0)-$G1240</f>
        <v>0</v>
      </c>
      <c r="I1240" s="3">
        <f>_xlfn.IFNA(VLOOKUP($A1240,[3]stockregister!$A$2:$L$2000,12,0),0)</f>
        <v>8740</v>
      </c>
      <c r="J1240" s="3">
        <f>_xlfn.IFNA(VLOOKUP($A1240,[3]stockregister!$A$1:$M$2000,12,0),0)-$I1240</f>
        <v>0</v>
      </c>
      <c r="K1240" s="3" t="s">
        <v>22</v>
      </c>
      <c r="L1240" s="3" t="s">
        <v>23</v>
      </c>
      <c r="M1240" s="3">
        <f>_xlfn.IFNA(VLOOKUP($A1240,[2]stockregister!$A$2:$H$2000,8,0),0)</f>
        <v>9500</v>
      </c>
      <c r="N1240" s="3">
        <f>_xlfn.IFNA(VLOOKUP($A1240,[2]stockregister!$A$2:$H$2000,8,0),0)-$M1240</f>
        <v>0</v>
      </c>
      <c r="O1240" s="3" t="s">
        <v>2912</v>
      </c>
      <c r="P1240" s="3" t="s">
        <v>2912</v>
      </c>
      <c r="Q1240" s="3" t="s">
        <v>849</v>
      </c>
      <c r="R1240" s="3" t="s">
        <v>73</v>
      </c>
      <c r="S1240" s="3" t="s">
        <v>818</v>
      </c>
    </row>
    <row r="1241" spans="1:19">
      <c r="A1241" s="3">
        <v>2469</v>
      </c>
      <c r="B1241" s="3" t="b">
        <f>ISNUMBER(MATCH(A1241,[1]stockregister!$A$2:$A$2000,0))</f>
        <v>1</v>
      </c>
      <c r="C1241" s="3" t="s">
        <v>2913</v>
      </c>
      <c r="D1241" s="3" t="str">
        <f>VLOOKUP($C1241,[1]stockregister!$B$2:$B$2000,1,0)</f>
        <v>CASA MIGOS BLANCO 700ML</v>
      </c>
      <c r="E1241" s="3" t="str">
        <f>IF(ISNA($D1241),VLOOKUP($A1241,[2]stockregister!$A$2:$B$2000,2,FALSE),"")</f>
        <v/>
      </c>
      <c r="F1241" s="3" t="s">
        <v>21</v>
      </c>
      <c r="G1241" s="3">
        <f>_xlfn.IFNA(VLOOKUP($A1241,[3]stockregister!$A$2:$L$2000,11,0),0)</f>
        <v>0</v>
      </c>
      <c r="H1241" s="3">
        <f>_xlfn.IFNA(VLOOKUP($A1241,[3]stockregister!$A$2:$L$2000,11,0),0)-$G1241</f>
        <v>0</v>
      </c>
      <c r="I1241" s="3">
        <f>_xlfn.IFNA(VLOOKUP($A1241,[3]stockregister!$A$2:$L$2000,12,0),0)</f>
        <v>8540</v>
      </c>
      <c r="J1241" s="3">
        <f>_xlfn.IFNA(VLOOKUP($A1241,[3]stockregister!$A$1:$M$2000,12,0),0)-$I1241</f>
        <v>0</v>
      </c>
      <c r="K1241" s="3" t="s">
        <v>22</v>
      </c>
      <c r="L1241" s="3" t="s">
        <v>23</v>
      </c>
      <c r="M1241" s="3">
        <f>_xlfn.IFNA(VLOOKUP($A1241,[2]stockregister!$A$2:$H$2000,8,0),0)</f>
        <v>9500</v>
      </c>
      <c r="N1241" s="3">
        <f>_xlfn.IFNA(VLOOKUP($A1241,[2]stockregister!$A$2:$H$2000,8,0),0)-$M1241</f>
        <v>0</v>
      </c>
      <c r="O1241" s="3" t="s">
        <v>2914</v>
      </c>
      <c r="P1241" s="3" t="s">
        <v>2914</v>
      </c>
      <c r="Q1241" s="3" t="s">
        <v>2906</v>
      </c>
      <c r="R1241" s="3" t="s">
        <v>73</v>
      </c>
      <c r="S1241" s="3" t="s">
        <v>294</v>
      </c>
    </row>
    <row r="1242" spans="1:19">
      <c r="A1242" s="3">
        <v>1559</v>
      </c>
      <c r="B1242" s="3" t="b">
        <f>ISNUMBER(MATCH(A1242,[1]stockregister!$A$2:$A$2000,0))</f>
        <v>1</v>
      </c>
      <c r="C1242" s="3" t="s">
        <v>2915</v>
      </c>
      <c r="D1242" s="3" t="str">
        <f>VLOOKUP($C1242,[1]stockregister!$B$2:$B$2000,1,0)</f>
        <v>OLMECA BLANCO 1LT</v>
      </c>
      <c r="E1242" s="3" t="str">
        <f>IF(ISNA($D1242),VLOOKUP($A1242,[2]stockregister!$A$2:$B$2000,2,FALSE),"")</f>
        <v/>
      </c>
      <c r="F1242" s="3" t="s">
        <v>21</v>
      </c>
      <c r="G1242" s="3">
        <f>_xlfn.IFNA(VLOOKUP($A1242,[3]stockregister!$A$2:$L$2000,11,0),0)</f>
        <v>0</v>
      </c>
      <c r="H1242" s="3">
        <f>_xlfn.IFNA(VLOOKUP($A1242,[3]stockregister!$A$2:$L$2000,11,0),0)-$G1242</f>
        <v>0</v>
      </c>
      <c r="I1242" s="3">
        <f>_xlfn.IFNA(VLOOKUP($A1242,[3]stockregister!$A$2:$L$2000,12,0),0)</f>
        <v>3036</v>
      </c>
      <c r="J1242" s="3">
        <f>_xlfn.IFNA(VLOOKUP($A1242,[3]stockregister!$A$1:$M$2000,12,0),0)-$I1242</f>
        <v>0</v>
      </c>
      <c r="K1242" s="3" t="s">
        <v>22</v>
      </c>
      <c r="L1242" s="3" t="s">
        <v>23</v>
      </c>
      <c r="M1242" s="3">
        <f>_xlfn.IFNA(VLOOKUP($A1242,[2]stockregister!$A$2:$H$2000,8,0),0)</f>
        <v>3300</v>
      </c>
      <c r="N1242" s="3">
        <f>_xlfn.IFNA(VLOOKUP($A1242,[2]stockregister!$A$2:$H$2000,8,0),0)-$M1242</f>
        <v>0</v>
      </c>
      <c r="O1242" s="3" t="s">
        <v>2916</v>
      </c>
      <c r="P1242" s="3" t="s">
        <v>2916</v>
      </c>
      <c r="Q1242" s="3" t="s">
        <v>462</v>
      </c>
      <c r="R1242" s="3" t="s">
        <v>73</v>
      </c>
      <c r="S1242" s="3" t="s">
        <v>806</v>
      </c>
    </row>
    <row r="1243" spans="1:19">
      <c r="A1243" s="3">
        <v>1954</v>
      </c>
      <c r="B1243" s="3" t="b">
        <f>ISNUMBER(MATCH(A1243,[1]stockregister!$A$2:$A$2000,0))</f>
        <v>1</v>
      </c>
      <c r="C1243" s="3" t="s">
        <v>2917</v>
      </c>
      <c r="D1243" s="3" t="str">
        <f>VLOOKUP($C1243,[1]stockregister!$B$2:$B$2000,1,0)</f>
        <v>TEREMANA TEQUILA 750ml</v>
      </c>
      <c r="E1243" s="3" t="str">
        <f>IF(ISNA($D1243),VLOOKUP($A1243,[2]stockregister!$A$2:$B$2000,2,FALSE),"")</f>
        <v/>
      </c>
      <c r="F1243" s="3" t="s">
        <v>21</v>
      </c>
      <c r="G1243" s="3">
        <f>_xlfn.IFNA(VLOOKUP($A1243,[3]stockregister!$A$2:$L$2000,11,0),0)</f>
        <v>0</v>
      </c>
      <c r="H1243" s="3">
        <f>_xlfn.IFNA(VLOOKUP($A1243,[3]stockregister!$A$2:$L$2000,11,0),0)-$G1243</f>
        <v>0</v>
      </c>
      <c r="I1243" s="3">
        <f>_xlfn.IFNA(VLOOKUP($A1243,[3]stockregister!$A$2:$L$2000,12,0),0)</f>
        <v>5704</v>
      </c>
      <c r="J1243" s="3">
        <f>_xlfn.IFNA(VLOOKUP($A1243,[3]stockregister!$A$1:$M$2000,12,0),0)-$I1243</f>
        <v>0</v>
      </c>
      <c r="K1243" s="3" t="s">
        <v>22</v>
      </c>
      <c r="L1243" s="3" t="s">
        <v>23</v>
      </c>
      <c r="M1243" s="3">
        <f>_xlfn.IFNA(VLOOKUP($A1243,[2]stockregister!$A$2:$H$2000,8,0),0)</f>
        <v>6200</v>
      </c>
      <c r="N1243" s="3">
        <f>_xlfn.IFNA(VLOOKUP($A1243,[2]stockregister!$A$2:$H$2000,8,0),0)-$M1243</f>
        <v>0</v>
      </c>
      <c r="O1243" s="3" t="s">
        <v>2918</v>
      </c>
      <c r="P1243" s="3" t="s">
        <v>2918</v>
      </c>
      <c r="Q1243" s="3" t="s">
        <v>2919</v>
      </c>
      <c r="R1243" s="3" t="s">
        <v>73</v>
      </c>
      <c r="S1243" s="3" t="s">
        <v>806</v>
      </c>
    </row>
    <row r="1244" spans="1:19">
      <c r="A1244" s="3">
        <v>355</v>
      </c>
      <c r="B1244" s="3" t="b">
        <f>ISNUMBER(MATCH(A1244,[1]stockregister!$A$2:$A$2000,0))</f>
        <v>1</v>
      </c>
      <c r="C1244" s="3" t="s">
        <v>2920</v>
      </c>
      <c r="D1244" s="3" t="str">
        <f>VLOOKUP($C1244,[1]stockregister!$B$2:$B$2000,1,0)</f>
        <v>CAMINO CLEAR 750ML</v>
      </c>
      <c r="E1244" s="3" t="str">
        <f>IF(ISNA($D1244),VLOOKUP($A1244,[2]stockregister!$A$2:$B$2000,2,FALSE),"")</f>
        <v/>
      </c>
      <c r="F1244" s="3" t="s">
        <v>21</v>
      </c>
      <c r="G1244" s="3">
        <f>_xlfn.IFNA(VLOOKUP($A1244,[3]stockregister!$A$2:$L$2000,11,0),0)</f>
        <v>0</v>
      </c>
      <c r="H1244" s="3">
        <f>_xlfn.IFNA(VLOOKUP($A1244,[3]stockregister!$A$2:$L$2000,11,0),0)-$G1244</f>
        <v>0</v>
      </c>
      <c r="I1244" s="3">
        <f>_xlfn.IFNA(VLOOKUP($A1244,[3]stockregister!$A$2:$L$2000,12,0),0)</f>
        <v>2200</v>
      </c>
      <c r="J1244" s="3">
        <f>_xlfn.IFNA(VLOOKUP($A1244,[3]stockregister!$A$1:$M$2000,12,0),0)-$I1244</f>
        <v>0</v>
      </c>
      <c r="K1244" s="3" t="s">
        <v>22</v>
      </c>
      <c r="L1244" s="3" t="s">
        <v>23</v>
      </c>
      <c r="M1244" s="3">
        <f>_xlfn.IFNA(VLOOKUP($A1244,[2]stockregister!$A$2:$H$2000,8,0),0)</f>
        <v>2250</v>
      </c>
      <c r="N1244" s="3">
        <f>_xlfn.IFNA(VLOOKUP($A1244,[2]stockregister!$A$2:$H$2000,8,0),0)-$M1244</f>
        <v>0</v>
      </c>
      <c r="O1244" s="3" t="s">
        <v>2921</v>
      </c>
      <c r="P1244" s="3" t="s">
        <v>2921</v>
      </c>
      <c r="Q1244" s="3" t="s">
        <v>2922</v>
      </c>
      <c r="R1244" s="3" t="s">
        <v>73</v>
      </c>
      <c r="S1244" s="3" t="s">
        <v>607</v>
      </c>
    </row>
    <row r="1245" spans="1:19">
      <c r="A1245" s="3">
        <v>1130</v>
      </c>
      <c r="B1245" s="3" t="b">
        <f>ISNUMBER(MATCH(A1245,[1]stockregister!$A$2:$A$2000,0))</f>
        <v>1</v>
      </c>
      <c r="C1245" s="3" t="s">
        <v>2923</v>
      </c>
      <c r="D1245" s="3" t="str">
        <f>VLOOKUP($C1245,[1]stockregister!$B$2:$B$2000,1,0)</f>
        <v>JOSE CUERVO CLEAR 1LTR</v>
      </c>
      <c r="E1245" s="3" t="str">
        <f>IF(ISNA($D1245),VLOOKUP($A1245,[2]stockregister!$A$2:$B$2000,2,FALSE),"")</f>
        <v/>
      </c>
      <c r="F1245" s="3" t="s">
        <v>21</v>
      </c>
      <c r="G1245" s="3">
        <f>_xlfn.IFNA(VLOOKUP($A1245,[3]stockregister!$A$2:$L$2000,11,0),0)</f>
        <v>0</v>
      </c>
      <c r="H1245" s="3">
        <f>_xlfn.IFNA(VLOOKUP($A1245,[3]stockregister!$A$2:$L$2000,11,0),0)-$G1245</f>
        <v>0</v>
      </c>
      <c r="I1245" s="3">
        <f>_xlfn.IFNA(VLOOKUP($A1245,[3]stockregister!$A$2:$L$2000,12,0),0)</f>
        <v>1900</v>
      </c>
      <c r="J1245" s="3">
        <f>_xlfn.IFNA(VLOOKUP($A1245,[3]stockregister!$A$1:$M$2000,12,0),0)-$I1245</f>
        <v>0</v>
      </c>
      <c r="K1245" s="3" t="s">
        <v>22</v>
      </c>
      <c r="L1245" s="3" t="s">
        <v>23</v>
      </c>
      <c r="M1245" s="3">
        <f>_xlfn.IFNA(VLOOKUP($A1245,[2]stockregister!$A$2:$H$2000,8,0),0)</f>
        <v>2500</v>
      </c>
      <c r="N1245" s="3">
        <f>_xlfn.IFNA(VLOOKUP($A1245,[2]stockregister!$A$2:$H$2000,8,0),0)-$M1245</f>
        <v>0</v>
      </c>
      <c r="O1245" s="3" t="s">
        <v>2924</v>
      </c>
      <c r="P1245" s="3" t="s">
        <v>2924</v>
      </c>
      <c r="Q1245" s="3" t="s">
        <v>72</v>
      </c>
      <c r="R1245" s="3" t="s">
        <v>73</v>
      </c>
      <c r="S1245" s="3" t="s">
        <v>607</v>
      </c>
    </row>
    <row r="1246" spans="1:19">
      <c r="A1246" s="3">
        <v>2241</v>
      </c>
      <c r="B1246" s="3" t="b">
        <f>ISNUMBER(MATCH(A1246,[1]stockregister!$A$2:$A$2000,0))</f>
        <v>1</v>
      </c>
      <c r="C1246" s="3" t="s">
        <v>2925</v>
      </c>
      <c r="D1246" s="3" t="str">
        <f>VLOOKUP($C1246,[1]stockregister!$B$2:$B$2000,1,0)</f>
        <v>OLMECA EXTRA AGED 1LTR</v>
      </c>
      <c r="E1246" s="3" t="str">
        <f>IF(ISNA($D1246),VLOOKUP($A1246,[2]stockregister!$A$2:$B$2000,2,FALSE),"")</f>
        <v/>
      </c>
      <c r="F1246" s="3" t="s">
        <v>21</v>
      </c>
      <c r="G1246" s="3">
        <f>_xlfn.IFNA(VLOOKUP($A1246,[3]stockregister!$A$2:$L$2000,11,0),0)</f>
        <v>0</v>
      </c>
      <c r="H1246" s="3">
        <f>_xlfn.IFNA(VLOOKUP($A1246,[3]stockregister!$A$2:$L$2000,11,0),0)-$G1246</f>
        <v>0</v>
      </c>
      <c r="I1246" s="3">
        <f>_xlfn.IFNA(VLOOKUP($A1246,[3]stockregister!$A$2:$L$2000,12,0),0)</f>
        <v>3150</v>
      </c>
      <c r="J1246" s="3">
        <f>_xlfn.IFNA(VLOOKUP($A1246,[3]stockregister!$A$1:$M$2000,12,0),0)-$I1246</f>
        <v>0</v>
      </c>
      <c r="K1246" s="3" t="s">
        <v>22</v>
      </c>
      <c r="L1246" s="3" t="s">
        <v>23</v>
      </c>
      <c r="M1246" s="3">
        <f>_xlfn.IFNA(VLOOKUP($A1246,[2]stockregister!$A$2:$H$2000,8,0),0)</f>
        <v>3800</v>
      </c>
      <c r="N1246" s="3">
        <f>_xlfn.IFNA(VLOOKUP($A1246,[2]stockregister!$A$2:$H$2000,8,0),0)-$M1246</f>
        <v>0</v>
      </c>
      <c r="O1246" s="3" t="s">
        <v>2926</v>
      </c>
      <c r="P1246" s="3" t="s">
        <v>2926</v>
      </c>
      <c r="Q1246" s="3" t="s">
        <v>2909</v>
      </c>
      <c r="R1246" s="3" t="s">
        <v>73</v>
      </c>
      <c r="S1246" s="3" t="s">
        <v>2927</v>
      </c>
    </row>
    <row r="1247" spans="1:19">
      <c r="A1247" s="3">
        <v>356</v>
      </c>
      <c r="B1247" s="3" t="b">
        <f>ISNUMBER(MATCH(A1247,[1]stockregister!$A$2:$A$2000,0))</f>
        <v>1</v>
      </c>
      <c r="C1247" s="3" t="s">
        <v>2928</v>
      </c>
      <c r="D1247" s="3" t="str">
        <f>VLOOKUP($C1247,[1]stockregister!$B$2:$B$2000,1,0)</f>
        <v>CAMINO GOLD 750ML</v>
      </c>
      <c r="E1247" s="3" t="str">
        <f>IF(ISNA($D1247),VLOOKUP($A1247,[2]stockregister!$A$2:$B$2000,2,FALSE),"")</f>
        <v/>
      </c>
      <c r="F1247" s="3" t="s">
        <v>21</v>
      </c>
      <c r="G1247" s="3">
        <f>_xlfn.IFNA(VLOOKUP($A1247,[3]stockregister!$A$2:$L$2000,11,0),0)</f>
        <v>0</v>
      </c>
      <c r="H1247" s="3">
        <f>_xlfn.IFNA(VLOOKUP($A1247,[3]stockregister!$A$2:$L$2000,11,0),0)-$G1247</f>
        <v>0</v>
      </c>
      <c r="I1247" s="3">
        <f>_xlfn.IFNA(VLOOKUP($A1247,[3]stockregister!$A$2:$L$2000,12,0),0)</f>
        <v>1420</v>
      </c>
      <c r="J1247" s="3">
        <f>_xlfn.IFNA(VLOOKUP($A1247,[3]stockregister!$A$1:$M$2000,12,0),0)-$I1247</f>
        <v>0</v>
      </c>
      <c r="K1247" s="3" t="s">
        <v>22</v>
      </c>
      <c r="L1247" s="3" t="s">
        <v>23</v>
      </c>
      <c r="M1247" s="3">
        <f>_xlfn.IFNA(VLOOKUP($A1247,[2]stockregister!$A$2:$H$2000,8,0),0)</f>
        <v>1950</v>
      </c>
      <c r="N1247" s="3">
        <f>_xlfn.IFNA(VLOOKUP($A1247,[2]stockregister!$A$2:$H$2000,8,0),0)-$M1247</f>
        <v>0</v>
      </c>
      <c r="O1247" s="3" t="s">
        <v>2929</v>
      </c>
      <c r="P1247" s="3" t="s">
        <v>2929</v>
      </c>
      <c r="Q1247" s="3" t="s">
        <v>2922</v>
      </c>
      <c r="R1247" s="3" t="s">
        <v>73</v>
      </c>
      <c r="S1247" s="3" t="s">
        <v>74</v>
      </c>
    </row>
    <row r="1248" spans="1:19">
      <c r="A1248" s="3">
        <v>1951</v>
      </c>
      <c r="B1248" s="3" t="b">
        <f>ISNUMBER(MATCH(A1248,[1]stockregister!$A$2:$A$2000,0))</f>
        <v>1</v>
      </c>
      <c r="C1248" s="3" t="s">
        <v>2930</v>
      </c>
      <c r="D1248" s="3" t="str">
        <f>VLOOKUP($C1248,[1]stockregister!$B$2:$B$2000,1,0)</f>
        <v>TEQUILA AGAVITA GOLD 700ML</v>
      </c>
      <c r="E1248" s="3" t="str">
        <f>IF(ISNA($D1248),VLOOKUP($A1248,[2]stockregister!$A$2:$B$2000,2,FALSE),"")</f>
        <v/>
      </c>
      <c r="F1248" s="3" t="s">
        <v>21</v>
      </c>
      <c r="G1248" s="3">
        <f>_xlfn.IFNA(VLOOKUP($A1248,[3]stockregister!$A$2:$L$2000,11,0),0)</f>
        <v>0</v>
      </c>
      <c r="H1248" s="3">
        <f>_xlfn.IFNA(VLOOKUP($A1248,[3]stockregister!$A$2:$L$2000,11,0),0)-$G1248</f>
        <v>0</v>
      </c>
      <c r="I1248" s="3">
        <f>_xlfn.IFNA(VLOOKUP($A1248,[3]stockregister!$A$2:$L$2000,12,0),0)</f>
        <v>2070</v>
      </c>
      <c r="J1248" s="3">
        <f>_xlfn.IFNA(VLOOKUP($A1248,[3]stockregister!$A$1:$M$2000,12,0),0)-$I1248</f>
        <v>0</v>
      </c>
      <c r="K1248" s="3" t="s">
        <v>22</v>
      </c>
      <c r="L1248" s="3" t="s">
        <v>23</v>
      </c>
      <c r="M1248" s="3">
        <f>_xlfn.IFNA(VLOOKUP($A1248,[2]stockregister!$A$2:$H$2000,8,0),0)</f>
        <v>2250</v>
      </c>
      <c r="N1248" s="3">
        <f>_xlfn.IFNA(VLOOKUP($A1248,[2]stockregister!$A$2:$H$2000,8,0),0)-$M1248</f>
        <v>0</v>
      </c>
      <c r="O1248" s="3" t="s">
        <v>2931</v>
      </c>
      <c r="P1248" s="3" t="s">
        <v>2931</v>
      </c>
      <c r="Q1248" s="3" t="s">
        <v>1401</v>
      </c>
      <c r="R1248" s="3" t="s">
        <v>73</v>
      </c>
      <c r="S1248" s="3" t="s">
        <v>74</v>
      </c>
    </row>
    <row r="1249" spans="1:19">
      <c r="A1249" s="3">
        <v>1131</v>
      </c>
      <c r="B1249" s="3" t="b">
        <f>ISNUMBER(MATCH(A1249,[1]stockregister!$A$2:$A$2000,0))</f>
        <v>1</v>
      </c>
      <c r="C1249" s="3" t="s">
        <v>2932</v>
      </c>
      <c r="D1249" s="3" t="str">
        <f>VLOOKUP($C1249,[1]stockregister!$B$2:$B$2000,1,0)</f>
        <v>JOSE CUERVO GOLD 1LTR</v>
      </c>
      <c r="E1249" s="3" t="str">
        <f>IF(ISNA($D1249),VLOOKUP($A1249,[2]stockregister!$A$2:$B$2000,2,FALSE),"")</f>
        <v/>
      </c>
      <c r="F1249" s="3" t="s">
        <v>21</v>
      </c>
      <c r="G1249" s="3">
        <f>_xlfn.IFNA(VLOOKUP($A1249,[3]stockregister!$A$2:$L$2000,11,0),0)</f>
        <v>0</v>
      </c>
      <c r="H1249" s="3">
        <f>_xlfn.IFNA(VLOOKUP($A1249,[3]stockregister!$A$2:$L$2000,11,0),0)-$G1249</f>
        <v>0</v>
      </c>
      <c r="I1249" s="3">
        <f>_xlfn.IFNA(VLOOKUP($A1249,[3]stockregister!$A$2:$L$2000,12,0),0)</f>
        <v>2500</v>
      </c>
      <c r="J1249" s="3">
        <f>_xlfn.IFNA(VLOOKUP($A1249,[3]stockregister!$A$1:$M$2000,12,0),0)-$I1249</f>
        <v>0</v>
      </c>
      <c r="K1249" s="3" t="s">
        <v>22</v>
      </c>
      <c r="L1249" s="3" t="s">
        <v>23</v>
      </c>
      <c r="M1249" s="3">
        <f>_xlfn.IFNA(VLOOKUP($A1249,[2]stockregister!$A$2:$H$2000,8,0),0)</f>
        <v>2800</v>
      </c>
      <c r="N1249" s="3">
        <f>_xlfn.IFNA(VLOOKUP($A1249,[2]stockregister!$A$2:$H$2000,8,0),0)-$M1249</f>
        <v>0</v>
      </c>
      <c r="O1249" s="3" t="s">
        <v>2933</v>
      </c>
      <c r="P1249" s="3" t="s">
        <v>2933</v>
      </c>
      <c r="Q1249" s="3" t="s">
        <v>72</v>
      </c>
      <c r="R1249" s="3" t="s">
        <v>73</v>
      </c>
      <c r="S1249" s="3" t="s">
        <v>74</v>
      </c>
    </row>
    <row r="1250" spans="1:19">
      <c r="A1250" s="3">
        <v>1562</v>
      </c>
      <c r="B1250" s="3" t="b">
        <f>ISNUMBER(MATCH(A1250,[1]stockregister!$A$2:$A$2000,0))</f>
        <v>1</v>
      </c>
      <c r="C1250" s="3" t="s">
        <v>2934</v>
      </c>
      <c r="D1250" s="3" t="str">
        <f>VLOOKUP($C1250,[1]stockregister!$B$2:$B$2000,1,0)</f>
        <v>OLMECA GOLD 38% 750ML</v>
      </c>
      <c r="E1250" s="3" t="str">
        <f>IF(ISNA($D1250),VLOOKUP($A1250,[2]stockregister!$A$2:$B$2000,2,FALSE),"")</f>
        <v/>
      </c>
      <c r="F1250" s="3" t="s">
        <v>21</v>
      </c>
      <c r="G1250" s="3">
        <f>_xlfn.IFNA(VLOOKUP($A1250,[3]stockregister!$A$2:$L$2000,11,0),0)</f>
        <v>0</v>
      </c>
      <c r="H1250" s="3">
        <f>_xlfn.IFNA(VLOOKUP($A1250,[3]stockregister!$A$2:$L$2000,11,0),0)-$G1250</f>
        <v>0</v>
      </c>
      <c r="I1250" s="3">
        <f>_xlfn.IFNA(VLOOKUP($A1250,[3]stockregister!$A$2:$L$2000,12,0),0)</f>
        <v>2300</v>
      </c>
      <c r="J1250" s="3">
        <f>_xlfn.IFNA(VLOOKUP($A1250,[3]stockregister!$A$1:$M$2000,12,0),0)-$I1250</f>
        <v>0</v>
      </c>
      <c r="K1250" s="3" t="s">
        <v>22</v>
      </c>
      <c r="L1250" s="3" t="s">
        <v>23</v>
      </c>
      <c r="M1250" s="3">
        <f>_xlfn.IFNA(VLOOKUP($A1250,[2]stockregister!$A$2:$H$2000,8,0),0)</f>
        <v>2500</v>
      </c>
      <c r="N1250" s="3">
        <f>_xlfn.IFNA(VLOOKUP($A1250,[2]stockregister!$A$2:$H$2000,8,0),0)-$M1250</f>
        <v>0</v>
      </c>
      <c r="O1250" s="3" t="s">
        <v>2935</v>
      </c>
      <c r="P1250" s="3" t="s">
        <v>2935</v>
      </c>
      <c r="Q1250" s="3" t="s">
        <v>462</v>
      </c>
      <c r="R1250" s="3" t="s">
        <v>73</v>
      </c>
      <c r="S1250" s="3" t="s">
        <v>74</v>
      </c>
    </row>
    <row r="1251" spans="1:19">
      <c r="A1251" s="3">
        <v>1563</v>
      </c>
      <c r="B1251" s="3" t="b">
        <f>ISNUMBER(MATCH(A1251,[1]stockregister!$A$2:$A$2000,0))</f>
        <v>1</v>
      </c>
      <c r="C1251" s="3" t="s">
        <v>2936</v>
      </c>
      <c r="D1251" s="3" t="str">
        <f>VLOOKUP($C1251,[1]stockregister!$B$2:$B$2000,1,0)</f>
        <v>OLMECA TEQUILA GOLD 1LT</v>
      </c>
      <c r="E1251" s="3" t="str">
        <f>IF(ISNA($D1251),VLOOKUP($A1251,[2]stockregister!$A$2:$B$2000,2,FALSE),"")</f>
        <v/>
      </c>
      <c r="F1251" s="3" t="s">
        <v>21</v>
      </c>
      <c r="G1251" s="3">
        <f>_xlfn.IFNA(VLOOKUP($A1251,[3]stockregister!$A$2:$L$2000,11,0),0)</f>
        <v>0</v>
      </c>
      <c r="H1251" s="3">
        <f>_xlfn.IFNA(VLOOKUP($A1251,[3]stockregister!$A$2:$L$2000,11,0),0)-$G1251</f>
        <v>0</v>
      </c>
      <c r="I1251" s="3">
        <f>_xlfn.IFNA(VLOOKUP($A1251,[3]stockregister!$A$2:$L$2000,12,0),0)</f>
        <v>2950</v>
      </c>
      <c r="J1251" s="3">
        <f>_xlfn.IFNA(VLOOKUP($A1251,[3]stockregister!$A$1:$M$2000,12,0),0)-$I1251</f>
        <v>0</v>
      </c>
      <c r="K1251" s="3" t="s">
        <v>22</v>
      </c>
      <c r="L1251" s="3" t="s">
        <v>23</v>
      </c>
      <c r="M1251" s="3">
        <f>_xlfn.IFNA(VLOOKUP($A1251,[2]stockregister!$A$2:$H$2000,8,0),0)</f>
        <v>3300</v>
      </c>
      <c r="N1251" s="3">
        <f>_xlfn.IFNA(VLOOKUP($A1251,[2]stockregister!$A$2:$H$2000,8,0),0)-$M1251</f>
        <v>0</v>
      </c>
      <c r="O1251" s="3" t="s">
        <v>2937</v>
      </c>
      <c r="P1251" s="3" t="s">
        <v>2937</v>
      </c>
      <c r="Q1251" s="3" t="s">
        <v>462</v>
      </c>
      <c r="R1251" s="3" t="s">
        <v>73</v>
      </c>
      <c r="S1251" s="3" t="s">
        <v>74</v>
      </c>
    </row>
    <row r="1252" spans="1:19">
      <c r="A1252" s="3">
        <v>402</v>
      </c>
      <c r="B1252" s="3" t="b">
        <f>ISNUMBER(MATCH(A1252,[1]stockregister!$A$2:$A$2000,0))</f>
        <v>1</v>
      </c>
      <c r="C1252" s="3" t="s">
        <v>2938</v>
      </c>
      <c r="D1252" s="3" t="str">
        <f>VLOOKUP($C1252,[1]stockregister!$B$2:$B$2000,1,0)</f>
        <v>CASA MIGOS MESCAL 700ML</v>
      </c>
      <c r="E1252" s="3" t="str">
        <f>IF(ISNA($D1252),VLOOKUP($A1252,[2]stockregister!$A$2:$B$2000,2,FALSE),"")</f>
        <v/>
      </c>
      <c r="F1252" s="3" t="s">
        <v>21</v>
      </c>
      <c r="G1252" s="3">
        <f>_xlfn.IFNA(VLOOKUP($A1252,[3]stockregister!$A$2:$L$2000,11,0),0)</f>
        <v>0</v>
      </c>
      <c r="H1252" s="3">
        <f>_xlfn.IFNA(VLOOKUP($A1252,[3]stockregister!$A$2:$L$2000,11,0),0)-$G1252</f>
        <v>0</v>
      </c>
      <c r="I1252" s="3">
        <f>_xlfn.IFNA(VLOOKUP($A1252,[3]stockregister!$A$2:$L$2000,12,0),0)</f>
        <v>10580</v>
      </c>
      <c r="J1252" s="3">
        <f>_xlfn.IFNA(VLOOKUP($A1252,[3]stockregister!$A$1:$M$2000,12,0),0)-$I1252</f>
        <v>0</v>
      </c>
      <c r="K1252" s="3" t="s">
        <v>22</v>
      </c>
      <c r="L1252" s="3" t="s">
        <v>23</v>
      </c>
      <c r="M1252" s="3">
        <f>_xlfn.IFNA(VLOOKUP($A1252,[2]stockregister!$A$2:$H$2000,8,0),0)</f>
        <v>11500</v>
      </c>
      <c r="N1252" s="3">
        <f>_xlfn.IFNA(VLOOKUP($A1252,[2]stockregister!$A$2:$H$2000,8,0),0)-$M1252</f>
        <v>0</v>
      </c>
      <c r="O1252" s="3" t="s">
        <v>2939</v>
      </c>
      <c r="P1252" s="3" t="s">
        <v>2939</v>
      </c>
      <c r="Q1252" s="3" t="s">
        <v>2906</v>
      </c>
      <c r="R1252" s="3" t="s">
        <v>73</v>
      </c>
      <c r="S1252" s="3" t="s">
        <v>2940</v>
      </c>
    </row>
    <row r="1253" spans="1:19">
      <c r="A1253" s="3">
        <v>1789</v>
      </c>
      <c r="B1253" s="3" t="b">
        <f>ISNUMBER(MATCH(A1253,[1]stockregister!$A$2:$A$2000,0))</f>
        <v>1</v>
      </c>
      <c r="C1253" s="3" t="s">
        <v>2941</v>
      </c>
      <c r="D1253" s="3" t="str">
        <f>VLOOKUP($C1253,[1]stockregister!$B$2:$B$2000,1,0)</f>
        <v>SIERRA REPOSADO 700ML</v>
      </c>
      <c r="E1253" s="3" t="str">
        <f>IF(ISNA($D1253),VLOOKUP($A1253,[2]stockregister!$A$2:$B$2000,2,FALSE),"")</f>
        <v/>
      </c>
      <c r="F1253" s="3" t="s">
        <v>21</v>
      </c>
      <c r="G1253" s="3">
        <f>_xlfn.IFNA(VLOOKUP($A1253,[3]stockregister!$A$2:$L$2000,11,0),0)</f>
        <v>0</v>
      </c>
      <c r="H1253" s="3">
        <f>_xlfn.IFNA(VLOOKUP($A1253,[3]stockregister!$A$2:$L$2000,11,0),0)-$G1253</f>
        <v>0</v>
      </c>
      <c r="I1253" s="3">
        <f>_xlfn.IFNA(VLOOKUP($A1253,[3]stockregister!$A$2:$L$2000,12,0),0)</f>
        <v>2000</v>
      </c>
      <c r="J1253" s="3">
        <f>_xlfn.IFNA(VLOOKUP($A1253,[3]stockregister!$A$1:$M$2000,12,0),0)-$I1253</f>
        <v>0</v>
      </c>
      <c r="K1253" s="3" t="s">
        <v>22</v>
      </c>
      <c r="L1253" s="3" t="s">
        <v>23</v>
      </c>
      <c r="M1253" s="3">
        <f>_xlfn.IFNA(VLOOKUP($A1253,[2]stockregister!$A$2:$H$2000,8,0),0)</f>
        <v>2100</v>
      </c>
      <c r="N1253" s="3">
        <f>_xlfn.IFNA(VLOOKUP($A1253,[2]stockregister!$A$2:$H$2000,8,0),0)-$M1253</f>
        <v>0</v>
      </c>
      <c r="O1253" s="3" t="s">
        <v>2942</v>
      </c>
      <c r="P1253" s="3" t="s">
        <v>2942</v>
      </c>
      <c r="Q1253" s="3" t="s">
        <v>2943</v>
      </c>
      <c r="R1253" s="3" t="s">
        <v>73</v>
      </c>
      <c r="S1253" s="3" t="s">
        <v>260</v>
      </c>
    </row>
    <row r="1254" spans="1:19">
      <c r="A1254" s="3">
        <v>29</v>
      </c>
      <c r="B1254" s="3" t="b">
        <f>ISNUMBER(MATCH(A1254,[1]stockregister!$A$2:$A$2000,0))</f>
        <v>1</v>
      </c>
      <c r="C1254" s="3" t="s">
        <v>2944</v>
      </c>
      <c r="D1254" s="3" t="str">
        <f>VLOOKUP($C1254,[1]stockregister!$B$2:$B$2000,1,0)</f>
        <v>818 TEQUILA REPOSADO 750ML</v>
      </c>
      <c r="E1254" s="3" t="str">
        <f>IF(ISNA($D1254),VLOOKUP($A1254,[2]stockregister!$A$2:$B$2000,2,FALSE),"")</f>
        <v/>
      </c>
      <c r="F1254" s="3" t="s">
        <v>21</v>
      </c>
      <c r="G1254" s="3">
        <f>_xlfn.IFNA(VLOOKUP($A1254,[3]stockregister!$A$2:$L$2000,11,0),0)</f>
        <v>0</v>
      </c>
      <c r="H1254" s="3">
        <f>_xlfn.IFNA(VLOOKUP($A1254,[3]stockregister!$A$2:$L$2000,11,0),0)-$G1254</f>
        <v>0</v>
      </c>
      <c r="I1254" s="3">
        <f>_xlfn.IFNA(VLOOKUP($A1254,[3]stockregister!$A$2:$L$2000,12,0),0)</f>
        <v>7360</v>
      </c>
      <c r="J1254" s="3">
        <f>_xlfn.IFNA(VLOOKUP($A1254,[3]stockregister!$A$1:$M$2000,12,0),0)-$I1254</f>
        <v>0</v>
      </c>
      <c r="K1254" s="3" t="s">
        <v>22</v>
      </c>
      <c r="L1254" s="3" t="s">
        <v>23</v>
      </c>
      <c r="M1254" s="3">
        <f>_xlfn.IFNA(VLOOKUP($A1254,[2]stockregister!$A$2:$H$2000,8,0),0)</f>
        <v>8000</v>
      </c>
      <c r="N1254" s="3">
        <f>_xlfn.IFNA(VLOOKUP($A1254,[2]stockregister!$A$2:$H$2000,8,0),0)-$M1254</f>
        <v>0</v>
      </c>
      <c r="O1254" s="3" t="s">
        <v>2945</v>
      </c>
      <c r="P1254" s="3" t="s">
        <v>2945</v>
      </c>
      <c r="Q1254" s="3" t="s">
        <v>259</v>
      </c>
      <c r="R1254" s="3" t="s">
        <v>73</v>
      </c>
      <c r="S1254" s="3" t="s">
        <v>260</v>
      </c>
    </row>
    <row r="1255" spans="1:19">
      <c r="A1255" s="3">
        <v>403</v>
      </c>
      <c r="B1255" s="3" t="b">
        <f>ISNUMBER(MATCH(A1255,[1]stockregister!$A$2:$A$2000,0))</f>
        <v>1</v>
      </c>
      <c r="C1255" s="3" t="s">
        <v>2946</v>
      </c>
      <c r="D1255" s="3" t="str">
        <f>VLOOKUP($C1255,[1]stockregister!$B$2:$B$2000,1,0)</f>
        <v>CASA MIGOS REPOSADO 1LTR</v>
      </c>
      <c r="E1255" s="3" t="str">
        <f>IF(ISNA($D1255),VLOOKUP($A1255,[2]stockregister!$A$2:$B$2000,2,FALSE),"")</f>
        <v/>
      </c>
      <c r="F1255" s="3" t="s">
        <v>21</v>
      </c>
      <c r="G1255" s="3">
        <f>_xlfn.IFNA(VLOOKUP($A1255,[3]stockregister!$A$2:$L$2000,11,0),0)</f>
        <v>0</v>
      </c>
      <c r="H1255" s="3">
        <f>_xlfn.IFNA(VLOOKUP($A1255,[3]stockregister!$A$2:$L$2000,11,0),0)-$G1255</f>
        <v>0</v>
      </c>
      <c r="I1255" s="3">
        <f>_xlfn.IFNA(VLOOKUP($A1255,[3]stockregister!$A$2:$L$2000,12,0),0)</f>
        <v>11800</v>
      </c>
      <c r="J1255" s="3">
        <f>_xlfn.IFNA(VLOOKUP($A1255,[3]stockregister!$A$1:$M$2000,12,0),0)-$I1255</f>
        <v>0</v>
      </c>
      <c r="K1255" s="3" t="s">
        <v>22</v>
      </c>
      <c r="L1255" s="3" t="s">
        <v>23</v>
      </c>
      <c r="M1255" s="3">
        <f>_xlfn.IFNA(VLOOKUP($A1255,[2]stockregister!$A$2:$H$2000,8,0),0)</f>
        <v>12000</v>
      </c>
      <c r="N1255" s="3">
        <f>_xlfn.IFNA(VLOOKUP($A1255,[2]stockregister!$A$2:$H$2000,8,0),0)-$M1255</f>
        <v>0</v>
      </c>
      <c r="O1255" s="3" t="s">
        <v>2947</v>
      </c>
      <c r="P1255" s="3" t="s">
        <v>2947</v>
      </c>
      <c r="Q1255" s="3" t="s">
        <v>2906</v>
      </c>
      <c r="R1255" s="3" t="s">
        <v>73</v>
      </c>
      <c r="S1255" s="3" t="s">
        <v>260</v>
      </c>
    </row>
    <row r="1256" spans="1:19">
      <c r="A1256" s="3">
        <v>1557</v>
      </c>
      <c r="B1256" s="3" t="b">
        <f>ISNUMBER(MATCH(A1256,[1]stockregister!$A$2:$A$2000,0))</f>
        <v>1</v>
      </c>
      <c r="C1256" s="3" t="s">
        <v>2948</v>
      </c>
      <c r="D1256" s="3" t="str">
        <f>VLOOKUP($C1256,[1]stockregister!$B$2:$B$2000,1,0)</f>
        <v>OLMECA ALTOS REPOSADO 38% 750ML</v>
      </c>
      <c r="E1256" s="3" t="str">
        <f>IF(ISNA($D1256),VLOOKUP($A1256,[2]stockregister!$A$2:$B$2000,2,FALSE),"")</f>
        <v/>
      </c>
      <c r="F1256" s="3" t="s">
        <v>21</v>
      </c>
      <c r="G1256" s="3">
        <f>_xlfn.IFNA(VLOOKUP($A1256,[3]stockregister!$A$2:$L$2000,11,0),0)</f>
        <v>0</v>
      </c>
      <c r="H1256" s="3">
        <f>_xlfn.IFNA(VLOOKUP($A1256,[3]stockregister!$A$2:$L$2000,11,0),0)-$G1256</f>
        <v>0</v>
      </c>
      <c r="I1256" s="3">
        <f>_xlfn.IFNA(VLOOKUP($A1256,[3]stockregister!$A$2:$L$2000,12,0),0)</f>
        <v>3220</v>
      </c>
      <c r="J1256" s="3">
        <f>_xlfn.IFNA(VLOOKUP($A1256,[3]stockregister!$A$1:$M$2000,12,0),0)-$I1256</f>
        <v>0</v>
      </c>
      <c r="K1256" s="3" t="s">
        <v>22</v>
      </c>
      <c r="L1256" s="3" t="s">
        <v>23</v>
      </c>
      <c r="M1256" s="3">
        <f>_xlfn.IFNA(VLOOKUP($A1256,[2]stockregister!$A$2:$H$2000,8,0),0)</f>
        <v>3500</v>
      </c>
      <c r="N1256" s="3">
        <f>_xlfn.IFNA(VLOOKUP($A1256,[2]stockregister!$A$2:$H$2000,8,0),0)-$M1256</f>
        <v>0</v>
      </c>
      <c r="O1256" s="3" t="s">
        <v>2949</v>
      </c>
      <c r="P1256" s="3" t="s">
        <v>2949</v>
      </c>
      <c r="Q1256" s="3" t="s">
        <v>2909</v>
      </c>
      <c r="R1256" s="3" t="s">
        <v>73</v>
      </c>
      <c r="S1256" s="3" t="s">
        <v>935</v>
      </c>
    </row>
    <row r="1257" spans="1:19">
      <c r="A1257" s="3">
        <v>1633</v>
      </c>
      <c r="B1257" s="3" t="b">
        <f>ISNUMBER(MATCH(A1257,[1]stockregister!$A$2:$A$2000,0))</f>
        <v>1</v>
      </c>
      <c r="C1257" s="3" t="s">
        <v>2950</v>
      </c>
      <c r="D1257" s="3" t="str">
        <f>VLOOKUP($C1257,[1]stockregister!$B$2:$B$2000,1,0)</f>
        <v>PONCHOS TEQUILA REPOSADO 750ML</v>
      </c>
      <c r="E1257" s="3" t="str">
        <f>IF(ISNA($D1257),VLOOKUP($A1257,[2]stockregister!$A$2:$B$2000,2,FALSE),"")</f>
        <v/>
      </c>
      <c r="F1257" s="3" t="s">
        <v>21</v>
      </c>
      <c r="G1257" s="3">
        <f>_xlfn.IFNA(VLOOKUP($A1257,[3]stockregister!$A$2:$L$2000,11,0),0)</f>
        <v>0</v>
      </c>
      <c r="H1257" s="3">
        <f>_xlfn.IFNA(VLOOKUP($A1257,[3]stockregister!$A$2:$L$2000,11,0),0)-$G1257</f>
        <v>0</v>
      </c>
      <c r="I1257" s="3">
        <f>_xlfn.IFNA(VLOOKUP($A1257,[3]stockregister!$A$2:$L$2000,12,0),0)</f>
        <v>4140</v>
      </c>
      <c r="J1257" s="3">
        <f>_xlfn.IFNA(VLOOKUP($A1257,[3]stockregister!$A$1:$M$2000,12,0),0)-$I1257</f>
        <v>0</v>
      </c>
      <c r="K1257" s="3" t="s">
        <v>22</v>
      </c>
      <c r="L1257" s="3" t="s">
        <v>23</v>
      </c>
      <c r="M1257" s="3">
        <f>_xlfn.IFNA(VLOOKUP($A1257,[2]stockregister!$A$2:$H$2000,8,0),0)</f>
        <v>4500</v>
      </c>
      <c r="N1257" s="3">
        <f>_xlfn.IFNA(VLOOKUP($A1257,[2]stockregister!$A$2:$H$2000,8,0),0)-$M1257</f>
        <v>0</v>
      </c>
      <c r="O1257" s="3" t="s">
        <v>2951</v>
      </c>
      <c r="P1257" s="3" t="s">
        <v>2951</v>
      </c>
      <c r="Q1257" s="3" t="s">
        <v>2952</v>
      </c>
      <c r="R1257" s="3" t="s">
        <v>73</v>
      </c>
      <c r="S1257" s="3" t="s">
        <v>260</v>
      </c>
    </row>
    <row r="1258" spans="1:19">
      <c r="A1258" s="3">
        <v>1788</v>
      </c>
      <c r="B1258" s="3" t="b">
        <f>ISNUMBER(MATCH(A1258,[1]stockregister!$A$2:$A$2000,0))</f>
        <v>1</v>
      </c>
      <c r="C1258" s="3" t="s">
        <v>2953</v>
      </c>
      <c r="D1258" s="3" t="str">
        <f>VLOOKUP($C1258,[1]stockregister!$B$2:$B$2000,1,0)</f>
        <v>SIERRA REPOSADO 1LTR</v>
      </c>
      <c r="E1258" s="3" t="str">
        <f>IF(ISNA($D1258),VLOOKUP($A1258,[2]stockregister!$A$2:$B$2000,2,FALSE),"")</f>
        <v/>
      </c>
      <c r="F1258" s="3" t="s">
        <v>21</v>
      </c>
      <c r="G1258" s="3">
        <f>_xlfn.IFNA(VLOOKUP($A1258,[3]stockregister!$A$2:$L$2000,11,0),0)</f>
        <v>0</v>
      </c>
      <c r="H1258" s="3">
        <f>_xlfn.IFNA(VLOOKUP($A1258,[3]stockregister!$A$2:$L$2000,11,0),0)-$G1258</f>
        <v>0</v>
      </c>
      <c r="I1258" s="3">
        <f>_xlfn.IFNA(VLOOKUP($A1258,[3]stockregister!$A$2:$L$2000,12,0),0)</f>
        <v>2300</v>
      </c>
      <c r="J1258" s="3">
        <f>_xlfn.IFNA(VLOOKUP($A1258,[3]stockregister!$A$1:$M$2000,12,0),0)-$I1258</f>
        <v>0</v>
      </c>
      <c r="K1258" s="3" t="s">
        <v>22</v>
      </c>
      <c r="L1258" s="3" t="s">
        <v>23</v>
      </c>
      <c r="M1258" s="3">
        <f>_xlfn.IFNA(VLOOKUP($A1258,[2]stockregister!$A$2:$H$2000,8,0),0)</f>
        <v>2500</v>
      </c>
      <c r="N1258" s="3">
        <f>_xlfn.IFNA(VLOOKUP($A1258,[2]stockregister!$A$2:$H$2000,8,0),0)-$M1258</f>
        <v>0</v>
      </c>
      <c r="O1258" s="3" t="s">
        <v>2954</v>
      </c>
      <c r="P1258" s="3" t="s">
        <v>2954</v>
      </c>
      <c r="Q1258" s="3" t="s">
        <v>2943</v>
      </c>
      <c r="R1258" s="3" t="s">
        <v>73</v>
      </c>
      <c r="S1258" s="3" t="s">
        <v>260</v>
      </c>
    </row>
    <row r="1259" spans="1:19">
      <c r="A1259" s="3">
        <v>2485</v>
      </c>
      <c r="B1259" s="3" t="b">
        <f>ISNUMBER(MATCH(A1259,[1]stockregister!$A$2:$A$2000,0))</f>
        <v>1</v>
      </c>
      <c r="C1259" s="3" t="s">
        <v>2955</v>
      </c>
      <c r="D1259" s="3" t="str">
        <f>VLOOKUP($C1259,[1]stockregister!$B$2:$B$2000,1,0)</f>
        <v>VOLCAN REPOSADO 700ML</v>
      </c>
      <c r="E1259" s="3" t="str">
        <f>IF(ISNA($D1259),VLOOKUP($A1259,[2]stockregister!$A$2:$B$2000,2,FALSE),"")</f>
        <v/>
      </c>
      <c r="F1259" s="3" t="s">
        <v>21</v>
      </c>
      <c r="G1259" s="3">
        <f>_xlfn.IFNA(VLOOKUP($A1259,[3]stockregister!$A$2:$L$2000,11,0),0)</f>
        <v>0</v>
      </c>
      <c r="H1259" s="3">
        <f>_xlfn.IFNA(VLOOKUP($A1259,[3]stockregister!$A$2:$L$2000,11,0),0)-$G1259</f>
        <v>0</v>
      </c>
      <c r="I1259" s="3">
        <f>_xlfn.IFNA(VLOOKUP($A1259,[3]stockregister!$A$2:$L$2000,12,0),0)</f>
        <v>9159</v>
      </c>
      <c r="J1259" s="3">
        <f>_xlfn.IFNA(VLOOKUP($A1259,[3]stockregister!$A$1:$M$2000,12,0),0)-$I1259</f>
        <v>0</v>
      </c>
      <c r="K1259" s="3" t="s">
        <v>22</v>
      </c>
      <c r="L1259" s="3" t="s">
        <v>23</v>
      </c>
      <c r="M1259" s="3">
        <f>_xlfn.IFNA(VLOOKUP($A1259,[2]stockregister!$A$2:$H$2000,8,0),0)</f>
        <v>9891</v>
      </c>
      <c r="N1259" s="3">
        <f>_xlfn.IFNA(VLOOKUP($A1259,[2]stockregister!$A$2:$H$2000,8,0),0)-$M1259</f>
        <v>0</v>
      </c>
      <c r="O1259" s="3" t="s">
        <v>2956</v>
      </c>
      <c r="P1259" s="3" t="s">
        <v>2956</v>
      </c>
      <c r="Q1259" s="3" t="s">
        <v>2957</v>
      </c>
      <c r="R1259" s="3" t="s">
        <v>73</v>
      </c>
      <c r="S1259" s="3" t="s">
        <v>935</v>
      </c>
    </row>
    <row r="1260" spans="1:19">
      <c r="A1260" s="3">
        <v>1952</v>
      </c>
      <c r="B1260" s="3" t="b">
        <f>ISNUMBER(MATCH(A1260,[1]stockregister!$A$2:$A$2000,0))</f>
        <v>1</v>
      </c>
      <c r="C1260" s="3" t="s">
        <v>2958</v>
      </c>
      <c r="D1260" s="3" t="str">
        <f>VLOOKUP($C1260,[1]stockregister!$B$2:$B$2000,1,0)</f>
        <v>TEQUILA ROSE 750ML</v>
      </c>
      <c r="E1260" s="3" t="str">
        <f>IF(ISNA($D1260),VLOOKUP($A1260,[2]stockregister!$A$2:$B$2000,2,FALSE),"")</f>
        <v/>
      </c>
      <c r="F1260" s="3" t="s">
        <v>21</v>
      </c>
      <c r="G1260" s="3">
        <f>_xlfn.IFNA(VLOOKUP($A1260,[3]stockregister!$A$2:$L$2000,11,0),0)</f>
        <v>0</v>
      </c>
      <c r="H1260" s="3">
        <f>_xlfn.IFNA(VLOOKUP($A1260,[3]stockregister!$A$2:$L$2000,11,0),0)-$G1260</f>
        <v>0</v>
      </c>
      <c r="I1260" s="3">
        <f>_xlfn.IFNA(VLOOKUP($A1260,[3]stockregister!$A$2:$L$2000,12,0),0)</f>
        <v>2392</v>
      </c>
      <c r="J1260" s="3">
        <f>_xlfn.IFNA(VLOOKUP($A1260,[3]stockregister!$A$1:$M$2000,12,0),0)-$I1260</f>
        <v>0</v>
      </c>
      <c r="K1260" s="3" t="s">
        <v>22</v>
      </c>
      <c r="L1260" s="3" t="s">
        <v>23</v>
      </c>
      <c r="M1260" s="3">
        <f>_xlfn.IFNA(VLOOKUP($A1260,[2]stockregister!$A$2:$H$2000,8,0),0)</f>
        <v>2600</v>
      </c>
      <c r="N1260" s="3">
        <f>_xlfn.IFNA(VLOOKUP($A1260,[2]stockregister!$A$2:$H$2000,8,0),0)-$M1260</f>
        <v>0</v>
      </c>
      <c r="O1260" s="3" t="s">
        <v>2959</v>
      </c>
      <c r="P1260" s="3" t="s">
        <v>2959</v>
      </c>
      <c r="Q1260" s="3" t="s">
        <v>2960</v>
      </c>
      <c r="R1260" s="3" t="s">
        <v>73</v>
      </c>
      <c r="S1260" s="3" t="s">
        <v>1030</v>
      </c>
    </row>
    <row r="1261" spans="1:19">
      <c r="A1261" s="3">
        <v>1597</v>
      </c>
      <c r="B1261" s="3" t="b">
        <f>ISNUMBER(MATCH(A1261,[1]stockregister!$A$2:$A$2000,0))</f>
        <v>1</v>
      </c>
      <c r="C1261" s="3" t="s">
        <v>2961</v>
      </c>
      <c r="D1261" s="3" t="str">
        <f>VLOOKUP($C1261,[1]stockregister!$B$2:$B$2000,1,0)</f>
        <v>PATRON TEQUILA SILVER 375ML</v>
      </c>
      <c r="E1261" s="3" t="str">
        <f>IF(ISNA($D1261),VLOOKUP($A1261,[2]stockregister!$A$2:$B$2000,2,FALSE),"")</f>
        <v/>
      </c>
      <c r="F1261" s="3" t="s">
        <v>21</v>
      </c>
      <c r="G1261" s="3">
        <f>_xlfn.IFNA(VLOOKUP($A1261,[3]stockregister!$A$2:$L$2000,11,0),0)</f>
        <v>0</v>
      </c>
      <c r="H1261" s="3">
        <f>_xlfn.IFNA(VLOOKUP($A1261,[3]stockregister!$A$2:$L$2000,11,0),0)-$G1261</f>
        <v>0</v>
      </c>
      <c r="I1261" s="3">
        <f>_xlfn.IFNA(VLOOKUP($A1261,[3]stockregister!$A$2:$L$2000,12,0),0)</f>
        <v>3231.96</v>
      </c>
      <c r="J1261" s="3">
        <f>_xlfn.IFNA(VLOOKUP($A1261,[3]stockregister!$A$1:$M$2000,12,0),0)-$I1261</f>
        <v>0</v>
      </c>
      <c r="K1261" s="3" t="s">
        <v>22</v>
      </c>
      <c r="L1261" s="3" t="s">
        <v>23</v>
      </c>
      <c r="M1261" s="3">
        <f>_xlfn.IFNA(VLOOKUP($A1261,[2]stockregister!$A$2:$H$2000,8,0),0)</f>
        <v>3513</v>
      </c>
      <c r="N1261" s="3">
        <f>_xlfn.IFNA(VLOOKUP($A1261,[2]stockregister!$A$2:$H$2000,8,0),0)-$M1261</f>
        <v>0</v>
      </c>
      <c r="O1261" s="3" t="s">
        <v>2962</v>
      </c>
      <c r="P1261" s="3" t="s">
        <v>2962</v>
      </c>
      <c r="Q1261" s="3" t="s">
        <v>849</v>
      </c>
      <c r="R1261" s="3" t="s">
        <v>73</v>
      </c>
      <c r="S1261" s="3" t="s">
        <v>85</v>
      </c>
    </row>
    <row r="1262" spans="1:19">
      <c r="A1262" s="3">
        <v>1790</v>
      </c>
      <c r="B1262" s="3" t="b">
        <f>ISNUMBER(MATCH(A1262,[1]stockregister!$A$2:$A$2000,0))</f>
        <v>1</v>
      </c>
      <c r="C1262" s="3" t="s">
        <v>2963</v>
      </c>
      <c r="D1262" s="3" t="str">
        <f>VLOOKUP($C1262,[1]stockregister!$B$2:$B$2000,1,0)</f>
        <v>SIERRA TEQUILA SILVER 1ltr</v>
      </c>
      <c r="E1262" s="3" t="str">
        <f>IF(ISNA($D1262),VLOOKUP($A1262,[2]stockregister!$A$2:$B$2000,2,FALSE),"")</f>
        <v/>
      </c>
      <c r="F1262" s="3" t="s">
        <v>21</v>
      </c>
      <c r="G1262" s="3">
        <f>_xlfn.IFNA(VLOOKUP($A1262,[3]stockregister!$A$2:$L$2000,11,0),0)</f>
        <v>0</v>
      </c>
      <c r="H1262" s="3">
        <f>_xlfn.IFNA(VLOOKUP($A1262,[3]stockregister!$A$2:$L$2000,11,0),0)-$G1262</f>
        <v>0</v>
      </c>
      <c r="I1262" s="3">
        <f>_xlfn.IFNA(VLOOKUP($A1262,[3]stockregister!$A$2:$L$2000,12,0),0)</f>
        <v>2392</v>
      </c>
      <c r="J1262" s="3">
        <f>_xlfn.IFNA(VLOOKUP($A1262,[3]stockregister!$A$1:$M$2000,12,0),0)-$I1262</f>
        <v>0</v>
      </c>
      <c r="K1262" s="3" t="s">
        <v>22</v>
      </c>
      <c r="L1262" s="3" t="s">
        <v>23</v>
      </c>
      <c r="M1262" s="3">
        <f>_xlfn.IFNA(VLOOKUP($A1262,[2]stockregister!$A$2:$H$2000,8,0),0)</f>
        <v>2600</v>
      </c>
      <c r="N1262" s="3">
        <f>_xlfn.IFNA(VLOOKUP($A1262,[2]stockregister!$A$2:$H$2000,8,0),0)-$M1262</f>
        <v>0</v>
      </c>
      <c r="O1262" s="3" t="s">
        <v>2964</v>
      </c>
      <c r="P1262" s="3" t="s">
        <v>2964</v>
      </c>
      <c r="Q1262" s="3" t="s">
        <v>2943</v>
      </c>
      <c r="R1262" s="3" t="s">
        <v>73</v>
      </c>
      <c r="S1262" s="3" t="s">
        <v>85</v>
      </c>
    </row>
    <row r="1263" spans="1:18">
      <c r="A1263" s="3">
        <v>1609</v>
      </c>
      <c r="B1263" s="3" t="b">
        <f>ISNUMBER(MATCH(A1263,[1]stockregister!$A$2:$A$2000,0))</f>
        <v>1</v>
      </c>
      <c r="C1263" s="3" t="s">
        <v>2965</v>
      </c>
      <c r="D1263" s="3" t="str">
        <f>VLOOKUP($C1263,[1]stockregister!$B$2:$B$2000,1,0)</f>
        <v>PEPE LOPEZ TEQUILA 1LTR</v>
      </c>
      <c r="E1263" s="3" t="str">
        <f>IF(ISNA($D1263),VLOOKUP($A1263,[2]stockregister!$A$2:$B$2000,2,FALSE),"")</f>
        <v/>
      </c>
      <c r="F1263" s="3" t="s">
        <v>21</v>
      </c>
      <c r="G1263" s="3">
        <f>_xlfn.IFNA(VLOOKUP($A1263,[3]stockregister!$A$2:$L$2000,11,0),0)</f>
        <v>0</v>
      </c>
      <c r="H1263" s="3">
        <f>_xlfn.IFNA(VLOOKUP($A1263,[3]stockregister!$A$2:$L$2000,11,0),0)-$G1263</f>
        <v>0</v>
      </c>
      <c r="I1263" s="3">
        <f>_xlfn.IFNA(VLOOKUP($A1263,[3]stockregister!$A$2:$L$2000,12,0),0)</f>
        <v>1500</v>
      </c>
      <c r="J1263" s="3">
        <f>_xlfn.IFNA(VLOOKUP($A1263,[3]stockregister!$A$1:$M$2000,12,0),0)-$I1263</f>
        <v>0</v>
      </c>
      <c r="K1263" s="3" t="s">
        <v>22</v>
      </c>
      <c r="L1263" s="3" t="s">
        <v>23</v>
      </c>
      <c r="M1263" s="3">
        <f>_xlfn.IFNA(VLOOKUP($A1263,[2]stockregister!$A$2:$H$2000,8,0),0)</f>
        <v>1900</v>
      </c>
      <c r="N1263" s="3">
        <f>_xlfn.IFNA(VLOOKUP($A1263,[2]stockregister!$A$2:$H$2000,8,0),0)-$M1263</f>
        <v>0</v>
      </c>
      <c r="O1263" s="3" t="s">
        <v>2966</v>
      </c>
      <c r="P1263" s="3" t="s">
        <v>2966</v>
      </c>
      <c r="Q1263" s="3" t="s">
        <v>2967</v>
      </c>
      <c r="R1263" s="3" t="s">
        <v>73</v>
      </c>
    </row>
    <row r="1264" spans="1:19">
      <c r="A1264" s="3">
        <v>2920</v>
      </c>
      <c r="B1264" s="3" t="b">
        <f>ISNUMBER(MATCH(A1264,[1]stockregister!$A$2:$A$2000,0))</f>
        <v>1</v>
      </c>
      <c r="C1264" s="3" t="s">
        <v>525</v>
      </c>
      <c r="D1264" s="3" t="str">
        <f>VLOOKUP($C1264,[1]stockregister!$B$2:$B$2000,1,0)</f>
        <v>WOOSH PEN 1800 PUFFS BLUEBERRY ICE</v>
      </c>
      <c r="E1264" s="3" t="str">
        <f>IF(ISNA($D1264),VLOOKUP($A1264,[2]stockregister!$A$2:$B$2000,2,FALSE),"")</f>
        <v/>
      </c>
      <c r="F1264" s="3" t="s">
        <v>21</v>
      </c>
      <c r="G1264" s="3">
        <f>_xlfn.IFNA(VLOOKUP($A1264,[3]stockregister!$A$2:$L$2000,11,0),0)</f>
        <v>0</v>
      </c>
      <c r="H1264" s="3">
        <f>_xlfn.IFNA(VLOOKUP($A1264,[3]stockregister!$A$2:$L$2000,11,0),0)-$G1264</f>
        <v>0</v>
      </c>
      <c r="I1264" s="3">
        <f>_xlfn.IFNA(VLOOKUP($A1264,[3]stockregister!$A$2:$L$2000,12,0),0)</f>
        <v>735</v>
      </c>
      <c r="J1264" s="3">
        <f>_xlfn.IFNA(VLOOKUP($A1264,[3]stockregister!$A$1:$M$2000,12,0),0)-$I1264</f>
        <v>0</v>
      </c>
      <c r="K1264" s="3" t="s">
        <v>22</v>
      </c>
      <c r="L1264" s="3" t="s">
        <v>23</v>
      </c>
      <c r="M1264" s="3">
        <f>_xlfn.IFNA(VLOOKUP($A1264,[2]stockregister!$A$2:$H$2000,8,0),0)</f>
        <v>850</v>
      </c>
      <c r="N1264" s="3">
        <f>_xlfn.IFNA(VLOOKUP($A1264,[2]stockregister!$A$2:$H$2000,8,0),0)-$M1264</f>
        <v>0</v>
      </c>
      <c r="O1264" s="3" t="s">
        <v>2968</v>
      </c>
      <c r="P1264" s="3" t="s">
        <v>2968</v>
      </c>
      <c r="Q1264" s="3">
        <v>0</v>
      </c>
      <c r="R1264" s="3" t="s">
        <v>39</v>
      </c>
      <c r="S1264" s="3" t="s">
        <v>2969</v>
      </c>
    </row>
    <row r="1265" spans="1:19">
      <c r="A1265" s="3">
        <v>1400</v>
      </c>
      <c r="B1265" s="3" t="b">
        <f>ISNUMBER(MATCH(A1265,[1]stockregister!$A$2:$A$2000,0))</f>
        <v>1</v>
      </c>
      <c r="C1265" s="3" t="s">
        <v>527</v>
      </c>
      <c r="D1265" s="3" t="str">
        <f>VLOOKUP($C1265,[1]stockregister!$B$2:$B$2000,1,0)</f>
        <v>MARTINI BIANCO 750ML</v>
      </c>
      <c r="E1265" s="3" t="str">
        <f>IF(ISNA($D1265),VLOOKUP($A1265,[2]stockregister!$A$2:$B$2000,2,FALSE),"")</f>
        <v/>
      </c>
      <c r="F1265" s="3" t="s">
        <v>21</v>
      </c>
      <c r="G1265" s="3">
        <f>_xlfn.IFNA(VLOOKUP($A1265,[3]stockregister!$A$2:$L$2000,11,0),0)</f>
        <v>0</v>
      </c>
      <c r="H1265" s="3">
        <f>_xlfn.IFNA(VLOOKUP($A1265,[3]stockregister!$A$2:$L$2000,11,0),0)-$G1265</f>
        <v>0</v>
      </c>
      <c r="I1265" s="3">
        <f>_xlfn.IFNA(VLOOKUP($A1265,[3]stockregister!$A$2:$L$2000,12,0),0)</f>
        <v>1288</v>
      </c>
      <c r="J1265" s="3">
        <f>_xlfn.IFNA(VLOOKUP($A1265,[3]stockregister!$A$1:$M$2000,12,0),0)-$I1265</f>
        <v>0</v>
      </c>
      <c r="K1265" s="3" t="s">
        <v>22</v>
      </c>
      <c r="L1265" s="3" t="s">
        <v>23</v>
      </c>
      <c r="M1265" s="3">
        <f>_xlfn.IFNA(VLOOKUP($A1265,[2]stockregister!$A$2:$H$2000,8,0),0)</f>
        <v>1400</v>
      </c>
      <c r="N1265" s="3">
        <f>_xlfn.IFNA(VLOOKUP($A1265,[2]stockregister!$A$2:$H$2000,8,0),0)-$M1265</f>
        <v>0</v>
      </c>
      <c r="O1265" s="3" t="s">
        <v>2970</v>
      </c>
      <c r="P1265" s="3" t="s">
        <v>2970</v>
      </c>
      <c r="Q1265" s="3" t="s">
        <v>801</v>
      </c>
      <c r="R1265" s="3" t="s">
        <v>802</v>
      </c>
      <c r="S1265" s="3" t="s">
        <v>1818</v>
      </c>
    </row>
    <row r="1266" spans="1:18">
      <c r="A1266" s="3">
        <v>2595</v>
      </c>
      <c r="B1266" s="3" t="b">
        <f>ISNUMBER(MATCH(A1266,[1]stockregister!$A$2:$A$2000,0))</f>
        <v>1</v>
      </c>
      <c r="C1266" s="3" t="s">
        <v>2971</v>
      </c>
      <c r="D1266" s="3" t="str">
        <f>VLOOKUP($C1266,[1]stockregister!$B$2:$B$2000,1,0)</f>
        <v>BOTTEGA VERMOUTH 750ML</v>
      </c>
      <c r="E1266" s="3" t="str">
        <f>IF(ISNA($D1266),VLOOKUP($A1266,[2]stockregister!$A$2:$B$2000,2,FALSE),"")</f>
        <v/>
      </c>
      <c r="F1266" s="3" t="s">
        <v>21</v>
      </c>
      <c r="G1266" s="3">
        <f>_xlfn.IFNA(VLOOKUP($A1266,[3]stockregister!$A$2:$L$2000,11,0),0)</f>
        <v>0</v>
      </c>
      <c r="H1266" s="3">
        <f>_xlfn.IFNA(VLOOKUP($A1266,[3]stockregister!$A$2:$L$2000,11,0),0)-$G1266</f>
        <v>0</v>
      </c>
      <c r="I1266" s="3">
        <f>_xlfn.IFNA(VLOOKUP($A1266,[3]stockregister!$A$2:$L$2000,12,0),0)</f>
        <v>1500</v>
      </c>
      <c r="J1266" s="3">
        <f>_xlfn.IFNA(VLOOKUP($A1266,[3]stockregister!$A$1:$M$2000,12,0),0)-$I1266</f>
        <v>0</v>
      </c>
      <c r="K1266" s="3" t="s">
        <v>22</v>
      </c>
      <c r="L1266" s="3" t="s">
        <v>23</v>
      </c>
      <c r="M1266" s="3">
        <f>_xlfn.IFNA(VLOOKUP($A1266,[2]stockregister!$A$2:$H$2000,8,0),0)</f>
        <v>2000</v>
      </c>
      <c r="N1266" s="3">
        <f>_xlfn.IFNA(VLOOKUP($A1266,[2]stockregister!$A$2:$H$2000,8,0),0)-$M1266</f>
        <v>0</v>
      </c>
      <c r="O1266" s="3" t="s">
        <v>2972</v>
      </c>
      <c r="P1266" s="3" t="s">
        <v>2972</v>
      </c>
      <c r="Q1266" s="3" t="s">
        <v>2973</v>
      </c>
      <c r="R1266" s="3" t="s">
        <v>802</v>
      </c>
    </row>
    <row r="1267" spans="1:18">
      <c r="A1267" s="3">
        <v>2533</v>
      </c>
      <c r="B1267" s="3" t="b">
        <f>ISNUMBER(MATCH(A1267,[1]stockregister!$A$2:$A$2000,0))</f>
        <v>1</v>
      </c>
      <c r="C1267" s="3" t="s">
        <v>2974</v>
      </c>
      <c r="D1267" s="3" t="str">
        <f>VLOOKUP($C1267,[1]stockregister!$B$2:$B$2000,1,0)</f>
        <v>IRIS VERMOUTH BLANCO LITRE</v>
      </c>
      <c r="E1267" s="3" t="str">
        <f>IF(ISNA($D1267),VLOOKUP($A1267,[2]stockregister!$A$2:$B$2000,2,FALSE),"")</f>
        <v/>
      </c>
      <c r="F1267" s="3" t="s">
        <v>21</v>
      </c>
      <c r="G1267" s="3">
        <f>_xlfn.IFNA(VLOOKUP($A1267,[3]stockregister!$A$2:$L$2000,11,0),0)</f>
        <v>0</v>
      </c>
      <c r="H1267" s="3">
        <f>_xlfn.IFNA(VLOOKUP($A1267,[3]stockregister!$A$2:$L$2000,11,0),0)-$G1267</f>
        <v>0</v>
      </c>
      <c r="I1267" s="3">
        <f>_xlfn.IFNA(VLOOKUP($A1267,[3]stockregister!$A$2:$L$2000,12,0),0)</f>
        <v>1753</v>
      </c>
      <c r="J1267" s="3">
        <f>_xlfn.IFNA(VLOOKUP($A1267,[3]stockregister!$A$1:$M$2000,12,0),0)-$I1267</f>
        <v>0</v>
      </c>
      <c r="K1267" s="3" t="s">
        <v>22</v>
      </c>
      <c r="L1267" s="3" t="s">
        <v>23</v>
      </c>
      <c r="M1267" s="3">
        <f>_xlfn.IFNA(VLOOKUP($A1267,[2]stockregister!$A$2:$H$2000,8,0),0)</f>
        <v>1950</v>
      </c>
      <c r="N1267" s="3">
        <f>_xlfn.IFNA(VLOOKUP($A1267,[2]stockregister!$A$2:$H$2000,8,0),0)-$M1267</f>
        <v>0</v>
      </c>
      <c r="O1267" s="3" t="s">
        <v>2975</v>
      </c>
      <c r="P1267" s="3" t="s">
        <v>2975</v>
      </c>
      <c r="Q1267" s="3" t="s">
        <v>2976</v>
      </c>
      <c r="R1267" s="3" t="s">
        <v>802</v>
      </c>
    </row>
    <row r="1268" spans="1:18">
      <c r="A1268" s="3">
        <v>2534</v>
      </c>
      <c r="B1268" s="3" t="b">
        <f>ISNUMBER(MATCH(A1268,[1]stockregister!$A$2:$A$2000,0))</f>
        <v>1</v>
      </c>
      <c r="C1268" s="3" t="s">
        <v>2977</v>
      </c>
      <c r="D1268" s="3" t="str">
        <f>VLOOKUP($C1268,[1]stockregister!$B$2:$B$2000,1,0)</f>
        <v>IRIS VERMOUTH ROJO LITRE</v>
      </c>
      <c r="E1268" s="3" t="str">
        <f>IF(ISNA($D1268),VLOOKUP($A1268,[2]stockregister!$A$2:$B$2000,2,FALSE),"")</f>
        <v/>
      </c>
      <c r="F1268" s="3" t="s">
        <v>21</v>
      </c>
      <c r="G1268" s="3">
        <f>_xlfn.IFNA(VLOOKUP($A1268,[3]stockregister!$A$2:$L$2000,11,0),0)</f>
        <v>0</v>
      </c>
      <c r="H1268" s="3">
        <f>_xlfn.IFNA(VLOOKUP($A1268,[3]stockregister!$A$2:$L$2000,11,0),0)-$G1268</f>
        <v>0</v>
      </c>
      <c r="I1268" s="3">
        <f>_xlfn.IFNA(VLOOKUP($A1268,[3]stockregister!$A$2:$L$2000,12,0),0)</f>
        <v>1753</v>
      </c>
      <c r="J1268" s="3">
        <f>_xlfn.IFNA(VLOOKUP($A1268,[3]stockregister!$A$1:$M$2000,12,0),0)-$I1268</f>
        <v>0</v>
      </c>
      <c r="K1268" s="3" t="s">
        <v>22</v>
      </c>
      <c r="L1268" s="3" t="s">
        <v>23</v>
      </c>
      <c r="M1268" s="3">
        <f>_xlfn.IFNA(VLOOKUP($A1268,[2]stockregister!$A$2:$H$2000,8,0),0)</f>
        <v>1950</v>
      </c>
      <c r="N1268" s="3">
        <f>_xlfn.IFNA(VLOOKUP($A1268,[2]stockregister!$A$2:$H$2000,8,0),0)-$M1268</f>
        <v>0</v>
      </c>
      <c r="O1268" s="3" t="s">
        <v>2978</v>
      </c>
      <c r="P1268" s="3" t="s">
        <v>2978</v>
      </c>
      <c r="Q1268" s="3" t="s">
        <v>2976</v>
      </c>
      <c r="R1268" s="3" t="s">
        <v>802</v>
      </c>
    </row>
    <row r="1269" spans="1:19">
      <c r="A1269" s="3">
        <v>2310</v>
      </c>
      <c r="B1269" s="3" t="b">
        <f>ISNUMBER(MATCH(A1269,[1]stockregister!$A$2:$A$2000,0))</f>
        <v>1</v>
      </c>
      <c r="C1269" s="3" t="s">
        <v>2979</v>
      </c>
      <c r="D1269" s="3" t="str">
        <f>VLOOKUP($C1269,[1]stockregister!$B$2:$B$2000,1,0)</f>
        <v>NEON APPLE VODKA 750ML</v>
      </c>
      <c r="E1269" s="3" t="str">
        <f>IF(ISNA($D1269),VLOOKUP($A1269,[2]stockregister!$A$2:$B$2000,2,FALSE),"")</f>
        <v/>
      </c>
      <c r="F1269" s="3" t="s">
        <v>21</v>
      </c>
      <c r="G1269" s="3">
        <f>_xlfn.IFNA(VLOOKUP($A1269,[3]stockregister!$A$2:$L$2000,11,0),0)</f>
        <v>0</v>
      </c>
      <c r="H1269" s="3">
        <f>_xlfn.IFNA(VLOOKUP($A1269,[3]stockregister!$A$2:$L$2000,11,0),0)-$G1269</f>
        <v>0</v>
      </c>
      <c r="I1269" s="3">
        <f>_xlfn.IFNA(VLOOKUP($A1269,[3]stockregister!$A$2:$L$2000,12,0),0)</f>
        <v>550</v>
      </c>
      <c r="J1269" s="3">
        <f>_xlfn.IFNA(VLOOKUP($A1269,[3]stockregister!$A$1:$M$2000,12,0),0)-$I1269</f>
        <v>0</v>
      </c>
      <c r="K1269" s="3" t="s">
        <v>22</v>
      </c>
      <c r="L1269" s="3" t="s">
        <v>23</v>
      </c>
      <c r="M1269" s="3">
        <f>_xlfn.IFNA(VLOOKUP($A1269,[2]stockregister!$A$2:$H$2000,8,0),0)</f>
        <v>600</v>
      </c>
      <c r="N1269" s="3">
        <f>_xlfn.IFNA(VLOOKUP($A1269,[2]stockregister!$A$2:$H$2000,8,0),0)-$M1269</f>
        <v>0</v>
      </c>
      <c r="O1269" s="3" t="s">
        <v>2980</v>
      </c>
      <c r="P1269" s="3" t="s">
        <v>2980</v>
      </c>
      <c r="Q1269" s="3" t="s">
        <v>683</v>
      </c>
      <c r="R1269" s="3" t="s">
        <v>318</v>
      </c>
      <c r="S1269" s="3" t="s">
        <v>352</v>
      </c>
    </row>
    <row r="1270" spans="1:19">
      <c r="A1270" s="3">
        <v>729</v>
      </c>
      <c r="B1270" s="3" t="b">
        <f>ISNUMBER(MATCH(A1270,[1]stockregister!$A$2:$A$2000,0))</f>
        <v>1</v>
      </c>
      <c r="C1270" s="3" t="s">
        <v>2981</v>
      </c>
      <c r="D1270" s="3" t="str">
        <f>VLOOKUP($C1270,[1]stockregister!$B$2:$B$2000,1,0)</f>
        <v>FLIRT VODKA GREEN APPLE 1LTR</v>
      </c>
      <c r="E1270" s="3" t="str">
        <f>IF(ISNA($D1270),VLOOKUP($A1270,[2]stockregister!$A$2:$B$2000,2,FALSE),"")</f>
        <v/>
      </c>
      <c r="F1270" s="3" t="s">
        <v>21</v>
      </c>
      <c r="G1270" s="3">
        <f>_xlfn.IFNA(VLOOKUP($A1270,[3]stockregister!$A$2:$L$2000,11,0),0)</f>
        <v>0</v>
      </c>
      <c r="H1270" s="3">
        <f>_xlfn.IFNA(VLOOKUP($A1270,[3]stockregister!$A$2:$L$2000,11,0),0)-$G1270</f>
        <v>0</v>
      </c>
      <c r="I1270" s="3">
        <f>_xlfn.IFNA(VLOOKUP($A1270,[3]stockregister!$A$2:$L$2000,12,0),0)</f>
        <v>950</v>
      </c>
      <c r="J1270" s="3">
        <f>_xlfn.IFNA(VLOOKUP($A1270,[3]stockregister!$A$1:$M$2000,12,0),0)-$I1270</f>
        <v>0</v>
      </c>
      <c r="K1270" s="3" t="s">
        <v>22</v>
      </c>
      <c r="L1270" s="3" t="s">
        <v>23</v>
      </c>
      <c r="M1270" s="3">
        <f>_xlfn.IFNA(VLOOKUP($A1270,[2]stockregister!$A$2:$H$2000,8,0),0)</f>
        <v>1200</v>
      </c>
      <c r="N1270" s="3">
        <f>_xlfn.IFNA(VLOOKUP($A1270,[2]stockregister!$A$2:$H$2000,8,0),0)-$M1270</f>
        <v>0</v>
      </c>
      <c r="O1270" s="3" t="s">
        <v>2982</v>
      </c>
      <c r="P1270" s="3" t="s">
        <v>2982</v>
      </c>
      <c r="Q1270" s="3" t="s">
        <v>982</v>
      </c>
      <c r="R1270" s="3" t="s">
        <v>318</v>
      </c>
      <c r="S1270" s="3" t="s">
        <v>352</v>
      </c>
    </row>
    <row r="1271" spans="1:19">
      <c r="A1271" s="3">
        <v>479</v>
      </c>
      <c r="B1271" s="3" t="b">
        <f>ISNUMBER(MATCH(A1271,[1]stockregister!$A$2:$A$2000,0))</f>
        <v>1</v>
      </c>
      <c r="C1271" s="3" t="s">
        <v>2983</v>
      </c>
      <c r="D1271" s="3" t="str">
        <f>VLOOKUP($C1271,[1]stockregister!$B$2:$B$2000,1,0)</f>
        <v>CIROC APPLE 750ML</v>
      </c>
      <c r="E1271" s="3" t="str">
        <f>IF(ISNA($D1271),VLOOKUP($A1271,[2]stockregister!$A$2:$B$2000,2,FALSE),"")</f>
        <v/>
      </c>
      <c r="F1271" s="3" t="s">
        <v>21</v>
      </c>
      <c r="G1271" s="3">
        <f>_xlfn.IFNA(VLOOKUP($A1271,[3]stockregister!$A$2:$L$2000,11,0),0)</f>
        <v>0</v>
      </c>
      <c r="H1271" s="3">
        <f>_xlfn.IFNA(VLOOKUP($A1271,[3]stockregister!$A$2:$L$2000,11,0),0)-$G1271</f>
        <v>0</v>
      </c>
      <c r="I1271" s="3">
        <f>_xlfn.IFNA(VLOOKUP($A1271,[3]stockregister!$A$2:$L$2000,12,0),0)</f>
        <v>3160</v>
      </c>
      <c r="J1271" s="3">
        <f>_xlfn.IFNA(VLOOKUP($A1271,[3]stockregister!$A$1:$M$2000,12,0),0)-$I1271</f>
        <v>0</v>
      </c>
      <c r="K1271" s="3" t="s">
        <v>22</v>
      </c>
      <c r="L1271" s="3" t="s">
        <v>23</v>
      </c>
      <c r="M1271" s="3">
        <f>_xlfn.IFNA(VLOOKUP($A1271,[2]stockregister!$A$2:$H$2000,8,0),0)</f>
        <v>4400</v>
      </c>
      <c r="N1271" s="3">
        <f>_xlfn.IFNA(VLOOKUP($A1271,[2]stockregister!$A$2:$H$2000,8,0),0)-$M1271</f>
        <v>0</v>
      </c>
      <c r="O1271" s="3" t="s">
        <v>2984</v>
      </c>
      <c r="P1271" s="3" t="s">
        <v>2984</v>
      </c>
      <c r="Q1271" s="3" t="s">
        <v>655</v>
      </c>
      <c r="R1271" s="3" t="s">
        <v>318</v>
      </c>
      <c r="S1271" s="3" t="s">
        <v>352</v>
      </c>
    </row>
    <row r="1272" spans="1:19">
      <c r="A1272" s="3">
        <v>1190</v>
      </c>
      <c r="B1272" s="3" t="b">
        <f>ISNUMBER(MATCH(A1272,[1]stockregister!$A$2:$A$2000,0))</f>
        <v>1</v>
      </c>
      <c r="C1272" s="3" t="s">
        <v>2985</v>
      </c>
      <c r="D1272" s="3" t="str">
        <f>VLOOKUP($C1272,[1]stockregister!$B$2:$B$2000,1,0)</f>
        <v>KHOR BLACK &amp; GOLD VODKA 1LTR</v>
      </c>
      <c r="E1272" s="3" t="str">
        <f>IF(ISNA($D1272),VLOOKUP($A1272,[2]stockregister!$A$2:$B$2000,2,FALSE),"")</f>
        <v/>
      </c>
      <c r="F1272" s="3" t="s">
        <v>21</v>
      </c>
      <c r="G1272" s="3">
        <f>_xlfn.IFNA(VLOOKUP($A1272,[3]stockregister!$A$2:$L$2000,11,0),0)</f>
        <v>0</v>
      </c>
      <c r="H1272" s="3">
        <f>_xlfn.IFNA(VLOOKUP($A1272,[3]stockregister!$A$2:$L$2000,11,0),0)-$G1272</f>
        <v>0</v>
      </c>
      <c r="I1272" s="3">
        <f>_xlfn.IFNA(VLOOKUP($A1272,[3]stockregister!$A$2:$L$2000,12,0),0)</f>
        <v>2116</v>
      </c>
      <c r="J1272" s="3">
        <f>_xlfn.IFNA(VLOOKUP($A1272,[3]stockregister!$A$1:$M$2000,12,0),0)-$I1272</f>
        <v>0</v>
      </c>
      <c r="K1272" s="3" t="s">
        <v>22</v>
      </c>
      <c r="L1272" s="3" t="s">
        <v>23</v>
      </c>
      <c r="M1272" s="3">
        <f>_xlfn.IFNA(VLOOKUP($A1272,[2]stockregister!$A$2:$H$2000,8,0),0)</f>
        <v>2300</v>
      </c>
      <c r="N1272" s="3">
        <f>_xlfn.IFNA(VLOOKUP($A1272,[2]stockregister!$A$2:$H$2000,8,0),0)-$M1272</f>
        <v>0</v>
      </c>
      <c r="O1272" s="3" t="s">
        <v>2986</v>
      </c>
      <c r="P1272" s="3" t="s">
        <v>2986</v>
      </c>
      <c r="Q1272" s="3" t="s">
        <v>2987</v>
      </c>
      <c r="R1272" s="3" t="s">
        <v>318</v>
      </c>
      <c r="S1272" s="3" t="s">
        <v>385</v>
      </c>
    </row>
    <row r="1273" spans="1:19">
      <c r="A1273" s="3">
        <v>40</v>
      </c>
      <c r="B1273" s="3" t="b">
        <f>ISNUMBER(MATCH(A1273,[1]stockregister!$A$2:$A$2000,0))</f>
        <v>1</v>
      </c>
      <c r="C1273" s="3" t="s">
        <v>2988</v>
      </c>
      <c r="D1273" s="3" t="str">
        <f>VLOOKUP($C1273,[1]stockregister!$B$2:$B$2000,1,0)</f>
        <v>ABSOLUT BLUE VODKA 750ML</v>
      </c>
      <c r="E1273" s="3" t="str">
        <f>IF(ISNA($D1273),VLOOKUP($A1273,[2]stockregister!$A$2:$B$2000,2,FALSE),"")</f>
        <v/>
      </c>
      <c r="F1273" s="3" t="s">
        <v>21</v>
      </c>
      <c r="G1273" s="3">
        <f>_xlfn.IFNA(VLOOKUP($A1273,[3]stockregister!$A$2:$L$2000,11,0),0)</f>
        <v>0</v>
      </c>
      <c r="H1273" s="3">
        <f>_xlfn.IFNA(VLOOKUP($A1273,[3]stockregister!$A$2:$L$2000,11,0),0)-$G1273</f>
        <v>0</v>
      </c>
      <c r="I1273" s="3">
        <f>_xlfn.IFNA(VLOOKUP($A1273,[3]stockregister!$A$2:$L$2000,12,0),0)</f>
        <v>1600</v>
      </c>
      <c r="J1273" s="3">
        <f>_xlfn.IFNA(VLOOKUP($A1273,[3]stockregister!$A$1:$M$2000,12,0),0)-$I1273</f>
        <v>0</v>
      </c>
      <c r="K1273" s="3" t="s">
        <v>22</v>
      </c>
      <c r="L1273" s="3" t="s">
        <v>23</v>
      </c>
      <c r="M1273" s="3">
        <f>_xlfn.IFNA(VLOOKUP($A1273,[2]stockregister!$A$2:$H$2000,8,0),0)</f>
        <v>1800</v>
      </c>
      <c r="N1273" s="3">
        <f>_xlfn.IFNA(VLOOKUP($A1273,[2]stockregister!$A$2:$H$2000,8,0),0)-$M1273</f>
        <v>0</v>
      </c>
      <c r="O1273" s="3" t="s">
        <v>2989</v>
      </c>
      <c r="P1273" s="3" t="s">
        <v>2989</v>
      </c>
      <c r="Q1273" s="3" t="s">
        <v>358</v>
      </c>
      <c r="R1273" s="3" t="s">
        <v>318</v>
      </c>
      <c r="S1273" s="3" t="s">
        <v>359</v>
      </c>
    </row>
    <row r="1274" spans="1:19">
      <c r="A1274" s="3">
        <v>38</v>
      </c>
      <c r="B1274" s="3" t="b">
        <f>ISNUMBER(MATCH(A1274,[1]stockregister!$A$2:$A$2000,0))</f>
        <v>1</v>
      </c>
      <c r="C1274" s="3" t="s">
        <v>2990</v>
      </c>
      <c r="D1274" s="3" t="str">
        <f>VLOOKUP($C1274,[1]stockregister!$B$2:$B$2000,1,0)</f>
        <v>ABSOLUT BLUE VODKA 375ML</v>
      </c>
      <c r="E1274" s="3" t="str">
        <f>IF(ISNA($D1274),VLOOKUP($A1274,[2]stockregister!$A$2:$B$2000,2,FALSE),"")</f>
        <v/>
      </c>
      <c r="F1274" s="3" t="s">
        <v>21</v>
      </c>
      <c r="G1274" s="3">
        <f>_xlfn.IFNA(VLOOKUP($A1274,[3]stockregister!$A$2:$L$2000,11,0),0)</f>
        <v>0</v>
      </c>
      <c r="H1274" s="3">
        <f>_xlfn.IFNA(VLOOKUP($A1274,[3]stockregister!$A$2:$L$2000,11,0),0)-$G1274</f>
        <v>0</v>
      </c>
      <c r="I1274" s="3">
        <f>_xlfn.IFNA(VLOOKUP($A1274,[3]stockregister!$A$2:$L$2000,12,0),0)</f>
        <v>920</v>
      </c>
      <c r="J1274" s="3">
        <f>_xlfn.IFNA(VLOOKUP($A1274,[3]stockregister!$A$1:$M$2000,12,0),0)-$I1274</f>
        <v>0</v>
      </c>
      <c r="K1274" s="3" t="s">
        <v>22</v>
      </c>
      <c r="L1274" s="3" t="s">
        <v>23</v>
      </c>
      <c r="M1274" s="3">
        <f>_xlfn.IFNA(VLOOKUP($A1274,[2]stockregister!$A$2:$H$2000,8,0),0)</f>
        <v>1000</v>
      </c>
      <c r="N1274" s="3">
        <f>_xlfn.IFNA(VLOOKUP($A1274,[2]stockregister!$A$2:$H$2000,8,0),0)-$M1274</f>
        <v>0</v>
      </c>
      <c r="O1274" s="3" t="s">
        <v>2991</v>
      </c>
      <c r="P1274" s="3" t="s">
        <v>2991</v>
      </c>
      <c r="Q1274" s="3" t="s">
        <v>358</v>
      </c>
      <c r="R1274" s="3" t="s">
        <v>318</v>
      </c>
      <c r="S1274" s="3" t="s">
        <v>359</v>
      </c>
    </row>
    <row r="1275" spans="1:19">
      <c r="A1275" s="3">
        <v>1823</v>
      </c>
      <c r="B1275" s="3" t="b">
        <f>ISNUMBER(MATCH(A1275,[1]stockregister!$A$2:$A$2000,0))</f>
        <v>1</v>
      </c>
      <c r="C1275" s="3" t="s">
        <v>2992</v>
      </c>
      <c r="D1275" s="3" t="str">
        <f>VLOOKUP($C1275,[1]stockregister!$B$2:$B$2000,1,0)</f>
        <v>SMIRNOFF - BLUE 750ML</v>
      </c>
      <c r="E1275" s="3" t="str">
        <f>IF(ISNA($D1275),VLOOKUP($A1275,[2]stockregister!$A$2:$B$2000,2,FALSE),"")</f>
        <v/>
      </c>
      <c r="F1275" s="3" t="s">
        <v>21</v>
      </c>
      <c r="G1275" s="3">
        <f>_xlfn.IFNA(VLOOKUP($A1275,[3]stockregister!$A$2:$L$2000,11,0),0)</f>
        <v>0</v>
      </c>
      <c r="H1275" s="3">
        <f>_xlfn.IFNA(VLOOKUP($A1275,[3]stockregister!$A$2:$L$2000,11,0),0)-$G1275</f>
        <v>0</v>
      </c>
      <c r="I1275" s="3">
        <f>_xlfn.IFNA(VLOOKUP($A1275,[3]stockregister!$A$2:$L$2000,12,0),0)</f>
        <v>1380</v>
      </c>
      <c r="J1275" s="3">
        <f>_xlfn.IFNA(VLOOKUP($A1275,[3]stockregister!$A$1:$M$2000,12,0),0)-$I1275</f>
        <v>0</v>
      </c>
      <c r="K1275" s="3" t="s">
        <v>22</v>
      </c>
      <c r="L1275" s="3" t="s">
        <v>23</v>
      </c>
      <c r="M1275" s="3">
        <f>_xlfn.IFNA(VLOOKUP($A1275,[2]stockregister!$A$2:$H$2000,8,0),0)</f>
        <v>1500</v>
      </c>
      <c r="N1275" s="3">
        <f>_xlfn.IFNA(VLOOKUP($A1275,[2]stockregister!$A$2:$H$2000,8,0),0)-$M1275</f>
        <v>0</v>
      </c>
      <c r="O1275" s="3" t="s">
        <v>2993</v>
      </c>
      <c r="P1275" s="3" t="s">
        <v>2993</v>
      </c>
      <c r="Q1275" s="3" t="s">
        <v>189</v>
      </c>
      <c r="R1275" s="3" t="s">
        <v>318</v>
      </c>
      <c r="S1275" s="3" t="s">
        <v>359</v>
      </c>
    </row>
    <row r="1276" spans="1:19">
      <c r="A1276" s="3">
        <v>727</v>
      </c>
      <c r="B1276" s="3" t="b">
        <f>ISNUMBER(MATCH(A1276,[1]stockregister!$A$2:$A$2000,0))</f>
        <v>1</v>
      </c>
      <c r="C1276" s="3" t="s">
        <v>2994</v>
      </c>
      <c r="D1276" s="3" t="str">
        <f>VLOOKUP($C1276,[1]stockregister!$B$2:$B$2000,1,0)</f>
        <v>FLIRT VODKA CHOCOLATE 1LTR</v>
      </c>
      <c r="E1276" s="3" t="str">
        <f>IF(ISNA($D1276),VLOOKUP($A1276,[2]stockregister!$A$2:$B$2000,2,FALSE),"")</f>
        <v/>
      </c>
      <c r="F1276" s="3" t="s">
        <v>21</v>
      </c>
      <c r="G1276" s="3">
        <f>_xlfn.IFNA(VLOOKUP($A1276,[3]stockregister!$A$2:$L$2000,11,0),0)</f>
        <v>0</v>
      </c>
      <c r="H1276" s="3">
        <f>_xlfn.IFNA(VLOOKUP($A1276,[3]stockregister!$A$2:$L$2000,11,0),0)-$G1276</f>
        <v>0</v>
      </c>
      <c r="I1276" s="3">
        <f>_xlfn.IFNA(VLOOKUP($A1276,[3]stockregister!$A$2:$L$2000,12,0),0)</f>
        <v>1150</v>
      </c>
      <c r="J1276" s="3">
        <f>_xlfn.IFNA(VLOOKUP($A1276,[3]stockregister!$A$1:$M$2000,12,0),0)-$I1276</f>
        <v>0</v>
      </c>
      <c r="K1276" s="3" t="s">
        <v>22</v>
      </c>
      <c r="L1276" s="3" t="s">
        <v>23</v>
      </c>
      <c r="M1276" s="3">
        <f>_xlfn.IFNA(VLOOKUP($A1276,[2]stockregister!$A$2:$H$2000,8,0),0)</f>
        <v>1200</v>
      </c>
      <c r="N1276" s="3">
        <f>_xlfn.IFNA(VLOOKUP($A1276,[2]stockregister!$A$2:$H$2000,8,0),0)-$M1276</f>
        <v>0</v>
      </c>
      <c r="O1276" s="3" t="s">
        <v>2995</v>
      </c>
      <c r="P1276" s="3" t="s">
        <v>2995</v>
      </c>
      <c r="Q1276" s="3" t="s">
        <v>982</v>
      </c>
      <c r="R1276" s="3" t="s">
        <v>318</v>
      </c>
      <c r="S1276" s="3" t="s">
        <v>322</v>
      </c>
    </row>
    <row r="1277" spans="1:19">
      <c r="A1277" s="3">
        <v>2581</v>
      </c>
      <c r="B1277" s="3" t="b">
        <f>ISNUMBER(MATCH(A1277,[1]stockregister!$A$2:$A$2000,0))</f>
        <v>1</v>
      </c>
      <c r="C1277" s="3" t="s">
        <v>2996</v>
      </c>
      <c r="D1277" s="3" t="str">
        <f>VLOOKUP($C1277,[1]stockregister!$B$2:$B$2000,1,0)</f>
        <v>FLIRT VODKA CHOCOLATE 700ML</v>
      </c>
      <c r="E1277" s="3" t="str">
        <f>IF(ISNA($D1277),VLOOKUP($A1277,[2]stockregister!$A$2:$B$2000,2,FALSE),"")</f>
        <v/>
      </c>
      <c r="F1277" s="3" t="s">
        <v>21</v>
      </c>
      <c r="G1277" s="3">
        <f>_xlfn.IFNA(VLOOKUP($A1277,[3]stockregister!$A$2:$L$2000,11,0),0)</f>
        <v>0</v>
      </c>
      <c r="H1277" s="3">
        <f>_xlfn.IFNA(VLOOKUP($A1277,[3]stockregister!$A$2:$L$2000,11,0),0)-$G1277</f>
        <v>0</v>
      </c>
      <c r="I1277" s="3">
        <f>_xlfn.IFNA(VLOOKUP($A1277,[3]stockregister!$A$2:$L$2000,12,0),0)</f>
        <v>750</v>
      </c>
      <c r="J1277" s="3">
        <f>_xlfn.IFNA(VLOOKUP($A1277,[3]stockregister!$A$1:$M$2000,12,0),0)-$I1277</f>
        <v>0</v>
      </c>
      <c r="K1277" s="3" t="s">
        <v>22</v>
      </c>
      <c r="L1277" s="3" t="s">
        <v>23</v>
      </c>
      <c r="M1277" s="3">
        <f>_xlfn.IFNA(VLOOKUP($A1277,[2]stockregister!$A$2:$H$2000,8,0),0)</f>
        <v>900</v>
      </c>
      <c r="N1277" s="3">
        <f>_xlfn.IFNA(VLOOKUP($A1277,[2]stockregister!$A$2:$H$2000,8,0),0)-$M1277</f>
        <v>0</v>
      </c>
      <c r="O1277" s="3" t="s">
        <v>2997</v>
      </c>
      <c r="P1277" s="3" t="s">
        <v>2997</v>
      </c>
      <c r="Q1277" s="3" t="s">
        <v>1168</v>
      </c>
      <c r="R1277" s="3" t="s">
        <v>318</v>
      </c>
      <c r="S1277" s="3" t="s">
        <v>322</v>
      </c>
    </row>
    <row r="1278" spans="1:19">
      <c r="A1278" s="3">
        <v>2567</v>
      </c>
      <c r="B1278" s="3" t="b">
        <f>ISNUMBER(MATCH(A1278,[1]stockregister!$A$2:$A$2000,0))</f>
        <v>1</v>
      </c>
      <c r="C1278" s="3" t="s">
        <v>529</v>
      </c>
      <c r="D1278" s="3" t="str">
        <f>VLOOKUP($C1278,[1]stockregister!$B$2:$B$2000,1,0)</f>
        <v>PETROVSKAIA CHOCOLATE VODKA LITRE</v>
      </c>
      <c r="E1278" s="3" t="str">
        <f>IF(ISNA($D1278),VLOOKUP($A1278,[2]stockregister!$A$2:$B$2000,2,FALSE),"")</f>
        <v/>
      </c>
      <c r="F1278" s="3" t="s">
        <v>21</v>
      </c>
      <c r="G1278" s="3">
        <f>_xlfn.IFNA(VLOOKUP($A1278,[3]stockregister!$A$2:$L$2000,11,0),0)</f>
        <v>0</v>
      </c>
      <c r="H1278" s="3">
        <f>_xlfn.IFNA(VLOOKUP($A1278,[3]stockregister!$A$2:$L$2000,11,0),0)-$G1278</f>
        <v>0</v>
      </c>
      <c r="I1278" s="3">
        <f>_xlfn.IFNA(VLOOKUP($A1278,[3]stockregister!$A$2:$L$2000,12,0),0)</f>
        <v>900</v>
      </c>
      <c r="J1278" s="3">
        <f>_xlfn.IFNA(VLOOKUP($A1278,[3]stockregister!$A$1:$M$2000,12,0),0)-$I1278</f>
        <v>0</v>
      </c>
      <c r="K1278" s="3" t="s">
        <v>22</v>
      </c>
      <c r="L1278" s="3" t="s">
        <v>23</v>
      </c>
      <c r="M1278" s="3">
        <f>_xlfn.IFNA(VLOOKUP($A1278,[2]stockregister!$A$2:$H$2000,8,0),0)</f>
        <v>1100</v>
      </c>
      <c r="N1278" s="3">
        <f>_xlfn.IFNA(VLOOKUP($A1278,[2]stockregister!$A$2:$H$2000,8,0),0)-$M1278</f>
        <v>0</v>
      </c>
      <c r="O1278" s="3" t="s">
        <v>2998</v>
      </c>
      <c r="P1278" s="3" t="s">
        <v>2998</v>
      </c>
      <c r="Q1278" s="3" t="s">
        <v>2999</v>
      </c>
      <c r="R1278" s="3" t="s">
        <v>318</v>
      </c>
      <c r="S1278" s="3" t="s">
        <v>322</v>
      </c>
    </row>
    <row r="1279" spans="1:19">
      <c r="A1279" s="3">
        <v>1525</v>
      </c>
      <c r="B1279" s="3" t="b">
        <f>ISNUMBER(MATCH(A1279,[1]stockregister!$A$2:$A$2000,0))</f>
        <v>1</v>
      </c>
      <c r="C1279" s="3" t="s">
        <v>3000</v>
      </c>
      <c r="D1279" s="3" t="str">
        <f>VLOOKUP($C1279,[1]stockregister!$B$2:$B$2000,1,0)</f>
        <v>NEW AMSTERDAM CITRON 750ML</v>
      </c>
      <c r="E1279" s="3" t="str">
        <f>IF(ISNA($D1279),VLOOKUP($A1279,[2]stockregister!$A$2:$B$2000,2,FALSE),"")</f>
        <v/>
      </c>
      <c r="F1279" s="3" t="s">
        <v>21</v>
      </c>
      <c r="G1279" s="3">
        <f>_xlfn.IFNA(VLOOKUP($A1279,[3]stockregister!$A$2:$L$2000,11,0),0)</f>
        <v>0</v>
      </c>
      <c r="H1279" s="3">
        <f>_xlfn.IFNA(VLOOKUP($A1279,[3]stockregister!$A$2:$L$2000,11,0),0)-$G1279</f>
        <v>0</v>
      </c>
      <c r="I1279" s="3">
        <f>_xlfn.IFNA(VLOOKUP($A1279,[3]stockregister!$A$2:$L$2000,12,0),0)</f>
        <v>782</v>
      </c>
      <c r="J1279" s="3">
        <f>_xlfn.IFNA(VLOOKUP($A1279,[3]stockregister!$A$1:$M$2000,12,0),0)-$I1279</f>
        <v>0</v>
      </c>
      <c r="K1279" s="3" t="s">
        <v>22</v>
      </c>
      <c r="L1279" s="3" t="s">
        <v>23</v>
      </c>
      <c r="M1279" s="3">
        <f>_xlfn.IFNA(VLOOKUP($A1279,[2]stockregister!$A$2:$H$2000,8,0),0)</f>
        <v>850</v>
      </c>
      <c r="N1279" s="3">
        <f>_xlfn.IFNA(VLOOKUP($A1279,[2]stockregister!$A$2:$H$2000,8,0),0)-$M1279</f>
        <v>0</v>
      </c>
      <c r="O1279" s="3" t="s">
        <v>3001</v>
      </c>
      <c r="P1279" s="3" t="s">
        <v>3001</v>
      </c>
      <c r="Q1279" s="3" t="s">
        <v>2633</v>
      </c>
      <c r="R1279" s="3" t="s">
        <v>318</v>
      </c>
      <c r="S1279" s="3" t="s">
        <v>1507</v>
      </c>
    </row>
    <row r="1280" spans="1:19">
      <c r="A1280" s="3">
        <v>1814</v>
      </c>
      <c r="B1280" s="3" t="b">
        <f>ISNUMBER(MATCH(A1280,[1]stockregister!$A$2:$A$2000,0))</f>
        <v>1</v>
      </c>
      <c r="C1280" s="3" t="s">
        <v>3002</v>
      </c>
      <c r="D1280" s="3" t="str">
        <f>VLOOKUP($C1280,[1]stockregister!$B$2:$B$2000,1,0)</f>
        <v>SKYY INFUSION CITRUS VODKA 700ML</v>
      </c>
      <c r="E1280" s="3" t="str">
        <f>IF(ISNA($D1280),VLOOKUP($A1280,[2]stockregister!$A$2:$B$2000,2,FALSE),"")</f>
        <v/>
      </c>
      <c r="F1280" s="3" t="s">
        <v>21</v>
      </c>
      <c r="G1280" s="3">
        <f>_xlfn.IFNA(VLOOKUP($A1280,[3]stockregister!$A$2:$L$2000,11,0),0)</f>
        <v>0</v>
      </c>
      <c r="H1280" s="3">
        <f>_xlfn.IFNA(VLOOKUP($A1280,[3]stockregister!$A$2:$L$2000,11,0),0)-$G1280</f>
        <v>0</v>
      </c>
      <c r="I1280" s="3">
        <f>_xlfn.IFNA(VLOOKUP($A1280,[3]stockregister!$A$2:$L$2000,12,0),0)</f>
        <v>1104</v>
      </c>
      <c r="J1280" s="3">
        <f>_xlfn.IFNA(VLOOKUP($A1280,[3]stockregister!$A$1:$M$2000,12,0),0)-$I1280</f>
        <v>0</v>
      </c>
      <c r="K1280" s="3" t="s">
        <v>22</v>
      </c>
      <c r="L1280" s="3" t="s">
        <v>23</v>
      </c>
      <c r="M1280" s="3">
        <f>_xlfn.IFNA(VLOOKUP($A1280,[2]stockregister!$A$2:$H$2000,8,0),0)</f>
        <v>1200</v>
      </c>
      <c r="N1280" s="3">
        <f>_xlfn.IFNA(VLOOKUP($A1280,[2]stockregister!$A$2:$H$2000,8,0),0)-$M1280</f>
        <v>0</v>
      </c>
      <c r="O1280" s="3" t="s">
        <v>3003</v>
      </c>
      <c r="P1280" s="3" t="s">
        <v>3003</v>
      </c>
      <c r="Q1280" s="3" t="s">
        <v>3004</v>
      </c>
      <c r="R1280" s="3" t="s">
        <v>318</v>
      </c>
      <c r="S1280" s="3" t="s">
        <v>3005</v>
      </c>
    </row>
    <row r="1281" spans="1:19">
      <c r="A1281" s="3">
        <v>1887</v>
      </c>
      <c r="B1281" s="3" t="b">
        <f>ISNUMBER(MATCH(A1281,[1]stockregister!$A$2:$A$2000,0))</f>
        <v>1</v>
      </c>
      <c r="C1281" s="3" t="s">
        <v>3006</v>
      </c>
      <c r="D1281" s="3" t="str">
        <f>VLOOKUP($C1281,[1]stockregister!$B$2:$B$2000,1,0)</f>
        <v>STOLICHNAYA CITRUS 750ML</v>
      </c>
      <c r="E1281" s="3" t="str">
        <f>IF(ISNA($D1281),VLOOKUP($A1281,[2]stockregister!$A$2:$B$2000,2,FALSE),"")</f>
        <v/>
      </c>
      <c r="F1281" s="3" t="s">
        <v>21</v>
      </c>
      <c r="G1281" s="3">
        <f>_xlfn.IFNA(VLOOKUP($A1281,[3]stockregister!$A$2:$L$2000,11,0),0)</f>
        <v>0</v>
      </c>
      <c r="H1281" s="3">
        <f>_xlfn.IFNA(VLOOKUP($A1281,[3]stockregister!$A$2:$L$2000,11,0),0)-$G1281</f>
        <v>0</v>
      </c>
      <c r="I1281" s="3">
        <f>_xlfn.IFNA(VLOOKUP($A1281,[3]stockregister!$A$2:$L$2000,12,0),0)</f>
        <v>920</v>
      </c>
      <c r="J1281" s="3">
        <f>_xlfn.IFNA(VLOOKUP($A1281,[3]stockregister!$A$1:$M$2000,12,0),0)-$I1281</f>
        <v>0</v>
      </c>
      <c r="K1281" s="3" t="s">
        <v>22</v>
      </c>
      <c r="L1281" s="3" t="s">
        <v>23</v>
      </c>
      <c r="M1281" s="3">
        <f>_xlfn.IFNA(VLOOKUP($A1281,[2]stockregister!$A$2:$H$2000,8,0),0)</f>
        <v>1000</v>
      </c>
      <c r="N1281" s="3">
        <f>_xlfn.IFNA(VLOOKUP($A1281,[2]stockregister!$A$2:$H$2000,8,0),0)-$M1281</f>
        <v>0</v>
      </c>
      <c r="O1281" s="3" t="s">
        <v>3007</v>
      </c>
      <c r="P1281" s="3" t="s">
        <v>3007</v>
      </c>
      <c r="Q1281" s="3" t="s">
        <v>1855</v>
      </c>
      <c r="R1281" s="3" t="s">
        <v>318</v>
      </c>
      <c r="S1281" s="3" t="s">
        <v>3005</v>
      </c>
    </row>
    <row r="1282" spans="1:19">
      <c r="A1282" s="3">
        <v>1526</v>
      </c>
      <c r="B1282" s="3" t="b">
        <f>ISNUMBER(MATCH(A1282,[1]stockregister!$A$2:$A$2000,0))</f>
        <v>1</v>
      </c>
      <c r="C1282" s="3" t="s">
        <v>3008</v>
      </c>
      <c r="D1282" s="3" t="str">
        <f>VLOOKUP($C1282,[1]stockregister!$B$2:$B$2000,1,0)</f>
        <v>NEW AMSTERDAM COCONUT 750ML</v>
      </c>
      <c r="E1282" s="3" t="str">
        <f>IF(ISNA($D1282),VLOOKUP($A1282,[2]stockregister!$A$2:$B$2000,2,FALSE),"")</f>
        <v/>
      </c>
      <c r="F1282" s="3" t="s">
        <v>21</v>
      </c>
      <c r="G1282" s="3">
        <f>_xlfn.IFNA(VLOOKUP($A1282,[3]stockregister!$A$2:$L$2000,11,0),0)</f>
        <v>0</v>
      </c>
      <c r="H1282" s="3">
        <f>_xlfn.IFNA(VLOOKUP($A1282,[3]stockregister!$A$2:$L$2000,11,0),0)-$G1282</f>
        <v>0</v>
      </c>
      <c r="I1282" s="3">
        <f>_xlfn.IFNA(VLOOKUP($A1282,[3]stockregister!$A$2:$L$2000,12,0),0)</f>
        <v>782</v>
      </c>
      <c r="J1282" s="3">
        <f>_xlfn.IFNA(VLOOKUP($A1282,[3]stockregister!$A$1:$M$2000,12,0),0)-$I1282</f>
        <v>0</v>
      </c>
      <c r="K1282" s="3" t="s">
        <v>22</v>
      </c>
      <c r="L1282" s="3" t="s">
        <v>23</v>
      </c>
      <c r="M1282" s="3">
        <f>_xlfn.IFNA(VLOOKUP($A1282,[2]stockregister!$A$2:$H$2000,8,0),0)</f>
        <v>850</v>
      </c>
      <c r="N1282" s="3">
        <f>_xlfn.IFNA(VLOOKUP($A1282,[2]stockregister!$A$2:$H$2000,8,0),0)-$M1282</f>
        <v>0</v>
      </c>
      <c r="O1282" s="3" t="s">
        <v>3009</v>
      </c>
      <c r="P1282" s="3" t="s">
        <v>3009</v>
      </c>
      <c r="Q1282" s="3" t="s">
        <v>2633</v>
      </c>
      <c r="R1282" s="3" t="s">
        <v>318</v>
      </c>
      <c r="S1282" s="3" t="s">
        <v>2846</v>
      </c>
    </row>
    <row r="1283" spans="1:19">
      <c r="A1283" s="3">
        <v>1888</v>
      </c>
      <c r="B1283" s="3" t="b">
        <f>ISNUMBER(MATCH(A1283,[1]stockregister!$A$2:$A$2000,0))</f>
        <v>1</v>
      </c>
      <c r="C1283" s="3" t="s">
        <v>3010</v>
      </c>
      <c r="D1283" s="3" t="str">
        <f>VLOOKUP($C1283,[1]stockregister!$B$2:$B$2000,1,0)</f>
        <v>STOLICHNAYA JALAPENO 750ML</v>
      </c>
      <c r="E1283" s="3" t="str">
        <f>IF(ISNA($D1283),VLOOKUP($A1283,[2]stockregister!$A$2:$B$2000,2,FALSE),"")</f>
        <v/>
      </c>
      <c r="F1283" s="3" t="s">
        <v>21</v>
      </c>
      <c r="G1283" s="3">
        <f>_xlfn.IFNA(VLOOKUP($A1283,[3]stockregister!$A$2:$L$2000,11,0),0)</f>
        <v>0</v>
      </c>
      <c r="H1283" s="3">
        <f>_xlfn.IFNA(VLOOKUP($A1283,[3]stockregister!$A$2:$L$2000,11,0),0)-$G1283</f>
        <v>0</v>
      </c>
      <c r="I1283" s="3">
        <f>_xlfn.IFNA(VLOOKUP($A1283,[3]stockregister!$A$2:$L$2000,12,0),0)</f>
        <v>920</v>
      </c>
      <c r="J1283" s="3">
        <f>_xlfn.IFNA(VLOOKUP($A1283,[3]stockregister!$A$1:$M$2000,12,0),0)-$I1283</f>
        <v>0</v>
      </c>
      <c r="K1283" s="3" t="s">
        <v>22</v>
      </c>
      <c r="L1283" s="3" t="s">
        <v>23</v>
      </c>
      <c r="M1283" s="3">
        <f>_xlfn.IFNA(VLOOKUP($A1283,[2]stockregister!$A$2:$H$2000,8,0),0)</f>
        <v>1000</v>
      </c>
      <c r="N1283" s="3">
        <f>_xlfn.IFNA(VLOOKUP($A1283,[2]stockregister!$A$2:$H$2000,8,0),0)-$M1283</f>
        <v>0</v>
      </c>
      <c r="O1283" s="3" t="s">
        <v>3011</v>
      </c>
      <c r="P1283" s="3" t="s">
        <v>3011</v>
      </c>
      <c r="Q1283" s="3" t="s">
        <v>1855</v>
      </c>
      <c r="R1283" s="3" t="s">
        <v>318</v>
      </c>
      <c r="S1283" s="3" t="s">
        <v>3012</v>
      </c>
    </row>
    <row r="1284" spans="1:19">
      <c r="A1284" s="3">
        <v>46</v>
      </c>
      <c r="B1284" s="3" t="b">
        <f>ISNUMBER(MATCH(A1284,[1]stockregister!$A$2:$A$2000,0))</f>
        <v>1</v>
      </c>
      <c r="C1284" s="3" t="s">
        <v>3013</v>
      </c>
      <c r="D1284" s="3" t="str">
        <f>VLOOKUP($C1284,[1]stockregister!$B$2:$B$2000,1,0)</f>
        <v>ABSOLUT KURRANT VODKA 750ML</v>
      </c>
      <c r="E1284" s="3" t="str">
        <f>IF(ISNA($D1284),VLOOKUP($A1284,[2]stockregister!$A$2:$B$2000,2,FALSE),"")</f>
        <v/>
      </c>
      <c r="F1284" s="3" t="s">
        <v>21</v>
      </c>
      <c r="G1284" s="3">
        <f>_xlfn.IFNA(VLOOKUP($A1284,[3]stockregister!$A$2:$L$2000,11,0),0)</f>
        <v>0</v>
      </c>
      <c r="H1284" s="3">
        <f>_xlfn.IFNA(VLOOKUP($A1284,[3]stockregister!$A$2:$L$2000,11,0),0)-$G1284</f>
        <v>0</v>
      </c>
      <c r="I1284" s="3">
        <f>_xlfn.IFNA(VLOOKUP($A1284,[3]stockregister!$A$2:$L$2000,12,0),0)</f>
        <v>1656</v>
      </c>
      <c r="J1284" s="3">
        <f>_xlfn.IFNA(VLOOKUP($A1284,[3]stockregister!$A$1:$M$2000,12,0),0)-$I1284</f>
        <v>0</v>
      </c>
      <c r="K1284" s="3" t="s">
        <v>22</v>
      </c>
      <c r="L1284" s="3" t="s">
        <v>23</v>
      </c>
      <c r="M1284" s="3">
        <f>_xlfn.IFNA(VLOOKUP($A1284,[2]stockregister!$A$2:$H$2000,8,0),0)</f>
        <v>1800</v>
      </c>
      <c r="N1284" s="3">
        <f>_xlfn.IFNA(VLOOKUP($A1284,[2]stockregister!$A$2:$H$2000,8,0),0)-$M1284</f>
        <v>0</v>
      </c>
      <c r="O1284" s="3" t="s">
        <v>3014</v>
      </c>
      <c r="P1284" s="3" t="s">
        <v>3014</v>
      </c>
      <c r="Q1284" s="3" t="s">
        <v>358</v>
      </c>
      <c r="R1284" s="3" t="s">
        <v>318</v>
      </c>
      <c r="S1284" s="3" t="s">
        <v>3015</v>
      </c>
    </row>
    <row r="1285" spans="1:19">
      <c r="A1285" s="3">
        <v>731</v>
      </c>
      <c r="B1285" s="3" t="b">
        <f>ISNUMBER(MATCH(A1285,[1]stockregister!$A$2:$A$2000,0))</f>
        <v>1</v>
      </c>
      <c r="C1285" s="3" t="s">
        <v>532</v>
      </c>
      <c r="D1285" s="3" t="str">
        <f>VLOOKUP($C1285,[1]stockregister!$B$2:$B$2000,1,0)</f>
        <v>FLIRT VODKA LEMON  1LTR</v>
      </c>
      <c r="E1285" s="3" t="str">
        <f>IF(ISNA($D1285),VLOOKUP($A1285,[2]stockregister!$A$2:$B$2000,2,FALSE),"")</f>
        <v/>
      </c>
      <c r="F1285" s="3" t="s">
        <v>21</v>
      </c>
      <c r="G1285" s="3">
        <f>_xlfn.IFNA(VLOOKUP($A1285,[3]stockregister!$A$2:$L$2000,11,0),0)</f>
        <v>0</v>
      </c>
      <c r="H1285" s="3">
        <f>_xlfn.IFNA(VLOOKUP($A1285,[3]stockregister!$A$2:$L$2000,11,0),0)-$G1285</f>
        <v>0</v>
      </c>
      <c r="I1285" s="3">
        <f>_xlfn.IFNA(VLOOKUP($A1285,[3]stockregister!$A$2:$L$2000,12,0),0)</f>
        <v>1150</v>
      </c>
      <c r="J1285" s="3">
        <f>_xlfn.IFNA(VLOOKUP($A1285,[3]stockregister!$A$1:$M$2000,12,0),0)-$I1285</f>
        <v>0</v>
      </c>
      <c r="K1285" s="3" t="s">
        <v>22</v>
      </c>
      <c r="L1285" s="3" t="s">
        <v>23</v>
      </c>
      <c r="M1285" s="3">
        <f>_xlfn.IFNA(VLOOKUP($A1285,[2]stockregister!$A$2:$H$2000,8,0),0)</f>
        <v>1200</v>
      </c>
      <c r="N1285" s="3">
        <f>_xlfn.IFNA(VLOOKUP($A1285,[2]stockregister!$A$2:$H$2000,8,0),0)-$M1285</f>
        <v>0</v>
      </c>
      <c r="O1285" s="3" t="s">
        <v>3016</v>
      </c>
      <c r="P1285" s="3" t="s">
        <v>3016</v>
      </c>
      <c r="Q1285" s="3" t="s">
        <v>982</v>
      </c>
      <c r="R1285" s="3" t="s">
        <v>318</v>
      </c>
      <c r="S1285" s="3" t="s">
        <v>393</v>
      </c>
    </row>
    <row r="1286" spans="1:19">
      <c r="A1286" s="3">
        <v>1828</v>
      </c>
      <c r="B1286" s="3" t="b">
        <f>ISNUMBER(MATCH(A1286,[1]stockregister!$A$2:$A$2000,0))</f>
        <v>1</v>
      </c>
      <c r="C1286" s="3" t="s">
        <v>3017</v>
      </c>
      <c r="D1286" s="3" t="str">
        <f>VLOOKUP($C1286,[1]stockregister!$B$2:$B$2000,1,0)</f>
        <v>SMIRNOFF - LIME 1LT</v>
      </c>
      <c r="E1286" s="3" t="str">
        <f>IF(ISNA($D1286),VLOOKUP($A1286,[2]stockregister!$A$2:$B$2000,2,FALSE),"")</f>
        <v/>
      </c>
      <c r="F1286" s="3" t="s">
        <v>21</v>
      </c>
      <c r="G1286" s="3">
        <f>_xlfn.IFNA(VLOOKUP($A1286,[3]stockregister!$A$2:$L$2000,11,0),0)</f>
        <v>0</v>
      </c>
      <c r="H1286" s="3">
        <f>_xlfn.IFNA(VLOOKUP($A1286,[3]stockregister!$A$2:$L$2000,11,0),0)-$G1286</f>
        <v>0</v>
      </c>
      <c r="I1286" s="3">
        <f>_xlfn.IFNA(VLOOKUP($A1286,[3]stockregister!$A$2:$L$2000,12,0),0)</f>
        <v>1533.64</v>
      </c>
      <c r="J1286" s="3">
        <f>_xlfn.IFNA(VLOOKUP($A1286,[3]stockregister!$A$1:$M$2000,12,0),0)-$I1286</f>
        <v>0</v>
      </c>
      <c r="K1286" s="3" t="s">
        <v>22</v>
      </c>
      <c r="L1286" s="3" t="s">
        <v>23</v>
      </c>
      <c r="M1286" s="3">
        <f>_xlfn.IFNA(VLOOKUP($A1286,[2]stockregister!$A$2:$H$2000,8,0),0)</f>
        <v>1667</v>
      </c>
      <c r="N1286" s="3">
        <f>_xlfn.IFNA(VLOOKUP($A1286,[2]stockregister!$A$2:$H$2000,8,0),0)-$M1286</f>
        <v>0</v>
      </c>
      <c r="O1286" s="3" t="s">
        <v>3018</v>
      </c>
      <c r="P1286" s="3" t="s">
        <v>3018</v>
      </c>
      <c r="Q1286" s="3" t="s">
        <v>189</v>
      </c>
      <c r="R1286" s="3" t="s">
        <v>318</v>
      </c>
      <c r="S1286" s="3" t="s">
        <v>441</v>
      </c>
    </row>
    <row r="1287" spans="1:19">
      <c r="A1287" s="3">
        <v>47</v>
      </c>
      <c r="B1287" s="3" t="b">
        <f>ISNUMBER(MATCH(A1287,[1]stockregister!$A$2:$A$2000,0))</f>
        <v>1</v>
      </c>
      <c r="C1287" s="3" t="s">
        <v>3019</v>
      </c>
      <c r="D1287" s="3" t="str">
        <f>VLOOKUP($C1287,[1]stockregister!$B$2:$B$2000,1,0)</f>
        <v>ABSOLUT MANDARIN VODKA 750ML</v>
      </c>
      <c r="E1287" s="3" t="str">
        <f>IF(ISNA($D1287),VLOOKUP($A1287,[2]stockregister!$A$2:$B$2000,2,FALSE),"")</f>
        <v/>
      </c>
      <c r="F1287" s="3" t="s">
        <v>21</v>
      </c>
      <c r="G1287" s="3">
        <f>_xlfn.IFNA(VLOOKUP($A1287,[3]stockregister!$A$2:$L$2000,11,0),0)</f>
        <v>0</v>
      </c>
      <c r="H1287" s="3">
        <f>_xlfn.IFNA(VLOOKUP($A1287,[3]stockregister!$A$2:$L$2000,11,0),0)-$G1287</f>
        <v>0</v>
      </c>
      <c r="I1287" s="3">
        <f>_xlfn.IFNA(VLOOKUP($A1287,[3]stockregister!$A$2:$L$2000,12,0),0)</f>
        <v>1656</v>
      </c>
      <c r="J1287" s="3">
        <f>_xlfn.IFNA(VLOOKUP($A1287,[3]stockregister!$A$1:$M$2000,12,0),0)-$I1287</f>
        <v>0</v>
      </c>
      <c r="K1287" s="3" t="s">
        <v>22</v>
      </c>
      <c r="L1287" s="3" t="s">
        <v>23</v>
      </c>
      <c r="M1287" s="3">
        <f>_xlfn.IFNA(VLOOKUP($A1287,[2]stockregister!$A$2:$H$2000,8,0),0)</f>
        <v>1800</v>
      </c>
      <c r="N1287" s="3">
        <f>_xlfn.IFNA(VLOOKUP($A1287,[2]stockregister!$A$2:$H$2000,8,0),0)-$M1287</f>
        <v>0</v>
      </c>
      <c r="O1287" s="3" t="s">
        <v>3020</v>
      </c>
      <c r="P1287" s="3" t="s">
        <v>3020</v>
      </c>
      <c r="Q1287" s="3" t="s">
        <v>358</v>
      </c>
      <c r="R1287" s="3" t="s">
        <v>318</v>
      </c>
      <c r="S1287" s="3" t="s">
        <v>3021</v>
      </c>
    </row>
    <row r="1288" spans="1:19">
      <c r="A1288" s="3">
        <v>1527</v>
      </c>
      <c r="B1288" s="3" t="b">
        <f>ISNUMBER(MATCH(A1288,[1]stockregister!$A$2:$A$2000,0))</f>
        <v>1</v>
      </c>
      <c r="C1288" s="3" t="s">
        <v>3022</v>
      </c>
      <c r="D1288" s="3" t="str">
        <f>VLOOKUP($C1288,[1]stockregister!$B$2:$B$2000,1,0)</f>
        <v>NEW AMSTERDAM MANGO 750ML</v>
      </c>
      <c r="E1288" s="3" t="str">
        <f>IF(ISNA($D1288),VLOOKUP($A1288,[2]stockregister!$A$2:$B$2000,2,FALSE),"")</f>
        <v/>
      </c>
      <c r="F1288" s="3" t="s">
        <v>21</v>
      </c>
      <c r="G1288" s="3">
        <f>_xlfn.IFNA(VLOOKUP($A1288,[3]stockregister!$A$2:$L$2000,11,0),0)</f>
        <v>0</v>
      </c>
      <c r="H1288" s="3">
        <f>_xlfn.IFNA(VLOOKUP($A1288,[3]stockregister!$A$2:$L$2000,11,0),0)-$G1288</f>
        <v>0</v>
      </c>
      <c r="I1288" s="3">
        <f>_xlfn.IFNA(VLOOKUP($A1288,[3]stockregister!$A$2:$L$2000,12,0),0)</f>
        <v>782</v>
      </c>
      <c r="J1288" s="3">
        <f>_xlfn.IFNA(VLOOKUP($A1288,[3]stockregister!$A$1:$M$2000,12,0),0)-$I1288</f>
        <v>0</v>
      </c>
      <c r="K1288" s="3" t="s">
        <v>22</v>
      </c>
      <c r="L1288" s="3" t="s">
        <v>23</v>
      </c>
      <c r="M1288" s="3">
        <f>_xlfn.IFNA(VLOOKUP($A1288,[2]stockregister!$A$2:$H$2000,8,0),0)</f>
        <v>850</v>
      </c>
      <c r="N1288" s="3">
        <f>_xlfn.IFNA(VLOOKUP($A1288,[2]stockregister!$A$2:$H$2000,8,0),0)-$M1288</f>
        <v>0</v>
      </c>
      <c r="O1288" s="3" t="s">
        <v>3023</v>
      </c>
      <c r="P1288" s="3" t="s">
        <v>3023</v>
      </c>
      <c r="Q1288" s="3" t="s">
        <v>2633</v>
      </c>
      <c r="R1288" s="3" t="s">
        <v>318</v>
      </c>
      <c r="S1288" s="3" t="s">
        <v>601</v>
      </c>
    </row>
    <row r="1289" spans="1:19">
      <c r="A1289" s="3">
        <v>923</v>
      </c>
      <c r="B1289" s="3" t="b">
        <f>ISNUMBER(MATCH(A1289,[1]stockregister!$A$2:$A$2000,0))</f>
        <v>1</v>
      </c>
      <c r="C1289" s="3" t="s">
        <v>3024</v>
      </c>
      <c r="D1289" s="3" t="str">
        <f>VLOOKUP($C1289,[1]stockregister!$B$2:$B$2000,1,0)</f>
        <v>GREY GOOSE ORANGE VODKA 750ML</v>
      </c>
      <c r="E1289" s="3" t="str">
        <f>IF(ISNA($D1289),VLOOKUP($A1289,[2]stockregister!$A$2:$B$2000,2,FALSE),"")</f>
        <v/>
      </c>
      <c r="F1289" s="3" t="s">
        <v>21</v>
      </c>
      <c r="G1289" s="3">
        <f>_xlfn.IFNA(VLOOKUP($A1289,[3]stockregister!$A$2:$L$2000,11,0),0)</f>
        <v>0</v>
      </c>
      <c r="H1289" s="3">
        <f>_xlfn.IFNA(VLOOKUP($A1289,[3]stockregister!$A$2:$L$2000,11,0),0)-$G1289</f>
        <v>0</v>
      </c>
      <c r="I1289" s="3">
        <f>_xlfn.IFNA(VLOOKUP($A1289,[3]stockregister!$A$2:$L$2000,12,0),0)</f>
        <v>3496</v>
      </c>
      <c r="J1289" s="3">
        <f>_xlfn.IFNA(VLOOKUP($A1289,[3]stockregister!$A$1:$M$2000,12,0),0)-$I1289</f>
        <v>0</v>
      </c>
      <c r="K1289" s="3" t="s">
        <v>22</v>
      </c>
      <c r="L1289" s="3" t="s">
        <v>23</v>
      </c>
      <c r="M1289" s="3">
        <f>_xlfn.IFNA(VLOOKUP($A1289,[2]stockregister!$A$2:$H$2000,8,0),0)</f>
        <v>3800</v>
      </c>
      <c r="N1289" s="3">
        <f>_xlfn.IFNA(VLOOKUP($A1289,[2]stockregister!$A$2:$H$2000,8,0),0)-$M1289</f>
        <v>0</v>
      </c>
      <c r="O1289" s="3" t="s">
        <v>3025</v>
      </c>
      <c r="P1289" s="3" t="s">
        <v>3025</v>
      </c>
      <c r="Q1289" s="3" t="s">
        <v>563</v>
      </c>
      <c r="R1289" s="3" t="s">
        <v>318</v>
      </c>
      <c r="S1289" s="3" t="s">
        <v>720</v>
      </c>
    </row>
    <row r="1290" spans="1:19">
      <c r="A1290" s="3">
        <v>732</v>
      </c>
      <c r="B1290" s="3" t="b">
        <f>ISNUMBER(MATCH(A1290,[1]stockregister!$A$2:$A$2000,0))</f>
        <v>1</v>
      </c>
      <c r="C1290" s="3" t="s">
        <v>535</v>
      </c>
      <c r="D1290" s="3" t="str">
        <f>VLOOKUP($C1290,[1]stockregister!$B$2:$B$2000,1,0)</f>
        <v>FLIRT VODKA ORANGE  1LTR</v>
      </c>
      <c r="E1290" s="3" t="str">
        <f>IF(ISNA($D1290),VLOOKUP($A1290,[2]stockregister!$A$2:$B$2000,2,FALSE),"")</f>
        <v/>
      </c>
      <c r="F1290" s="3" t="s">
        <v>21</v>
      </c>
      <c r="G1290" s="3">
        <f>_xlfn.IFNA(VLOOKUP($A1290,[3]stockregister!$A$2:$L$2000,11,0),0)</f>
        <v>0</v>
      </c>
      <c r="H1290" s="3">
        <f>_xlfn.IFNA(VLOOKUP($A1290,[3]stockregister!$A$2:$L$2000,11,0),0)-$G1290</f>
        <v>0</v>
      </c>
      <c r="I1290" s="3">
        <f>_xlfn.IFNA(VLOOKUP($A1290,[3]stockregister!$A$2:$L$2000,12,0),0)</f>
        <v>1150</v>
      </c>
      <c r="J1290" s="3">
        <f>_xlfn.IFNA(VLOOKUP($A1290,[3]stockregister!$A$1:$M$2000,12,0),0)-$I1290</f>
        <v>0</v>
      </c>
      <c r="K1290" s="3" t="s">
        <v>22</v>
      </c>
      <c r="L1290" s="3" t="s">
        <v>23</v>
      </c>
      <c r="M1290" s="3">
        <f>_xlfn.IFNA(VLOOKUP($A1290,[2]stockregister!$A$2:$H$2000,8,0),0)</f>
        <v>1200</v>
      </c>
      <c r="N1290" s="3">
        <f>_xlfn.IFNA(VLOOKUP($A1290,[2]stockregister!$A$2:$H$2000,8,0),0)-$M1290</f>
        <v>0</v>
      </c>
      <c r="O1290" s="3" t="s">
        <v>3026</v>
      </c>
      <c r="P1290" s="3" t="s">
        <v>3026</v>
      </c>
      <c r="Q1290" s="3" t="s">
        <v>982</v>
      </c>
      <c r="R1290" s="3" t="s">
        <v>318</v>
      </c>
      <c r="S1290" s="3" t="s">
        <v>720</v>
      </c>
    </row>
    <row r="1291" spans="1:19">
      <c r="A1291" s="3">
        <v>733</v>
      </c>
      <c r="B1291" s="3" t="b">
        <f>ISNUMBER(MATCH(A1291,[1]stockregister!$A$2:$A$2000,0))</f>
        <v>1</v>
      </c>
      <c r="C1291" s="3" t="s">
        <v>3027</v>
      </c>
      <c r="D1291" s="3" t="str">
        <f>VLOOKUP($C1291,[1]stockregister!$B$2:$B$2000,1,0)</f>
        <v>FLIRT VODKA ORANGE 750ML</v>
      </c>
      <c r="E1291" s="3" t="str">
        <f>IF(ISNA($D1291),VLOOKUP($A1291,[2]stockregister!$A$2:$B$2000,2,FALSE),"")</f>
        <v/>
      </c>
      <c r="F1291" s="3" t="s">
        <v>21</v>
      </c>
      <c r="G1291" s="3">
        <f>_xlfn.IFNA(VLOOKUP($A1291,[3]stockregister!$A$2:$L$2000,11,0),0)</f>
        <v>0</v>
      </c>
      <c r="H1291" s="3">
        <f>_xlfn.IFNA(VLOOKUP($A1291,[3]stockregister!$A$2:$L$2000,11,0),0)-$G1291</f>
        <v>0</v>
      </c>
      <c r="I1291" s="3">
        <f>_xlfn.IFNA(VLOOKUP($A1291,[3]stockregister!$A$2:$L$2000,12,0),0)</f>
        <v>782</v>
      </c>
      <c r="J1291" s="3">
        <f>_xlfn.IFNA(VLOOKUP($A1291,[3]stockregister!$A$1:$M$2000,12,0),0)-$I1291</f>
        <v>0</v>
      </c>
      <c r="K1291" s="3" t="s">
        <v>22</v>
      </c>
      <c r="L1291" s="3" t="s">
        <v>23</v>
      </c>
      <c r="M1291" s="3">
        <f>_xlfn.IFNA(VLOOKUP($A1291,[2]stockregister!$A$2:$H$2000,8,0),0)</f>
        <v>850</v>
      </c>
      <c r="N1291" s="3">
        <f>_xlfn.IFNA(VLOOKUP($A1291,[2]stockregister!$A$2:$H$2000,8,0),0)-$M1291</f>
        <v>0</v>
      </c>
      <c r="O1291" s="3" t="s">
        <v>3028</v>
      </c>
      <c r="P1291" s="3" t="s">
        <v>3028</v>
      </c>
      <c r="Q1291" s="3" t="s">
        <v>982</v>
      </c>
      <c r="R1291" s="3" t="s">
        <v>318</v>
      </c>
      <c r="S1291" s="3" t="s">
        <v>720</v>
      </c>
    </row>
    <row r="1292" spans="1:19">
      <c r="A1292" s="3">
        <v>1889</v>
      </c>
      <c r="B1292" s="3" t="b">
        <f>ISNUMBER(MATCH(A1292,[1]stockregister!$A$2:$A$2000,0))</f>
        <v>1</v>
      </c>
      <c r="C1292" s="3" t="s">
        <v>3029</v>
      </c>
      <c r="D1292" s="3" t="str">
        <f>VLOOKUP($C1292,[1]stockregister!$B$2:$B$2000,1,0)</f>
        <v>STOLICHNAYA ORANGE 750ML</v>
      </c>
      <c r="E1292" s="3" t="str">
        <f>IF(ISNA($D1292),VLOOKUP($A1292,[2]stockregister!$A$2:$B$2000,2,FALSE),"")</f>
        <v/>
      </c>
      <c r="F1292" s="3" t="s">
        <v>21</v>
      </c>
      <c r="G1292" s="3">
        <f>_xlfn.IFNA(VLOOKUP($A1292,[3]stockregister!$A$2:$L$2000,11,0),0)</f>
        <v>0</v>
      </c>
      <c r="H1292" s="3">
        <f>_xlfn.IFNA(VLOOKUP($A1292,[3]stockregister!$A$2:$L$2000,11,0),0)-$G1292</f>
        <v>0</v>
      </c>
      <c r="I1292" s="3">
        <f>_xlfn.IFNA(VLOOKUP($A1292,[3]stockregister!$A$2:$L$2000,12,0),0)</f>
        <v>920</v>
      </c>
      <c r="J1292" s="3">
        <f>_xlfn.IFNA(VLOOKUP($A1292,[3]stockregister!$A$1:$M$2000,12,0),0)-$I1292</f>
        <v>0</v>
      </c>
      <c r="K1292" s="3" t="s">
        <v>22</v>
      </c>
      <c r="L1292" s="3" t="s">
        <v>23</v>
      </c>
      <c r="M1292" s="3">
        <f>_xlfn.IFNA(VLOOKUP($A1292,[2]stockregister!$A$2:$H$2000,8,0),0)</f>
        <v>1000</v>
      </c>
      <c r="N1292" s="3">
        <f>_xlfn.IFNA(VLOOKUP($A1292,[2]stockregister!$A$2:$H$2000,8,0),0)-$M1292</f>
        <v>0</v>
      </c>
      <c r="O1292" s="3" t="s">
        <v>3030</v>
      </c>
      <c r="P1292" s="3" t="s">
        <v>3030</v>
      </c>
      <c r="Q1292" s="3" t="s">
        <v>1855</v>
      </c>
      <c r="R1292" s="3" t="s">
        <v>318</v>
      </c>
      <c r="S1292" s="3" t="s">
        <v>720</v>
      </c>
    </row>
    <row r="1293" spans="1:19">
      <c r="A1293" s="3">
        <v>2427</v>
      </c>
      <c r="B1293" s="3" t="b">
        <f>ISNUMBER(MATCH(A1293,[1]stockregister!$A$2:$A$2000,0))</f>
        <v>1</v>
      </c>
      <c r="C1293" s="3" t="s">
        <v>3031</v>
      </c>
      <c r="D1293" s="3" t="str">
        <f>VLOOKUP($C1293,[1]stockregister!$B$2:$B$2000,1,0)</f>
        <v>KENYA CANE PINEAPPLE 250ML</v>
      </c>
      <c r="E1293" s="3" t="str">
        <f>IF(ISNA($D1293),VLOOKUP($A1293,[2]stockregister!$A$2:$B$2000,2,FALSE),"")</f>
        <v/>
      </c>
      <c r="F1293" s="3" t="s">
        <v>21</v>
      </c>
      <c r="G1293" s="3">
        <f>_xlfn.IFNA(VLOOKUP($A1293,[3]stockregister!$A$2:$L$2000,11,0),0)</f>
        <v>2080</v>
      </c>
      <c r="H1293" s="3">
        <f>_xlfn.IFNA(VLOOKUP($A1293,[3]stockregister!$A$2:$L$2000,11,0),0)-$G1293</f>
        <v>0</v>
      </c>
      <c r="I1293" s="3">
        <f>_xlfn.IFNA(VLOOKUP($A1293,[3]stockregister!$A$2:$L$2000,12,0),0)</f>
        <v>251.88</v>
      </c>
      <c r="J1293" s="3">
        <f>_xlfn.IFNA(VLOOKUP($A1293,[3]stockregister!$A$1:$M$2000,12,0),0)-$I1293</f>
        <v>0</v>
      </c>
      <c r="K1293" s="3" t="s">
        <v>22</v>
      </c>
      <c r="L1293" s="3" t="s">
        <v>23</v>
      </c>
      <c r="M1293" s="3">
        <f>_xlfn.IFNA(VLOOKUP($A1293,[2]stockregister!$A$2:$H$2000,8,0),0)</f>
        <v>256</v>
      </c>
      <c r="N1293" s="3">
        <f>_xlfn.IFNA(VLOOKUP($A1293,[2]stockregister!$A$2:$H$2000,8,0),0)-$M1293</f>
        <v>0</v>
      </c>
      <c r="O1293" s="3" t="s">
        <v>3032</v>
      </c>
      <c r="P1293" s="3" t="s">
        <v>3032</v>
      </c>
      <c r="Q1293" s="3" t="s">
        <v>497</v>
      </c>
      <c r="R1293" s="3" t="s">
        <v>318</v>
      </c>
      <c r="S1293" s="3" t="s">
        <v>684</v>
      </c>
    </row>
    <row r="1294" spans="1:19">
      <c r="A1294" s="3">
        <v>1529</v>
      </c>
      <c r="B1294" s="3" t="b">
        <f>ISNUMBER(MATCH(A1294,[1]stockregister!$A$2:$A$2000,0))</f>
        <v>1</v>
      </c>
      <c r="C1294" s="3" t="s">
        <v>3033</v>
      </c>
      <c r="D1294" s="3" t="str">
        <f>VLOOKUP($C1294,[1]stockregister!$B$2:$B$2000,1,0)</f>
        <v>NEW AMSTERDAM PINEAPPLE 750ML</v>
      </c>
      <c r="E1294" s="3" t="str">
        <f>IF(ISNA($D1294),VLOOKUP($A1294,[2]stockregister!$A$2:$B$2000,2,FALSE),"")</f>
        <v/>
      </c>
      <c r="F1294" s="3" t="s">
        <v>21</v>
      </c>
      <c r="G1294" s="3">
        <f>_xlfn.IFNA(VLOOKUP($A1294,[3]stockregister!$A$2:$L$2000,11,0),0)</f>
        <v>0</v>
      </c>
      <c r="H1294" s="3">
        <f>_xlfn.IFNA(VLOOKUP($A1294,[3]stockregister!$A$2:$L$2000,11,0),0)-$G1294</f>
        <v>0</v>
      </c>
      <c r="I1294" s="3">
        <f>_xlfn.IFNA(VLOOKUP($A1294,[3]stockregister!$A$2:$L$2000,12,0),0)</f>
        <v>782</v>
      </c>
      <c r="J1294" s="3">
        <f>_xlfn.IFNA(VLOOKUP($A1294,[3]stockregister!$A$1:$M$2000,12,0),0)-$I1294</f>
        <v>0</v>
      </c>
      <c r="K1294" s="3" t="s">
        <v>22</v>
      </c>
      <c r="L1294" s="3" t="s">
        <v>23</v>
      </c>
      <c r="M1294" s="3">
        <f>_xlfn.IFNA(VLOOKUP($A1294,[2]stockregister!$A$2:$H$2000,8,0),0)</f>
        <v>850</v>
      </c>
      <c r="N1294" s="3">
        <f>_xlfn.IFNA(VLOOKUP($A1294,[2]stockregister!$A$2:$H$2000,8,0),0)-$M1294</f>
        <v>0</v>
      </c>
      <c r="O1294" s="3" t="s">
        <v>3034</v>
      </c>
      <c r="P1294" s="3" t="s">
        <v>3034</v>
      </c>
      <c r="Q1294" s="3" t="s">
        <v>2633</v>
      </c>
      <c r="R1294" s="3" t="s">
        <v>318</v>
      </c>
      <c r="S1294" s="3" t="s">
        <v>58</v>
      </c>
    </row>
    <row r="1295" spans="1:19">
      <c r="A1295" s="3">
        <v>483</v>
      </c>
      <c r="B1295" s="3" t="b">
        <f>ISNUMBER(MATCH(A1295,[1]stockregister!$A$2:$A$2000,0))</f>
        <v>1</v>
      </c>
      <c r="C1295" s="3" t="s">
        <v>3035</v>
      </c>
      <c r="D1295" s="3" t="str">
        <f>VLOOKUP($C1295,[1]stockregister!$B$2:$B$2000,1,0)</f>
        <v>CIROC PINEAPPLE VODKA 750ML</v>
      </c>
      <c r="E1295" s="3" t="str">
        <f>IF(ISNA($D1295),VLOOKUP($A1295,[2]stockregister!$A$2:$B$2000,2,FALSE),"")</f>
        <v/>
      </c>
      <c r="F1295" s="3" t="s">
        <v>21</v>
      </c>
      <c r="G1295" s="3">
        <f>_xlfn.IFNA(VLOOKUP($A1295,[3]stockregister!$A$2:$L$2000,11,0),0)</f>
        <v>0</v>
      </c>
      <c r="H1295" s="3">
        <f>_xlfn.IFNA(VLOOKUP($A1295,[3]stockregister!$A$2:$L$2000,11,0),0)-$G1295</f>
        <v>0</v>
      </c>
      <c r="I1295" s="3">
        <f>_xlfn.IFNA(VLOOKUP($A1295,[3]stockregister!$A$2:$L$2000,12,0),0)</f>
        <v>4048</v>
      </c>
      <c r="J1295" s="3">
        <f>_xlfn.IFNA(VLOOKUP($A1295,[3]stockregister!$A$1:$M$2000,12,0),0)-$I1295</f>
        <v>0</v>
      </c>
      <c r="K1295" s="3" t="s">
        <v>22</v>
      </c>
      <c r="L1295" s="3" t="s">
        <v>23</v>
      </c>
      <c r="M1295" s="3">
        <f>_xlfn.IFNA(VLOOKUP($A1295,[2]stockregister!$A$2:$H$2000,8,0),0)</f>
        <v>4400</v>
      </c>
      <c r="N1295" s="3">
        <f>_xlfn.IFNA(VLOOKUP($A1295,[2]stockregister!$A$2:$H$2000,8,0),0)-$M1295</f>
        <v>0</v>
      </c>
      <c r="O1295" s="3" t="s">
        <v>3036</v>
      </c>
      <c r="P1295" s="3" t="s">
        <v>3036</v>
      </c>
      <c r="Q1295" s="3" t="s">
        <v>588</v>
      </c>
      <c r="R1295" s="3" t="s">
        <v>318</v>
      </c>
      <c r="S1295" s="3" t="s">
        <v>684</v>
      </c>
    </row>
    <row r="1296" spans="1:19">
      <c r="A1296" s="3">
        <v>57</v>
      </c>
      <c r="B1296" s="3" t="b">
        <f>ISNUMBER(MATCH(A1296,[1]stockregister!$A$2:$A$2000,0))</f>
        <v>1</v>
      </c>
      <c r="C1296" s="3" t="s">
        <v>3037</v>
      </c>
      <c r="D1296" s="3" t="str">
        <f>VLOOKUP($C1296,[1]stockregister!$B$2:$B$2000,1,0)</f>
        <v>ABSOLUTE RASPBERRY 1LTR</v>
      </c>
      <c r="E1296" s="3" t="str">
        <f>IF(ISNA($D1296),VLOOKUP($A1296,[2]stockregister!$A$2:$B$2000,2,FALSE),"")</f>
        <v/>
      </c>
      <c r="F1296" s="3" t="s">
        <v>21</v>
      </c>
      <c r="G1296" s="3">
        <f>_xlfn.IFNA(VLOOKUP($A1296,[3]stockregister!$A$2:$L$2000,11,0),0)</f>
        <v>0</v>
      </c>
      <c r="H1296" s="3">
        <f>_xlfn.IFNA(VLOOKUP($A1296,[3]stockregister!$A$2:$L$2000,11,0),0)-$G1296</f>
        <v>0</v>
      </c>
      <c r="I1296" s="3">
        <f>_xlfn.IFNA(VLOOKUP($A1296,[3]stockregister!$A$2:$L$2000,12,0),0)</f>
        <v>1830</v>
      </c>
      <c r="J1296" s="3">
        <f>_xlfn.IFNA(VLOOKUP($A1296,[3]stockregister!$A$1:$M$2000,12,0),0)-$I1296</f>
        <v>0</v>
      </c>
      <c r="K1296" s="3" t="s">
        <v>22</v>
      </c>
      <c r="L1296" s="3" t="s">
        <v>23</v>
      </c>
      <c r="M1296" s="3">
        <f>_xlfn.IFNA(VLOOKUP($A1296,[2]stockregister!$A$2:$H$2000,8,0),0)</f>
        <v>2200</v>
      </c>
      <c r="N1296" s="3">
        <f>_xlfn.IFNA(VLOOKUP($A1296,[2]stockregister!$A$2:$H$2000,8,0),0)-$M1296</f>
        <v>0</v>
      </c>
      <c r="O1296" s="3" t="s">
        <v>3038</v>
      </c>
      <c r="P1296" s="3" t="s">
        <v>3038</v>
      </c>
      <c r="Q1296" s="3" t="s">
        <v>447</v>
      </c>
      <c r="R1296" s="3" t="s">
        <v>318</v>
      </c>
      <c r="S1296" s="3" t="s">
        <v>61</v>
      </c>
    </row>
    <row r="1297" spans="1:19">
      <c r="A1297" s="3">
        <v>1890</v>
      </c>
      <c r="B1297" s="3" t="b">
        <f>ISNUMBER(MATCH(A1297,[1]stockregister!$A$2:$A$2000,0))</f>
        <v>1</v>
      </c>
      <c r="C1297" s="3" t="s">
        <v>3039</v>
      </c>
      <c r="D1297" s="3" t="str">
        <f>VLOOKUP($C1297,[1]stockregister!$B$2:$B$2000,1,0)</f>
        <v>STOLICHNAYA RASBERRY 750ML</v>
      </c>
      <c r="E1297" s="3" t="str">
        <f>IF(ISNA($D1297),VLOOKUP($A1297,[2]stockregister!$A$2:$B$2000,2,FALSE),"")</f>
        <v/>
      </c>
      <c r="F1297" s="3" t="s">
        <v>21</v>
      </c>
      <c r="G1297" s="3">
        <f>_xlfn.IFNA(VLOOKUP($A1297,[3]stockregister!$A$2:$L$2000,11,0),0)</f>
        <v>0</v>
      </c>
      <c r="H1297" s="3">
        <f>_xlfn.IFNA(VLOOKUP($A1297,[3]stockregister!$A$2:$L$2000,11,0),0)-$G1297</f>
        <v>0</v>
      </c>
      <c r="I1297" s="3">
        <f>_xlfn.IFNA(VLOOKUP($A1297,[3]stockregister!$A$2:$L$2000,12,0),0)</f>
        <v>920</v>
      </c>
      <c r="J1297" s="3">
        <f>_xlfn.IFNA(VLOOKUP($A1297,[3]stockregister!$A$1:$M$2000,12,0),0)-$I1297</f>
        <v>0</v>
      </c>
      <c r="K1297" s="3" t="s">
        <v>22</v>
      </c>
      <c r="L1297" s="3" t="s">
        <v>23</v>
      </c>
      <c r="M1297" s="3">
        <f>_xlfn.IFNA(VLOOKUP($A1297,[2]stockregister!$A$2:$H$2000,8,0),0)</f>
        <v>1000</v>
      </c>
      <c r="N1297" s="3">
        <f>_xlfn.IFNA(VLOOKUP($A1297,[2]stockregister!$A$2:$H$2000,8,0),0)-$M1297</f>
        <v>0</v>
      </c>
      <c r="O1297" s="3" t="s">
        <v>3040</v>
      </c>
      <c r="P1297" s="3" t="s">
        <v>3040</v>
      </c>
      <c r="Q1297" s="3" t="s">
        <v>1855</v>
      </c>
      <c r="R1297" s="3" t="s">
        <v>318</v>
      </c>
      <c r="S1297" s="3" t="s">
        <v>2656</v>
      </c>
    </row>
    <row r="1298" spans="1:19">
      <c r="A1298" s="3">
        <v>722</v>
      </c>
      <c r="B1298" s="3" t="b">
        <f>ISNUMBER(MATCH(A1298,[1]stockregister!$A$2:$A$2000,0))</f>
        <v>1</v>
      </c>
      <c r="C1298" s="3" t="s">
        <v>3041</v>
      </c>
      <c r="D1298" s="3" t="str">
        <f>VLOOKUP($C1298,[1]stockregister!$B$2:$B$2000,1,0)</f>
        <v>FLIRT BLACK SILVER VODKA 1LTR</v>
      </c>
      <c r="E1298" s="3" t="str">
        <f>IF(ISNA($D1298),VLOOKUP($A1298,[2]stockregister!$A$2:$B$2000,2,FALSE),"")</f>
        <v/>
      </c>
      <c r="F1298" s="3" t="s">
        <v>21</v>
      </c>
      <c r="G1298" s="3">
        <f>_xlfn.IFNA(VLOOKUP($A1298,[3]stockregister!$A$2:$L$2000,11,0),0)</f>
        <v>0</v>
      </c>
      <c r="H1298" s="3">
        <f>_xlfn.IFNA(VLOOKUP($A1298,[3]stockregister!$A$2:$L$2000,11,0),0)-$G1298</f>
        <v>0</v>
      </c>
      <c r="I1298" s="3">
        <f>_xlfn.IFNA(VLOOKUP($A1298,[3]stockregister!$A$2:$L$2000,12,0),0)</f>
        <v>1104</v>
      </c>
      <c r="J1298" s="3">
        <f>_xlfn.IFNA(VLOOKUP($A1298,[3]stockregister!$A$1:$M$2000,12,0),0)-$I1298</f>
        <v>0</v>
      </c>
      <c r="K1298" s="3" t="s">
        <v>22</v>
      </c>
      <c r="L1298" s="3" t="s">
        <v>23</v>
      </c>
      <c r="M1298" s="3">
        <f>_xlfn.IFNA(VLOOKUP($A1298,[2]stockregister!$A$2:$H$2000,8,0),0)</f>
        <v>1200</v>
      </c>
      <c r="N1298" s="3">
        <f>_xlfn.IFNA(VLOOKUP($A1298,[2]stockregister!$A$2:$H$2000,8,0),0)-$M1298</f>
        <v>0</v>
      </c>
      <c r="O1298" s="3" t="s">
        <v>3042</v>
      </c>
      <c r="P1298" s="3" t="s">
        <v>3042</v>
      </c>
      <c r="Q1298" s="3" t="s">
        <v>982</v>
      </c>
      <c r="R1298" s="3" t="s">
        <v>318</v>
      </c>
      <c r="S1298" s="3" t="s">
        <v>85</v>
      </c>
    </row>
    <row r="1299" spans="1:19">
      <c r="A1299" s="3">
        <v>726</v>
      </c>
      <c r="B1299" s="3" t="b">
        <f>ISNUMBER(MATCH(A1299,[1]stockregister!$A$2:$A$2000,0))</f>
        <v>1</v>
      </c>
      <c r="C1299" s="3" t="s">
        <v>3043</v>
      </c>
      <c r="D1299" s="3" t="str">
        <f>VLOOKUP($C1299,[1]stockregister!$B$2:$B$2000,1,0)</f>
        <v>FLIRT STRAWBERRY VODKA 1LTR</v>
      </c>
      <c r="E1299" s="3" t="str">
        <f>IF(ISNA($D1299),VLOOKUP($A1299,[2]stockregister!$A$2:$B$2000,2,FALSE),"")</f>
        <v/>
      </c>
      <c r="F1299" s="3" t="s">
        <v>21</v>
      </c>
      <c r="G1299" s="3">
        <f>_xlfn.IFNA(VLOOKUP($A1299,[3]stockregister!$A$2:$L$2000,11,0),0)</f>
        <v>0</v>
      </c>
      <c r="H1299" s="3">
        <f>_xlfn.IFNA(VLOOKUP($A1299,[3]stockregister!$A$2:$L$2000,11,0),0)-$G1299</f>
        <v>0</v>
      </c>
      <c r="I1299" s="3">
        <f>_xlfn.IFNA(VLOOKUP($A1299,[3]stockregister!$A$2:$L$2000,12,0),0)</f>
        <v>1050</v>
      </c>
      <c r="J1299" s="3">
        <f>_xlfn.IFNA(VLOOKUP($A1299,[3]stockregister!$A$1:$M$2000,12,0),0)-$I1299</f>
        <v>0</v>
      </c>
      <c r="K1299" s="3" t="s">
        <v>22</v>
      </c>
      <c r="L1299" s="3" t="s">
        <v>23</v>
      </c>
      <c r="M1299" s="3">
        <f>_xlfn.IFNA(VLOOKUP($A1299,[2]stockregister!$A$2:$H$2000,8,0),0)</f>
        <v>1200</v>
      </c>
      <c r="N1299" s="3">
        <f>_xlfn.IFNA(VLOOKUP($A1299,[2]stockregister!$A$2:$H$2000,8,0),0)-$M1299</f>
        <v>0</v>
      </c>
      <c r="O1299" s="3" t="s">
        <v>3044</v>
      </c>
      <c r="P1299" s="3" t="s">
        <v>3044</v>
      </c>
      <c r="Q1299" s="3" t="s">
        <v>982</v>
      </c>
      <c r="R1299" s="3" t="s">
        <v>318</v>
      </c>
      <c r="S1299" s="3" t="s">
        <v>2572</v>
      </c>
    </row>
    <row r="1300" spans="1:19">
      <c r="A1300" s="3">
        <v>738</v>
      </c>
      <c r="B1300" s="3" t="b">
        <f>ISNUMBER(MATCH(A1300,[1]stockregister!$A$2:$A$2000,0))</f>
        <v>1</v>
      </c>
      <c r="C1300" s="3" t="s">
        <v>3045</v>
      </c>
      <c r="D1300" s="3" t="str">
        <f>VLOOKUP($C1300,[1]stockregister!$B$2:$B$2000,1,0)</f>
        <v>FLIRT VODKA STRAWBERRY 350ML</v>
      </c>
      <c r="E1300" s="3" t="str">
        <f>IF(ISNA($D1300),VLOOKUP($A1300,[2]stockregister!$A$2:$B$2000,2,FALSE),"")</f>
        <v/>
      </c>
      <c r="F1300" s="3" t="s">
        <v>21</v>
      </c>
      <c r="G1300" s="3">
        <f>_xlfn.IFNA(VLOOKUP($A1300,[3]stockregister!$A$2:$L$2000,11,0),0)</f>
        <v>0</v>
      </c>
      <c r="H1300" s="3">
        <f>_xlfn.IFNA(VLOOKUP($A1300,[3]stockregister!$A$2:$L$2000,11,0),0)-$G1300</f>
        <v>0</v>
      </c>
      <c r="I1300" s="3">
        <f>_xlfn.IFNA(VLOOKUP($A1300,[3]stockregister!$A$2:$L$2000,12,0),0)</f>
        <v>322</v>
      </c>
      <c r="J1300" s="3">
        <f>_xlfn.IFNA(VLOOKUP($A1300,[3]stockregister!$A$1:$M$2000,12,0),0)-$I1300</f>
        <v>0</v>
      </c>
      <c r="K1300" s="3" t="s">
        <v>22</v>
      </c>
      <c r="L1300" s="3" t="s">
        <v>23</v>
      </c>
      <c r="M1300" s="3">
        <f>_xlfn.IFNA(VLOOKUP($A1300,[2]stockregister!$A$2:$H$2000,8,0),0)</f>
        <v>350</v>
      </c>
      <c r="N1300" s="3">
        <f>_xlfn.IFNA(VLOOKUP($A1300,[2]stockregister!$A$2:$H$2000,8,0),0)-$M1300</f>
        <v>0</v>
      </c>
      <c r="O1300" s="3" t="s">
        <v>3046</v>
      </c>
      <c r="P1300" s="3" t="s">
        <v>3046</v>
      </c>
      <c r="Q1300" s="3" t="s">
        <v>982</v>
      </c>
      <c r="R1300" s="3" t="s">
        <v>318</v>
      </c>
      <c r="S1300" s="3" t="s">
        <v>2572</v>
      </c>
    </row>
    <row r="1301" spans="1:19">
      <c r="A1301" s="3">
        <v>58</v>
      </c>
      <c r="B1301" s="3" t="b">
        <f>ISNUMBER(MATCH(A1301,[1]stockregister!$A$2:$A$2000,0))</f>
        <v>1</v>
      </c>
      <c r="C1301" s="3" t="s">
        <v>3047</v>
      </c>
      <c r="D1301" s="3" t="str">
        <f>VLOOKUP($C1301,[1]stockregister!$B$2:$B$2000,1,0)</f>
        <v>ABSOLUTE VANILLA 1LTR</v>
      </c>
      <c r="E1301" s="3" t="str">
        <f>IF(ISNA($D1301),VLOOKUP($A1301,[2]stockregister!$A$2:$B$2000,2,FALSE),"")</f>
        <v/>
      </c>
      <c r="F1301" s="3" t="s">
        <v>21</v>
      </c>
      <c r="G1301" s="3">
        <f>_xlfn.IFNA(VLOOKUP($A1301,[3]stockregister!$A$2:$L$2000,11,0),0)</f>
        <v>0</v>
      </c>
      <c r="H1301" s="3">
        <f>_xlfn.IFNA(VLOOKUP($A1301,[3]stockregister!$A$2:$L$2000,11,0),0)-$G1301</f>
        <v>0</v>
      </c>
      <c r="I1301" s="3">
        <f>_xlfn.IFNA(VLOOKUP($A1301,[3]stockregister!$A$2:$L$2000,12,0),0)</f>
        <v>2024</v>
      </c>
      <c r="J1301" s="3">
        <f>_xlfn.IFNA(VLOOKUP($A1301,[3]stockregister!$A$1:$M$2000,12,0),0)-$I1301</f>
        <v>0</v>
      </c>
      <c r="K1301" s="3" t="s">
        <v>22</v>
      </c>
      <c r="L1301" s="3" t="s">
        <v>23</v>
      </c>
      <c r="M1301" s="3">
        <f>_xlfn.IFNA(VLOOKUP($A1301,[2]stockregister!$A$2:$H$2000,8,0),0)</f>
        <v>2200</v>
      </c>
      <c r="N1301" s="3">
        <f>_xlfn.IFNA(VLOOKUP($A1301,[2]stockregister!$A$2:$H$2000,8,0),0)-$M1301</f>
        <v>0</v>
      </c>
      <c r="O1301" s="3" t="s">
        <v>3048</v>
      </c>
      <c r="P1301" s="3" t="s">
        <v>3048</v>
      </c>
      <c r="Q1301" s="3" t="s">
        <v>358</v>
      </c>
      <c r="R1301" s="3" t="s">
        <v>318</v>
      </c>
      <c r="S1301" s="3" t="s">
        <v>844</v>
      </c>
    </row>
    <row r="1302" spans="1:18">
      <c r="A1302" s="3">
        <v>2879</v>
      </c>
      <c r="B1302" s="3" t="b">
        <f>ISNUMBER(MATCH(A1302,[1]stockregister!$A$2:$A$2000,0))</f>
        <v>1</v>
      </c>
      <c r="C1302" s="3" t="s">
        <v>3049</v>
      </c>
      <c r="D1302" s="3" t="str">
        <f>VLOOKUP($C1302,[1]stockregister!$B$2:$B$2000,1,0)</f>
        <v>AVALON VODKA 750ML</v>
      </c>
      <c r="E1302" s="3" t="str">
        <f>IF(ISNA($D1302),VLOOKUP($A1302,[2]stockregister!$A$2:$B$2000,2,FALSE),"")</f>
        <v/>
      </c>
      <c r="F1302" s="3" t="s">
        <v>21</v>
      </c>
      <c r="G1302" s="3">
        <f>_xlfn.IFNA(VLOOKUP($A1302,[3]stockregister!$A$2:$L$2000,11,0),0)</f>
        <v>36</v>
      </c>
      <c r="H1302" s="3">
        <f>_xlfn.IFNA(VLOOKUP($A1302,[3]stockregister!$A$2:$L$2000,11,0),0)-$G1302</f>
        <v>0</v>
      </c>
      <c r="I1302" s="3">
        <f>_xlfn.IFNA(VLOOKUP($A1302,[3]stockregister!$A$2:$L$2000,12,0),0)</f>
        <v>541.67</v>
      </c>
      <c r="J1302" s="3">
        <f>_xlfn.IFNA(VLOOKUP($A1302,[3]stockregister!$A$1:$M$2000,12,0),0)-$I1302</f>
        <v>0</v>
      </c>
      <c r="K1302" s="3" t="s">
        <v>22</v>
      </c>
      <c r="L1302" s="3" t="s">
        <v>23</v>
      </c>
      <c r="M1302" s="3">
        <f>_xlfn.IFNA(VLOOKUP($A1302,[2]stockregister!$A$2:$H$2000,8,0),0)</f>
        <v>650</v>
      </c>
      <c r="N1302" s="3">
        <f>_xlfn.IFNA(VLOOKUP($A1302,[2]stockregister!$A$2:$H$2000,8,0),0)-$M1302</f>
        <v>0</v>
      </c>
      <c r="O1302" s="3" t="s">
        <v>3050</v>
      </c>
      <c r="P1302" s="3" t="s">
        <v>3050</v>
      </c>
      <c r="Q1302" s="3" t="s">
        <v>2680</v>
      </c>
      <c r="R1302" s="3" t="s">
        <v>318</v>
      </c>
    </row>
    <row r="1303" spans="1:18">
      <c r="A1303" s="3">
        <v>2878</v>
      </c>
      <c r="B1303" s="3" t="b">
        <f>ISNUMBER(MATCH(A1303,[1]stockregister!$A$2:$A$2000,0))</f>
        <v>1</v>
      </c>
      <c r="C1303" s="3" t="s">
        <v>3051</v>
      </c>
      <c r="D1303" s="3" t="str">
        <f>VLOOKUP($C1303,[1]stockregister!$B$2:$B$2000,1,0)</f>
        <v>AVALON VODKA 250ML</v>
      </c>
      <c r="E1303" s="3" t="str">
        <f>IF(ISNA($D1303),VLOOKUP($A1303,[2]stockregister!$A$2:$B$2000,2,FALSE),"")</f>
        <v/>
      </c>
      <c r="F1303" s="3" t="s">
        <v>21</v>
      </c>
      <c r="G1303" s="3">
        <f>_xlfn.IFNA(VLOOKUP($A1303,[3]stockregister!$A$2:$L$2000,11,0),0)</f>
        <v>560</v>
      </c>
      <c r="H1303" s="3">
        <f>_xlfn.IFNA(VLOOKUP($A1303,[3]stockregister!$A$2:$L$2000,11,0),0)-$G1303</f>
        <v>0</v>
      </c>
      <c r="I1303" s="3">
        <f>_xlfn.IFNA(VLOOKUP($A1303,[3]stockregister!$A$2:$L$2000,12,0),0)</f>
        <v>200</v>
      </c>
      <c r="J1303" s="3">
        <f>_xlfn.IFNA(VLOOKUP($A1303,[3]stockregister!$A$1:$M$2000,12,0),0)-$I1303</f>
        <v>0</v>
      </c>
      <c r="K1303" s="3" t="s">
        <v>22</v>
      </c>
      <c r="L1303" s="3" t="s">
        <v>23</v>
      </c>
      <c r="M1303" s="3">
        <f>_xlfn.IFNA(VLOOKUP($A1303,[2]stockregister!$A$2:$H$2000,8,0),0)</f>
        <v>210</v>
      </c>
      <c r="N1303" s="3">
        <f>_xlfn.IFNA(VLOOKUP($A1303,[2]stockregister!$A$2:$H$2000,8,0),0)-$M1303</f>
        <v>0</v>
      </c>
      <c r="O1303" s="3" t="s">
        <v>3052</v>
      </c>
      <c r="P1303" s="3" t="s">
        <v>3052</v>
      </c>
      <c r="Q1303" s="3" t="s">
        <v>2680</v>
      </c>
      <c r="R1303" s="3" t="s">
        <v>318</v>
      </c>
    </row>
    <row r="1304" spans="1:18">
      <c r="A1304" s="3">
        <v>2010</v>
      </c>
      <c r="B1304" s="3" t="b">
        <f>ISNUMBER(MATCH(A1304,[1]stockregister!$A$2:$A$2000,0))</f>
        <v>1</v>
      </c>
      <c r="C1304" s="3" t="s">
        <v>3053</v>
      </c>
      <c r="D1304" s="3" t="str">
        <f>VLOOKUP($C1304,[1]stockregister!$B$2:$B$2000,1,0)</f>
        <v>TRIPLE ACE VODKA 250 ML</v>
      </c>
      <c r="E1304" s="3" t="str">
        <f>IF(ISNA($D1304),VLOOKUP($A1304,[2]stockregister!$A$2:$B$2000,2,FALSE),"")</f>
        <v/>
      </c>
      <c r="F1304" s="3" t="s">
        <v>21</v>
      </c>
      <c r="G1304" s="3">
        <f>_xlfn.IFNA(VLOOKUP($A1304,[3]stockregister!$A$2:$L$2000,11,0),0)</f>
        <v>360</v>
      </c>
      <c r="H1304" s="3">
        <f>_xlfn.IFNA(VLOOKUP($A1304,[3]stockregister!$A$2:$L$2000,11,0),0)-$G1304</f>
        <v>0</v>
      </c>
      <c r="I1304" s="3">
        <f>_xlfn.IFNA(VLOOKUP($A1304,[3]stockregister!$A$2:$L$2000,12,0),0)</f>
        <v>193.67</v>
      </c>
      <c r="J1304" s="3">
        <f>_xlfn.IFNA(VLOOKUP($A1304,[3]stockregister!$A$1:$M$2000,12,0),0)-$I1304</f>
        <v>0</v>
      </c>
      <c r="K1304" s="3" t="s">
        <v>22</v>
      </c>
      <c r="L1304" s="3" t="s">
        <v>23</v>
      </c>
      <c r="M1304" s="3">
        <f>_xlfn.IFNA(VLOOKUP($A1304,[2]stockregister!$A$2:$H$2000,8,0),0)</f>
        <v>197</v>
      </c>
      <c r="N1304" s="3">
        <f>_xlfn.IFNA(VLOOKUP($A1304,[2]stockregister!$A$2:$H$2000,8,0),0)-$M1304</f>
        <v>0</v>
      </c>
      <c r="O1304" s="3" t="s">
        <v>3054</v>
      </c>
      <c r="P1304" s="3" t="s">
        <v>3054</v>
      </c>
      <c r="Q1304" s="3" t="s">
        <v>760</v>
      </c>
      <c r="R1304" s="3" t="s">
        <v>318</v>
      </c>
    </row>
    <row r="1305" spans="1:18">
      <c r="A1305" s="3">
        <v>2396</v>
      </c>
      <c r="B1305" s="3" t="b">
        <f>ISNUMBER(MATCH(A1305,[1]stockregister!$A$2:$A$2000,0))</f>
        <v>1</v>
      </c>
      <c r="C1305" s="3" t="s">
        <v>3055</v>
      </c>
      <c r="D1305" s="3" t="str">
        <f>VLOOKUP($C1305,[1]stockregister!$B$2:$B$2000,1,0)</f>
        <v>RUSSIAN BEAR WILD BERRY EXPORT 750ML</v>
      </c>
      <c r="E1305" s="3" t="str">
        <f>IF(ISNA($D1305),VLOOKUP($A1305,[2]stockregister!$A$2:$B$2000,2,FALSE),"")</f>
        <v/>
      </c>
      <c r="F1305" s="3" t="s">
        <v>21</v>
      </c>
      <c r="G1305" s="3">
        <f>_xlfn.IFNA(VLOOKUP($A1305,[3]stockregister!$A$2:$L$2000,11,0),0)</f>
        <v>0</v>
      </c>
      <c r="H1305" s="3">
        <f>_xlfn.IFNA(VLOOKUP($A1305,[3]stockregister!$A$2:$L$2000,11,0),0)-$G1305</f>
        <v>0</v>
      </c>
      <c r="I1305" s="3">
        <f>_xlfn.IFNA(VLOOKUP($A1305,[3]stockregister!$A$2:$L$2000,12,0),0)</f>
        <v>1000</v>
      </c>
      <c r="J1305" s="3">
        <f>_xlfn.IFNA(VLOOKUP($A1305,[3]stockregister!$A$1:$M$2000,12,0),0)-$I1305</f>
        <v>0</v>
      </c>
      <c r="K1305" s="3" t="s">
        <v>22</v>
      </c>
      <c r="L1305" s="3" t="s">
        <v>23</v>
      </c>
      <c r="M1305" s="3">
        <f>_xlfn.IFNA(VLOOKUP($A1305,[2]stockregister!$A$2:$H$2000,8,0),0)</f>
        <v>1100</v>
      </c>
      <c r="N1305" s="3">
        <f>_xlfn.IFNA(VLOOKUP($A1305,[2]stockregister!$A$2:$H$2000,8,0),0)-$M1305</f>
        <v>0</v>
      </c>
      <c r="O1305" s="3" t="s">
        <v>3056</v>
      </c>
      <c r="P1305" s="3" t="s">
        <v>3056</v>
      </c>
      <c r="Q1305" s="3" t="s">
        <v>1096</v>
      </c>
      <c r="R1305" s="3" t="s">
        <v>1097</v>
      </c>
    </row>
    <row r="1306" spans="1:18">
      <c r="A1306" s="3">
        <v>2568</v>
      </c>
      <c r="B1306" s="3" t="b">
        <f>ISNUMBER(MATCH(A1306,[1]stockregister!$A$2:$A$2000,0))</f>
        <v>1</v>
      </c>
      <c r="C1306" s="3" t="s">
        <v>539</v>
      </c>
      <c r="D1306" s="3" t="str">
        <f>VLOOKUP($C1306,[1]stockregister!$B$2:$B$2000,1,0)</f>
        <v>PETROVSKAIA CRANBERRY VODKA LITRE</v>
      </c>
      <c r="E1306" s="3" t="str">
        <f>IF(ISNA($D1306),VLOOKUP($A1306,[2]stockregister!$A$2:$B$2000,2,FALSE),"")</f>
        <v/>
      </c>
      <c r="F1306" s="3" t="s">
        <v>21</v>
      </c>
      <c r="G1306" s="3">
        <f>_xlfn.IFNA(VLOOKUP($A1306,[3]stockregister!$A$2:$L$2000,11,0),0)</f>
        <v>0</v>
      </c>
      <c r="H1306" s="3">
        <f>_xlfn.IFNA(VLOOKUP($A1306,[3]stockregister!$A$2:$L$2000,11,0),0)-$G1306</f>
        <v>0</v>
      </c>
      <c r="I1306" s="3">
        <f>_xlfn.IFNA(VLOOKUP($A1306,[3]stockregister!$A$2:$L$2000,12,0),0)</f>
        <v>900</v>
      </c>
      <c r="J1306" s="3">
        <f>_xlfn.IFNA(VLOOKUP($A1306,[3]stockregister!$A$1:$M$2000,12,0),0)-$I1306</f>
        <v>0</v>
      </c>
      <c r="K1306" s="3" t="s">
        <v>22</v>
      </c>
      <c r="L1306" s="3" t="s">
        <v>23</v>
      </c>
      <c r="M1306" s="3">
        <f>_xlfn.IFNA(VLOOKUP($A1306,[2]stockregister!$A$2:$H$2000,8,0),0)</f>
        <v>1100</v>
      </c>
      <c r="N1306" s="3">
        <f>_xlfn.IFNA(VLOOKUP($A1306,[2]stockregister!$A$2:$H$2000,8,0),0)-$M1306</f>
        <v>0</v>
      </c>
      <c r="O1306" s="3" t="s">
        <v>3057</v>
      </c>
      <c r="P1306" s="3" t="s">
        <v>3057</v>
      </c>
      <c r="Q1306" s="3" t="s">
        <v>2999</v>
      </c>
      <c r="R1306" s="3" t="s">
        <v>318</v>
      </c>
    </row>
    <row r="1307" spans="1:18">
      <c r="A1307" s="3">
        <v>1996</v>
      </c>
      <c r="B1307" s="3" t="b">
        <f>ISNUMBER(MATCH(A1307,[1]stockregister!$A$2:$A$2000,0))</f>
        <v>1</v>
      </c>
      <c r="C1307" s="3" t="s">
        <v>3058</v>
      </c>
      <c r="D1307" s="3" t="str">
        <f>VLOOKUP($C1307,[1]stockregister!$B$2:$B$2000,1,0)</f>
        <v>TITO'S VODKA 1LTR</v>
      </c>
      <c r="E1307" s="3" t="str">
        <f>IF(ISNA($D1307),VLOOKUP($A1307,[2]stockregister!$A$2:$B$2000,2,FALSE),"")</f>
        <v/>
      </c>
      <c r="F1307" s="3" t="s">
        <v>21</v>
      </c>
      <c r="G1307" s="3">
        <f>_xlfn.IFNA(VLOOKUP($A1307,[3]stockregister!$A$2:$L$2000,11,0),0)</f>
        <v>0</v>
      </c>
      <c r="H1307" s="3">
        <f>_xlfn.IFNA(VLOOKUP($A1307,[3]stockregister!$A$2:$L$2000,11,0),0)-$G1307</f>
        <v>0</v>
      </c>
      <c r="I1307" s="3">
        <f>_xlfn.IFNA(VLOOKUP($A1307,[3]stockregister!$A$2:$L$2000,12,0),0)</f>
        <v>1991</v>
      </c>
      <c r="J1307" s="3">
        <f>_xlfn.IFNA(VLOOKUP($A1307,[3]stockregister!$A$1:$M$2000,12,0),0)-$I1307</f>
        <v>0</v>
      </c>
      <c r="K1307" s="3" t="s">
        <v>22</v>
      </c>
      <c r="L1307" s="3" t="s">
        <v>23</v>
      </c>
      <c r="M1307" s="3">
        <f>_xlfn.IFNA(VLOOKUP($A1307,[2]stockregister!$A$2:$H$2000,8,0),0)</f>
        <v>3500</v>
      </c>
      <c r="N1307" s="3">
        <f>_xlfn.IFNA(VLOOKUP($A1307,[2]stockregister!$A$2:$H$2000,8,0),0)-$M1307</f>
        <v>0</v>
      </c>
      <c r="O1307" s="3" t="s">
        <v>3059</v>
      </c>
      <c r="P1307" s="3" t="s">
        <v>3059</v>
      </c>
      <c r="Q1307" s="3" t="s">
        <v>3060</v>
      </c>
      <c r="R1307" s="3" t="s">
        <v>318</v>
      </c>
    </row>
    <row r="1308" spans="1:18">
      <c r="A1308" s="3">
        <v>2569</v>
      </c>
      <c r="B1308" s="3" t="b">
        <f>ISNUMBER(MATCH(A1308,[1]stockregister!$A$2:$A$2000,0))</f>
        <v>1</v>
      </c>
      <c r="C1308" s="3" t="s">
        <v>543</v>
      </c>
      <c r="D1308" s="3" t="str">
        <f>VLOOKUP($C1308,[1]stockregister!$B$2:$B$2000,1,0)</f>
        <v>PETROVSKAIA PLATIMUM VODKA LITRE</v>
      </c>
      <c r="E1308" s="3" t="str">
        <f>IF(ISNA($D1308),VLOOKUP($A1308,[2]stockregister!$A$2:$B$2000,2,FALSE),"")</f>
        <v/>
      </c>
      <c r="F1308" s="3" t="s">
        <v>21</v>
      </c>
      <c r="G1308" s="3">
        <f>_xlfn.IFNA(VLOOKUP($A1308,[3]stockregister!$A$2:$L$2000,11,0),0)</f>
        <v>0</v>
      </c>
      <c r="H1308" s="3">
        <f>_xlfn.IFNA(VLOOKUP($A1308,[3]stockregister!$A$2:$L$2000,11,0),0)-$G1308</f>
        <v>0</v>
      </c>
      <c r="I1308" s="3">
        <f>_xlfn.IFNA(VLOOKUP($A1308,[3]stockregister!$A$2:$L$2000,12,0),0)</f>
        <v>900</v>
      </c>
      <c r="J1308" s="3">
        <f>_xlfn.IFNA(VLOOKUP($A1308,[3]stockregister!$A$1:$M$2000,12,0),0)-$I1308</f>
        <v>0</v>
      </c>
      <c r="K1308" s="3" t="s">
        <v>22</v>
      </c>
      <c r="L1308" s="3" t="s">
        <v>23</v>
      </c>
      <c r="M1308" s="3">
        <f>_xlfn.IFNA(VLOOKUP($A1308,[2]stockregister!$A$2:$H$2000,8,0),0)</f>
        <v>1100</v>
      </c>
      <c r="N1308" s="3">
        <f>_xlfn.IFNA(VLOOKUP($A1308,[2]stockregister!$A$2:$H$2000,8,0),0)-$M1308</f>
        <v>0</v>
      </c>
      <c r="O1308" s="3" t="s">
        <v>3061</v>
      </c>
      <c r="P1308" s="3" t="s">
        <v>3061</v>
      </c>
      <c r="Q1308" s="3" t="s">
        <v>2999</v>
      </c>
      <c r="R1308" s="3" t="s">
        <v>318</v>
      </c>
    </row>
    <row r="1309" spans="1:18">
      <c r="A1309" s="3">
        <v>208</v>
      </c>
      <c r="B1309" s="3" t="b">
        <f>ISNUMBER(MATCH(A1309,[1]stockregister!$A$2:$A$2000,0))</f>
        <v>1</v>
      </c>
      <c r="C1309" s="3" t="s">
        <v>3062</v>
      </c>
      <c r="D1309" s="3" t="str">
        <f>VLOOKUP($C1309,[1]stockregister!$B$2:$B$2000,1,0)</f>
        <v>BELVEDERE SMOGORY FOREST 1LTR</v>
      </c>
      <c r="E1309" s="3" t="str">
        <f>IF(ISNA($D1309),VLOOKUP($A1309,[2]stockregister!$A$2:$B$2000,2,FALSE),"")</f>
        <v/>
      </c>
      <c r="F1309" s="3" t="s">
        <v>21</v>
      </c>
      <c r="G1309" s="3">
        <f>_xlfn.IFNA(VLOOKUP($A1309,[3]stockregister!$A$2:$L$2000,11,0),0)</f>
        <v>0</v>
      </c>
      <c r="H1309" s="3">
        <f>_xlfn.IFNA(VLOOKUP($A1309,[3]stockregister!$A$2:$L$2000,11,0),0)-$G1309</f>
        <v>0</v>
      </c>
      <c r="I1309" s="3">
        <f>_xlfn.IFNA(VLOOKUP($A1309,[3]stockregister!$A$2:$L$2000,12,0),0)</f>
        <v>7300</v>
      </c>
      <c r="J1309" s="3">
        <f>_xlfn.IFNA(VLOOKUP($A1309,[3]stockregister!$A$1:$M$2000,12,0),0)-$I1309</f>
        <v>0</v>
      </c>
      <c r="K1309" s="3" t="s">
        <v>22</v>
      </c>
      <c r="L1309" s="3" t="s">
        <v>23</v>
      </c>
      <c r="M1309" s="3">
        <f>_xlfn.IFNA(VLOOKUP($A1309,[2]stockregister!$A$2:$H$2000,8,0),0)</f>
        <v>7500</v>
      </c>
      <c r="N1309" s="3">
        <f>_xlfn.IFNA(VLOOKUP($A1309,[2]stockregister!$A$2:$H$2000,8,0),0)-$M1309</f>
        <v>0</v>
      </c>
      <c r="O1309" s="3" t="s">
        <v>3063</v>
      </c>
      <c r="P1309" s="3" t="s">
        <v>3063</v>
      </c>
      <c r="Q1309" s="3" t="s">
        <v>776</v>
      </c>
      <c r="R1309" s="3" t="s">
        <v>318</v>
      </c>
    </row>
    <row r="1310" spans="1:18">
      <c r="A1310" s="3">
        <v>1001</v>
      </c>
      <c r="B1310" s="3" t="b">
        <f>ISNUMBER(MATCH(A1310,[1]stockregister!$A$2:$A$2000,0))</f>
        <v>1</v>
      </c>
      <c r="C1310" s="3" t="s">
        <v>3064</v>
      </c>
      <c r="D1310" s="3" t="str">
        <f>VLOOKUP($C1310,[1]stockregister!$B$2:$B$2000,1,0)</f>
        <v>HUNTING LODGE VODKA 1LTR</v>
      </c>
      <c r="E1310" s="3" t="str">
        <f>IF(ISNA($D1310),VLOOKUP($A1310,[2]stockregister!$A$2:$B$2000,2,FALSE),"")</f>
        <v/>
      </c>
      <c r="F1310" s="3" t="s">
        <v>21</v>
      </c>
      <c r="G1310" s="3">
        <f>_xlfn.IFNA(VLOOKUP($A1310,[3]stockregister!$A$2:$L$2000,11,0),0)</f>
        <v>0</v>
      </c>
      <c r="H1310" s="3">
        <f>_xlfn.IFNA(VLOOKUP($A1310,[3]stockregister!$A$2:$L$2000,11,0),0)-$G1310</f>
        <v>0</v>
      </c>
      <c r="I1310" s="3">
        <f>_xlfn.IFNA(VLOOKUP($A1310,[3]stockregister!$A$2:$L$2000,12,0),0)</f>
        <v>920</v>
      </c>
      <c r="J1310" s="3">
        <f>_xlfn.IFNA(VLOOKUP($A1310,[3]stockregister!$A$1:$M$2000,12,0),0)-$I1310</f>
        <v>0</v>
      </c>
      <c r="K1310" s="3" t="s">
        <v>22</v>
      </c>
      <c r="L1310" s="3" t="s">
        <v>23</v>
      </c>
      <c r="M1310" s="3">
        <f>_xlfn.IFNA(VLOOKUP($A1310,[2]stockregister!$A$2:$H$2000,8,0),0)</f>
        <v>1400</v>
      </c>
      <c r="N1310" s="3">
        <f>_xlfn.IFNA(VLOOKUP($A1310,[2]stockregister!$A$2:$H$2000,8,0),0)-$M1310</f>
        <v>0</v>
      </c>
      <c r="O1310" s="3" t="s">
        <v>3065</v>
      </c>
      <c r="P1310" s="3" t="s">
        <v>3065</v>
      </c>
      <c r="Q1310" s="3" t="s">
        <v>1887</v>
      </c>
      <c r="R1310" s="3" t="s">
        <v>318</v>
      </c>
    </row>
    <row r="1311" spans="1:18">
      <c r="A1311" s="3">
        <v>2073</v>
      </c>
      <c r="B1311" s="3" t="b">
        <f>ISNUMBER(MATCH(A1311,[1]stockregister!$A$2:$A$2000,0))</f>
        <v>1</v>
      </c>
      <c r="C1311" s="3" t="s">
        <v>3066</v>
      </c>
      <c r="D1311" s="3" t="str">
        <f>VLOOKUP($C1311,[1]stockregister!$B$2:$B$2000,1,0)</f>
        <v>WAVE DANGER 750ML</v>
      </c>
      <c r="E1311" s="3" t="str">
        <f>IF(ISNA($D1311),VLOOKUP($A1311,[2]stockregister!$A$2:$B$2000,2,FALSE),"")</f>
        <v/>
      </c>
      <c r="F1311" s="3" t="s">
        <v>21</v>
      </c>
      <c r="G1311" s="3">
        <f>_xlfn.IFNA(VLOOKUP($A1311,[3]stockregister!$A$2:$L$2000,11,0),0)</f>
        <v>0</v>
      </c>
      <c r="H1311" s="3">
        <f>_xlfn.IFNA(VLOOKUP($A1311,[3]stockregister!$A$2:$L$2000,11,0),0)-$G1311</f>
        <v>0</v>
      </c>
      <c r="I1311" s="3">
        <f>_xlfn.IFNA(VLOOKUP($A1311,[3]stockregister!$A$2:$L$2000,12,0),0)</f>
        <v>460</v>
      </c>
      <c r="J1311" s="3">
        <f>_xlfn.IFNA(VLOOKUP($A1311,[3]stockregister!$A$1:$M$2000,12,0),0)-$I1311</f>
        <v>0</v>
      </c>
      <c r="K1311" s="3" t="s">
        <v>22</v>
      </c>
      <c r="L1311" s="3" t="s">
        <v>23</v>
      </c>
      <c r="M1311" s="3">
        <f>_xlfn.IFNA(VLOOKUP($A1311,[2]stockregister!$A$2:$H$2000,8,0),0)</f>
        <v>500</v>
      </c>
      <c r="N1311" s="3">
        <f>_xlfn.IFNA(VLOOKUP($A1311,[2]stockregister!$A$2:$H$2000,8,0),0)-$M1311</f>
        <v>0</v>
      </c>
      <c r="O1311" s="3">
        <v>0</v>
      </c>
      <c r="P1311" s="3">
        <v>0</v>
      </c>
      <c r="Q1311" s="3" t="s">
        <v>3067</v>
      </c>
      <c r="R1311" s="3" t="s">
        <v>318</v>
      </c>
    </row>
    <row r="1312" spans="1:18">
      <c r="A1312" s="3">
        <v>220</v>
      </c>
      <c r="B1312" s="3" t="b">
        <f>ISNUMBER(MATCH(A1312,[1]stockregister!$A$2:$A$2000,0))</f>
        <v>1</v>
      </c>
      <c r="C1312" s="3" t="s">
        <v>3068</v>
      </c>
      <c r="D1312" s="3" t="str">
        <f>VLOOKUP($C1312,[1]stockregister!$B$2:$B$2000,1,0)</f>
        <v>BEST VODKA 250ML</v>
      </c>
      <c r="E1312" s="3" t="str">
        <f>IF(ISNA($D1312),VLOOKUP($A1312,[2]stockregister!$A$2:$B$2000,2,FALSE),"")</f>
        <v/>
      </c>
      <c r="F1312" s="3" t="s">
        <v>21</v>
      </c>
      <c r="G1312" s="3">
        <f>_xlfn.IFNA(VLOOKUP($A1312,[3]stockregister!$A$2:$L$2000,11,0),0)</f>
        <v>0</v>
      </c>
      <c r="H1312" s="3">
        <f>_xlfn.IFNA(VLOOKUP($A1312,[3]stockregister!$A$2:$L$2000,11,0),0)-$G1312</f>
        <v>0</v>
      </c>
      <c r="I1312" s="3">
        <f>_xlfn.IFNA(VLOOKUP($A1312,[3]stockregister!$A$2:$L$2000,12,0),0)</f>
        <v>237.1</v>
      </c>
      <c r="J1312" s="3">
        <f>_xlfn.IFNA(VLOOKUP($A1312,[3]stockregister!$A$1:$M$2000,12,0),0)-$I1312</f>
        <v>0</v>
      </c>
      <c r="K1312" s="3" t="s">
        <v>22</v>
      </c>
      <c r="L1312" s="3" t="s">
        <v>23</v>
      </c>
      <c r="M1312" s="3">
        <f>_xlfn.IFNA(VLOOKUP($A1312,[2]stockregister!$A$2:$H$2000,8,0),0)</f>
        <v>237</v>
      </c>
      <c r="N1312" s="3">
        <f>_xlfn.IFNA(VLOOKUP($A1312,[2]stockregister!$A$2:$H$2000,8,0),0)-$M1312</f>
        <v>0</v>
      </c>
      <c r="O1312" s="3" t="s">
        <v>3069</v>
      </c>
      <c r="P1312" s="3" t="s">
        <v>3069</v>
      </c>
      <c r="Q1312" s="3" t="s">
        <v>77</v>
      </c>
      <c r="R1312" s="3" t="s">
        <v>318</v>
      </c>
    </row>
    <row r="1313" spans="1:18">
      <c r="A1313" s="3">
        <v>221</v>
      </c>
      <c r="B1313" s="3" t="b">
        <f>ISNUMBER(MATCH(A1313,[1]stockregister!$A$2:$A$2000,0))</f>
        <v>1</v>
      </c>
      <c r="C1313" s="3" t="s">
        <v>3070</v>
      </c>
      <c r="D1313" s="3" t="str">
        <f>VLOOKUP($C1313,[1]stockregister!$B$2:$B$2000,1,0)</f>
        <v>BEST VODKA 750ML</v>
      </c>
      <c r="E1313" s="3" t="str">
        <f>IF(ISNA($D1313),VLOOKUP($A1313,[2]stockregister!$A$2:$B$2000,2,FALSE),"")</f>
        <v/>
      </c>
      <c r="F1313" s="3" t="s">
        <v>21</v>
      </c>
      <c r="G1313" s="3">
        <f>_xlfn.IFNA(VLOOKUP($A1313,[3]stockregister!$A$2:$L$2000,11,0),0)</f>
        <v>0</v>
      </c>
      <c r="H1313" s="3">
        <f>_xlfn.IFNA(VLOOKUP($A1313,[3]stockregister!$A$2:$L$2000,11,0),0)-$G1313</f>
        <v>0</v>
      </c>
      <c r="I1313" s="3">
        <f>_xlfn.IFNA(VLOOKUP($A1313,[3]stockregister!$A$2:$L$2000,12,0),0)</f>
        <v>671.8</v>
      </c>
      <c r="J1313" s="3">
        <f>_xlfn.IFNA(VLOOKUP($A1313,[3]stockregister!$A$1:$M$2000,12,0),0)-$I1313</f>
        <v>0</v>
      </c>
      <c r="K1313" s="3" t="s">
        <v>22</v>
      </c>
      <c r="L1313" s="3" t="s">
        <v>23</v>
      </c>
      <c r="M1313" s="3">
        <f>_xlfn.IFNA(VLOOKUP($A1313,[2]stockregister!$A$2:$H$2000,8,0),0)</f>
        <v>675</v>
      </c>
      <c r="N1313" s="3">
        <f>_xlfn.IFNA(VLOOKUP($A1313,[2]stockregister!$A$2:$H$2000,8,0),0)-$M1313</f>
        <v>0</v>
      </c>
      <c r="O1313" s="3" t="s">
        <v>3071</v>
      </c>
      <c r="P1313" s="3" t="s">
        <v>3071</v>
      </c>
      <c r="Q1313" s="3" t="s">
        <v>77</v>
      </c>
      <c r="R1313" s="3" t="s">
        <v>318</v>
      </c>
    </row>
    <row r="1314" spans="1:18">
      <c r="A1314" s="3">
        <v>387</v>
      </c>
      <c r="B1314" s="3" t="b">
        <f>ISNUMBER(MATCH(A1314,[1]stockregister!$A$2:$A$2000,0))</f>
        <v>1</v>
      </c>
      <c r="C1314" s="3" t="s">
        <v>3072</v>
      </c>
      <c r="D1314" s="3" t="str">
        <f>VLOOKUP($C1314,[1]stockregister!$B$2:$B$2000,1,0)</f>
        <v>CARIBIA CANE 750ML</v>
      </c>
      <c r="E1314" s="3" t="str">
        <f>IF(ISNA($D1314),VLOOKUP($A1314,[2]stockregister!$A$2:$B$2000,2,FALSE),"")</f>
        <v/>
      </c>
      <c r="F1314" s="3" t="s">
        <v>21</v>
      </c>
      <c r="G1314" s="3">
        <f>_xlfn.IFNA(VLOOKUP($A1314,[3]stockregister!$A$2:$L$2000,11,0),0)</f>
        <v>0</v>
      </c>
      <c r="H1314" s="3">
        <f>_xlfn.IFNA(VLOOKUP($A1314,[3]stockregister!$A$2:$L$2000,11,0),0)-$G1314</f>
        <v>0</v>
      </c>
      <c r="I1314" s="3">
        <f>_xlfn.IFNA(VLOOKUP($A1314,[3]stockregister!$A$2:$L$2000,12,0),0)</f>
        <v>696</v>
      </c>
      <c r="J1314" s="3">
        <f>_xlfn.IFNA(VLOOKUP($A1314,[3]stockregister!$A$1:$M$2000,12,0),0)-$I1314</f>
        <v>0</v>
      </c>
      <c r="K1314" s="3" t="s">
        <v>22</v>
      </c>
      <c r="L1314" s="3" t="s">
        <v>23</v>
      </c>
      <c r="M1314" s="3">
        <f>_xlfn.IFNA(VLOOKUP($A1314,[2]stockregister!$A$2:$H$2000,8,0),0)</f>
        <v>696</v>
      </c>
      <c r="N1314" s="3">
        <f>_xlfn.IFNA(VLOOKUP($A1314,[2]stockregister!$A$2:$H$2000,8,0),0)-$M1314</f>
        <v>0</v>
      </c>
      <c r="O1314" s="3" t="s">
        <v>3073</v>
      </c>
      <c r="P1314" s="3" t="s">
        <v>3073</v>
      </c>
      <c r="Q1314" s="3" t="s">
        <v>583</v>
      </c>
      <c r="R1314" s="3" t="s">
        <v>318</v>
      </c>
    </row>
    <row r="1315" spans="1:18">
      <c r="A1315" s="3">
        <v>548</v>
      </c>
      <c r="B1315" s="3" t="b">
        <f>ISNUMBER(MATCH(A1315,[1]stockregister!$A$2:$A$2000,0))</f>
        <v>1</v>
      </c>
      <c r="C1315" s="3" t="s">
        <v>3074</v>
      </c>
      <c r="D1315" s="3" t="str">
        <f>VLOOKUP($C1315,[1]stockregister!$B$2:$B$2000,1,0)</f>
        <v>CRUZ VODKA 750ML</v>
      </c>
      <c r="E1315" s="3" t="str">
        <f>IF(ISNA($D1315),VLOOKUP($A1315,[2]stockregister!$A$2:$B$2000,2,FALSE),"")</f>
        <v/>
      </c>
      <c r="F1315" s="3" t="s">
        <v>21</v>
      </c>
      <c r="G1315" s="3">
        <f>_xlfn.IFNA(VLOOKUP($A1315,[3]stockregister!$A$2:$L$2000,11,0),0)</f>
        <v>0</v>
      </c>
      <c r="H1315" s="3">
        <f>_xlfn.IFNA(VLOOKUP($A1315,[3]stockregister!$A$2:$L$2000,11,0),0)-$G1315</f>
        <v>0</v>
      </c>
      <c r="I1315" s="3">
        <f>_xlfn.IFNA(VLOOKUP($A1315,[3]stockregister!$A$2:$L$2000,12,0),0)</f>
        <v>1104</v>
      </c>
      <c r="J1315" s="3">
        <f>_xlfn.IFNA(VLOOKUP($A1315,[3]stockregister!$A$1:$M$2000,12,0),0)-$I1315</f>
        <v>0</v>
      </c>
      <c r="K1315" s="3" t="s">
        <v>22</v>
      </c>
      <c r="L1315" s="3" t="s">
        <v>23</v>
      </c>
      <c r="M1315" s="3">
        <f>_xlfn.IFNA(VLOOKUP($A1315,[2]stockregister!$A$2:$H$2000,8,0),0)</f>
        <v>1200</v>
      </c>
      <c r="N1315" s="3">
        <f>_xlfn.IFNA(VLOOKUP($A1315,[2]stockregister!$A$2:$H$2000,8,0),0)-$M1315</f>
        <v>0</v>
      </c>
      <c r="O1315" s="3" t="s">
        <v>3075</v>
      </c>
      <c r="P1315" s="3" t="s">
        <v>3075</v>
      </c>
      <c r="Q1315" s="3" t="s">
        <v>3076</v>
      </c>
      <c r="R1315" s="3" t="s">
        <v>318</v>
      </c>
    </row>
    <row r="1316" spans="1:18">
      <c r="A1316" s="3">
        <v>1189</v>
      </c>
      <c r="B1316" s="3" t="b">
        <f>ISNUMBER(MATCH(A1316,[1]stockregister!$A$2:$A$2000,0))</f>
        <v>1</v>
      </c>
      <c r="C1316" s="3" t="s">
        <v>547</v>
      </c>
      <c r="D1316" s="3" t="str">
        <f>VLOOKUP($C1316,[1]stockregister!$B$2:$B$2000,1,0)</f>
        <v>KETEL ONE VODKA 750ML</v>
      </c>
      <c r="E1316" s="3" t="str">
        <f>IF(ISNA($D1316),VLOOKUP($A1316,[2]stockregister!$A$2:$B$2000,2,FALSE),"")</f>
        <v/>
      </c>
      <c r="F1316" s="3" t="s">
        <v>21</v>
      </c>
      <c r="G1316" s="3">
        <f>_xlfn.IFNA(VLOOKUP($A1316,[3]stockregister!$A$2:$L$2000,11,0),0)</f>
        <v>0</v>
      </c>
      <c r="H1316" s="3">
        <f>_xlfn.IFNA(VLOOKUP($A1316,[3]stockregister!$A$2:$L$2000,11,0),0)-$G1316</f>
        <v>0</v>
      </c>
      <c r="I1316" s="3">
        <f>_xlfn.IFNA(VLOOKUP($A1316,[3]stockregister!$A$2:$L$2000,12,0),0)</f>
        <v>2300</v>
      </c>
      <c r="J1316" s="3">
        <f>_xlfn.IFNA(VLOOKUP($A1316,[3]stockregister!$A$1:$M$2000,12,0),0)-$I1316</f>
        <v>0</v>
      </c>
      <c r="K1316" s="3" t="s">
        <v>22</v>
      </c>
      <c r="L1316" s="3" t="s">
        <v>23</v>
      </c>
      <c r="M1316" s="3">
        <f>_xlfn.IFNA(VLOOKUP($A1316,[2]stockregister!$A$2:$H$2000,8,0),0)</f>
        <v>2500</v>
      </c>
      <c r="N1316" s="3">
        <f>_xlfn.IFNA(VLOOKUP($A1316,[2]stockregister!$A$2:$H$2000,8,0),0)-$M1316</f>
        <v>0</v>
      </c>
      <c r="O1316" s="3" t="s">
        <v>3077</v>
      </c>
      <c r="P1316" s="3" t="s">
        <v>3077</v>
      </c>
      <c r="Q1316" s="3" t="s">
        <v>558</v>
      </c>
      <c r="R1316" s="3" t="s">
        <v>318</v>
      </c>
    </row>
    <row r="1317" spans="1:18">
      <c r="A1317" s="3">
        <v>1530</v>
      </c>
      <c r="B1317" s="3" t="b">
        <f>ISNUMBER(MATCH(A1317,[1]stockregister!$A$2:$A$2000,0))</f>
        <v>1</v>
      </c>
      <c r="C1317" s="3" t="s">
        <v>3078</v>
      </c>
      <c r="D1317" s="3" t="str">
        <f>VLOOKUP($C1317,[1]stockregister!$B$2:$B$2000,1,0)</f>
        <v>NEW AMSTERDAM VODKA 1ltr</v>
      </c>
      <c r="E1317" s="3" t="str">
        <f>IF(ISNA($D1317),VLOOKUP($A1317,[2]stockregister!$A$2:$B$2000,2,FALSE),"")</f>
        <v/>
      </c>
      <c r="F1317" s="3" t="s">
        <v>21</v>
      </c>
      <c r="G1317" s="3">
        <f>_xlfn.IFNA(VLOOKUP($A1317,[3]stockregister!$A$2:$L$2000,11,0),0)</f>
        <v>0</v>
      </c>
      <c r="H1317" s="3">
        <f>_xlfn.IFNA(VLOOKUP($A1317,[3]stockregister!$A$2:$L$2000,11,0),0)-$G1317</f>
        <v>0</v>
      </c>
      <c r="I1317" s="3">
        <f>_xlfn.IFNA(VLOOKUP($A1317,[3]stockregister!$A$2:$L$2000,12,0),0)</f>
        <v>1104</v>
      </c>
      <c r="J1317" s="3">
        <f>_xlfn.IFNA(VLOOKUP($A1317,[3]stockregister!$A$1:$M$2000,12,0),0)-$I1317</f>
        <v>0</v>
      </c>
      <c r="K1317" s="3" t="s">
        <v>22</v>
      </c>
      <c r="L1317" s="3" t="s">
        <v>23</v>
      </c>
      <c r="M1317" s="3">
        <f>_xlfn.IFNA(VLOOKUP($A1317,[2]stockregister!$A$2:$H$2000,8,0),0)</f>
        <v>1200</v>
      </c>
      <c r="N1317" s="3">
        <f>_xlfn.IFNA(VLOOKUP($A1317,[2]stockregister!$A$2:$H$2000,8,0),0)-$M1317</f>
        <v>0</v>
      </c>
      <c r="O1317" s="3" t="s">
        <v>3079</v>
      </c>
      <c r="P1317" s="3" t="s">
        <v>3079</v>
      </c>
      <c r="Q1317" s="3" t="s">
        <v>2633</v>
      </c>
      <c r="R1317" s="3" t="s">
        <v>318</v>
      </c>
    </row>
    <row r="1318" spans="1:18">
      <c r="A1318" s="3">
        <v>1904</v>
      </c>
      <c r="B1318" s="3" t="b">
        <f>ISNUMBER(MATCH(A1318,[1]stockregister!$A$2:$A$2000,0))</f>
        <v>1</v>
      </c>
      <c r="C1318" s="3" t="s">
        <v>3080</v>
      </c>
      <c r="D1318" s="3" t="str">
        <f>VLOOKUP($C1318,[1]stockregister!$B$2:$B$2000,1,0)</f>
        <v>SUPREME VODKA 250ML</v>
      </c>
      <c r="E1318" s="3" t="str">
        <f>IF(ISNA($D1318),VLOOKUP($A1318,[2]stockregister!$A$2:$B$2000,2,FALSE),"")</f>
        <v/>
      </c>
      <c r="F1318" s="3" t="s">
        <v>21</v>
      </c>
      <c r="G1318" s="3">
        <f>_xlfn.IFNA(VLOOKUP($A1318,[3]stockregister!$A$2:$L$2000,11,0),0)</f>
        <v>0</v>
      </c>
      <c r="H1318" s="3">
        <f>_xlfn.IFNA(VLOOKUP($A1318,[3]stockregister!$A$2:$L$2000,11,0),0)-$G1318</f>
        <v>0</v>
      </c>
      <c r="I1318" s="3">
        <f>_xlfn.IFNA(VLOOKUP($A1318,[3]stockregister!$A$2:$L$2000,12,0),0)</f>
        <v>151.8</v>
      </c>
      <c r="J1318" s="3">
        <f>_xlfn.IFNA(VLOOKUP($A1318,[3]stockregister!$A$1:$M$2000,12,0),0)-$I1318</f>
        <v>0</v>
      </c>
      <c r="K1318" s="3" t="s">
        <v>22</v>
      </c>
      <c r="L1318" s="3" t="s">
        <v>23</v>
      </c>
      <c r="M1318" s="3">
        <f>_xlfn.IFNA(VLOOKUP($A1318,[2]stockregister!$A$2:$H$2000,8,0),0)</f>
        <v>165</v>
      </c>
      <c r="N1318" s="3">
        <f>_xlfn.IFNA(VLOOKUP($A1318,[2]stockregister!$A$2:$H$2000,8,0),0)-$M1318</f>
        <v>0</v>
      </c>
      <c r="O1318" s="3" t="s">
        <v>3081</v>
      </c>
      <c r="P1318" s="3" t="s">
        <v>3081</v>
      </c>
      <c r="Q1318" s="3" t="s">
        <v>3082</v>
      </c>
      <c r="R1318" s="3" t="s">
        <v>318</v>
      </c>
    </row>
    <row r="1319" spans="1:18">
      <c r="A1319" s="3">
        <v>1194</v>
      </c>
      <c r="B1319" s="3" t="b">
        <f>ISNUMBER(MATCH(A1319,[1]stockregister!$A$2:$A$2000,0))</f>
        <v>1</v>
      </c>
      <c r="C1319" s="3" t="s">
        <v>3083</v>
      </c>
      <c r="D1319" s="3" t="str">
        <f>VLOOKUP($C1319,[1]stockregister!$B$2:$B$2000,1,0)</f>
        <v>KHOR WHITE &amp; GOLD 750ML</v>
      </c>
      <c r="E1319" s="3" t="str">
        <f>IF(ISNA($D1319),VLOOKUP($A1319,[2]stockregister!$A$2:$B$2000,2,FALSE),"")</f>
        <v/>
      </c>
      <c r="F1319" s="3" t="s">
        <v>21</v>
      </c>
      <c r="G1319" s="3">
        <f>_xlfn.IFNA(VLOOKUP($A1319,[3]stockregister!$A$2:$L$2000,11,0),0)</f>
        <v>0</v>
      </c>
      <c r="H1319" s="3">
        <f>_xlfn.IFNA(VLOOKUP($A1319,[3]stockregister!$A$2:$L$2000,11,0),0)-$G1319</f>
        <v>0</v>
      </c>
      <c r="I1319" s="3">
        <f>_xlfn.IFNA(VLOOKUP($A1319,[3]stockregister!$A$2:$L$2000,12,0),0)</f>
        <v>2116</v>
      </c>
      <c r="J1319" s="3">
        <f>_xlfn.IFNA(VLOOKUP($A1319,[3]stockregister!$A$1:$M$2000,12,0),0)-$I1319</f>
        <v>0</v>
      </c>
      <c r="K1319" s="3" t="s">
        <v>22</v>
      </c>
      <c r="L1319" s="3" t="s">
        <v>23</v>
      </c>
      <c r="M1319" s="3">
        <f>_xlfn.IFNA(VLOOKUP($A1319,[2]stockregister!$A$2:$H$2000,8,0),0)</f>
        <v>2300</v>
      </c>
      <c r="N1319" s="3">
        <f>_xlfn.IFNA(VLOOKUP($A1319,[2]stockregister!$A$2:$H$2000,8,0),0)-$M1319</f>
        <v>0</v>
      </c>
      <c r="O1319" s="3" t="s">
        <v>3084</v>
      </c>
      <c r="P1319" s="3" t="s">
        <v>3084</v>
      </c>
      <c r="Q1319" s="3" t="s">
        <v>2987</v>
      </c>
      <c r="R1319" s="3" t="s">
        <v>318</v>
      </c>
    </row>
    <row r="1320" spans="1:18">
      <c r="A1320" s="3">
        <v>205</v>
      </c>
      <c r="B1320" s="3" t="b">
        <f>ISNUMBER(MATCH(A1320,[1]stockregister!$A$2:$A$2000,0))</f>
        <v>1</v>
      </c>
      <c r="C1320" s="3" t="s">
        <v>3085</v>
      </c>
      <c r="D1320" s="3" t="str">
        <f>VLOOKUP($C1320,[1]stockregister!$B$2:$B$2000,1,0)</f>
        <v>BELUGA NOBLE 1ltr</v>
      </c>
      <c r="E1320" s="3" t="str">
        <f>IF(ISNA($D1320),VLOOKUP($A1320,[2]stockregister!$A$2:$B$2000,2,FALSE),"")</f>
        <v/>
      </c>
      <c r="F1320" s="3" t="s">
        <v>21</v>
      </c>
      <c r="G1320" s="3">
        <f>_xlfn.IFNA(VLOOKUP($A1320,[3]stockregister!$A$2:$L$2000,11,0),0)</f>
        <v>0</v>
      </c>
      <c r="H1320" s="3">
        <f>_xlfn.IFNA(VLOOKUP($A1320,[3]stockregister!$A$2:$L$2000,11,0),0)-$G1320</f>
        <v>0</v>
      </c>
      <c r="I1320" s="3">
        <f>_xlfn.IFNA(VLOOKUP($A1320,[3]stockregister!$A$2:$L$2000,12,0),0)</f>
        <v>4300</v>
      </c>
      <c r="J1320" s="3">
        <f>_xlfn.IFNA(VLOOKUP($A1320,[3]stockregister!$A$1:$M$2000,12,0),0)-$I1320</f>
        <v>0</v>
      </c>
      <c r="K1320" s="3" t="s">
        <v>22</v>
      </c>
      <c r="L1320" s="3" t="s">
        <v>23</v>
      </c>
      <c r="M1320" s="3">
        <f>_xlfn.IFNA(VLOOKUP($A1320,[2]stockregister!$A$2:$H$2000,8,0),0)</f>
        <v>5000</v>
      </c>
      <c r="N1320" s="3">
        <f>_xlfn.IFNA(VLOOKUP($A1320,[2]stockregister!$A$2:$H$2000,8,0),0)-$M1320</f>
        <v>0</v>
      </c>
      <c r="O1320" s="3" t="s">
        <v>3086</v>
      </c>
      <c r="P1320" s="3" t="s">
        <v>3086</v>
      </c>
      <c r="Q1320" s="3" t="s">
        <v>3087</v>
      </c>
      <c r="R1320" s="3" t="s">
        <v>318</v>
      </c>
    </row>
    <row r="1321" spans="1:18">
      <c r="A1321" s="3">
        <v>664</v>
      </c>
      <c r="B1321" s="3" t="b">
        <f>ISNUMBER(MATCH(A1321,[1]stockregister!$A$2:$A$2000,0))</f>
        <v>1</v>
      </c>
      <c r="C1321" s="3" t="s">
        <v>3088</v>
      </c>
      <c r="D1321" s="3" t="str">
        <f>VLOOKUP($C1321,[1]stockregister!$B$2:$B$2000,1,0)</f>
        <v>ERISTOFF 1LTR</v>
      </c>
      <c r="E1321" s="3" t="str">
        <f>IF(ISNA($D1321),VLOOKUP($A1321,[2]stockregister!$A$2:$B$2000,2,FALSE),"")</f>
        <v/>
      </c>
      <c r="F1321" s="3" t="s">
        <v>21</v>
      </c>
      <c r="G1321" s="3">
        <f>_xlfn.IFNA(VLOOKUP($A1321,[3]stockregister!$A$2:$L$2000,11,0),0)</f>
        <v>0</v>
      </c>
      <c r="H1321" s="3">
        <f>_xlfn.IFNA(VLOOKUP($A1321,[3]stockregister!$A$2:$L$2000,11,0),0)-$G1321</f>
        <v>0</v>
      </c>
      <c r="I1321" s="3">
        <f>_xlfn.IFNA(VLOOKUP($A1321,[3]stockregister!$A$2:$L$2000,12,0),0)</f>
        <v>1300</v>
      </c>
      <c r="J1321" s="3">
        <f>_xlfn.IFNA(VLOOKUP($A1321,[3]stockregister!$A$1:$M$2000,12,0),0)-$I1321</f>
        <v>0</v>
      </c>
      <c r="K1321" s="3" t="s">
        <v>22</v>
      </c>
      <c r="L1321" s="3" t="s">
        <v>23</v>
      </c>
      <c r="M1321" s="3">
        <f>_xlfn.IFNA(VLOOKUP($A1321,[2]stockregister!$A$2:$H$2000,8,0),0)</f>
        <v>1500</v>
      </c>
      <c r="N1321" s="3">
        <f>_xlfn.IFNA(VLOOKUP($A1321,[2]stockregister!$A$2:$H$2000,8,0),0)-$M1321</f>
        <v>0</v>
      </c>
      <c r="O1321" s="3" t="s">
        <v>3089</v>
      </c>
      <c r="P1321" s="3" t="s">
        <v>3089</v>
      </c>
      <c r="Q1321" s="3" t="s">
        <v>1068</v>
      </c>
      <c r="R1321" s="3" t="s">
        <v>318</v>
      </c>
    </row>
    <row r="1322" spans="1:18">
      <c r="A1322" s="3">
        <v>1002</v>
      </c>
      <c r="B1322" s="3" t="b">
        <f>ISNUMBER(MATCH(A1322,[1]stockregister!$A$2:$A$2000,0))</f>
        <v>1</v>
      </c>
      <c r="C1322" s="3" t="s">
        <v>3090</v>
      </c>
      <c r="D1322" s="3" t="str">
        <f>VLOOKUP($C1322,[1]stockregister!$B$2:$B$2000,1,0)</f>
        <v>HUNTING LODGE VODKA 700ML</v>
      </c>
      <c r="E1322" s="3" t="str">
        <f>IF(ISNA($D1322),VLOOKUP($A1322,[2]stockregister!$A$2:$B$2000,2,FALSE),"")</f>
        <v/>
      </c>
      <c r="F1322" s="3" t="s">
        <v>21</v>
      </c>
      <c r="G1322" s="3">
        <f>_xlfn.IFNA(VLOOKUP($A1322,[3]stockregister!$A$2:$L$2000,11,0),0)</f>
        <v>0</v>
      </c>
      <c r="H1322" s="3">
        <f>_xlfn.IFNA(VLOOKUP($A1322,[3]stockregister!$A$2:$L$2000,11,0),0)-$G1322</f>
        <v>0</v>
      </c>
      <c r="I1322" s="3">
        <f>_xlfn.IFNA(VLOOKUP($A1322,[3]stockregister!$A$2:$L$2000,12,0),0)</f>
        <v>690</v>
      </c>
      <c r="J1322" s="3">
        <f>_xlfn.IFNA(VLOOKUP($A1322,[3]stockregister!$A$1:$M$2000,12,0),0)-$I1322</f>
        <v>0</v>
      </c>
      <c r="K1322" s="3" t="s">
        <v>22</v>
      </c>
      <c r="L1322" s="3" t="s">
        <v>23</v>
      </c>
      <c r="M1322" s="3">
        <f>_xlfn.IFNA(VLOOKUP($A1322,[2]stockregister!$A$2:$H$2000,8,0),0)</f>
        <v>750</v>
      </c>
      <c r="N1322" s="3">
        <f>_xlfn.IFNA(VLOOKUP($A1322,[2]stockregister!$A$2:$H$2000,8,0),0)-$M1322</f>
        <v>0</v>
      </c>
      <c r="O1322" s="3" t="s">
        <v>3091</v>
      </c>
      <c r="P1322" s="3" t="s">
        <v>3091</v>
      </c>
      <c r="Q1322" s="3" t="s">
        <v>1887</v>
      </c>
      <c r="R1322" s="3" t="s">
        <v>318</v>
      </c>
    </row>
    <row r="1323" spans="1:18">
      <c r="A1323" s="3">
        <v>1817</v>
      </c>
      <c r="B1323" s="3" t="b">
        <f>ISNUMBER(MATCH(A1323,[1]stockregister!$A$2:$A$2000,0))</f>
        <v>1</v>
      </c>
      <c r="C1323" s="3" t="s">
        <v>3092</v>
      </c>
      <c r="D1323" s="3" t="str">
        <f>VLOOKUP($C1323,[1]stockregister!$B$2:$B$2000,1,0)</f>
        <v>SKYY VODKA 1LTR</v>
      </c>
      <c r="E1323" s="3" t="str">
        <f>IF(ISNA($D1323),VLOOKUP($A1323,[2]stockregister!$A$2:$B$2000,2,FALSE),"")</f>
        <v/>
      </c>
      <c r="F1323" s="3" t="s">
        <v>21</v>
      </c>
      <c r="G1323" s="3">
        <f>_xlfn.IFNA(VLOOKUP($A1323,[3]stockregister!$A$2:$L$2000,11,0),0)</f>
        <v>0</v>
      </c>
      <c r="H1323" s="3">
        <f>_xlfn.IFNA(VLOOKUP($A1323,[3]stockregister!$A$2:$L$2000,11,0),0)-$G1323</f>
        <v>0</v>
      </c>
      <c r="I1323" s="3">
        <f>_xlfn.IFNA(VLOOKUP($A1323,[3]stockregister!$A$2:$L$2000,12,0),0)</f>
        <v>1600</v>
      </c>
      <c r="J1323" s="3">
        <f>_xlfn.IFNA(VLOOKUP($A1323,[3]stockregister!$A$1:$M$2000,12,0),0)-$I1323</f>
        <v>0</v>
      </c>
      <c r="K1323" s="3" t="s">
        <v>22</v>
      </c>
      <c r="L1323" s="3" t="s">
        <v>23</v>
      </c>
      <c r="M1323" s="3">
        <f>_xlfn.IFNA(VLOOKUP($A1323,[2]stockregister!$A$2:$H$2000,8,0),0)</f>
        <v>1800</v>
      </c>
      <c r="N1323" s="3">
        <f>_xlfn.IFNA(VLOOKUP($A1323,[2]stockregister!$A$2:$H$2000,8,0),0)-$M1323</f>
        <v>0</v>
      </c>
      <c r="O1323" s="3" t="s">
        <v>3093</v>
      </c>
      <c r="P1323" s="3" t="s">
        <v>3093</v>
      </c>
      <c r="Q1323" s="3" t="s">
        <v>3004</v>
      </c>
      <c r="R1323" s="3" t="s">
        <v>318</v>
      </c>
    </row>
    <row r="1324" spans="1:18">
      <c r="A1324" s="3">
        <v>1192</v>
      </c>
      <c r="B1324" s="3" t="b">
        <f>ISNUMBER(MATCH(A1324,[1]stockregister!$A$2:$A$2000,0))</f>
        <v>1</v>
      </c>
      <c r="C1324" s="3" t="s">
        <v>3094</v>
      </c>
      <c r="D1324" s="3" t="str">
        <f>VLOOKUP($C1324,[1]stockregister!$B$2:$B$2000,1,0)</f>
        <v>KHOR PLATINUM 750ML</v>
      </c>
      <c r="E1324" s="3" t="str">
        <f>IF(ISNA($D1324),VLOOKUP($A1324,[2]stockregister!$A$2:$B$2000,2,FALSE),"")</f>
        <v/>
      </c>
      <c r="F1324" s="3" t="s">
        <v>21</v>
      </c>
      <c r="G1324" s="3">
        <f>_xlfn.IFNA(VLOOKUP($A1324,[3]stockregister!$A$2:$L$2000,11,0),0)</f>
        <v>0</v>
      </c>
      <c r="H1324" s="3">
        <f>_xlfn.IFNA(VLOOKUP($A1324,[3]stockregister!$A$2:$L$2000,11,0),0)-$G1324</f>
        <v>0</v>
      </c>
      <c r="I1324" s="3">
        <f>_xlfn.IFNA(VLOOKUP($A1324,[3]stockregister!$A$2:$L$2000,12,0),0)</f>
        <v>1932</v>
      </c>
      <c r="J1324" s="3">
        <f>_xlfn.IFNA(VLOOKUP($A1324,[3]stockregister!$A$1:$M$2000,12,0),0)-$I1324</f>
        <v>0</v>
      </c>
      <c r="K1324" s="3" t="s">
        <v>22</v>
      </c>
      <c r="L1324" s="3" t="s">
        <v>23</v>
      </c>
      <c r="M1324" s="3">
        <f>_xlfn.IFNA(VLOOKUP($A1324,[2]stockregister!$A$2:$H$2000,8,0),0)</f>
        <v>2100</v>
      </c>
      <c r="N1324" s="3">
        <f>_xlfn.IFNA(VLOOKUP($A1324,[2]stockregister!$A$2:$H$2000,8,0),0)-$M1324</f>
        <v>0</v>
      </c>
      <c r="O1324" s="3" t="s">
        <v>3095</v>
      </c>
      <c r="P1324" s="3" t="s">
        <v>3095</v>
      </c>
      <c r="Q1324" s="3" t="s">
        <v>2987</v>
      </c>
      <c r="R1324" s="3" t="s">
        <v>318</v>
      </c>
    </row>
    <row r="1325" spans="1:18">
      <c r="A1325" s="3">
        <v>1193</v>
      </c>
      <c r="B1325" s="3" t="b">
        <f>ISNUMBER(MATCH(A1325,[1]stockregister!$A$2:$A$2000,0))</f>
        <v>1</v>
      </c>
      <c r="C1325" s="3" t="s">
        <v>3096</v>
      </c>
      <c r="D1325" s="3" t="str">
        <f>VLOOKUP($C1325,[1]stockregister!$B$2:$B$2000,1,0)</f>
        <v>KHOR PLATINUM VODKA 1LTR</v>
      </c>
      <c r="E1325" s="3" t="str">
        <f>IF(ISNA($D1325),VLOOKUP($A1325,[2]stockregister!$A$2:$B$2000,2,FALSE),"")</f>
        <v/>
      </c>
      <c r="F1325" s="3" t="s">
        <v>21</v>
      </c>
      <c r="G1325" s="3">
        <f>_xlfn.IFNA(VLOOKUP($A1325,[3]stockregister!$A$2:$L$2000,11,0),0)</f>
        <v>0</v>
      </c>
      <c r="H1325" s="3">
        <f>_xlfn.IFNA(VLOOKUP($A1325,[3]stockregister!$A$2:$L$2000,11,0),0)-$G1325</f>
        <v>0</v>
      </c>
      <c r="I1325" s="3">
        <f>_xlfn.IFNA(VLOOKUP($A1325,[3]stockregister!$A$2:$L$2000,12,0),0)</f>
        <v>1380</v>
      </c>
      <c r="J1325" s="3">
        <f>_xlfn.IFNA(VLOOKUP($A1325,[3]stockregister!$A$1:$M$2000,12,0),0)-$I1325</f>
        <v>0</v>
      </c>
      <c r="K1325" s="3" t="s">
        <v>22</v>
      </c>
      <c r="L1325" s="3" t="s">
        <v>23</v>
      </c>
      <c r="M1325" s="3">
        <f>_xlfn.IFNA(VLOOKUP($A1325,[2]stockregister!$A$2:$H$2000,8,0),0)</f>
        <v>1500</v>
      </c>
      <c r="N1325" s="3">
        <f>_xlfn.IFNA(VLOOKUP($A1325,[2]stockregister!$A$2:$H$2000,8,0),0)-$M1325</f>
        <v>0</v>
      </c>
      <c r="O1325" s="3" t="s">
        <v>3097</v>
      </c>
      <c r="P1325" s="3" t="s">
        <v>3097</v>
      </c>
      <c r="Q1325" s="3" t="s">
        <v>2987</v>
      </c>
      <c r="R1325" s="3" t="s">
        <v>318</v>
      </c>
    </row>
    <row r="1326" spans="1:18">
      <c r="A1326" s="3">
        <v>2293</v>
      </c>
      <c r="B1326" s="3" t="b">
        <f>ISNUMBER(MATCH(A1326,[1]stockregister!$A$2:$A$2000,0))</f>
        <v>1</v>
      </c>
      <c r="C1326" s="3" t="s">
        <v>3098</v>
      </c>
      <c r="D1326" s="3" t="str">
        <f>VLOOKUP($C1326,[1]stockregister!$B$2:$B$2000,1,0)</f>
        <v>ELIT VODKA 1LTR</v>
      </c>
      <c r="E1326" s="3" t="str">
        <f>IF(ISNA($D1326),VLOOKUP($A1326,[2]stockregister!$A$2:$B$2000,2,FALSE),"")</f>
        <v/>
      </c>
      <c r="F1326" s="3" t="s">
        <v>21</v>
      </c>
      <c r="G1326" s="3">
        <f>_xlfn.IFNA(VLOOKUP($A1326,[3]stockregister!$A$2:$L$2000,11,0),0)</f>
        <v>0</v>
      </c>
      <c r="H1326" s="3">
        <f>_xlfn.IFNA(VLOOKUP($A1326,[3]stockregister!$A$2:$L$2000,11,0),0)-$G1326</f>
        <v>0</v>
      </c>
      <c r="I1326" s="3">
        <f>_xlfn.IFNA(VLOOKUP($A1326,[3]stockregister!$A$2:$L$2000,12,0),0)</f>
        <v>3200</v>
      </c>
      <c r="J1326" s="3">
        <f>_xlfn.IFNA(VLOOKUP($A1326,[3]stockregister!$A$1:$M$2000,12,0),0)-$I1326</f>
        <v>0</v>
      </c>
      <c r="K1326" s="3" t="s">
        <v>22</v>
      </c>
      <c r="L1326" s="3" t="s">
        <v>23</v>
      </c>
      <c r="M1326" s="3">
        <f>_xlfn.IFNA(VLOOKUP($A1326,[2]stockregister!$A$2:$H$2000,8,0),0)</f>
        <v>3500</v>
      </c>
      <c r="N1326" s="3">
        <f>_xlfn.IFNA(VLOOKUP($A1326,[2]stockregister!$A$2:$H$2000,8,0),0)-$M1326</f>
        <v>0</v>
      </c>
      <c r="O1326" s="3" t="s">
        <v>3099</v>
      </c>
      <c r="P1326" s="3" t="s">
        <v>3099</v>
      </c>
      <c r="Q1326" s="3" t="s">
        <v>3100</v>
      </c>
      <c r="R1326" s="3" t="s">
        <v>318</v>
      </c>
    </row>
    <row r="1327" spans="1:18">
      <c r="A1327" s="3">
        <v>2295</v>
      </c>
      <c r="B1327" s="3" t="b">
        <f>ISNUMBER(MATCH(A1327,[1]stockregister!$A$2:$A$2000,0))</f>
        <v>1</v>
      </c>
      <c r="C1327" s="3" t="s">
        <v>3101</v>
      </c>
      <c r="D1327" s="3" t="str">
        <f>VLOOKUP($C1327,[1]stockregister!$B$2:$B$2000,1,0)</f>
        <v>GREY GOOSE 375ML</v>
      </c>
      <c r="E1327" s="3" t="str">
        <f>IF(ISNA($D1327),VLOOKUP($A1327,[2]stockregister!$A$2:$B$2000,2,FALSE),"")</f>
        <v/>
      </c>
      <c r="F1327" s="3" t="s">
        <v>21</v>
      </c>
      <c r="G1327" s="3">
        <f>_xlfn.IFNA(VLOOKUP($A1327,[3]stockregister!$A$2:$L$2000,11,0),0)</f>
        <v>0</v>
      </c>
      <c r="H1327" s="3">
        <f>_xlfn.IFNA(VLOOKUP($A1327,[3]stockregister!$A$2:$L$2000,11,0),0)-$G1327</f>
        <v>0</v>
      </c>
      <c r="I1327" s="3">
        <f>_xlfn.IFNA(VLOOKUP($A1327,[3]stockregister!$A$2:$L$2000,12,0),0)</f>
        <v>1400</v>
      </c>
      <c r="J1327" s="3">
        <f>_xlfn.IFNA(VLOOKUP($A1327,[3]stockregister!$A$1:$M$2000,12,0),0)-$I1327</f>
        <v>0</v>
      </c>
      <c r="K1327" s="3" t="s">
        <v>22</v>
      </c>
      <c r="L1327" s="3" t="s">
        <v>23</v>
      </c>
      <c r="M1327" s="3">
        <f>_xlfn.IFNA(VLOOKUP($A1327,[2]stockregister!$A$2:$H$2000,8,0),0)</f>
        <v>1500</v>
      </c>
      <c r="N1327" s="3">
        <f>_xlfn.IFNA(VLOOKUP($A1327,[2]stockregister!$A$2:$H$2000,8,0),0)-$M1327</f>
        <v>0</v>
      </c>
      <c r="O1327" s="3" t="s">
        <v>3102</v>
      </c>
      <c r="P1327" s="3" t="s">
        <v>3102</v>
      </c>
      <c r="Q1327" s="3" t="s">
        <v>3103</v>
      </c>
      <c r="R1327" s="3" t="s">
        <v>318</v>
      </c>
    </row>
    <row r="1328" spans="1:18">
      <c r="A1328" s="3">
        <v>2341</v>
      </c>
      <c r="B1328" s="3" t="b">
        <f>ISNUMBER(MATCH(A1328,[1]stockregister!$A$2:$A$2000,0))</f>
        <v>1</v>
      </c>
      <c r="C1328" s="3" t="s">
        <v>3104</v>
      </c>
      <c r="D1328" s="3" t="str">
        <f>VLOOKUP($C1328,[1]stockregister!$B$2:$B$2000,1,0)</f>
        <v>LELESHWA VODKA 750ML</v>
      </c>
      <c r="E1328" s="3" t="str">
        <f>IF(ISNA($D1328),VLOOKUP($A1328,[2]stockregister!$A$2:$B$2000,2,FALSE),"")</f>
        <v/>
      </c>
      <c r="F1328" s="3" t="s">
        <v>21</v>
      </c>
      <c r="G1328" s="3">
        <f>_xlfn.IFNA(VLOOKUP($A1328,[3]stockregister!$A$2:$L$2000,11,0),0)</f>
        <v>0</v>
      </c>
      <c r="H1328" s="3">
        <f>_xlfn.IFNA(VLOOKUP($A1328,[3]stockregister!$A$2:$L$2000,11,0),0)-$G1328</f>
        <v>0</v>
      </c>
      <c r="I1328" s="3">
        <f>_xlfn.IFNA(VLOOKUP($A1328,[3]stockregister!$A$2:$L$2000,12,0),0)</f>
        <v>1248.16</v>
      </c>
      <c r="J1328" s="3">
        <f>_xlfn.IFNA(VLOOKUP($A1328,[3]stockregister!$A$1:$M$2000,12,0),0)-$I1328</f>
        <v>0</v>
      </c>
      <c r="K1328" s="3" t="s">
        <v>22</v>
      </c>
      <c r="L1328" s="3" t="s">
        <v>23</v>
      </c>
      <c r="M1328" s="3">
        <f>_xlfn.IFNA(VLOOKUP($A1328,[2]stockregister!$A$2:$H$2000,8,0),0)</f>
        <v>1350</v>
      </c>
      <c r="N1328" s="3">
        <f>_xlfn.IFNA(VLOOKUP($A1328,[2]stockregister!$A$2:$H$2000,8,0),0)-$M1328</f>
        <v>0</v>
      </c>
      <c r="O1328" s="3" t="s">
        <v>3105</v>
      </c>
      <c r="P1328" s="3" t="s">
        <v>3105</v>
      </c>
      <c r="Q1328" s="3" t="s">
        <v>3106</v>
      </c>
      <c r="R1328" s="3" t="s">
        <v>318</v>
      </c>
    </row>
    <row r="1329" spans="1:18">
      <c r="A1329" s="3">
        <v>2309</v>
      </c>
      <c r="B1329" s="3" t="b">
        <f>ISNUMBER(MATCH(A1329,[1]stockregister!$A$2:$A$2000,0))</f>
        <v>1</v>
      </c>
      <c r="C1329" s="3" t="s">
        <v>3107</v>
      </c>
      <c r="D1329" s="3" t="str">
        <f>VLOOKUP($C1329,[1]stockregister!$B$2:$B$2000,1,0)</f>
        <v>NEON ORANGE VODKA 750ML</v>
      </c>
      <c r="E1329" s="3" t="str">
        <f>IF(ISNA($D1329),VLOOKUP($A1329,[2]stockregister!$A$2:$B$2000,2,FALSE),"")</f>
        <v/>
      </c>
      <c r="F1329" s="3" t="s">
        <v>21</v>
      </c>
      <c r="G1329" s="3">
        <f>_xlfn.IFNA(VLOOKUP($A1329,[3]stockregister!$A$2:$L$2000,11,0),0)</f>
        <v>0</v>
      </c>
      <c r="H1329" s="3">
        <f>_xlfn.IFNA(VLOOKUP($A1329,[3]stockregister!$A$2:$L$2000,11,0),0)-$G1329</f>
        <v>0</v>
      </c>
      <c r="I1329" s="3">
        <f>_xlfn.IFNA(VLOOKUP($A1329,[3]stockregister!$A$2:$L$2000,12,0),0)</f>
        <v>550</v>
      </c>
      <c r="J1329" s="3">
        <f>_xlfn.IFNA(VLOOKUP($A1329,[3]stockregister!$A$1:$M$2000,12,0),0)-$I1329</f>
        <v>0</v>
      </c>
      <c r="K1329" s="3" t="s">
        <v>22</v>
      </c>
      <c r="L1329" s="3" t="s">
        <v>23</v>
      </c>
      <c r="M1329" s="3">
        <f>_xlfn.IFNA(VLOOKUP($A1329,[2]stockregister!$A$2:$H$2000,8,0),0)</f>
        <v>600</v>
      </c>
      <c r="N1329" s="3">
        <f>_xlfn.IFNA(VLOOKUP($A1329,[2]stockregister!$A$2:$H$2000,8,0),0)-$M1329</f>
        <v>0</v>
      </c>
      <c r="O1329" s="3" t="s">
        <v>3108</v>
      </c>
      <c r="P1329" s="3" t="s">
        <v>3108</v>
      </c>
      <c r="Q1329" s="3" t="s">
        <v>683</v>
      </c>
      <c r="R1329" s="3" t="s">
        <v>318</v>
      </c>
    </row>
    <row r="1330" spans="1:18">
      <c r="A1330" s="3">
        <v>1847</v>
      </c>
      <c r="B1330" s="3" t="b">
        <f>ISNUMBER(MATCH(A1330,[1]stockregister!$A$2:$A$2000,0))</f>
        <v>1</v>
      </c>
      <c r="C1330" s="3" t="s">
        <v>3109</v>
      </c>
      <c r="D1330" s="3" t="str">
        <f>VLOOKUP($C1330,[1]stockregister!$B$2:$B$2000,1,0)</f>
        <v>SOBIESKI VODKA 1LTR</v>
      </c>
      <c r="E1330" s="3" t="str">
        <f>IF(ISNA($D1330),VLOOKUP($A1330,[2]stockregister!$A$2:$B$2000,2,FALSE),"")</f>
        <v/>
      </c>
      <c r="F1330" s="3" t="s">
        <v>21</v>
      </c>
      <c r="G1330" s="3">
        <f>_xlfn.IFNA(VLOOKUP($A1330,[3]stockregister!$A$2:$L$2000,11,0),0)</f>
        <v>0</v>
      </c>
      <c r="H1330" s="3">
        <f>_xlfn.IFNA(VLOOKUP($A1330,[3]stockregister!$A$2:$L$2000,11,0),0)-$G1330</f>
        <v>0</v>
      </c>
      <c r="I1330" s="3">
        <f>_xlfn.IFNA(VLOOKUP($A1330,[3]stockregister!$A$2:$L$2000,12,0),0)</f>
        <v>1472</v>
      </c>
      <c r="J1330" s="3">
        <f>_xlfn.IFNA(VLOOKUP($A1330,[3]stockregister!$A$1:$M$2000,12,0),0)-$I1330</f>
        <v>0</v>
      </c>
      <c r="K1330" s="3" t="s">
        <v>22</v>
      </c>
      <c r="L1330" s="3" t="s">
        <v>23</v>
      </c>
      <c r="M1330" s="3">
        <f>_xlfn.IFNA(VLOOKUP($A1330,[2]stockregister!$A$2:$H$2000,8,0),0)</f>
        <v>1600</v>
      </c>
      <c r="N1330" s="3">
        <f>_xlfn.IFNA(VLOOKUP($A1330,[2]stockregister!$A$2:$H$2000,8,0),0)-$M1330</f>
        <v>0</v>
      </c>
      <c r="O1330" s="3" t="s">
        <v>3110</v>
      </c>
      <c r="P1330" s="3" t="s">
        <v>3110</v>
      </c>
      <c r="Q1330" s="3" t="s">
        <v>3111</v>
      </c>
      <c r="R1330" s="3" t="s">
        <v>318</v>
      </c>
    </row>
    <row r="1331" spans="1:18">
      <c r="A1331" s="3">
        <v>2299</v>
      </c>
      <c r="B1331" s="3" t="b">
        <f>ISNUMBER(MATCH(A1331,[1]stockregister!$A$2:$A$2000,0))</f>
        <v>1</v>
      </c>
      <c r="C1331" s="3" t="s">
        <v>3112</v>
      </c>
      <c r="D1331" s="3" t="str">
        <f>VLOOKUP($C1331,[1]stockregister!$B$2:$B$2000,1,0)</f>
        <v>STOLICHNAYA 1LTR</v>
      </c>
      <c r="E1331" s="3" t="str">
        <f>IF(ISNA($D1331),VLOOKUP($A1331,[2]stockregister!$A$2:$B$2000,2,FALSE),"")</f>
        <v/>
      </c>
      <c r="F1331" s="3" t="s">
        <v>21</v>
      </c>
      <c r="G1331" s="3">
        <f>_xlfn.IFNA(VLOOKUP($A1331,[3]stockregister!$A$2:$L$2000,11,0),0)</f>
        <v>0</v>
      </c>
      <c r="H1331" s="3">
        <f>_xlfn.IFNA(VLOOKUP($A1331,[3]stockregister!$A$2:$L$2000,11,0),0)-$G1331</f>
        <v>0</v>
      </c>
      <c r="I1331" s="3">
        <f>_xlfn.IFNA(VLOOKUP($A1331,[3]stockregister!$A$2:$L$2000,12,0),0)</f>
        <v>1200</v>
      </c>
      <c r="J1331" s="3">
        <f>_xlfn.IFNA(VLOOKUP($A1331,[3]stockregister!$A$1:$M$2000,12,0),0)-$I1331</f>
        <v>0</v>
      </c>
      <c r="K1331" s="3" t="s">
        <v>22</v>
      </c>
      <c r="L1331" s="3" t="s">
        <v>23</v>
      </c>
      <c r="M1331" s="3">
        <f>_xlfn.IFNA(VLOOKUP($A1331,[2]stockregister!$A$2:$H$2000,8,0),0)</f>
        <v>1300</v>
      </c>
      <c r="N1331" s="3">
        <f>_xlfn.IFNA(VLOOKUP($A1331,[2]stockregister!$A$2:$H$2000,8,0),0)-$M1331</f>
        <v>0</v>
      </c>
      <c r="O1331" s="3" t="s">
        <v>3113</v>
      </c>
      <c r="P1331" s="3" t="s">
        <v>3113</v>
      </c>
      <c r="Q1331" s="3" t="s">
        <v>945</v>
      </c>
      <c r="R1331" s="3" t="s">
        <v>318</v>
      </c>
    </row>
    <row r="1332" spans="1:18">
      <c r="A1332" s="3">
        <v>2381</v>
      </c>
      <c r="B1332" s="3" t="b">
        <f>ISNUMBER(MATCH(A1332,[1]stockregister!$A$2:$A$2000,0))</f>
        <v>1</v>
      </c>
      <c r="C1332" s="3" t="s">
        <v>3114</v>
      </c>
      <c r="D1332" s="3" t="str">
        <f>VLOOKUP($C1332,[1]stockregister!$B$2:$B$2000,1,0)</f>
        <v>CIROC SNAP FOREST 1LTR</v>
      </c>
      <c r="E1332" s="3" t="str">
        <f>IF(ISNA($D1332),VLOOKUP($A1332,[2]stockregister!$A$2:$B$2000,2,FALSE),"")</f>
        <v/>
      </c>
      <c r="F1332" s="3" t="s">
        <v>21</v>
      </c>
      <c r="G1332" s="3">
        <f>_xlfn.IFNA(VLOOKUP($A1332,[3]stockregister!$A$2:$L$2000,11,0),0)</f>
        <v>0</v>
      </c>
      <c r="H1332" s="3">
        <f>_xlfn.IFNA(VLOOKUP($A1332,[3]stockregister!$A$2:$L$2000,11,0),0)-$G1332</f>
        <v>0</v>
      </c>
      <c r="I1332" s="3">
        <f>_xlfn.IFNA(VLOOKUP($A1332,[3]stockregister!$A$2:$L$2000,12,0),0)</f>
        <v>4600</v>
      </c>
      <c r="J1332" s="3">
        <f>_xlfn.IFNA(VLOOKUP($A1332,[3]stockregister!$A$1:$M$2000,12,0),0)-$I1332</f>
        <v>0</v>
      </c>
      <c r="K1332" s="3" t="s">
        <v>22</v>
      </c>
      <c r="L1332" s="3" t="s">
        <v>23</v>
      </c>
      <c r="M1332" s="3">
        <f>_xlfn.IFNA(VLOOKUP($A1332,[2]stockregister!$A$2:$H$2000,8,0),0)</f>
        <v>4700</v>
      </c>
      <c r="N1332" s="3">
        <f>_xlfn.IFNA(VLOOKUP($A1332,[2]stockregister!$A$2:$H$2000,8,0),0)-$M1332</f>
        <v>0</v>
      </c>
      <c r="O1332" s="3" t="s">
        <v>3115</v>
      </c>
      <c r="P1332" s="3" t="s">
        <v>3115</v>
      </c>
      <c r="Q1332" s="3" t="s">
        <v>655</v>
      </c>
      <c r="R1332" s="3" t="s">
        <v>318</v>
      </c>
    </row>
    <row r="1333" spans="1:18">
      <c r="A1333" s="3">
        <v>2360</v>
      </c>
      <c r="B1333" s="3" t="b">
        <f>ISNUMBER(MATCH(A1333,[1]stockregister!$A$2:$A$2000,0))</f>
        <v>1</v>
      </c>
      <c r="C1333" s="3" t="s">
        <v>3116</v>
      </c>
      <c r="D1333" s="3" t="str">
        <f>VLOOKUP($C1333,[1]stockregister!$B$2:$B$2000,1,0)</f>
        <v>STOLICHNAYA HOT 750ML</v>
      </c>
      <c r="E1333" s="3" t="str">
        <f>IF(ISNA($D1333),VLOOKUP($A1333,[2]stockregister!$A$2:$B$2000,2,FALSE),"")</f>
        <v/>
      </c>
      <c r="F1333" s="3" t="s">
        <v>21</v>
      </c>
      <c r="G1333" s="3">
        <f>_xlfn.IFNA(VLOOKUP($A1333,[3]stockregister!$A$2:$L$2000,11,0),0)</f>
        <v>0</v>
      </c>
      <c r="H1333" s="3">
        <f>_xlfn.IFNA(VLOOKUP($A1333,[3]stockregister!$A$2:$L$2000,11,0),0)-$G1333</f>
        <v>0</v>
      </c>
      <c r="I1333" s="3">
        <f>_xlfn.IFNA(VLOOKUP($A1333,[3]stockregister!$A$2:$L$2000,12,0),0)</f>
        <v>850</v>
      </c>
      <c r="J1333" s="3">
        <f>_xlfn.IFNA(VLOOKUP($A1333,[3]stockregister!$A$1:$M$2000,12,0),0)-$I1333</f>
        <v>0</v>
      </c>
      <c r="K1333" s="3" t="s">
        <v>22</v>
      </c>
      <c r="L1333" s="3" t="s">
        <v>23</v>
      </c>
      <c r="M1333" s="3">
        <f>_xlfn.IFNA(VLOOKUP($A1333,[2]stockregister!$A$2:$H$2000,8,0),0)</f>
        <v>950</v>
      </c>
      <c r="N1333" s="3">
        <f>_xlfn.IFNA(VLOOKUP($A1333,[2]stockregister!$A$2:$H$2000,8,0),0)-$M1333</f>
        <v>0</v>
      </c>
      <c r="O1333" s="3" t="s">
        <v>3117</v>
      </c>
      <c r="P1333" s="3" t="s">
        <v>3117</v>
      </c>
      <c r="Q1333" s="3" t="s">
        <v>1855</v>
      </c>
      <c r="R1333" s="3" t="s">
        <v>1097</v>
      </c>
    </row>
    <row r="1334" spans="1:18">
      <c r="A1334" s="3">
        <v>1195</v>
      </c>
      <c r="B1334" s="3" t="b">
        <f>ISNUMBER(MATCH(A1334,[1]stockregister!$A$2:$A$2000,0))</f>
        <v>1</v>
      </c>
      <c r="C1334" s="3" t="s">
        <v>3118</v>
      </c>
      <c r="D1334" s="3" t="str">
        <f>VLOOKUP($C1334,[1]stockregister!$B$2:$B$2000,1,0)</f>
        <v>KHOR WHITE &amp; GOLD VODKA 1LTR</v>
      </c>
      <c r="E1334" s="3" t="str">
        <f>IF(ISNA($D1334),VLOOKUP($A1334,[2]stockregister!$A$2:$B$2000,2,FALSE),"")</f>
        <v/>
      </c>
      <c r="F1334" s="3" t="s">
        <v>21</v>
      </c>
      <c r="G1334" s="3">
        <f>_xlfn.IFNA(VLOOKUP($A1334,[3]stockregister!$A$2:$L$2000,11,0),0)</f>
        <v>0</v>
      </c>
      <c r="H1334" s="3">
        <f>_xlfn.IFNA(VLOOKUP($A1334,[3]stockregister!$A$2:$L$2000,11,0),0)-$G1334</f>
        <v>0</v>
      </c>
      <c r="I1334" s="3">
        <f>_xlfn.IFNA(VLOOKUP($A1334,[3]stockregister!$A$2:$L$2000,12,0),0)</f>
        <v>2116</v>
      </c>
      <c r="J1334" s="3">
        <f>_xlfn.IFNA(VLOOKUP($A1334,[3]stockregister!$A$1:$M$2000,12,0),0)-$I1334</f>
        <v>0</v>
      </c>
      <c r="K1334" s="3" t="s">
        <v>22</v>
      </c>
      <c r="L1334" s="3" t="s">
        <v>23</v>
      </c>
      <c r="M1334" s="3">
        <f>_xlfn.IFNA(VLOOKUP($A1334,[2]stockregister!$A$2:$H$2000,8,0),0)</f>
        <v>2300</v>
      </c>
      <c r="N1334" s="3">
        <f>_xlfn.IFNA(VLOOKUP($A1334,[2]stockregister!$A$2:$H$2000,8,0),0)-$M1334</f>
        <v>0</v>
      </c>
      <c r="O1334" s="3" t="s">
        <v>3119</v>
      </c>
      <c r="P1334" s="3" t="s">
        <v>3119</v>
      </c>
      <c r="Q1334" s="3" t="s">
        <v>2987</v>
      </c>
      <c r="R1334" s="3" t="s">
        <v>318</v>
      </c>
    </row>
    <row r="1335" spans="1:19">
      <c r="A1335" s="3">
        <v>2858</v>
      </c>
      <c r="B1335" s="3" t="b">
        <f>ISNUMBER(MATCH(A1335,[1]stockregister!$A$2:$A$2000,0))</f>
        <v>1</v>
      </c>
      <c r="C1335" s="3" t="s">
        <v>3120</v>
      </c>
      <c r="D1335" s="3" t="str">
        <f>VLOOKUP($C1335,[1]stockregister!$B$2:$B$2000,1,0)</f>
        <v>100 Strokes Whisky 750ML</v>
      </c>
      <c r="E1335" s="3" t="str">
        <f>IF(ISNA($D1335),VLOOKUP($A1335,[2]stockregister!$A$2:$B$2000,2,FALSE),"")</f>
        <v/>
      </c>
      <c r="F1335" s="3" t="s">
        <v>21</v>
      </c>
      <c r="G1335" s="3">
        <f>_xlfn.IFNA(VLOOKUP($A1335,[3]stockregister!$A$2:$L$2000,11,0),0)</f>
        <v>0</v>
      </c>
      <c r="H1335" s="3">
        <f>_xlfn.IFNA(VLOOKUP($A1335,[3]stockregister!$A$2:$L$2000,11,0),0)-$G1335</f>
        <v>0</v>
      </c>
      <c r="I1335" s="3">
        <f>_xlfn.IFNA(VLOOKUP($A1335,[3]stockregister!$A$2:$L$2000,12,0),0)</f>
        <v>950</v>
      </c>
      <c r="J1335" s="3">
        <f>_xlfn.IFNA(VLOOKUP($A1335,[3]stockregister!$A$1:$M$2000,12,0),0)-$I1335</f>
        <v>0</v>
      </c>
      <c r="K1335" s="3" t="s">
        <v>22</v>
      </c>
      <c r="L1335" s="3" t="s">
        <v>23</v>
      </c>
      <c r="M1335" s="3">
        <f>_xlfn.IFNA(VLOOKUP($A1335,[2]stockregister!$A$2:$H$2000,8,0),0)</f>
        <v>1100</v>
      </c>
      <c r="N1335" s="3">
        <f>_xlfn.IFNA(VLOOKUP($A1335,[2]stockregister!$A$2:$H$2000,8,0),0)-$M1335</f>
        <v>0</v>
      </c>
      <c r="O1335" s="3" t="s">
        <v>3121</v>
      </c>
      <c r="P1335" s="3" t="s">
        <v>3121</v>
      </c>
      <c r="Q1335" s="3" t="s">
        <v>3122</v>
      </c>
      <c r="R1335" s="3" t="s">
        <v>113</v>
      </c>
      <c r="S1335" s="3" t="s">
        <v>114</v>
      </c>
    </row>
    <row r="1336" spans="1:19">
      <c r="A1336" s="3">
        <v>933</v>
      </c>
      <c r="B1336" s="3" t="b">
        <f>ISNUMBER(MATCH(A1336,[1]stockregister!$A$2:$A$2000,0))</f>
        <v>1</v>
      </c>
      <c r="C1336" s="3" t="s">
        <v>3123</v>
      </c>
      <c r="D1336" s="3" t="str">
        <f>VLOOKUP($C1336,[1]stockregister!$B$2:$B$2000,1,0)</f>
        <v>HAMPTON DRAM WHISKY 750ML</v>
      </c>
      <c r="E1336" s="3" t="str">
        <f>IF(ISNA($D1336),VLOOKUP($A1336,[2]stockregister!$A$2:$B$2000,2,FALSE),"")</f>
        <v/>
      </c>
      <c r="F1336" s="3" t="s">
        <v>21</v>
      </c>
      <c r="G1336" s="3">
        <f>_xlfn.IFNA(VLOOKUP($A1336,[3]stockregister!$A$2:$L$2000,11,0),0)</f>
        <v>0</v>
      </c>
      <c r="H1336" s="3">
        <f>_xlfn.IFNA(VLOOKUP($A1336,[3]stockregister!$A$2:$L$2000,11,0),0)-$G1336</f>
        <v>0</v>
      </c>
      <c r="I1336" s="3">
        <f>_xlfn.IFNA(VLOOKUP($A1336,[3]stockregister!$A$2:$L$2000,12,0),0)</f>
        <v>1223</v>
      </c>
      <c r="J1336" s="3">
        <f>_xlfn.IFNA(VLOOKUP($A1336,[3]stockregister!$A$1:$M$2000,12,0),0)-$I1336</f>
        <v>0</v>
      </c>
      <c r="K1336" s="3" t="s">
        <v>22</v>
      </c>
      <c r="L1336" s="3" t="s">
        <v>23</v>
      </c>
      <c r="M1336" s="3">
        <f>_xlfn.IFNA(VLOOKUP($A1336,[2]stockregister!$A$2:$H$2000,8,0),0)</f>
        <v>1350</v>
      </c>
      <c r="N1336" s="3">
        <f>_xlfn.IFNA(VLOOKUP($A1336,[2]stockregister!$A$2:$H$2000,8,0),0)-$M1336</f>
        <v>0</v>
      </c>
      <c r="O1336" s="3" t="s">
        <v>3124</v>
      </c>
      <c r="P1336" s="3" t="s">
        <v>3124</v>
      </c>
      <c r="Q1336" s="3" t="s">
        <v>3125</v>
      </c>
      <c r="R1336" s="3" t="s">
        <v>92</v>
      </c>
      <c r="S1336" s="3" t="s">
        <v>114</v>
      </c>
    </row>
    <row r="1337" spans="1:19">
      <c r="A1337" s="3">
        <v>2859</v>
      </c>
      <c r="B1337" s="3" t="b">
        <f>ISNUMBER(MATCH(A1337,[1]stockregister!$A$2:$A$2000,0))</f>
        <v>1</v>
      </c>
      <c r="C1337" s="3" t="s">
        <v>3126</v>
      </c>
      <c r="D1337" s="3" t="str">
        <f>VLOOKUP($C1337,[1]stockregister!$B$2:$B$2000,1,0)</f>
        <v>100 Strokes Whisky 375ML</v>
      </c>
      <c r="E1337" s="3" t="str">
        <f>IF(ISNA($D1337),VLOOKUP($A1337,[2]stockregister!$A$2:$B$2000,2,FALSE),"")</f>
        <v/>
      </c>
      <c r="F1337" s="3" t="s">
        <v>21</v>
      </c>
      <c r="G1337" s="3">
        <f>_xlfn.IFNA(VLOOKUP($A1337,[3]stockregister!$A$2:$L$2000,11,0),0)</f>
        <v>0</v>
      </c>
      <c r="H1337" s="3">
        <f>_xlfn.IFNA(VLOOKUP($A1337,[3]stockregister!$A$2:$L$2000,11,0),0)-$G1337</f>
        <v>0</v>
      </c>
      <c r="I1337" s="3">
        <f>_xlfn.IFNA(VLOOKUP($A1337,[3]stockregister!$A$2:$L$2000,12,0),0)</f>
        <v>475</v>
      </c>
      <c r="J1337" s="3">
        <f>_xlfn.IFNA(VLOOKUP($A1337,[3]stockregister!$A$1:$M$2000,12,0),0)-$I1337</f>
        <v>0</v>
      </c>
      <c r="K1337" s="3" t="s">
        <v>22</v>
      </c>
      <c r="L1337" s="3" t="s">
        <v>23</v>
      </c>
      <c r="M1337" s="3">
        <f>_xlfn.IFNA(VLOOKUP($A1337,[2]stockregister!$A$2:$H$2000,8,0),0)</f>
        <v>550</v>
      </c>
      <c r="N1337" s="3">
        <f>_xlfn.IFNA(VLOOKUP($A1337,[2]stockregister!$A$2:$H$2000,8,0),0)-$M1337</f>
        <v>0</v>
      </c>
      <c r="O1337" s="3" t="s">
        <v>3127</v>
      </c>
      <c r="P1337" s="3" t="s">
        <v>3127</v>
      </c>
      <c r="Q1337" s="3" t="s">
        <v>3122</v>
      </c>
      <c r="R1337" s="3" t="s">
        <v>113</v>
      </c>
      <c r="S1337" s="3" t="s">
        <v>114</v>
      </c>
    </row>
    <row r="1338" spans="1:19">
      <c r="A1338" s="3">
        <v>27</v>
      </c>
      <c r="B1338" s="3" t="b">
        <f>ISNUMBER(MATCH(A1338,[1]stockregister!$A$2:$A$2000,0))</f>
        <v>1</v>
      </c>
      <c r="C1338" s="3" t="s">
        <v>3128</v>
      </c>
      <c r="D1338" s="3" t="str">
        <f>VLOOKUP($C1338,[1]stockregister!$B$2:$B$2000,1,0)</f>
        <v>8PM BLENDED WHISKY FIRE 750ML</v>
      </c>
      <c r="E1338" s="3" t="str">
        <f>IF(ISNA($D1338),VLOOKUP($A1338,[2]stockregister!$A$2:$B$2000,2,FALSE),"")</f>
        <v/>
      </c>
      <c r="F1338" s="3" t="s">
        <v>21</v>
      </c>
      <c r="G1338" s="3">
        <f>_xlfn.IFNA(VLOOKUP($A1338,[3]stockregister!$A$2:$L$2000,11,0),0)</f>
        <v>0</v>
      </c>
      <c r="H1338" s="3">
        <f>_xlfn.IFNA(VLOOKUP($A1338,[3]stockregister!$A$2:$L$2000,11,0),0)-$G1338</f>
        <v>0</v>
      </c>
      <c r="I1338" s="3">
        <f>_xlfn.IFNA(VLOOKUP($A1338,[3]stockregister!$A$2:$L$2000,12,0),0)</f>
        <v>990</v>
      </c>
      <c r="J1338" s="3">
        <f>_xlfn.IFNA(VLOOKUP($A1338,[3]stockregister!$A$1:$M$2000,12,0),0)-$I1338</f>
        <v>0</v>
      </c>
      <c r="K1338" s="3" t="s">
        <v>22</v>
      </c>
      <c r="L1338" s="3" t="s">
        <v>23</v>
      </c>
      <c r="M1338" s="3">
        <f>_xlfn.IFNA(VLOOKUP($A1338,[2]stockregister!$A$2:$H$2000,8,0),0)</f>
        <v>1100</v>
      </c>
      <c r="N1338" s="3">
        <f>_xlfn.IFNA(VLOOKUP($A1338,[2]stockregister!$A$2:$H$2000,8,0),0)-$M1338</f>
        <v>0</v>
      </c>
      <c r="O1338" s="3" t="s">
        <v>3129</v>
      </c>
      <c r="P1338" s="3" t="s">
        <v>3129</v>
      </c>
      <c r="Q1338" s="3" t="s">
        <v>1874</v>
      </c>
      <c r="R1338" s="3" t="s">
        <v>113</v>
      </c>
      <c r="S1338" s="3" t="s">
        <v>114</v>
      </c>
    </row>
    <row r="1339" spans="1:19">
      <c r="A1339" s="3">
        <v>1545</v>
      </c>
      <c r="B1339" s="3" t="b">
        <f>ISNUMBER(MATCH(A1339,[1]stockregister!$A$2:$A$2000,0))</f>
        <v>1</v>
      </c>
      <c r="C1339" s="3" t="s">
        <v>3130</v>
      </c>
      <c r="D1339" s="3" t="str">
        <f>VLOOKUP($C1339,[1]stockregister!$B$2:$B$2000,1,0)</f>
        <v>OFFICER'S CHOICE WHISKY LITRE</v>
      </c>
      <c r="E1339" s="3" t="str">
        <f>IF(ISNA($D1339),VLOOKUP($A1339,[2]stockregister!$A$2:$B$2000,2,FALSE),"")</f>
        <v/>
      </c>
      <c r="F1339" s="3" t="s">
        <v>21</v>
      </c>
      <c r="G1339" s="3">
        <f>_xlfn.IFNA(VLOOKUP($A1339,[3]stockregister!$A$2:$L$2000,11,0),0)</f>
        <v>0</v>
      </c>
      <c r="H1339" s="3">
        <f>_xlfn.IFNA(VLOOKUP($A1339,[3]stockregister!$A$2:$L$2000,11,0),0)-$G1339</f>
        <v>0</v>
      </c>
      <c r="I1339" s="3">
        <f>_xlfn.IFNA(VLOOKUP($A1339,[3]stockregister!$A$2:$L$2000,12,0),0)</f>
        <v>598</v>
      </c>
      <c r="J1339" s="3">
        <f>_xlfn.IFNA(VLOOKUP($A1339,[3]stockregister!$A$1:$M$2000,12,0),0)-$I1339</f>
        <v>0</v>
      </c>
      <c r="K1339" s="3" t="s">
        <v>22</v>
      </c>
      <c r="L1339" s="3" t="s">
        <v>23</v>
      </c>
      <c r="M1339" s="3">
        <f>_xlfn.IFNA(VLOOKUP($A1339,[2]stockregister!$A$2:$H$2000,8,0),0)</f>
        <v>650</v>
      </c>
      <c r="N1339" s="3">
        <f>_xlfn.IFNA(VLOOKUP($A1339,[2]stockregister!$A$2:$H$2000,8,0),0)-$M1339</f>
        <v>0</v>
      </c>
      <c r="O1339" s="3" t="s">
        <v>3131</v>
      </c>
      <c r="P1339" s="3" t="s">
        <v>3131</v>
      </c>
      <c r="Q1339" s="3" t="s">
        <v>3132</v>
      </c>
      <c r="R1339" s="3" t="s">
        <v>113</v>
      </c>
      <c r="S1339" s="3" t="s">
        <v>114</v>
      </c>
    </row>
    <row r="1340" spans="1:19">
      <c r="A1340" s="3">
        <v>2877</v>
      </c>
      <c r="B1340" s="3" t="b">
        <f>ISNUMBER(MATCH(A1340,[1]stockregister!$A$2:$A$2000,0))</f>
        <v>1</v>
      </c>
      <c r="C1340" s="3" t="s">
        <v>3133</v>
      </c>
      <c r="D1340" s="3" t="str">
        <f>VLOOKUP($C1340,[1]stockregister!$B$2:$B$2000,1,0)</f>
        <v>AVALON PREMIUM WHISKY 750ML</v>
      </c>
      <c r="E1340" s="3" t="str">
        <f>IF(ISNA($D1340),VLOOKUP($A1340,[2]stockregister!$A$2:$B$2000,2,FALSE),"")</f>
        <v/>
      </c>
      <c r="F1340" s="3" t="s">
        <v>21</v>
      </c>
      <c r="G1340" s="3">
        <f>_xlfn.IFNA(VLOOKUP($A1340,[3]stockregister!$A$2:$L$2000,11,0),0)</f>
        <v>36</v>
      </c>
      <c r="H1340" s="3">
        <f>_xlfn.IFNA(VLOOKUP($A1340,[3]stockregister!$A$2:$L$2000,11,0),0)-$G1340</f>
        <v>0</v>
      </c>
      <c r="I1340" s="3">
        <f>_xlfn.IFNA(VLOOKUP($A1340,[3]stockregister!$A$2:$L$2000,12,0),0)</f>
        <v>708.33</v>
      </c>
      <c r="J1340" s="3">
        <f>_xlfn.IFNA(VLOOKUP($A1340,[3]stockregister!$A$1:$M$2000,12,0),0)-$I1340</f>
        <v>0</v>
      </c>
      <c r="K1340" s="3" t="s">
        <v>22</v>
      </c>
      <c r="L1340" s="3" t="s">
        <v>23</v>
      </c>
      <c r="M1340" s="3">
        <f>_xlfn.IFNA(VLOOKUP($A1340,[2]stockregister!$A$2:$H$2000,8,0),0)</f>
        <v>800</v>
      </c>
      <c r="N1340" s="3">
        <f>_xlfn.IFNA(VLOOKUP($A1340,[2]stockregister!$A$2:$H$2000,8,0),0)-$M1340</f>
        <v>0</v>
      </c>
      <c r="O1340" s="3" t="s">
        <v>3134</v>
      </c>
      <c r="P1340" s="3" t="s">
        <v>3134</v>
      </c>
      <c r="Q1340" s="3" t="s">
        <v>2680</v>
      </c>
      <c r="R1340" s="3" t="s">
        <v>113</v>
      </c>
      <c r="S1340" s="3" t="s">
        <v>114</v>
      </c>
    </row>
    <row r="1341" spans="1:19">
      <c r="A1341" s="3">
        <v>2875</v>
      </c>
      <c r="B1341" s="3" t="b">
        <f>ISNUMBER(MATCH(A1341,[1]stockregister!$A$2:$A$2000,0))</f>
        <v>1</v>
      </c>
      <c r="C1341" s="3" t="s">
        <v>3135</v>
      </c>
      <c r="D1341" s="3" t="str">
        <f>VLOOKUP($C1341,[1]stockregister!$B$2:$B$2000,1,0)</f>
        <v>AVALON PREMIUM WHISKY 250ML</v>
      </c>
      <c r="E1341" s="3" t="str">
        <f>IF(ISNA($D1341),VLOOKUP($A1341,[2]stockregister!$A$2:$B$2000,2,FALSE),"")</f>
        <v/>
      </c>
      <c r="F1341" s="3" t="s">
        <v>21</v>
      </c>
      <c r="G1341" s="3">
        <f>_xlfn.IFNA(VLOOKUP($A1341,[3]stockregister!$A$2:$L$2000,11,0),0)</f>
        <v>672</v>
      </c>
      <c r="H1341" s="3">
        <f>_xlfn.IFNA(VLOOKUP($A1341,[3]stockregister!$A$2:$L$2000,11,0),0)-$G1341</f>
        <v>0</v>
      </c>
      <c r="I1341" s="3">
        <f>_xlfn.IFNA(VLOOKUP($A1341,[3]stockregister!$A$2:$L$2000,12,0),0)</f>
        <v>200</v>
      </c>
      <c r="J1341" s="3">
        <f>_xlfn.IFNA(VLOOKUP($A1341,[3]stockregister!$A$1:$M$2000,12,0),0)-$I1341</f>
        <v>0</v>
      </c>
      <c r="K1341" s="3" t="s">
        <v>22</v>
      </c>
      <c r="L1341" s="3" t="s">
        <v>23</v>
      </c>
      <c r="M1341" s="3">
        <f>_xlfn.IFNA(VLOOKUP($A1341,[2]stockregister!$A$2:$H$2000,8,0),0)</f>
        <v>210</v>
      </c>
      <c r="N1341" s="3">
        <f>_xlfn.IFNA(VLOOKUP($A1341,[2]stockregister!$A$2:$H$2000,8,0),0)-$M1341</f>
        <v>0</v>
      </c>
      <c r="O1341" s="3" t="s">
        <v>3136</v>
      </c>
      <c r="P1341" s="3" t="s">
        <v>3136</v>
      </c>
      <c r="Q1341" s="3" t="s">
        <v>2680</v>
      </c>
      <c r="R1341" s="3" t="s">
        <v>113</v>
      </c>
      <c r="S1341" s="3" t="s">
        <v>114</v>
      </c>
    </row>
    <row r="1342" spans="1:19">
      <c r="A1342" s="3">
        <v>2454</v>
      </c>
      <c r="B1342" s="3" t="b">
        <f>ISNUMBER(MATCH(A1342,[1]stockregister!$A$2:$A$2000,0))</f>
        <v>1</v>
      </c>
      <c r="C1342" s="3" t="s">
        <v>3137</v>
      </c>
      <c r="D1342" s="3" t="str">
        <f>VLOOKUP($C1342,[1]stockregister!$B$2:$B$2000,1,0)</f>
        <v>GRANTS WITHOUT GLASS 1LTR</v>
      </c>
      <c r="E1342" s="3" t="str">
        <f>IF(ISNA($D1342),VLOOKUP($A1342,[2]stockregister!$A$2:$B$2000,2,FALSE),"")</f>
        <v/>
      </c>
      <c r="F1342" s="3" t="s">
        <v>21</v>
      </c>
      <c r="G1342" s="3">
        <f>_xlfn.IFNA(VLOOKUP($A1342,[3]stockregister!$A$2:$L$2000,11,0),0)</f>
        <v>0</v>
      </c>
      <c r="H1342" s="3">
        <f>_xlfn.IFNA(VLOOKUP($A1342,[3]stockregister!$A$2:$L$2000,11,0),0)-$G1342</f>
        <v>0</v>
      </c>
      <c r="I1342" s="3">
        <f>_xlfn.IFNA(VLOOKUP($A1342,[3]stockregister!$A$2:$L$2000,12,0),0)</f>
        <v>1650</v>
      </c>
      <c r="J1342" s="3">
        <f>_xlfn.IFNA(VLOOKUP($A1342,[3]stockregister!$A$1:$M$2000,12,0),0)-$I1342</f>
        <v>0</v>
      </c>
      <c r="K1342" s="3" t="s">
        <v>22</v>
      </c>
      <c r="L1342" s="3" t="s">
        <v>23</v>
      </c>
      <c r="M1342" s="3">
        <f>_xlfn.IFNA(VLOOKUP($A1342,[2]stockregister!$A$2:$H$2000,8,0),0)</f>
        <v>2000</v>
      </c>
      <c r="N1342" s="3">
        <f>_xlfn.IFNA(VLOOKUP($A1342,[2]stockregister!$A$2:$H$2000,8,0),0)-$M1342</f>
        <v>0</v>
      </c>
      <c r="O1342" s="3" t="s">
        <v>3138</v>
      </c>
      <c r="P1342" s="3" t="s">
        <v>3138</v>
      </c>
      <c r="Q1342" s="3" t="s">
        <v>1535</v>
      </c>
      <c r="R1342" s="3" t="s">
        <v>113</v>
      </c>
      <c r="S1342" s="3" t="s">
        <v>114</v>
      </c>
    </row>
    <row r="1343" spans="1:19">
      <c r="A1343" s="3">
        <v>912</v>
      </c>
      <c r="B1343" s="3" t="b">
        <f>ISNUMBER(MATCH(A1343,[1]stockregister!$A$2:$A$2000,0))</f>
        <v>1</v>
      </c>
      <c r="C1343" s="3" t="s">
        <v>3139</v>
      </c>
      <c r="D1343" s="3" t="str">
        <f>VLOOKUP($C1343,[1]stockregister!$B$2:$B$2000,1,0)</f>
        <v>GRANTS TRIPPLE WOOD (WITH GLASS) 1LTR</v>
      </c>
      <c r="E1343" s="3" t="str">
        <f>IF(ISNA($D1343),VLOOKUP($A1343,[2]stockregister!$A$2:$B$2000,2,FALSE),"")</f>
        <v/>
      </c>
      <c r="F1343" s="3" t="s">
        <v>21</v>
      </c>
      <c r="G1343" s="3">
        <f>_xlfn.IFNA(VLOOKUP($A1343,[3]stockregister!$A$2:$L$2000,11,0),0)</f>
        <v>0</v>
      </c>
      <c r="H1343" s="3">
        <f>_xlfn.IFNA(VLOOKUP($A1343,[3]stockregister!$A$2:$L$2000,11,0),0)-$G1343</f>
        <v>0</v>
      </c>
      <c r="I1343" s="3">
        <f>_xlfn.IFNA(VLOOKUP($A1343,[3]stockregister!$A$2:$L$2000,12,0),0)</f>
        <v>1800</v>
      </c>
      <c r="J1343" s="3">
        <f>_xlfn.IFNA(VLOOKUP($A1343,[3]stockregister!$A$1:$M$2000,12,0),0)-$I1343</f>
        <v>0</v>
      </c>
      <c r="K1343" s="3" t="s">
        <v>22</v>
      </c>
      <c r="L1343" s="3" t="s">
        <v>23</v>
      </c>
      <c r="M1343" s="3">
        <f>_xlfn.IFNA(VLOOKUP($A1343,[2]stockregister!$A$2:$H$2000,8,0),0)</f>
        <v>2000</v>
      </c>
      <c r="N1343" s="3">
        <f>_xlfn.IFNA(VLOOKUP($A1343,[2]stockregister!$A$2:$H$2000,8,0),0)-$M1343</f>
        <v>0</v>
      </c>
      <c r="O1343" s="3" t="s">
        <v>3140</v>
      </c>
      <c r="P1343" s="3" t="s">
        <v>3140</v>
      </c>
      <c r="Q1343" s="3" t="s">
        <v>1535</v>
      </c>
      <c r="R1343" s="3" t="s">
        <v>113</v>
      </c>
      <c r="S1343" s="3" t="s">
        <v>114</v>
      </c>
    </row>
    <row r="1344" spans="1:19">
      <c r="A1344" s="3">
        <v>1342</v>
      </c>
      <c r="B1344" s="3" t="b">
        <f>ISNUMBER(MATCH(A1344,[1]stockregister!$A$2:$A$2000,0))</f>
        <v>1</v>
      </c>
      <c r="C1344" s="3" t="s">
        <v>3141</v>
      </c>
      <c r="D1344" s="3" t="str">
        <f>VLOOKUP($C1344,[1]stockregister!$B$2:$B$2000,1,0)</f>
        <v>THE MACALLAN ENIGMA 700ml</v>
      </c>
      <c r="E1344" s="3" t="str">
        <f>IF(ISNA($D1344),VLOOKUP($A1344,[2]stockregister!$A$2:$B$2000,2,FALSE),"")</f>
        <v/>
      </c>
      <c r="F1344" s="3" t="s">
        <v>21</v>
      </c>
      <c r="G1344" s="3">
        <f>_xlfn.IFNA(VLOOKUP($A1344,[3]stockregister!$A$2:$L$2000,11,0),0)</f>
        <v>0</v>
      </c>
      <c r="H1344" s="3">
        <f>_xlfn.IFNA(VLOOKUP($A1344,[3]stockregister!$A$2:$L$2000,11,0),0)-$G1344</f>
        <v>0</v>
      </c>
      <c r="I1344" s="3">
        <f>_xlfn.IFNA(VLOOKUP($A1344,[3]stockregister!$A$2:$L$2000,12,0),0)</f>
        <v>27000</v>
      </c>
      <c r="J1344" s="3">
        <f>_xlfn.IFNA(VLOOKUP($A1344,[3]stockregister!$A$1:$M$2000,12,0),0)-$I1344</f>
        <v>0</v>
      </c>
      <c r="K1344" s="3" t="s">
        <v>22</v>
      </c>
      <c r="L1344" s="3" t="s">
        <v>23</v>
      </c>
      <c r="M1344" s="3">
        <f>_xlfn.IFNA(VLOOKUP($A1344,[2]stockregister!$A$2:$H$2000,8,0),0)</f>
        <v>27500</v>
      </c>
      <c r="N1344" s="3">
        <f>_xlfn.IFNA(VLOOKUP($A1344,[2]stockregister!$A$2:$H$2000,8,0),0)-$M1344</f>
        <v>0</v>
      </c>
      <c r="O1344" s="3" t="s">
        <v>3142</v>
      </c>
      <c r="P1344" s="3" t="s">
        <v>3142</v>
      </c>
      <c r="Q1344" s="3" t="s">
        <v>907</v>
      </c>
      <c r="R1344" s="3" t="s">
        <v>113</v>
      </c>
      <c r="S1344" s="3" t="s">
        <v>114</v>
      </c>
    </row>
    <row r="1345" spans="1:20">
      <c r="A1345" s="3">
        <v>1338</v>
      </c>
      <c r="B1345" s="3" t="b">
        <f>ISNUMBER(MATCH(A1345,[1]stockregister!$A$2:$A$2000,0))</f>
        <v>1</v>
      </c>
      <c r="C1345" s="3" t="s">
        <v>3143</v>
      </c>
      <c r="D1345" s="3" t="str">
        <f>VLOOKUP($C1345,[1]stockregister!$B$2:$B$2000,1,0)</f>
        <v>THE MACALLAN 12YR 700ML</v>
      </c>
      <c r="E1345" s="3" t="str">
        <f>IF(ISNA($D1345),VLOOKUP($A1345,[2]stockregister!$A$2:$B$2000,2,FALSE),"")</f>
        <v/>
      </c>
      <c r="F1345" s="3" t="s">
        <v>21</v>
      </c>
      <c r="G1345" s="3">
        <f>_xlfn.IFNA(VLOOKUP($A1345,[3]stockregister!$A$2:$L$2000,11,0),0)</f>
        <v>0</v>
      </c>
      <c r="H1345" s="3">
        <f>_xlfn.IFNA(VLOOKUP($A1345,[3]stockregister!$A$2:$L$2000,11,0),0)-$G1345</f>
        <v>0</v>
      </c>
      <c r="I1345" s="3">
        <f>_xlfn.IFNA(VLOOKUP($A1345,[3]stockregister!$A$2:$L$2000,12,0),0)</f>
        <v>10580</v>
      </c>
      <c r="J1345" s="3">
        <f>_xlfn.IFNA(VLOOKUP($A1345,[3]stockregister!$A$1:$M$2000,12,0),0)-$I1345</f>
        <v>0</v>
      </c>
      <c r="K1345" s="3" t="s">
        <v>22</v>
      </c>
      <c r="L1345" s="3" t="s">
        <v>23</v>
      </c>
      <c r="M1345" s="3">
        <f>_xlfn.IFNA(VLOOKUP($A1345,[2]stockregister!$A$2:$H$2000,8,0),0)</f>
        <v>11500</v>
      </c>
      <c r="N1345" s="3">
        <f>_xlfn.IFNA(VLOOKUP($A1345,[2]stockregister!$A$2:$H$2000,8,0),0)-$M1345</f>
        <v>0</v>
      </c>
      <c r="O1345" s="3" t="s">
        <v>3144</v>
      </c>
      <c r="P1345" s="3" t="s">
        <v>3144</v>
      </c>
      <c r="Q1345" s="3" t="s">
        <v>907</v>
      </c>
      <c r="R1345" s="3" t="s">
        <v>113</v>
      </c>
      <c r="S1345" s="3" t="s">
        <v>114</v>
      </c>
      <c r="T1345" s="3">
        <v>12</v>
      </c>
    </row>
    <row r="1346" spans="1:19">
      <c r="A1346" s="3">
        <v>168</v>
      </c>
      <c r="B1346" s="3" t="b">
        <f>ISNUMBER(MATCH(A1346,[1]stockregister!$A$2:$A$2000,0))</f>
        <v>1</v>
      </c>
      <c r="C1346" s="3" t="s">
        <v>3145</v>
      </c>
      <c r="D1346" s="3" t="str">
        <f>VLOOKUP($C1346,[1]stockregister!$B$2:$B$2000,1,0)</f>
        <v>BALLANTINES FINEST WHISKY 750ml</v>
      </c>
      <c r="E1346" s="3" t="str">
        <f>IF(ISNA($D1346),VLOOKUP($A1346,[2]stockregister!$A$2:$B$2000,2,FALSE),"")</f>
        <v/>
      </c>
      <c r="F1346" s="3" t="s">
        <v>21</v>
      </c>
      <c r="G1346" s="3">
        <f>_xlfn.IFNA(VLOOKUP($A1346,[3]stockregister!$A$2:$L$2000,11,0),0)</f>
        <v>0</v>
      </c>
      <c r="H1346" s="3">
        <f>_xlfn.IFNA(VLOOKUP($A1346,[3]stockregister!$A$2:$L$2000,11,0),0)-$G1346</f>
        <v>0</v>
      </c>
      <c r="I1346" s="3">
        <f>_xlfn.IFNA(VLOOKUP($A1346,[3]stockregister!$A$2:$L$2000,12,0),0)</f>
        <v>1753.22</v>
      </c>
      <c r="J1346" s="3">
        <f>_xlfn.IFNA(VLOOKUP($A1346,[3]stockregister!$A$1:$M$2000,12,0),0)-$I1346</f>
        <v>0</v>
      </c>
      <c r="K1346" s="3" t="s">
        <v>22</v>
      </c>
      <c r="L1346" s="3" t="s">
        <v>23</v>
      </c>
      <c r="M1346" s="3">
        <f>_xlfn.IFNA(VLOOKUP($A1346,[2]stockregister!$A$2:$H$2000,8,0),0)</f>
        <v>1800</v>
      </c>
      <c r="N1346" s="3">
        <f>_xlfn.IFNA(VLOOKUP($A1346,[2]stockregister!$A$2:$H$2000,8,0),0)-$M1346</f>
        <v>0</v>
      </c>
      <c r="O1346" s="3" t="s">
        <v>3146</v>
      </c>
      <c r="P1346" s="3" t="s">
        <v>3146</v>
      </c>
      <c r="Q1346" s="3" t="s">
        <v>701</v>
      </c>
      <c r="R1346" s="3" t="s">
        <v>92</v>
      </c>
      <c r="S1346" s="3" t="s">
        <v>114</v>
      </c>
    </row>
    <row r="1347" spans="1:19">
      <c r="A1347" s="3">
        <v>1121</v>
      </c>
      <c r="B1347" s="3" t="b">
        <f>ISNUMBER(MATCH(A1347,[1]stockregister!$A$2:$A$2000,0))</f>
        <v>1</v>
      </c>
      <c r="C1347" s="3" t="s">
        <v>3147</v>
      </c>
      <c r="D1347" s="3" t="str">
        <f>VLOOKUP($C1347,[1]stockregister!$B$2:$B$2000,1,0)</f>
        <v>JOHNNIE WALKER RED LABEL WHISKY 375ML</v>
      </c>
      <c r="E1347" s="3" t="str">
        <f>IF(ISNA($D1347),VLOOKUP($A1347,[2]stockregister!$A$2:$B$2000,2,FALSE),"")</f>
        <v/>
      </c>
      <c r="F1347" s="3" t="s">
        <v>21</v>
      </c>
      <c r="G1347" s="3">
        <f>_xlfn.IFNA(VLOOKUP($A1347,[3]stockregister!$A$2:$L$2000,11,0),0)</f>
        <v>144</v>
      </c>
      <c r="H1347" s="3">
        <f>_xlfn.IFNA(VLOOKUP($A1347,[3]stockregister!$A$2:$L$2000,11,0),0)-$G1347</f>
        <v>0</v>
      </c>
      <c r="I1347" s="3">
        <f>_xlfn.IFNA(VLOOKUP($A1347,[3]stockregister!$A$2:$L$2000,12,0),0)</f>
        <v>840.26</v>
      </c>
      <c r="J1347" s="3">
        <f>_xlfn.IFNA(VLOOKUP($A1347,[3]stockregister!$A$1:$M$2000,12,0),0)-$I1347</f>
        <v>0</v>
      </c>
      <c r="K1347" s="3" t="s">
        <v>22</v>
      </c>
      <c r="L1347" s="3" t="s">
        <v>23</v>
      </c>
      <c r="M1347" s="3">
        <f>_xlfn.IFNA(VLOOKUP($A1347,[2]stockregister!$A$2:$H$2000,8,0),0)</f>
        <v>900</v>
      </c>
      <c r="N1347" s="3">
        <f>_xlfn.IFNA(VLOOKUP($A1347,[2]stockregister!$A$2:$H$2000,8,0),0)-$M1347</f>
        <v>0</v>
      </c>
      <c r="O1347" s="3" t="s">
        <v>3148</v>
      </c>
      <c r="P1347" s="3" t="s">
        <v>3148</v>
      </c>
      <c r="Q1347" s="3" t="s">
        <v>687</v>
      </c>
      <c r="R1347" s="3" t="s">
        <v>113</v>
      </c>
      <c r="S1347" s="3" t="s">
        <v>114</v>
      </c>
    </row>
    <row r="1348" spans="1:19">
      <c r="A1348" s="3">
        <v>1809</v>
      </c>
      <c r="B1348" s="3" t="b">
        <f>ISNUMBER(MATCH(A1348,[1]stockregister!$A$2:$A$2000,0))</f>
        <v>1</v>
      </c>
      <c r="C1348" s="3" t="s">
        <v>550</v>
      </c>
      <c r="D1348" s="3" t="str">
        <f>VLOOKUP($C1348,[1]stockregister!$B$2:$B$2000,1,0)</f>
        <v>SIR EDWARDS WHISKY  700ML</v>
      </c>
      <c r="E1348" s="3" t="str">
        <f>IF(ISNA($D1348),VLOOKUP($A1348,[2]stockregister!$A$2:$B$2000,2,FALSE),"")</f>
        <v/>
      </c>
      <c r="F1348" s="3" t="s">
        <v>21</v>
      </c>
      <c r="G1348" s="3">
        <f>_xlfn.IFNA(VLOOKUP($A1348,[3]stockregister!$A$2:$L$2000,11,0),0)</f>
        <v>0</v>
      </c>
      <c r="H1348" s="3">
        <f>_xlfn.IFNA(VLOOKUP($A1348,[3]stockregister!$A$2:$L$2000,11,0),0)-$G1348</f>
        <v>0</v>
      </c>
      <c r="I1348" s="3">
        <f>_xlfn.IFNA(VLOOKUP($A1348,[3]stockregister!$A$2:$L$2000,12,0),0)</f>
        <v>828</v>
      </c>
      <c r="J1348" s="3">
        <f>_xlfn.IFNA(VLOOKUP($A1348,[3]stockregister!$A$1:$M$2000,12,0),0)-$I1348</f>
        <v>0</v>
      </c>
      <c r="K1348" s="3" t="s">
        <v>22</v>
      </c>
      <c r="L1348" s="3" t="s">
        <v>23</v>
      </c>
      <c r="M1348" s="3">
        <f>_xlfn.IFNA(VLOOKUP($A1348,[2]stockregister!$A$2:$H$2000,8,0),0)</f>
        <v>900</v>
      </c>
      <c r="N1348" s="3">
        <f>_xlfn.IFNA(VLOOKUP($A1348,[2]stockregister!$A$2:$H$2000,8,0),0)-$M1348</f>
        <v>0</v>
      </c>
      <c r="O1348" s="3" t="s">
        <v>3149</v>
      </c>
      <c r="P1348" s="3" t="s">
        <v>3149</v>
      </c>
      <c r="Q1348" s="3" t="s">
        <v>263</v>
      </c>
      <c r="R1348" s="3" t="s">
        <v>113</v>
      </c>
      <c r="S1348" s="3" t="s">
        <v>114</v>
      </c>
    </row>
    <row r="1349" spans="1:19">
      <c r="A1349" s="3">
        <v>2880</v>
      </c>
      <c r="B1349" s="3" t="b">
        <f>ISNUMBER(MATCH(A1349,[1]stockregister!$A$2:$A$2000,0))</f>
        <v>1</v>
      </c>
      <c r="C1349" s="3" t="s">
        <v>3150</v>
      </c>
      <c r="D1349" s="3" t="str">
        <f>VLOOKUP($C1349,[1]stockregister!$B$2:$B$2000,1,0)</f>
        <v>UPRISE WHISKY &amp; COLA 500ML</v>
      </c>
      <c r="E1349" s="3" t="str">
        <f>IF(ISNA($D1349),VLOOKUP($A1349,[2]stockregister!$A$2:$B$2000,2,FALSE),"")</f>
        <v/>
      </c>
      <c r="F1349" s="3" t="s">
        <v>21</v>
      </c>
      <c r="G1349" s="3">
        <f>_xlfn.IFNA(VLOOKUP($A1349,[3]stockregister!$A$2:$L$2000,11,0),0)</f>
        <v>384</v>
      </c>
      <c r="H1349" s="3">
        <f>_xlfn.IFNA(VLOOKUP($A1349,[3]stockregister!$A$2:$L$2000,11,0),0)-$G1349</f>
        <v>0</v>
      </c>
      <c r="I1349" s="3">
        <f>_xlfn.IFNA(VLOOKUP($A1349,[3]stockregister!$A$2:$L$2000,12,0),0)</f>
        <v>230</v>
      </c>
      <c r="J1349" s="3">
        <f>_xlfn.IFNA(VLOOKUP($A1349,[3]stockregister!$A$1:$M$2000,12,0),0)-$I1349</f>
        <v>0</v>
      </c>
      <c r="K1349" s="3" t="s">
        <v>22</v>
      </c>
      <c r="L1349" s="3" t="s">
        <v>23</v>
      </c>
      <c r="M1349" s="3">
        <f>_xlfn.IFNA(VLOOKUP($A1349,[2]stockregister!$A$2:$H$2000,8,0),0)</f>
        <v>250</v>
      </c>
      <c r="N1349" s="3">
        <f>_xlfn.IFNA(VLOOKUP($A1349,[2]stockregister!$A$2:$H$2000,8,0),0)-$M1349</f>
        <v>0</v>
      </c>
      <c r="O1349" s="3" t="s">
        <v>3151</v>
      </c>
      <c r="P1349" s="3" t="s">
        <v>3151</v>
      </c>
      <c r="Q1349" s="3" t="s">
        <v>3152</v>
      </c>
      <c r="R1349" s="3" t="s">
        <v>113</v>
      </c>
      <c r="S1349" s="3" t="s">
        <v>114</v>
      </c>
    </row>
    <row r="1350" spans="1:19">
      <c r="A1350" s="3">
        <v>364</v>
      </c>
      <c r="B1350" s="3" t="b">
        <f>ISNUMBER(MATCH(A1350,[1]stockregister!$A$2:$A$2000,0))</f>
        <v>1</v>
      </c>
      <c r="C1350" s="3" t="s">
        <v>3153</v>
      </c>
      <c r="D1350" s="3" t="str">
        <f>VLOOKUP($C1350,[1]stockregister!$B$2:$B$2000,1,0)</f>
        <v>CANADIAN CLUB 750ML</v>
      </c>
      <c r="E1350" s="3" t="str">
        <f>IF(ISNA($D1350),VLOOKUP($A1350,[2]stockregister!$A$2:$B$2000,2,FALSE),"")</f>
        <v/>
      </c>
      <c r="F1350" s="3" t="s">
        <v>21</v>
      </c>
      <c r="G1350" s="3">
        <f>_xlfn.IFNA(VLOOKUP($A1350,[3]stockregister!$A$2:$L$2000,11,0),0)</f>
        <v>0</v>
      </c>
      <c r="H1350" s="3">
        <f>_xlfn.IFNA(VLOOKUP($A1350,[3]stockregister!$A$2:$L$2000,11,0),0)-$G1350</f>
        <v>0</v>
      </c>
      <c r="I1350" s="3">
        <f>_xlfn.IFNA(VLOOKUP($A1350,[3]stockregister!$A$2:$L$2000,12,0),0)</f>
        <v>1380</v>
      </c>
      <c r="J1350" s="3">
        <f>_xlfn.IFNA(VLOOKUP($A1350,[3]stockregister!$A$1:$M$2000,12,0),0)-$I1350</f>
        <v>0</v>
      </c>
      <c r="K1350" s="3" t="s">
        <v>22</v>
      </c>
      <c r="L1350" s="3" t="s">
        <v>23</v>
      </c>
      <c r="M1350" s="3">
        <f>_xlfn.IFNA(VLOOKUP($A1350,[2]stockregister!$A$2:$H$2000,8,0),0)</f>
        <v>1600</v>
      </c>
      <c r="N1350" s="3">
        <f>_xlfn.IFNA(VLOOKUP($A1350,[2]stockregister!$A$2:$H$2000,8,0),0)-$M1350</f>
        <v>0</v>
      </c>
      <c r="O1350" s="3" t="s">
        <v>3154</v>
      </c>
      <c r="P1350" s="3" t="s">
        <v>3154</v>
      </c>
      <c r="Q1350" s="3" t="s">
        <v>304</v>
      </c>
      <c r="R1350" s="3" t="s">
        <v>92</v>
      </c>
      <c r="S1350" s="3" t="s">
        <v>114</v>
      </c>
    </row>
    <row r="1351" spans="1:19">
      <c r="A1351" s="3">
        <v>908</v>
      </c>
      <c r="B1351" s="3" t="b">
        <f>ISNUMBER(MATCH(A1351,[1]stockregister!$A$2:$A$2000,0))</f>
        <v>1</v>
      </c>
      <c r="C1351" s="3" t="s">
        <v>552</v>
      </c>
      <c r="D1351" s="3" t="str">
        <f>VLOOKUP($C1351,[1]stockregister!$B$2:$B$2000,1,0)</f>
        <v>GRANT'S WITHOUT GLASS 750ML </v>
      </c>
      <c r="E1351" s="3" t="str">
        <f>IF(ISNA($D1351),VLOOKUP($A1351,[2]stockregister!$A$2:$B$2000,2,FALSE),"")</f>
        <v/>
      </c>
      <c r="F1351" s="3" t="s">
        <v>21</v>
      </c>
      <c r="G1351" s="3">
        <f>_xlfn.IFNA(VLOOKUP($A1351,[3]stockregister!$A$2:$L$2000,11,0),0)</f>
        <v>0</v>
      </c>
      <c r="H1351" s="3">
        <f>_xlfn.IFNA(VLOOKUP($A1351,[3]stockregister!$A$2:$L$2000,11,0),0)-$G1351</f>
        <v>0</v>
      </c>
      <c r="I1351" s="3">
        <f>_xlfn.IFNA(VLOOKUP($A1351,[3]stockregister!$A$2:$L$2000,12,0),0)</f>
        <v>1080</v>
      </c>
      <c r="J1351" s="3">
        <f>_xlfn.IFNA(VLOOKUP($A1351,[3]stockregister!$A$1:$M$2000,12,0),0)-$I1351</f>
        <v>0</v>
      </c>
      <c r="K1351" s="3" t="s">
        <v>22</v>
      </c>
      <c r="L1351" s="3" t="s">
        <v>23</v>
      </c>
      <c r="M1351" s="3">
        <f>_xlfn.IFNA(VLOOKUP($A1351,[2]stockregister!$A$2:$H$2000,8,0),0)</f>
        <v>1700</v>
      </c>
      <c r="N1351" s="3">
        <f>_xlfn.IFNA(VLOOKUP($A1351,[2]stockregister!$A$2:$H$2000,8,0),0)-$M1351</f>
        <v>0</v>
      </c>
      <c r="O1351" s="3" t="s">
        <v>3155</v>
      </c>
      <c r="P1351" s="3" t="s">
        <v>3155</v>
      </c>
      <c r="Q1351" s="3" t="s">
        <v>1535</v>
      </c>
      <c r="R1351" s="3" t="s">
        <v>113</v>
      </c>
      <c r="S1351" s="3" t="s">
        <v>114</v>
      </c>
    </row>
    <row r="1352" spans="1:19">
      <c r="A1352" s="3">
        <v>30</v>
      </c>
      <c r="B1352" s="3" t="b">
        <f>ISNUMBER(MATCH(A1352,[1]stockregister!$A$2:$A$2000,0))</f>
        <v>1</v>
      </c>
      <c r="C1352" s="3" t="s">
        <v>3156</v>
      </c>
      <c r="D1352" s="3" t="str">
        <f>VLOOKUP($C1352,[1]stockregister!$B$2:$B$2000,1,0)</f>
        <v>8PM BLENDED WHISKY 1LTR</v>
      </c>
      <c r="E1352" s="3" t="str">
        <f>IF(ISNA($D1352),VLOOKUP($A1352,[2]stockregister!$A$2:$B$2000,2,FALSE),"")</f>
        <v/>
      </c>
      <c r="F1352" s="3" t="s">
        <v>21</v>
      </c>
      <c r="G1352" s="3">
        <f>_xlfn.IFNA(VLOOKUP($A1352,[3]stockregister!$A$2:$L$2000,11,0),0)</f>
        <v>0</v>
      </c>
      <c r="H1352" s="3">
        <f>_xlfn.IFNA(VLOOKUP($A1352,[3]stockregister!$A$2:$L$2000,11,0),0)-$G1352</f>
        <v>0</v>
      </c>
      <c r="I1352" s="3">
        <f>_xlfn.IFNA(VLOOKUP($A1352,[3]stockregister!$A$2:$L$2000,12,0),0)</f>
        <v>951</v>
      </c>
      <c r="J1352" s="3">
        <f>_xlfn.IFNA(VLOOKUP($A1352,[3]stockregister!$A$1:$M$2000,12,0),0)-$I1352</f>
        <v>0</v>
      </c>
      <c r="K1352" s="3" t="s">
        <v>22</v>
      </c>
      <c r="L1352" s="3" t="s">
        <v>23</v>
      </c>
      <c r="M1352" s="3">
        <f>_xlfn.IFNA(VLOOKUP($A1352,[2]stockregister!$A$2:$H$2000,8,0),0)</f>
        <v>1100</v>
      </c>
      <c r="N1352" s="3">
        <f>_xlfn.IFNA(VLOOKUP($A1352,[2]stockregister!$A$2:$H$2000,8,0),0)-$M1352</f>
        <v>0</v>
      </c>
      <c r="O1352" s="3" t="s">
        <v>3157</v>
      </c>
      <c r="P1352" s="3" t="s">
        <v>3157</v>
      </c>
      <c r="Q1352" s="3" t="s">
        <v>1874</v>
      </c>
      <c r="R1352" s="3" t="s">
        <v>92</v>
      </c>
      <c r="S1352" s="3" t="s">
        <v>114</v>
      </c>
    </row>
    <row r="1353" spans="1:19">
      <c r="A1353" s="3">
        <v>31</v>
      </c>
      <c r="B1353" s="3" t="b">
        <f>ISNUMBER(MATCH(A1353,[1]stockregister!$A$2:$A$2000,0))</f>
        <v>1</v>
      </c>
      <c r="C1353" s="3" t="s">
        <v>3158</v>
      </c>
      <c r="D1353" s="3" t="str">
        <f>VLOOKUP($C1353,[1]stockregister!$B$2:$B$2000,1,0)</f>
        <v>8PM BLENDED WHISKY 750ML</v>
      </c>
      <c r="E1353" s="3" t="str">
        <f>IF(ISNA($D1353),VLOOKUP($A1353,[2]stockregister!$A$2:$B$2000,2,FALSE),"")</f>
        <v/>
      </c>
      <c r="F1353" s="3" t="s">
        <v>21</v>
      </c>
      <c r="G1353" s="3">
        <f>_xlfn.IFNA(VLOOKUP($A1353,[3]stockregister!$A$2:$L$2000,11,0),0)</f>
        <v>0</v>
      </c>
      <c r="H1353" s="3">
        <f>_xlfn.IFNA(VLOOKUP($A1353,[3]stockregister!$A$2:$L$2000,11,0),0)-$G1353</f>
        <v>0</v>
      </c>
      <c r="I1353" s="3">
        <f>_xlfn.IFNA(VLOOKUP($A1353,[3]stockregister!$A$2:$L$2000,12,0),0)</f>
        <v>743</v>
      </c>
      <c r="J1353" s="3">
        <f>_xlfn.IFNA(VLOOKUP($A1353,[3]stockregister!$A$1:$M$2000,12,0),0)-$I1353</f>
        <v>0</v>
      </c>
      <c r="K1353" s="3" t="s">
        <v>22</v>
      </c>
      <c r="L1353" s="3" t="s">
        <v>23</v>
      </c>
      <c r="M1353" s="3">
        <f>_xlfn.IFNA(VLOOKUP($A1353,[2]stockregister!$A$2:$H$2000,8,0),0)</f>
        <v>850</v>
      </c>
      <c r="N1353" s="3">
        <f>_xlfn.IFNA(VLOOKUP($A1353,[2]stockregister!$A$2:$H$2000,8,0),0)-$M1353</f>
        <v>0</v>
      </c>
      <c r="O1353" s="3" t="s">
        <v>3159</v>
      </c>
      <c r="P1353" s="3" t="s">
        <v>3159</v>
      </c>
      <c r="Q1353" s="3" t="s">
        <v>1874</v>
      </c>
      <c r="R1353" s="3" t="s">
        <v>92</v>
      </c>
      <c r="S1353" s="3" t="s">
        <v>114</v>
      </c>
    </row>
    <row r="1354" spans="1:20">
      <c r="A1354" s="3">
        <v>32</v>
      </c>
      <c r="B1354" s="3" t="b">
        <f>ISNUMBER(MATCH(A1354,[1]stockregister!$A$2:$A$2000,0))</f>
        <v>1</v>
      </c>
      <c r="C1354" s="3" t="s">
        <v>3160</v>
      </c>
      <c r="D1354" s="3" t="str">
        <f>VLOOKUP($C1354,[1]stockregister!$B$2:$B$2000,1,0)</f>
        <v>ABERFELDY 12YRS WHISKY 750ML</v>
      </c>
      <c r="E1354" s="3" t="str">
        <f>IF(ISNA($D1354),VLOOKUP($A1354,[2]stockregister!$A$2:$B$2000,2,FALSE),"")</f>
        <v/>
      </c>
      <c r="F1354" s="3" t="s">
        <v>21</v>
      </c>
      <c r="G1354" s="3">
        <f>_xlfn.IFNA(VLOOKUP($A1354,[3]stockregister!$A$2:$L$2000,11,0),0)</f>
        <v>0</v>
      </c>
      <c r="H1354" s="3">
        <f>_xlfn.IFNA(VLOOKUP($A1354,[3]stockregister!$A$2:$L$2000,11,0),0)-$G1354</f>
        <v>0</v>
      </c>
      <c r="I1354" s="3">
        <f>_xlfn.IFNA(VLOOKUP($A1354,[3]stockregister!$A$2:$L$2000,12,0),0)</f>
        <v>8740</v>
      </c>
      <c r="J1354" s="3">
        <f>_xlfn.IFNA(VLOOKUP($A1354,[3]stockregister!$A$1:$M$2000,12,0),0)-$I1354</f>
        <v>0</v>
      </c>
      <c r="K1354" s="3" t="s">
        <v>22</v>
      </c>
      <c r="L1354" s="3" t="s">
        <v>23</v>
      </c>
      <c r="M1354" s="3">
        <f>_xlfn.IFNA(VLOOKUP($A1354,[2]stockregister!$A$2:$H$2000,8,0),0)</f>
        <v>9500</v>
      </c>
      <c r="N1354" s="3">
        <f>_xlfn.IFNA(VLOOKUP($A1354,[2]stockregister!$A$2:$H$2000,8,0),0)-$M1354</f>
        <v>0</v>
      </c>
      <c r="O1354" s="3" t="s">
        <v>3161</v>
      </c>
      <c r="P1354" s="3" t="s">
        <v>3161</v>
      </c>
      <c r="Q1354" s="3" t="s">
        <v>3162</v>
      </c>
      <c r="R1354" s="3" t="s">
        <v>92</v>
      </c>
      <c r="S1354" s="3" t="s">
        <v>114</v>
      </c>
      <c r="T1354" s="3">
        <v>12</v>
      </c>
    </row>
    <row r="1355" spans="1:19">
      <c r="A1355" s="3">
        <v>544</v>
      </c>
      <c r="B1355" s="3" t="b">
        <f>ISNUMBER(MATCH(A1355,[1]stockregister!$A$2:$A$2000,0))</f>
        <v>1</v>
      </c>
      <c r="C1355" s="3" t="s">
        <v>3163</v>
      </c>
      <c r="D1355" s="3" t="str">
        <f>VLOOKUP($C1355,[1]stockregister!$B$2:$B$2000,1,0)</f>
        <v>CRAZY COCK 375ML</v>
      </c>
      <c r="E1355" s="3" t="str">
        <f>IF(ISNA($D1355),VLOOKUP($A1355,[2]stockregister!$A$2:$B$2000,2,FALSE),"")</f>
        <v/>
      </c>
      <c r="F1355" s="3" t="s">
        <v>21</v>
      </c>
      <c r="G1355" s="3">
        <f>_xlfn.IFNA(VLOOKUP($A1355,[3]stockregister!$A$2:$L$2000,11,0),0)</f>
        <v>0</v>
      </c>
      <c r="H1355" s="3">
        <f>_xlfn.IFNA(VLOOKUP($A1355,[3]stockregister!$A$2:$L$2000,11,0),0)-$G1355</f>
        <v>0</v>
      </c>
      <c r="I1355" s="3">
        <f>_xlfn.IFNA(VLOOKUP($A1355,[3]stockregister!$A$2:$L$2000,12,0),0)</f>
        <v>322</v>
      </c>
      <c r="J1355" s="3">
        <f>_xlfn.IFNA(VLOOKUP($A1355,[3]stockregister!$A$1:$M$2000,12,0),0)-$I1355</f>
        <v>0</v>
      </c>
      <c r="K1355" s="3" t="s">
        <v>22</v>
      </c>
      <c r="L1355" s="3" t="s">
        <v>23</v>
      </c>
      <c r="M1355" s="3">
        <f>_xlfn.IFNA(VLOOKUP($A1355,[2]stockregister!$A$2:$H$2000,8,0),0)</f>
        <v>350</v>
      </c>
      <c r="N1355" s="3">
        <f>_xlfn.IFNA(VLOOKUP($A1355,[2]stockregister!$A$2:$H$2000,8,0),0)-$M1355</f>
        <v>0</v>
      </c>
      <c r="O1355" s="3" t="s">
        <v>3164</v>
      </c>
      <c r="P1355" s="3" t="s">
        <v>3164</v>
      </c>
      <c r="Q1355" s="3" t="s">
        <v>3165</v>
      </c>
      <c r="R1355" s="3" t="s">
        <v>92</v>
      </c>
      <c r="S1355" s="3" t="s">
        <v>114</v>
      </c>
    </row>
    <row r="1356" spans="1:20">
      <c r="A1356" s="3">
        <v>602</v>
      </c>
      <c r="B1356" s="3" t="b">
        <f>ISNUMBER(MATCH(A1356,[1]stockregister!$A$2:$A$2000,0))</f>
        <v>1</v>
      </c>
      <c r="C1356" s="3" t="s">
        <v>3166</v>
      </c>
      <c r="D1356" s="3" t="str">
        <f>VLOOKUP($C1356,[1]stockregister!$B$2:$B$2000,1,0)</f>
        <v>DEWAR'S 12YRS WHISKY 750ML</v>
      </c>
      <c r="E1356" s="3" t="str">
        <f>IF(ISNA($D1356),VLOOKUP($A1356,[2]stockregister!$A$2:$B$2000,2,FALSE),"")</f>
        <v/>
      </c>
      <c r="F1356" s="3" t="s">
        <v>21</v>
      </c>
      <c r="G1356" s="3">
        <f>_xlfn.IFNA(VLOOKUP($A1356,[3]stockregister!$A$2:$L$2000,11,0),0)</f>
        <v>0</v>
      </c>
      <c r="H1356" s="3">
        <f>_xlfn.IFNA(VLOOKUP($A1356,[3]stockregister!$A$2:$L$2000,11,0),0)-$G1356</f>
        <v>0</v>
      </c>
      <c r="I1356" s="3">
        <f>_xlfn.IFNA(VLOOKUP($A1356,[3]stockregister!$A$2:$L$2000,12,0),0)</f>
        <v>3220</v>
      </c>
      <c r="J1356" s="3">
        <f>_xlfn.IFNA(VLOOKUP($A1356,[3]stockregister!$A$1:$M$2000,12,0),0)-$I1356</f>
        <v>0</v>
      </c>
      <c r="K1356" s="3" t="s">
        <v>22</v>
      </c>
      <c r="L1356" s="3" t="s">
        <v>23</v>
      </c>
      <c r="M1356" s="3">
        <f>_xlfn.IFNA(VLOOKUP($A1356,[2]stockregister!$A$2:$H$2000,8,0),0)</f>
        <v>3500</v>
      </c>
      <c r="N1356" s="3">
        <f>_xlfn.IFNA(VLOOKUP($A1356,[2]stockregister!$A$2:$H$2000,8,0),0)-$M1356</f>
        <v>0</v>
      </c>
      <c r="O1356" s="3" t="s">
        <v>3167</v>
      </c>
      <c r="P1356" s="3" t="s">
        <v>3167</v>
      </c>
      <c r="Q1356" s="3" t="s">
        <v>433</v>
      </c>
      <c r="R1356" s="3" t="s">
        <v>92</v>
      </c>
      <c r="S1356" s="3" t="s">
        <v>114</v>
      </c>
      <c r="T1356" s="3">
        <v>12</v>
      </c>
    </row>
    <row r="1357" spans="1:19">
      <c r="A1357" s="3">
        <v>1016</v>
      </c>
      <c r="B1357" s="3" t="b">
        <f>ISNUMBER(MATCH(A1357,[1]stockregister!$A$2:$A$2000,0))</f>
        <v>1</v>
      </c>
      <c r="C1357" s="3" t="s">
        <v>3168</v>
      </c>
      <c r="D1357" s="3" t="str">
        <f>VLOOKUP($C1357,[1]stockregister!$B$2:$B$2000,1,0)</f>
        <v>J&amp;B RARE WHISKY 200ML</v>
      </c>
      <c r="E1357" s="3" t="str">
        <f>IF(ISNA($D1357),VLOOKUP($A1357,[2]stockregister!$A$2:$B$2000,2,FALSE),"")</f>
        <v/>
      </c>
      <c r="F1357" s="3" t="s">
        <v>21</v>
      </c>
      <c r="G1357" s="3">
        <f>_xlfn.IFNA(VLOOKUP($A1357,[3]stockregister!$A$2:$L$2000,11,0),0)</f>
        <v>0</v>
      </c>
      <c r="H1357" s="3">
        <f>_xlfn.IFNA(VLOOKUP($A1357,[3]stockregister!$A$2:$L$2000,11,0),0)-$G1357</f>
        <v>0</v>
      </c>
      <c r="I1357" s="3">
        <f>_xlfn.IFNA(VLOOKUP($A1357,[3]stockregister!$A$2:$L$2000,12,0),0)</f>
        <v>368</v>
      </c>
      <c r="J1357" s="3">
        <f>_xlfn.IFNA(VLOOKUP($A1357,[3]stockregister!$A$1:$M$2000,12,0),0)-$I1357</f>
        <v>0</v>
      </c>
      <c r="K1357" s="3" t="s">
        <v>22</v>
      </c>
      <c r="L1357" s="3" t="s">
        <v>23</v>
      </c>
      <c r="M1357" s="3">
        <f>_xlfn.IFNA(VLOOKUP($A1357,[2]stockregister!$A$2:$H$2000,8,0),0)</f>
        <v>400</v>
      </c>
      <c r="N1357" s="3">
        <f>_xlfn.IFNA(VLOOKUP($A1357,[2]stockregister!$A$2:$H$2000,8,0),0)-$M1357</f>
        <v>0</v>
      </c>
      <c r="O1357" s="3" t="s">
        <v>3169</v>
      </c>
      <c r="P1357" s="3" t="s">
        <v>3169</v>
      </c>
      <c r="Q1357" s="3" t="s">
        <v>591</v>
      </c>
      <c r="R1357" s="3" t="s">
        <v>92</v>
      </c>
      <c r="S1357" s="3" t="s">
        <v>114</v>
      </c>
    </row>
    <row r="1358" spans="1:19">
      <c r="A1358" s="3">
        <v>2530</v>
      </c>
      <c r="B1358" s="3" t="b">
        <f>ISNUMBER(MATCH(A1358,[1]stockregister!$A$2:$A$2000,0))</f>
        <v>1</v>
      </c>
      <c r="C1358" s="3" t="s">
        <v>3170</v>
      </c>
      <c r="D1358" s="3" t="str">
        <f>VLOOKUP($C1358,[1]stockregister!$B$2:$B$2000,1,0)</f>
        <v>44 BLENDED SCOTCH 700ML</v>
      </c>
      <c r="E1358" s="3" t="str">
        <f>IF(ISNA($D1358),VLOOKUP($A1358,[2]stockregister!$A$2:$B$2000,2,FALSE),"")</f>
        <v/>
      </c>
      <c r="F1358" s="3" t="s">
        <v>21</v>
      </c>
      <c r="G1358" s="3">
        <f>_xlfn.IFNA(VLOOKUP($A1358,[3]stockregister!$A$2:$L$2000,11,0),0)</f>
        <v>0</v>
      </c>
      <c r="H1358" s="3">
        <f>_xlfn.IFNA(VLOOKUP($A1358,[3]stockregister!$A$2:$L$2000,11,0),0)-$G1358</f>
        <v>0</v>
      </c>
      <c r="I1358" s="3">
        <f>_xlfn.IFNA(VLOOKUP($A1358,[3]stockregister!$A$2:$L$2000,12,0),0)</f>
        <v>1470</v>
      </c>
      <c r="J1358" s="3">
        <f>_xlfn.IFNA(VLOOKUP($A1358,[3]stockregister!$A$1:$M$2000,12,0),0)-$I1358</f>
        <v>0</v>
      </c>
      <c r="K1358" s="3" t="s">
        <v>22</v>
      </c>
      <c r="L1358" s="3" t="s">
        <v>23</v>
      </c>
      <c r="M1358" s="3">
        <f>_xlfn.IFNA(VLOOKUP($A1358,[2]stockregister!$A$2:$H$2000,8,0),0)</f>
        <v>1650</v>
      </c>
      <c r="N1358" s="3">
        <f>_xlfn.IFNA(VLOOKUP($A1358,[2]stockregister!$A$2:$H$2000,8,0),0)-$M1358</f>
        <v>0</v>
      </c>
      <c r="O1358" s="3" t="s">
        <v>3171</v>
      </c>
      <c r="P1358" s="3" t="s">
        <v>3171</v>
      </c>
      <c r="Q1358" s="3" t="s">
        <v>3172</v>
      </c>
      <c r="R1358" s="3" t="s">
        <v>113</v>
      </c>
      <c r="S1358" s="3" t="s">
        <v>114</v>
      </c>
    </row>
    <row r="1359" spans="1:20">
      <c r="A1359" s="3">
        <v>2459</v>
      </c>
      <c r="B1359" s="3" t="b">
        <f>ISNUMBER(MATCH(A1359,[1]stockregister!$A$2:$A$2000,0))</f>
        <v>1</v>
      </c>
      <c r="C1359" s="3" t="s">
        <v>3173</v>
      </c>
      <c r="D1359" s="3" t="str">
        <f>VLOOKUP($C1359,[1]stockregister!$B$2:$B$2000,1,0)</f>
        <v>ABERLOUR 12YRS DOUBLE CASK LITRE</v>
      </c>
      <c r="E1359" s="3" t="str">
        <f>IF(ISNA($D1359),VLOOKUP($A1359,[2]stockregister!$A$2:$B$2000,2,FALSE),"")</f>
        <v/>
      </c>
      <c r="F1359" s="3" t="s">
        <v>21</v>
      </c>
      <c r="G1359" s="3">
        <f>_xlfn.IFNA(VLOOKUP($A1359,[3]stockregister!$A$2:$L$2000,11,0),0)</f>
        <v>0</v>
      </c>
      <c r="H1359" s="3">
        <f>_xlfn.IFNA(VLOOKUP($A1359,[3]stockregister!$A$2:$L$2000,11,0),0)-$G1359</f>
        <v>0</v>
      </c>
      <c r="I1359" s="3">
        <f>_xlfn.IFNA(VLOOKUP($A1359,[3]stockregister!$A$2:$L$2000,12,0),0)</f>
        <v>6250</v>
      </c>
      <c r="J1359" s="3">
        <f>_xlfn.IFNA(VLOOKUP($A1359,[3]stockregister!$A$1:$M$2000,12,0),0)-$I1359</f>
        <v>0</v>
      </c>
      <c r="K1359" s="3" t="s">
        <v>22</v>
      </c>
      <c r="L1359" s="3" t="s">
        <v>23</v>
      </c>
      <c r="M1359" s="3">
        <f>_xlfn.IFNA(VLOOKUP($A1359,[2]stockregister!$A$2:$H$2000,8,0),0)</f>
        <v>9500</v>
      </c>
      <c r="N1359" s="3">
        <f>_xlfn.IFNA(VLOOKUP($A1359,[2]stockregister!$A$2:$H$2000,8,0),0)-$M1359</f>
        <v>0</v>
      </c>
      <c r="O1359" s="3" t="s">
        <v>3174</v>
      </c>
      <c r="P1359" s="3" t="s">
        <v>3174</v>
      </c>
      <c r="Q1359" s="3" t="s">
        <v>1283</v>
      </c>
      <c r="R1359" s="3" t="s">
        <v>113</v>
      </c>
      <c r="S1359" s="3" t="s">
        <v>114</v>
      </c>
      <c r="T1359" s="3">
        <v>12</v>
      </c>
    </row>
    <row r="1360" spans="1:19">
      <c r="A1360" s="3">
        <v>78</v>
      </c>
      <c r="B1360" s="3" t="b">
        <f>ISNUMBER(MATCH(A1360,[1]stockregister!$A$2:$A$2000,0))</f>
        <v>1</v>
      </c>
      <c r="C1360" s="3" t="s">
        <v>3175</v>
      </c>
      <c r="D1360" s="3" t="str">
        <f>VLOOKUP($C1360,[1]stockregister!$B$2:$B$2000,1,0)</f>
        <v>ALL SEASONS 375ML</v>
      </c>
      <c r="E1360" s="3" t="str">
        <f>IF(ISNA($D1360),VLOOKUP($A1360,[2]stockregister!$A$2:$B$2000,2,FALSE),"")</f>
        <v/>
      </c>
      <c r="F1360" s="3" t="s">
        <v>21</v>
      </c>
      <c r="G1360" s="3">
        <f>_xlfn.IFNA(VLOOKUP($A1360,[3]stockregister!$A$2:$L$2000,11,0),0)</f>
        <v>0</v>
      </c>
      <c r="H1360" s="3">
        <f>_xlfn.IFNA(VLOOKUP($A1360,[3]stockregister!$A$2:$L$2000,11,0),0)-$G1360</f>
        <v>0</v>
      </c>
      <c r="I1360" s="3">
        <f>_xlfn.IFNA(VLOOKUP($A1360,[3]stockregister!$A$2:$L$2000,12,0),0)</f>
        <v>510</v>
      </c>
      <c r="J1360" s="3">
        <f>_xlfn.IFNA(VLOOKUP($A1360,[3]stockregister!$A$1:$M$2000,12,0),0)-$I1360</f>
        <v>0</v>
      </c>
      <c r="K1360" s="3" t="s">
        <v>22</v>
      </c>
      <c r="L1360" s="3" t="s">
        <v>23</v>
      </c>
      <c r="M1360" s="3">
        <f>_xlfn.IFNA(VLOOKUP($A1360,[2]stockregister!$A$2:$H$2000,8,0),0)</f>
        <v>550</v>
      </c>
      <c r="N1360" s="3">
        <f>_xlfn.IFNA(VLOOKUP($A1360,[2]stockregister!$A$2:$H$2000,8,0),0)-$M1360</f>
        <v>0</v>
      </c>
      <c r="O1360" s="3" t="s">
        <v>3176</v>
      </c>
      <c r="P1360" s="3" t="s">
        <v>3176</v>
      </c>
      <c r="Q1360" s="3" t="s">
        <v>3177</v>
      </c>
      <c r="R1360" s="3" t="s">
        <v>113</v>
      </c>
      <c r="S1360" s="3" t="s">
        <v>114</v>
      </c>
    </row>
    <row r="1361" spans="1:19">
      <c r="A1361" s="3">
        <v>169</v>
      </c>
      <c r="B1361" s="3" t="b">
        <f>ISNUMBER(MATCH(A1361,[1]stockregister!$A$2:$A$2000,0))</f>
        <v>1</v>
      </c>
      <c r="C1361" s="3" t="s">
        <v>3178</v>
      </c>
      <c r="D1361" s="3" t="str">
        <f>VLOOKUP($C1361,[1]stockregister!$B$2:$B$2000,1,0)</f>
        <v>BALLANTINES 375ML</v>
      </c>
      <c r="E1361" s="3" t="str">
        <f>IF(ISNA($D1361),VLOOKUP($A1361,[2]stockregister!$A$2:$B$2000,2,FALSE),"")</f>
        <v/>
      </c>
      <c r="F1361" s="3" t="s">
        <v>21</v>
      </c>
      <c r="G1361" s="3">
        <f>_xlfn.IFNA(VLOOKUP($A1361,[3]stockregister!$A$2:$L$2000,11,0),0)</f>
        <v>0</v>
      </c>
      <c r="H1361" s="3">
        <f>_xlfn.IFNA(VLOOKUP($A1361,[3]stockregister!$A$2:$L$2000,11,0),0)-$G1361</f>
        <v>0</v>
      </c>
      <c r="I1361" s="3">
        <f>_xlfn.IFNA(VLOOKUP($A1361,[3]stockregister!$A$2:$L$2000,12,0),0)</f>
        <v>920</v>
      </c>
      <c r="J1361" s="3">
        <f>_xlfn.IFNA(VLOOKUP($A1361,[3]stockregister!$A$1:$M$2000,12,0),0)-$I1361</f>
        <v>0</v>
      </c>
      <c r="K1361" s="3" t="s">
        <v>22</v>
      </c>
      <c r="L1361" s="3" t="s">
        <v>23</v>
      </c>
      <c r="M1361" s="3">
        <f>_xlfn.IFNA(VLOOKUP($A1361,[2]stockregister!$A$2:$H$2000,8,0),0)</f>
        <v>1000</v>
      </c>
      <c r="N1361" s="3">
        <f>_xlfn.IFNA(VLOOKUP($A1361,[2]stockregister!$A$2:$H$2000,8,0),0)-$M1361</f>
        <v>0</v>
      </c>
      <c r="O1361" s="3" t="s">
        <v>3179</v>
      </c>
      <c r="P1361" s="3" t="s">
        <v>3179</v>
      </c>
      <c r="Q1361" s="3" t="s">
        <v>701</v>
      </c>
      <c r="R1361" s="3" t="s">
        <v>113</v>
      </c>
      <c r="S1361" s="3" t="s">
        <v>114</v>
      </c>
    </row>
    <row r="1362" spans="1:20">
      <c r="A1362" s="3">
        <v>2473</v>
      </c>
      <c r="B1362" s="3" t="b">
        <f>ISNUMBER(MATCH(A1362,[1]stockregister!$A$2:$A$2000,0))</f>
        <v>1</v>
      </c>
      <c r="C1362" s="3" t="s">
        <v>3180</v>
      </c>
      <c r="D1362" s="3" t="str">
        <f>VLOOKUP($C1362,[1]stockregister!$B$2:$B$2000,1,0)</f>
        <v>DALMORE 12YRS SHERRY CASK SELECT 700ML</v>
      </c>
      <c r="E1362" s="3" t="str">
        <f>IF(ISNA($D1362),VLOOKUP($A1362,[2]stockregister!$A$2:$B$2000,2,FALSE),"")</f>
        <v/>
      </c>
      <c r="F1362" s="3" t="s">
        <v>21</v>
      </c>
      <c r="G1362" s="3">
        <f>_xlfn.IFNA(VLOOKUP($A1362,[3]stockregister!$A$2:$L$2000,11,0),0)</f>
        <v>0</v>
      </c>
      <c r="H1362" s="3">
        <f>_xlfn.IFNA(VLOOKUP($A1362,[3]stockregister!$A$2:$L$2000,11,0),0)-$G1362</f>
        <v>0</v>
      </c>
      <c r="I1362" s="3">
        <f>_xlfn.IFNA(VLOOKUP($A1362,[3]stockregister!$A$2:$L$2000,12,0),0)</f>
        <v>6030</v>
      </c>
      <c r="J1362" s="3">
        <f>_xlfn.IFNA(VLOOKUP($A1362,[3]stockregister!$A$1:$M$2000,12,0),0)-$I1362</f>
        <v>0</v>
      </c>
      <c r="K1362" s="3" t="s">
        <v>22</v>
      </c>
      <c r="L1362" s="3" t="s">
        <v>23</v>
      </c>
      <c r="M1362" s="3">
        <f>_xlfn.IFNA(VLOOKUP($A1362,[2]stockregister!$A$2:$H$2000,8,0),0)</f>
        <v>7800</v>
      </c>
      <c r="N1362" s="3">
        <f>_xlfn.IFNA(VLOOKUP($A1362,[2]stockregister!$A$2:$H$2000,8,0),0)-$M1362</f>
        <v>0</v>
      </c>
      <c r="O1362" s="3" t="s">
        <v>3181</v>
      </c>
      <c r="P1362" s="3" t="s">
        <v>3181</v>
      </c>
      <c r="Q1362" s="3" t="s">
        <v>3182</v>
      </c>
      <c r="R1362" s="3" t="s">
        <v>113</v>
      </c>
      <c r="S1362" s="3" t="s">
        <v>114</v>
      </c>
      <c r="T1362" s="3">
        <v>12</v>
      </c>
    </row>
    <row r="1363" spans="1:20">
      <c r="A1363" s="3">
        <v>571</v>
      </c>
      <c r="B1363" s="3" t="b">
        <f>ISNUMBER(MATCH(A1363,[1]stockregister!$A$2:$A$2000,0))</f>
        <v>1</v>
      </c>
      <c r="C1363" s="3" t="s">
        <v>556</v>
      </c>
      <c r="D1363" s="3" t="str">
        <f>VLOOKUP($C1363,[1]stockregister!$B$2:$B$2000,1,0)</f>
        <v>DALWHINNE 15YRS WHISKY 750ML </v>
      </c>
      <c r="E1363" s="3" t="str">
        <f>IF(ISNA($D1363),VLOOKUP($A1363,[2]stockregister!$A$2:$B$2000,2,FALSE),"")</f>
        <v/>
      </c>
      <c r="F1363" s="3" t="s">
        <v>21</v>
      </c>
      <c r="G1363" s="3">
        <f>_xlfn.IFNA(VLOOKUP($A1363,[3]stockregister!$A$2:$L$2000,11,0),0)</f>
        <v>0</v>
      </c>
      <c r="H1363" s="3">
        <f>_xlfn.IFNA(VLOOKUP($A1363,[3]stockregister!$A$2:$L$2000,11,0),0)-$G1363</f>
        <v>0</v>
      </c>
      <c r="I1363" s="3">
        <f>_xlfn.IFNA(VLOOKUP($A1363,[3]stockregister!$A$2:$L$2000,12,0),0)</f>
        <v>6164</v>
      </c>
      <c r="J1363" s="3">
        <f>_xlfn.IFNA(VLOOKUP($A1363,[3]stockregister!$A$1:$M$2000,12,0),0)-$I1363</f>
        <v>0</v>
      </c>
      <c r="K1363" s="3" t="s">
        <v>22</v>
      </c>
      <c r="L1363" s="3" t="s">
        <v>23</v>
      </c>
      <c r="M1363" s="3">
        <f>_xlfn.IFNA(VLOOKUP($A1363,[2]stockregister!$A$2:$H$2000,8,0),0)</f>
        <v>6700</v>
      </c>
      <c r="N1363" s="3">
        <f>_xlfn.IFNA(VLOOKUP($A1363,[2]stockregister!$A$2:$H$2000,8,0),0)-$M1363</f>
        <v>0</v>
      </c>
      <c r="O1363" s="3" t="s">
        <v>3183</v>
      </c>
      <c r="P1363" s="3" t="s">
        <v>3183</v>
      </c>
      <c r="Q1363" s="3" t="s">
        <v>3184</v>
      </c>
      <c r="R1363" s="3" t="s">
        <v>113</v>
      </c>
      <c r="S1363" s="3" t="s">
        <v>114</v>
      </c>
      <c r="T1363" s="3">
        <v>15</v>
      </c>
    </row>
    <row r="1364" spans="1:19">
      <c r="A1364" s="3">
        <v>2453</v>
      </c>
      <c r="B1364" s="3" t="b">
        <f>ISNUMBER(MATCH(A1364,[1]stockregister!$A$2:$A$2000,0))</f>
        <v>1</v>
      </c>
      <c r="C1364" s="3" t="s">
        <v>3185</v>
      </c>
      <c r="D1364" s="3" t="str">
        <f>VLOOKUP($C1364,[1]stockregister!$B$2:$B$2000,1,0)</f>
        <v>FIRE BALL 1LTR</v>
      </c>
      <c r="E1364" s="3" t="str">
        <f>IF(ISNA($D1364),VLOOKUP($A1364,[2]stockregister!$A$2:$B$2000,2,FALSE),"")</f>
        <v/>
      </c>
      <c r="F1364" s="3" t="s">
        <v>21</v>
      </c>
      <c r="G1364" s="3">
        <f>_xlfn.IFNA(VLOOKUP($A1364,[3]stockregister!$A$2:$L$2000,11,0),0)</f>
        <v>0</v>
      </c>
      <c r="H1364" s="3">
        <f>_xlfn.IFNA(VLOOKUP($A1364,[3]stockregister!$A$2:$L$2000,11,0),0)-$G1364</f>
        <v>0</v>
      </c>
      <c r="I1364" s="3">
        <f>_xlfn.IFNA(VLOOKUP($A1364,[3]stockregister!$A$2:$L$2000,12,0),0)</f>
        <v>2350</v>
      </c>
      <c r="J1364" s="3">
        <f>_xlfn.IFNA(VLOOKUP($A1364,[3]stockregister!$A$1:$M$2000,12,0),0)-$I1364</f>
        <v>0</v>
      </c>
      <c r="K1364" s="3" t="s">
        <v>22</v>
      </c>
      <c r="L1364" s="3" t="s">
        <v>23</v>
      </c>
      <c r="M1364" s="3">
        <f>_xlfn.IFNA(VLOOKUP($A1364,[2]stockregister!$A$2:$H$2000,8,0),0)</f>
        <v>2500</v>
      </c>
      <c r="N1364" s="3">
        <f>_xlfn.IFNA(VLOOKUP($A1364,[2]stockregister!$A$2:$H$2000,8,0),0)-$M1364</f>
        <v>0</v>
      </c>
      <c r="O1364" s="3" t="s">
        <v>3186</v>
      </c>
      <c r="P1364" s="3" t="s">
        <v>3186</v>
      </c>
      <c r="Q1364" s="3" t="s">
        <v>3187</v>
      </c>
      <c r="R1364" s="3" t="s">
        <v>113</v>
      </c>
      <c r="S1364" s="3" t="s">
        <v>114</v>
      </c>
    </row>
    <row r="1365" spans="1:20">
      <c r="A1365" s="3">
        <v>2474</v>
      </c>
      <c r="B1365" s="3" t="b">
        <f>ISNUMBER(MATCH(A1365,[1]stockregister!$A$2:$A$2000,0))</f>
        <v>1</v>
      </c>
      <c r="C1365" s="3" t="s">
        <v>3188</v>
      </c>
      <c r="D1365" s="3" t="str">
        <f>VLOOKUP($C1365,[1]stockregister!$B$2:$B$2000,1,0)</f>
        <v>GLENFIDDICH RESERVE 18YRS 700ML</v>
      </c>
      <c r="E1365" s="3" t="str">
        <f>IF(ISNA($D1365),VLOOKUP($A1365,[2]stockregister!$A$2:$B$2000,2,FALSE),"")</f>
        <v/>
      </c>
      <c r="F1365" s="3" t="s">
        <v>21</v>
      </c>
      <c r="G1365" s="3">
        <f>_xlfn.IFNA(VLOOKUP($A1365,[3]stockregister!$A$2:$L$2000,11,0),0)</f>
        <v>0</v>
      </c>
      <c r="H1365" s="3">
        <f>_xlfn.IFNA(VLOOKUP($A1365,[3]stockregister!$A$2:$L$2000,11,0),0)-$G1365</f>
        <v>0</v>
      </c>
      <c r="I1365" s="3">
        <f>_xlfn.IFNA(VLOOKUP($A1365,[3]stockregister!$A$2:$L$2000,12,0),0)</f>
        <v>9630</v>
      </c>
      <c r="J1365" s="3">
        <f>_xlfn.IFNA(VLOOKUP($A1365,[3]stockregister!$A$1:$M$2000,12,0),0)-$I1365</f>
        <v>0</v>
      </c>
      <c r="K1365" s="3" t="s">
        <v>22</v>
      </c>
      <c r="L1365" s="3" t="s">
        <v>23</v>
      </c>
      <c r="M1365" s="3">
        <f>_xlfn.IFNA(VLOOKUP($A1365,[2]stockregister!$A$2:$H$2000,8,0),0)</f>
        <v>12500</v>
      </c>
      <c r="N1365" s="3">
        <f>_xlfn.IFNA(VLOOKUP($A1365,[2]stockregister!$A$2:$H$2000,8,0),0)-$M1365</f>
        <v>0</v>
      </c>
      <c r="O1365" s="3" t="s">
        <v>3189</v>
      </c>
      <c r="P1365" s="3" t="s">
        <v>3189</v>
      </c>
      <c r="Q1365" s="3" t="s">
        <v>1892</v>
      </c>
      <c r="R1365" s="3" t="s">
        <v>113</v>
      </c>
      <c r="S1365" s="3" t="s">
        <v>114</v>
      </c>
      <c r="T1365" s="3">
        <v>18</v>
      </c>
    </row>
    <row r="1366" spans="1:20">
      <c r="A1366" s="3">
        <v>837</v>
      </c>
      <c r="B1366" s="3" t="b">
        <f>ISNUMBER(MATCH(A1366,[1]stockregister!$A$2:$A$2000,0))</f>
        <v>1</v>
      </c>
      <c r="C1366" s="3" t="s">
        <v>3190</v>
      </c>
      <c r="D1366" s="3" t="str">
        <f>VLOOKUP($C1366,[1]stockregister!$B$2:$B$2000,1,0)</f>
        <v>GLENFIDDICH SOLERA 15YRS 700ML</v>
      </c>
      <c r="E1366" s="3" t="str">
        <f>IF(ISNA($D1366),VLOOKUP($A1366,[2]stockregister!$A$2:$B$2000,2,FALSE),"")</f>
        <v/>
      </c>
      <c r="F1366" s="3" t="s">
        <v>21</v>
      </c>
      <c r="G1366" s="3">
        <f>_xlfn.IFNA(VLOOKUP($A1366,[3]stockregister!$A$2:$L$2000,11,0),0)</f>
        <v>0</v>
      </c>
      <c r="H1366" s="3">
        <f>_xlfn.IFNA(VLOOKUP($A1366,[3]stockregister!$A$2:$L$2000,11,0),0)-$G1366</f>
        <v>0</v>
      </c>
      <c r="I1366" s="3">
        <f>_xlfn.IFNA(VLOOKUP($A1366,[3]stockregister!$A$2:$L$2000,12,0),0)</f>
        <v>7820</v>
      </c>
      <c r="J1366" s="3">
        <f>_xlfn.IFNA(VLOOKUP($A1366,[3]stockregister!$A$1:$M$2000,12,0),0)-$I1366</f>
        <v>0</v>
      </c>
      <c r="K1366" s="3" t="s">
        <v>22</v>
      </c>
      <c r="L1366" s="3" t="s">
        <v>23</v>
      </c>
      <c r="M1366" s="3">
        <f>_xlfn.IFNA(VLOOKUP($A1366,[2]stockregister!$A$2:$H$2000,8,0),0)</f>
        <v>8000</v>
      </c>
      <c r="N1366" s="3">
        <f>_xlfn.IFNA(VLOOKUP($A1366,[2]stockregister!$A$2:$H$2000,8,0),0)-$M1366</f>
        <v>0</v>
      </c>
      <c r="O1366" s="3" t="s">
        <v>3191</v>
      </c>
      <c r="P1366" s="3" t="s">
        <v>3191</v>
      </c>
      <c r="Q1366" s="3" t="s">
        <v>1892</v>
      </c>
      <c r="R1366" s="3" t="s">
        <v>113</v>
      </c>
      <c r="S1366" s="3" t="s">
        <v>114</v>
      </c>
      <c r="T1366" s="3">
        <v>15</v>
      </c>
    </row>
    <row r="1367" spans="1:20">
      <c r="A1367" s="3">
        <v>2354</v>
      </c>
      <c r="B1367" s="3" t="b">
        <f>ISNUMBER(MATCH(A1367,[1]stockregister!$A$2:$A$2000,0))</f>
        <v>1</v>
      </c>
      <c r="C1367" s="3" t="s">
        <v>3192</v>
      </c>
      <c r="D1367" s="3" t="str">
        <f>VLOOKUP($C1367,[1]stockregister!$B$2:$B$2000,1,0)</f>
        <v>GLENMORANGIE LASANTA 12YRS 750ML</v>
      </c>
      <c r="E1367" s="3" t="str">
        <f>IF(ISNA($D1367),VLOOKUP($A1367,[2]stockregister!$A$2:$B$2000,2,FALSE),"")</f>
        <v/>
      </c>
      <c r="F1367" s="3" t="s">
        <v>21</v>
      </c>
      <c r="G1367" s="3">
        <f>_xlfn.IFNA(VLOOKUP($A1367,[3]stockregister!$A$2:$L$2000,11,0),0)</f>
        <v>0</v>
      </c>
      <c r="H1367" s="3">
        <f>_xlfn.IFNA(VLOOKUP($A1367,[3]stockregister!$A$2:$L$2000,11,0),0)-$G1367</f>
        <v>0</v>
      </c>
      <c r="I1367" s="3">
        <f>_xlfn.IFNA(VLOOKUP($A1367,[3]stockregister!$A$2:$L$2000,12,0),0)</f>
        <v>5300</v>
      </c>
      <c r="J1367" s="3">
        <f>_xlfn.IFNA(VLOOKUP($A1367,[3]stockregister!$A$1:$M$2000,12,0),0)-$I1367</f>
        <v>0</v>
      </c>
      <c r="K1367" s="3" t="s">
        <v>22</v>
      </c>
      <c r="L1367" s="3" t="s">
        <v>23</v>
      </c>
      <c r="M1367" s="3">
        <f>_xlfn.IFNA(VLOOKUP($A1367,[2]stockregister!$A$2:$H$2000,8,0),0)</f>
        <v>6500</v>
      </c>
      <c r="N1367" s="3">
        <f>_xlfn.IFNA(VLOOKUP($A1367,[2]stockregister!$A$2:$H$2000,8,0),0)-$M1367</f>
        <v>0</v>
      </c>
      <c r="O1367" s="3" t="s">
        <v>3193</v>
      </c>
      <c r="P1367" s="3" t="s">
        <v>3193</v>
      </c>
      <c r="Q1367" s="3" t="s">
        <v>780</v>
      </c>
      <c r="R1367" s="3" t="s">
        <v>113</v>
      </c>
      <c r="S1367" s="3" t="s">
        <v>114</v>
      </c>
      <c r="T1367" s="3">
        <v>12</v>
      </c>
    </row>
    <row r="1368" spans="1:20">
      <c r="A1368" s="3">
        <v>2849</v>
      </c>
      <c r="B1368" s="3" t="b">
        <f>ISNUMBER(MATCH(A1368,[1]stockregister!$A$2:$A$2000,0))</f>
        <v>1</v>
      </c>
      <c r="C1368" s="3" t="s">
        <v>3194</v>
      </c>
      <c r="D1368" s="3" t="str">
        <f>VLOOKUP($C1368,[1]stockregister!$B$2:$B$2000,1,0)</f>
        <v>JAMESON 18YRS 700ML</v>
      </c>
      <c r="E1368" s="3" t="str">
        <f>IF(ISNA($D1368),VLOOKUP($A1368,[2]stockregister!$A$2:$B$2000,2,FALSE),"")</f>
        <v/>
      </c>
      <c r="F1368" s="3" t="s">
        <v>21</v>
      </c>
      <c r="G1368" s="3">
        <f>_xlfn.IFNA(VLOOKUP($A1368,[3]stockregister!$A$2:$L$2000,11,0),0)</f>
        <v>0</v>
      </c>
      <c r="H1368" s="3">
        <f>_xlfn.IFNA(VLOOKUP($A1368,[3]stockregister!$A$2:$L$2000,11,0),0)-$G1368</f>
        <v>0</v>
      </c>
      <c r="I1368" s="3">
        <f>_xlfn.IFNA(VLOOKUP($A1368,[3]stockregister!$A$2:$L$2000,12,0),0)</f>
        <v>13600</v>
      </c>
      <c r="J1368" s="3">
        <f>_xlfn.IFNA(VLOOKUP($A1368,[3]stockregister!$A$1:$M$2000,12,0),0)-$I1368</f>
        <v>0</v>
      </c>
      <c r="K1368" s="3" t="s">
        <v>22</v>
      </c>
      <c r="L1368" s="3" t="s">
        <v>23</v>
      </c>
      <c r="M1368" s="3">
        <f>_xlfn.IFNA(VLOOKUP($A1368,[2]stockregister!$A$2:$H$2000,8,0),0)</f>
        <v>17000</v>
      </c>
      <c r="N1368" s="3">
        <f>_xlfn.IFNA(VLOOKUP($A1368,[2]stockregister!$A$2:$H$2000,8,0),0)-$M1368</f>
        <v>0</v>
      </c>
      <c r="O1368" s="3" t="s">
        <v>3195</v>
      </c>
      <c r="P1368" s="3" t="s">
        <v>3195</v>
      </c>
      <c r="Q1368" s="3" t="s">
        <v>732</v>
      </c>
      <c r="R1368" s="3" t="s">
        <v>113</v>
      </c>
      <c r="S1368" s="3" t="s">
        <v>114</v>
      </c>
      <c r="T1368" s="3">
        <v>18</v>
      </c>
    </row>
    <row r="1369" spans="1:19">
      <c r="A1369" s="3">
        <v>2797</v>
      </c>
      <c r="B1369" s="3" t="b">
        <f>ISNUMBER(MATCH(A1369,[1]stockregister!$A$2:$A$2000,0))</f>
        <v>1</v>
      </c>
      <c r="C1369" s="3" t="s">
        <v>3196</v>
      </c>
      <c r="D1369" s="3" t="str">
        <f>VLOOKUP($C1369,[1]stockregister!$B$2:$B$2000,1,0)</f>
        <v>JAMESON COLD BREW 700ML</v>
      </c>
      <c r="E1369" s="3" t="str">
        <f>IF(ISNA($D1369),VLOOKUP($A1369,[2]stockregister!$A$2:$B$2000,2,FALSE),"")</f>
        <v/>
      </c>
      <c r="F1369" s="3" t="s">
        <v>21</v>
      </c>
      <c r="G1369" s="3">
        <f>_xlfn.IFNA(VLOOKUP($A1369,[3]stockregister!$A$2:$L$2000,11,0),0)</f>
        <v>0</v>
      </c>
      <c r="H1369" s="3">
        <f>_xlfn.IFNA(VLOOKUP($A1369,[3]stockregister!$A$2:$L$2000,11,0),0)-$G1369</f>
        <v>0</v>
      </c>
      <c r="I1369" s="3">
        <f>_xlfn.IFNA(VLOOKUP($A1369,[3]stockregister!$A$2:$L$2000,12,0),0)</f>
        <v>2730</v>
      </c>
      <c r="J1369" s="3">
        <f>_xlfn.IFNA(VLOOKUP($A1369,[3]stockregister!$A$1:$M$2000,12,0),0)-$I1369</f>
        <v>0</v>
      </c>
      <c r="K1369" s="3" t="s">
        <v>22</v>
      </c>
      <c r="L1369" s="3" t="s">
        <v>23</v>
      </c>
      <c r="M1369" s="3">
        <f>_xlfn.IFNA(VLOOKUP($A1369,[2]stockregister!$A$2:$H$2000,8,0),0)</f>
        <v>3500</v>
      </c>
      <c r="N1369" s="3">
        <f>_xlfn.IFNA(VLOOKUP($A1369,[2]stockregister!$A$2:$H$2000,8,0),0)-$M1369</f>
        <v>0</v>
      </c>
      <c r="O1369" s="3" t="s">
        <v>3197</v>
      </c>
      <c r="P1369" s="3" t="s">
        <v>3197</v>
      </c>
      <c r="Q1369" s="3" t="s">
        <v>732</v>
      </c>
      <c r="R1369" s="3" t="s">
        <v>113</v>
      </c>
      <c r="S1369" s="3" t="s">
        <v>114</v>
      </c>
    </row>
    <row r="1370" spans="1:19">
      <c r="A1370" s="3">
        <v>2798</v>
      </c>
      <c r="B1370" s="3" t="b">
        <f>ISNUMBER(MATCH(A1370,[1]stockregister!$A$2:$A$2000,0))</f>
        <v>1</v>
      </c>
      <c r="C1370" s="3" t="s">
        <v>3198</v>
      </c>
      <c r="D1370" s="3" t="str">
        <f>VLOOKUP($C1370,[1]stockregister!$B$2:$B$2000,1,0)</f>
        <v>JAMESON ORANGE 700ML</v>
      </c>
      <c r="E1370" s="3" t="str">
        <f>IF(ISNA($D1370),VLOOKUP($A1370,[2]stockregister!$A$2:$B$2000,2,FALSE),"")</f>
        <v/>
      </c>
      <c r="F1370" s="3" t="s">
        <v>21</v>
      </c>
      <c r="G1370" s="3">
        <f>_xlfn.IFNA(VLOOKUP($A1370,[3]stockregister!$A$2:$L$2000,11,0),0)</f>
        <v>0</v>
      </c>
      <c r="H1370" s="3">
        <f>_xlfn.IFNA(VLOOKUP($A1370,[3]stockregister!$A$2:$L$2000,11,0),0)-$G1370</f>
        <v>0</v>
      </c>
      <c r="I1370" s="3">
        <f>_xlfn.IFNA(VLOOKUP($A1370,[3]stockregister!$A$2:$L$2000,12,0),0)</f>
        <v>2253</v>
      </c>
      <c r="J1370" s="3">
        <f>_xlfn.IFNA(VLOOKUP($A1370,[3]stockregister!$A$1:$M$2000,12,0),0)-$I1370</f>
        <v>0</v>
      </c>
      <c r="K1370" s="3" t="s">
        <v>22</v>
      </c>
      <c r="L1370" s="3" t="s">
        <v>23</v>
      </c>
      <c r="M1370" s="3">
        <f>_xlfn.IFNA(VLOOKUP($A1370,[2]stockregister!$A$2:$H$2000,8,0),0)</f>
        <v>3000</v>
      </c>
      <c r="N1370" s="3">
        <f>_xlfn.IFNA(VLOOKUP($A1370,[2]stockregister!$A$2:$H$2000,8,0),0)-$M1370</f>
        <v>0</v>
      </c>
      <c r="O1370" s="3" t="s">
        <v>3199</v>
      </c>
      <c r="P1370" s="3" t="s">
        <v>3199</v>
      </c>
      <c r="Q1370" s="3" t="s">
        <v>732</v>
      </c>
      <c r="R1370" s="3" t="s">
        <v>113</v>
      </c>
      <c r="S1370" s="3" t="s">
        <v>114</v>
      </c>
    </row>
    <row r="1371" spans="1:19">
      <c r="A1371" s="3">
        <v>2788</v>
      </c>
      <c r="B1371" s="3" t="b">
        <f>ISNUMBER(MATCH(A1371,[1]stockregister!$A$2:$A$2000,0))</f>
        <v>1</v>
      </c>
      <c r="C1371" s="3" t="s">
        <v>3200</v>
      </c>
      <c r="D1371" s="3" t="str">
        <f>VLOOKUP($C1371,[1]stockregister!$B$2:$B$2000,1,0)</f>
        <v>JIM BEAM BLACK CHERRY 700ML</v>
      </c>
      <c r="E1371" s="3" t="str">
        <f>IF(ISNA($D1371),VLOOKUP($A1371,[2]stockregister!$A$2:$B$2000,2,FALSE),"")</f>
        <v/>
      </c>
      <c r="F1371" s="3" t="s">
        <v>21</v>
      </c>
      <c r="G1371" s="3">
        <f>_xlfn.IFNA(VLOOKUP($A1371,[3]stockregister!$A$2:$L$2000,11,0),0)</f>
        <v>0</v>
      </c>
      <c r="H1371" s="3">
        <f>_xlfn.IFNA(VLOOKUP($A1371,[3]stockregister!$A$2:$L$2000,11,0),0)-$G1371</f>
        <v>0</v>
      </c>
      <c r="I1371" s="3">
        <f>_xlfn.IFNA(VLOOKUP($A1371,[3]stockregister!$A$2:$L$2000,12,0),0)</f>
        <v>2100</v>
      </c>
      <c r="J1371" s="3">
        <f>_xlfn.IFNA(VLOOKUP($A1371,[3]stockregister!$A$1:$M$2000,12,0),0)-$I1371</f>
        <v>0</v>
      </c>
      <c r="K1371" s="3" t="s">
        <v>22</v>
      </c>
      <c r="L1371" s="3" t="s">
        <v>23</v>
      </c>
      <c r="M1371" s="3">
        <f>_xlfn.IFNA(VLOOKUP($A1371,[2]stockregister!$A$2:$H$2000,8,0),0)</f>
        <v>2500</v>
      </c>
      <c r="N1371" s="3">
        <f>_xlfn.IFNA(VLOOKUP($A1371,[2]stockregister!$A$2:$H$2000,8,0),0)-$M1371</f>
        <v>0</v>
      </c>
      <c r="O1371" s="3" t="s">
        <v>3201</v>
      </c>
      <c r="P1371" s="3" t="s">
        <v>3201</v>
      </c>
      <c r="Q1371" s="3" t="s">
        <v>3202</v>
      </c>
      <c r="R1371" s="3" t="s">
        <v>113</v>
      </c>
      <c r="S1371" s="3" t="s">
        <v>114</v>
      </c>
    </row>
    <row r="1372" spans="1:19">
      <c r="A1372" s="3">
        <v>1495</v>
      </c>
      <c r="B1372" s="3" t="b">
        <f>ISNUMBER(MATCH(A1372,[1]stockregister!$A$2:$A$2000,0))</f>
        <v>1</v>
      </c>
      <c r="C1372" s="3" t="s">
        <v>3203</v>
      </c>
      <c r="D1372" s="3" t="str">
        <f>VLOOKUP($C1372,[1]stockregister!$B$2:$B$2000,1,0)</f>
        <v>NAKED MALT 750ml</v>
      </c>
      <c r="E1372" s="3" t="str">
        <f>IF(ISNA($D1372),VLOOKUP($A1372,[2]stockregister!$A$2:$B$2000,2,FALSE),"")</f>
        <v/>
      </c>
      <c r="F1372" s="3" t="s">
        <v>21</v>
      </c>
      <c r="G1372" s="3">
        <f>_xlfn.IFNA(VLOOKUP($A1372,[3]stockregister!$A$2:$L$2000,11,0),0)</f>
        <v>0</v>
      </c>
      <c r="H1372" s="3">
        <f>_xlfn.IFNA(VLOOKUP($A1372,[3]stockregister!$A$2:$L$2000,11,0),0)-$G1372</f>
        <v>0</v>
      </c>
      <c r="I1372" s="3">
        <f>_xlfn.IFNA(VLOOKUP($A1372,[3]stockregister!$A$2:$L$2000,12,0),0)</f>
        <v>3680</v>
      </c>
      <c r="J1372" s="3">
        <f>_xlfn.IFNA(VLOOKUP($A1372,[3]stockregister!$A$1:$M$2000,12,0),0)-$I1372</f>
        <v>0</v>
      </c>
      <c r="K1372" s="3" t="s">
        <v>22</v>
      </c>
      <c r="L1372" s="3" t="s">
        <v>23</v>
      </c>
      <c r="M1372" s="3">
        <f>_xlfn.IFNA(VLOOKUP($A1372,[2]stockregister!$A$2:$H$2000,8,0),0)</f>
        <v>4000</v>
      </c>
      <c r="N1372" s="3">
        <f>_xlfn.IFNA(VLOOKUP($A1372,[2]stockregister!$A$2:$H$2000,8,0),0)-$M1372</f>
        <v>0</v>
      </c>
      <c r="O1372" s="3" t="s">
        <v>3204</v>
      </c>
      <c r="P1372" s="3" t="s">
        <v>3204</v>
      </c>
      <c r="Q1372" s="3" t="s">
        <v>3205</v>
      </c>
      <c r="R1372" s="3" t="s">
        <v>113</v>
      </c>
      <c r="S1372" s="3" t="s">
        <v>114</v>
      </c>
    </row>
    <row r="1373" spans="1:20">
      <c r="A1373" s="3">
        <v>1802</v>
      </c>
      <c r="B1373" s="3" t="b">
        <f>ISNUMBER(MATCH(A1373,[1]stockregister!$A$2:$A$2000,0))</f>
        <v>1</v>
      </c>
      <c r="C1373" s="3" t="s">
        <v>3206</v>
      </c>
      <c r="D1373" s="3" t="str">
        <f>VLOOKUP($C1373,[1]stockregister!$B$2:$B$2000,1,0)</f>
        <v>SINGLETON DUFFTOWN 18YRS WHISKY 750ML</v>
      </c>
      <c r="E1373" s="3" t="str">
        <f>IF(ISNA($D1373),VLOOKUP($A1373,[2]stockregister!$A$2:$B$2000,2,FALSE),"")</f>
        <v/>
      </c>
      <c r="F1373" s="3" t="s">
        <v>21</v>
      </c>
      <c r="G1373" s="3">
        <f>_xlfn.IFNA(VLOOKUP($A1373,[3]stockregister!$A$2:$L$2000,11,0),0)</f>
        <v>0</v>
      </c>
      <c r="H1373" s="3">
        <f>_xlfn.IFNA(VLOOKUP($A1373,[3]stockregister!$A$2:$L$2000,11,0),0)-$G1373</f>
        <v>0</v>
      </c>
      <c r="I1373" s="3">
        <f>_xlfn.IFNA(VLOOKUP($A1373,[3]stockregister!$A$2:$L$2000,12,0),0)</f>
        <v>8280</v>
      </c>
      <c r="J1373" s="3">
        <f>_xlfn.IFNA(VLOOKUP($A1373,[3]stockregister!$A$1:$M$2000,12,0),0)-$I1373</f>
        <v>0</v>
      </c>
      <c r="K1373" s="3" t="s">
        <v>22</v>
      </c>
      <c r="L1373" s="3" t="s">
        <v>23</v>
      </c>
      <c r="M1373" s="3">
        <f>_xlfn.IFNA(VLOOKUP($A1373,[2]stockregister!$A$2:$H$2000,8,0),0)</f>
        <v>10000</v>
      </c>
      <c r="N1373" s="3">
        <f>_xlfn.IFNA(VLOOKUP($A1373,[2]stockregister!$A$2:$H$2000,8,0),0)-$M1373</f>
        <v>0</v>
      </c>
      <c r="O1373" s="3" t="s">
        <v>3207</v>
      </c>
      <c r="P1373" s="3" t="s">
        <v>3207</v>
      </c>
      <c r="Q1373" s="3" t="s">
        <v>2213</v>
      </c>
      <c r="R1373" s="3" t="s">
        <v>113</v>
      </c>
      <c r="S1373" s="3" t="s">
        <v>114</v>
      </c>
      <c r="T1373" s="3">
        <v>18</v>
      </c>
    </row>
    <row r="1374" spans="1:19">
      <c r="A1374" s="3">
        <v>2271</v>
      </c>
      <c r="B1374" s="3" t="b">
        <f>ISNUMBER(MATCH(A1374,[1]stockregister!$A$2:$A$2000,0))</f>
        <v>1</v>
      </c>
      <c r="C1374" s="3" t="s">
        <v>3208</v>
      </c>
      <c r="D1374" s="3" t="str">
        <f>VLOOKUP($C1374,[1]stockregister!$B$2:$B$2000,1,0)</f>
        <v>THE FAMOUS GROUSE BOURBON CASK 750ML</v>
      </c>
      <c r="E1374" s="3" t="str">
        <f>IF(ISNA($D1374),VLOOKUP($A1374,[2]stockregister!$A$2:$B$2000,2,FALSE),"")</f>
        <v/>
      </c>
      <c r="F1374" s="3" t="s">
        <v>21</v>
      </c>
      <c r="G1374" s="3">
        <f>_xlfn.IFNA(VLOOKUP($A1374,[3]stockregister!$A$2:$L$2000,11,0),0)</f>
        <v>0</v>
      </c>
      <c r="H1374" s="3">
        <f>_xlfn.IFNA(VLOOKUP($A1374,[3]stockregister!$A$2:$L$2000,11,0),0)-$G1374</f>
        <v>0</v>
      </c>
      <c r="I1374" s="3">
        <f>_xlfn.IFNA(VLOOKUP($A1374,[3]stockregister!$A$2:$L$2000,12,0),0)</f>
        <v>2500</v>
      </c>
      <c r="J1374" s="3">
        <f>_xlfn.IFNA(VLOOKUP($A1374,[3]stockregister!$A$1:$M$2000,12,0),0)-$I1374</f>
        <v>0</v>
      </c>
      <c r="K1374" s="3" t="s">
        <v>22</v>
      </c>
      <c r="L1374" s="3" t="s">
        <v>23</v>
      </c>
      <c r="M1374" s="3">
        <f>_xlfn.IFNA(VLOOKUP($A1374,[2]stockregister!$A$2:$H$2000,8,0),0)</f>
        <v>2600</v>
      </c>
      <c r="N1374" s="3">
        <f>_xlfn.IFNA(VLOOKUP($A1374,[2]stockregister!$A$2:$H$2000,8,0),0)-$M1374</f>
        <v>0</v>
      </c>
      <c r="O1374" s="3" t="s">
        <v>3209</v>
      </c>
      <c r="P1374" s="3" t="s">
        <v>3209</v>
      </c>
      <c r="Q1374" s="3" t="s">
        <v>362</v>
      </c>
      <c r="R1374" s="3" t="s">
        <v>113</v>
      </c>
      <c r="S1374" s="3" t="s">
        <v>114</v>
      </c>
    </row>
    <row r="1375" spans="1:20">
      <c r="A1375" s="3">
        <v>2451</v>
      </c>
      <c r="B1375" s="3" t="b">
        <f>ISNUMBER(MATCH(A1375,[1]stockregister!$A$2:$A$2000,0))</f>
        <v>1</v>
      </c>
      <c r="C1375" s="3" t="s">
        <v>3210</v>
      </c>
      <c r="D1375" s="3" t="str">
        <f>VLOOKUP($C1375,[1]stockregister!$B$2:$B$2000,1,0)</f>
        <v>THE GLENLIVET DOUBLE OAK 12 YO 750ML</v>
      </c>
      <c r="E1375" s="3" t="str">
        <f>IF(ISNA($D1375),VLOOKUP($A1375,[2]stockregister!$A$2:$B$2000,2,FALSE),"")</f>
        <v/>
      </c>
      <c r="F1375" s="3" t="s">
        <v>21</v>
      </c>
      <c r="G1375" s="3">
        <f>_xlfn.IFNA(VLOOKUP($A1375,[3]stockregister!$A$2:$L$2000,11,0),0)</f>
        <v>0</v>
      </c>
      <c r="H1375" s="3">
        <f>_xlfn.IFNA(VLOOKUP($A1375,[3]stockregister!$A$2:$L$2000,11,0),0)-$G1375</f>
        <v>0</v>
      </c>
      <c r="I1375" s="3">
        <f>_xlfn.IFNA(VLOOKUP($A1375,[3]stockregister!$A$2:$L$2000,12,0),0)</f>
        <v>4600</v>
      </c>
      <c r="J1375" s="3">
        <f>_xlfn.IFNA(VLOOKUP($A1375,[3]stockregister!$A$1:$M$2000,12,0),0)-$I1375</f>
        <v>0</v>
      </c>
      <c r="K1375" s="3" t="s">
        <v>22</v>
      </c>
      <c r="L1375" s="3" t="s">
        <v>23</v>
      </c>
      <c r="M1375" s="3">
        <f>_xlfn.IFNA(VLOOKUP($A1375,[2]stockregister!$A$2:$H$2000,8,0),0)</f>
        <v>4750</v>
      </c>
      <c r="N1375" s="3">
        <f>_xlfn.IFNA(VLOOKUP($A1375,[2]stockregister!$A$2:$H$2000,8,0),0)-$M1375</f>
        <v>0</v>
      </c>
      <c r="O1375" s="3" t="s">
        <v>3211</v>
      </c>
      <c r="P1375" s="3" t="s">
        <v>3211</v>
      </c>
      <c r="Q1375" s="3" t="s">
        <v>628</v>
      </c>
      <c r="R1375" s="3" t="s">
        <v>113</v>
      </c>
      <c r="S1375" s="3" t="s">
        <v>114</v>
      </c>
      <c r="T1375" s="3">
        <v>12</v>
      </c>
    </row>
    <row r="1376" spans="1:20">
      <c r="A1376" s="3">
        <v>1967</v>
      </c>
      <c r="B1376" s="3" t="b">
        <f>ISNUMBER(MATCH(A1376,[1]stockregister!$A$2:$A$2000,0))</f>
        <v>1</v>
      </c>
      <c r="C1376" s="3" t="s">
        <v>3212</v>
      </c>
      <c r="D1376" s="3" t="str">
        <f>VLOOKUP($C1376,[1]stockregister!$B$2:$B$2000,1,0)</f>
        <v>THE GLENLIVET DOUBLE OAK 12 YO WITH GLASS 750ML</v>
      </c>
      <c r="E1376" s="3" t="str">
        <f>IF(ISNA($D1376),VLOOKUP($A1376,[2]stockregister!$A$2:$B$2000,2,FALSE),"")</f>
        <v/>
      </c>
      <c r="F1376" s="3" t="s">
        <v>21</v>
      </c>
      <c r="G1376" s="3">
        <f>_xlfn.IFNA(VLOOKUP($A1376,[3]stockregister!$A$2:$L$2000,11,0),0)</f>
        <v>0</v>
      </c>
      <c r="H1376" s="3">
        <f>_xlfn.IFNA(VLOOKUP($A1376,[3]stockregister!$A$2:$L$2000,11,0),0)-$G1376</f>
        <v>0</v>
      </c>
      <c r="I1376" s="3">
        <f>_xlfn.IFNA(VLOOKUP($A1376,[3]stockregister!$A$2:$L$2000,12,0),0)</f>
        <v>4600</v>
      </c>
      <c r="J1376" s="3">
        <f>_xlfn.IFNA(VLOOKUP($A1376,[3]stockregister!$A$1:$M$2000,12,0),0)-$I1376</f>
        <v>0</v>
      </c>
      <c r="K1376" s="3" t="s">
        <v>22</v>
      </c>
      <c r="L1376" s="3" t="s">
        <v>23</v>
      </c>
      <c r="M1376" s="3">
        <f>_xlfn.IFNA(VLOOKUP($A1376,[2]stockregister!$A$2:$H$2000,8,0),0)</f>
        <v>4750</v>
      </c>
      <c r="N1376" s="3">
        <f>_xlfn.IFNA(VLOOKUP($A1376,[2]stockregister!$A$2:$H$2000,8,0),0)-$M1376</f>
        <v>0</v>
      </c>
      <c r="O1376" s="3" t="s">
        <v>3213</v>
      </c>
      <c r="P1376" s="3" t="s">
        <v>3213</v>
      </c>
      <c r="Q1376" s="3" t="s">
        <v>628</v>
      </c>
      <c r="R1376" s="3" t="s">
        <v>113</v>
      </c>
      <c r="S1376" s="3" t="s">
        <v>114</v>
      </c>
      <c r="T1376" s="3">
        <v>12</v>
      </c>
    </row>
    <row r="1377" spans="1:20">
      <c r="A1377" s="3">
        <v>2450</v>
      </c>
      <c r="B1377" s="3" t="b">
        <f>ISNUMBER(MATCH(A1377,[1]stockregister!$A$2:$A$2000,0))</f>
        <v>1</v>
      </c>
      <c r="C1377" s="3" t="s">
        <v>559</v>
      </c>
      <c r="D1377" s="3" t="str">
        <f>VLOOKUP($C1377,[1]stockregister!$B$2:$B$2000,1,0)</f>
        <v>THE GLENLIVET GEORGE SMITH 12 YO  750ML</v>
      </c>
      <c r="E1377" s="3" t="str">
        <f>IF(ISNA($D1377),VLOOKUP($A1377,[2]stockregister!$A$2:$B$2000,2,FALSE),"")</f>
        <v/>
      </c>
      <c r="F1377" s="3" t="s">
        <v>21</v>
      </c>
      <c r="G1377" s="3">
        <f>_xlfn.IFNA(VLOOKUP($A1377,[3]stockregister!$A$2:$L$2000,11,0),0)</f>
        <v>0</v>
      </c>
      <c r="H1377" s="3">
        <f>_xlfn.IFNA(VLOOKUP($A1377,[3]stockregister!$A$2:$L$2000,11,0),0)-$G1377</f>
        <v>0</v>
      </c>
      <c r="I1377" s="3">
        <f>_xlfn.IFNA(VLOOKUP($A1377,[3]stockregister!$A$2:$L$2000,12,0),0)</f>
        <v>4600</v>
      </c>
      <c r="J1377" s="3">
        <f>_xlfn.IFNA(VLOOKUP($A1377,[3]stockregister!$A$1:$M$2000,12,0),0)-$I1377</f>
        <v>0</v>
      </c>
      <c r="K1377" s="3" t="s">
        <v>22</v>
      </c>
      <c r="L1377" s="3" t="s">
        <v>23</v>
      </c>
      <c r="M1377" s="3">
        <f>_xlfn.IFNA(VLOOKUP($A1377,[2]stockregister!$A$2:$H$2000,8,0),0)</f>
        <v>5500</v>
      </c>
      <c r="N1377" s="3">
        <f>_xlfn.IFNA(VLOOKUP($A1377,[2]stockregister!$A$2:$H$2000,8,0),0)-$M1377</f>
        <v>0</v>
      </c>
      <c r="O1377" s="3" t="s">
        <v>3214</v>
      </c>
      <c r="P1377" s="3" t="s">
        <v>3214</v>
      </c>
      <c r="Q1377" s="3" t="s">
        <v>628</v>
      </c>
      <c r="R1377" s="3" t="s">
        <v>113</v>
      </c>
      <c r="S1377" s="3" t="s">
        <v>114</v>
      </c>
      <c r="T1377" s="3">
        <v>12</v>
      </c>
    </row>
    <row r="1378" spans="1:19">
      <c r="A1378" s="3">
        <v>1341</v>
      </c>
      <c r="B1378" s="3" t="b">
        <f>ISNUMBER(MATCH(A1378,[1]stockregister!$A$2:$A$2000,0))</f>
        <v>1</v>
      </c>
      <c r="C1378" s="3" t="s">
        <v>3215</v>
      </c>
      <c r="D1378" s="3" t="str">
        <f>VLOOKUP($C1378,[1]stockregister!$B$2:$B$2000,1,0)</f>
        <v>THE MACALLAN AMBER 1LTR</v>
      </c>
      <c r="E1378" s="3" t="str">
        <f>IF(ISNA($D1378),VLOOKUP($A1378,[2]stockregister!$A$2:$B$2000,2,FALSE),"")</f>
        <v/>
      </c>
      <c r="F1378" s="3" t="s">
        <v>21</v>
      </c>
      <c r="G1378" s="3">
        <f>_xlfn.IFNA(VLOOKUP($A1378,[3]stockregister!$A$2:$L$2000,11,0),0)</f>
        <v>0</v>
      </c>
      <c r="H1378" s="3">
        <f>_xlfn.IFNA(VLOOKUP($A1378,[3]stockregister!$A$2:$L$2000,11,0),0)-$G1378</f>
        <v>0</v>
      </c>
      <c r="I1378" s="3">
        <f>_xlfn.IFNA(VLOOKUP($A1378,[3]stockregister!$A$2:$L$2000,12,0),0)</f>
        <v>6624</v>
      </c>
      <c r="J1378" s="3">
        <f>_xlfn.IFNA(VLOOKUP($A1378,[3]stockregister!$A$1:$M$2000,12,0),0)-$I1378</f>
        <v>0</v>
      </c>
      <c r="K1378" s="3" t="s">
        <v>22</v>
      </c>
      <c r="L1378" s="3" t="s">
        <v>23</v>
      </c>
      <c r="M1378" s="3">
        <f>_xlfn.IFNA(VLOOKUP($A1378,[2]stockregister!$A$2:$H$2000,8,0),0)</f>
        <v>7200</v>
      </c>
      <c r="N1378" s="3">
        <f>_xlfn.IFNA(VLOOKUP($A1378,[2]stockregister!$A$2:$H$2000,8,0),0)-$M1378</f>
        <v>0</v>
      </c>
      <c r="O1378" s="3" t="s">
        <v>3216</v>
      </c>
      <c r="P1378" s="3" t="s">
        <v>3216</v>
      </c>
      <c r="Q1378" s="3" t="s">
        <v>907</v>
      </c>
      <c r="R1378" s="3" t="s">
        <v>113</v>
      </c>
      <c r="S1378" s="3" t="s">
        <v>114</v>
      </c>
    </row>
    <row r="1379" spans="1:19">
      <c r="A1379" s="3">
        <v>2881</v>
      </c>
      <c r="B1379" s="3" t="b">
        <f>ISNUMBER(MATCH(A1379,[1]stockregister!$A$2:$A$2000,0))</f>
        <v>1</v>
      </c>
      <c r="C1379" s="3" t="s">
        <v>3217</v>
      </c>
      <c r="D1379" s="3" t="str">
        <f>VLOOKUP($C1379,[1]stockregister!$B$2:$B$2000,1,0)</f>
        <v>THE WILSHIRE BLENDED WHISKY 750ML</v>
      </c>
      <c r="E1379" s="3" t="str">
        <f>IF(ISNA($D1379),VLOOKUP($A1379,[2]stockregister!$A$2:$B$2000,2,FALSE),"")</f>
        <v/>
      </c>
      <c r="F1379" s="3" t="s">
        <v>21</v>
      </c>
      <c r="G1379" s="3">
        <f>_xlfn.IFNA(VLOOKUP($A1379,[3]stockregister!$A$2:$L$2000,11,0),0)</f>
        <v>0</v>
      </c>
      <c r="H1379" s="3">
        <f>_xlfn.IFNA(VLOOKUP($A1379,[3]stockregister!$A$2:$L$2000,11,0),0)-$G1379</f>
        <v>0</v>
      </c>
      <c r="I1379" s="3">
        <f>_xlfn.IFNA(VLOOKUP($A1379,[3]stockregister!$A$2:$L$2000,12,0),0)</f>
        <v>1050</v>
      </c>
      <c r="J1379" s="3">
        <f>_xlfn.IFNA(VLOOKUP($A1379,[3]stockregister!$A$1:$M$2000,12,0),0)-$I1379</f>
        <v>0</v>
      </c>
      <c r="K1379" s="3" t="s">
        <v>22</v>
      </c>
      <c r="L1379" s="3" t="s">
        <v>23</v>
      </c>
      <c r="M1379" s="3">
        <f>_xlfn.IFNA(VLOOKUP($A1379,[2]stockregister!$A$2:$H$2000,8,0),0)</f>
        <v>1150</v>
      </c>
      <c r="N1379" s="3">
        <f>_xlfn.IFNA(VLOOKUP($A1379,[2]stockregister!$A$2:$H$2000,8,0),0)-$M1379</f>
        <v>0</v>
      </c>
      <c r="O1379" s="3" t="s">
        <v>3218</v>
      </c>
      <c r="P1379" s="3" t="s">
        <v>3218</v>
      </c>
      <c r="Q1379" s="3" t="s">
        <v>3219</v>
      </c>
      <c r="R1379" s="3" t="s">
        <v>113</v>
      </c>
      <c r="S1379" s="3" t="s">
        <v>114</v>
      </c>
    </row>
    <row r="1380" spans="1:19">
      <c r="A1380" s="3">
        <v>2730</v>
      </c>
      <c r="B1380" s="3" t="b">
        <f>ISNUMBER(MATCH(A1380,[1]stockregister!$A$2:$A$2000,0))</f>
        <v>1</v>
      </c>
      <c r="C1380" s="3" t="s">
        <v>3220</v>
      </c>
      <c r="D1380" s="3" t="str">
        <f>VLOOKUP($C1380,[1]stockregister!$B$2:$B$2000,1,0)</f>
        <v>URBAN WHISKY 750ML</v>
      </c>
      <c r="E1380" s="3" t="str">
        <f>IF(ISNA($D1380),VLOOKUP($A1380,[2]stockregister!$A$2:$B$2000,2,FALSE),"")</f>
        <v/>
      </c>
      <c r="F1380" s="3" t="s">
        <v>21</v>
      </c>
      <c r="G1380" s="3">
        <f>_xlfn.IFNA(VLOOKUP($A1380,[3]stockregister!$A$2:$L$2000,11,0),0)</f>
        <v>0</v>
      </c>
      <c r="H1380" s="3">
        <f>_xlfn.IFNA(VLOOKUP($A1380,[3]stockregister!$A$2:$L$2000,11,0),0)-$G1380</f>
        <v>0</v>
      </c>
      <c r="I1380" s="3">
        <f>_xlfn.IFNA(VLOOKUP($A1380,[3]stockregister!$A$2:$L$2000,12,0),0)</f>
        <v>935</v>
      </c>
      <c r="J1380" s="3">
        <f>_xlfn.IFNA(VLOOKUP($A1380,[3]stockregister!$A$1:$M$2000,12,0),0)-$I1380</f>
        <v>0</v>
      </c>
      <c r="K1380" s="3" t="s">
        <v>22</v>
      </c>
      <c r="L1380" s="3" t="s">
        <v>23</v>
      </c>
      <c r="M1380" s="3">
        <f>_xlfn.IFNA(VLOOKUP($A1380,[2]stockregister!$A$2:$H$2000,8,0),0)</f>
        <v>1300</v>
      </c>
      <c r="N1380" s="3">
        <f>_xlfn.IFNA(VLOOKUP($A1380,[2]stockregister!$A$2:$H$2000,8,0),0)-$M1380</f>
        <v>0</v>
      </c>
      <c r="O1380" s="3" t="s">
        <v>3221</v>
      </c>
      <c r="P1380" s="3" t="s">
        <v>3221</v>
      </c>
      <c r="Q1380" s="3" t="s">
        <v>3222</v>
      </c>
      <c r="R1380" s="3" t="s">
        <v>113</v>
      </c>
      <c r="S1380" s="3" t="s">
        <v>114</v>
      </c>
    </row>
    <row r="1381" spans="1:19">
      <c r="A1381" s="3">
        <v>1080</v>
      </c>
      <c r="B1381" s="3" t="b">
        <f>ISNUMBER(MATCH(A1381,[1]stockregister!$A$2:$A$2000,0))</f>
        <v>1</v>
      </c>
      <c r="C1381" s="3" t="s">
        <v>3223</v>
      </c>
      <c r="D1381" s="3" t="str">
        <f>VLOOKUP($C1381,[1]stockregister!$B$2:$B$2000,1,0)</f>
        <v>JIM BEAM BOURBON WHISKY 750ML</v>
      </c>
      <c r="E1381" s="3" t="str">
        <f>IF(ISNA($D1381),VLOOKUP($A1381,[2]stockregister!$A$2:$B$2000,2,FALSE),"")</f>
        <v/>
      </c>
      <c r="F1381" s="3" t="s">
        <v>21</v>
      </c>
      <c r="G1381" s="3">
        <f>_xlfn.IFNA(VLOOKUP($A1381,[3]stockregister!$A$2:$L$2000,11,0),0)</f>
        <v>0</v>
      </c>
      <c r="H1381" s="3">
        <f>_xlfn.IFNA(VLOOKUP($A1381,[3]stockregister!$A$2:$L$2000,11,0),0)-$G1381</f>
        <v>0</v>
      </c>
      <c r="I1381" s="3">
        <f>_xlfn.IFNA(VLOOKUP($A1381,[3]stockregister!$A$2:$L$2000,12,0),0)</f>
        <v>1600</v>
      </c>
      <c r="J1381" s="3">
        <f>_xlfn.IFNA(VLOOKUP($A1381,[3]stockregister!$A$1:$M$2000,12,0),0)-$I1381</f>
        <v>0</v>
      </c>
      <c r="K1381" s="3" t="s">
        <v>22</v>
      </c>
      <c r="L1381" s="3" t="s">
        <v>23</v>
      </c>
      <c r="M1381" s="3">
        <f>_xlfn.IFNA(VLOOKUP($A1381,[2]stockregister!$A$2:$H$2000,8,0),0)</f>
        <v>1800</v>
      </c>
      <c r="N1381" s="3">
        <f>_xlfn.IFNA(VLOOKUP($A1381,[2]stockregister!$A$2:$H$2000,8,0),0)-$M1381</f>
        <v>0</v>
      </c>
      <c r="O1381" s="3" t="s">
        <v>3224</v>
      </c>
      <c r="P1381" s="3" t="s">
        <v>3224</v>
      </c>
      <c r="Q1381" s="3" t="s">
        <v>3225</v>
      </c>
      <c r="R1381" s="3" t="s">
        <v>92</v>
      </c>
      <c r="S1381" s="3" t="s">
        <v>1193</v>
      </c>
    </row>
    <row r="1382" spans="1:19">
      <c r="A1382" s="3">
        <v>1079</v>
      </c>
      <c r="B1382" s="3" t="b">
        <f>ISNUMBER(MATCH(A1382,[1]stockregister!$A$2:$A$2000,0))</f>
        <v>1</v>
      </c>
      <c r="C1382" s="3" t="s">
        <v>3226</v>
      </c>
      <c r="D1382" s="3" t="str">
        <f>VLOOKUP($C1382,[1]stockregister!$B$2:$B$2000,1,0)</f>
        <v>JIM BEAM BOURBON WHISKY 1LTR</v>
      </c>
      <c r="E1382" s="3" t="str">
        <f>IF(ISNA($D1382),VLOOKUP($A1382,[2]stockregister!$A$2:$B$2000,2,FALSE),"")</f>
        <v/>
      </c>
      <c r="F1382" s="3" t="s">
        <v>21</v>
      </c>
      <c r="G1382" s="3">
        <f>_xlfn.IFNA(VLOOKUP($A1382,[3]stockregister!$A$2:$L$2000,11,0),0)</f>
        <v>0</v>
      </c>
      <c r="H1382" s="3">
        <f>_xlfn.IFNA(VLOOKUP($A1382,[3]stockregister!$A$2:$L$2000,11,0),0)-$G1382</f>
        <v>0</v>
      </c>
      <c r="I1382" s="3">
        <f>_xlfn.IFNA(VLOOKUP($A1382,[3]stockregister!$A$2:$L$2000,12,0),0)</f>
        <v>1730</v>
      </c>
      <c r="J1382" s="3">
        <f>_xlfn.IFNA(VLOOKUP($A1382,[3]stockregister!$A$1:$M$2000,12,0),0)-$I1382</f>
        <v>0</v>
      </c>
      <c r="K1382" s="3" t="s">
        <v>22</v>
      </c>
      <c r="L1382" s="3" t="s">
        <v>23</v>
      </c>
      <c r="M1382" s="3">
        <f>_xlfn.IFNA(VLOOKUP($A1382,[2]stockregister!$A$2:$H$2000,8,0),0)</f>
        <v>2100</v>
      </c>
      <c r="N1382" s="3">
        <f>_xlfn.IFNA(VLOOKUP($A1382,[2]stockregister!$A$2:$H$2000,8,0),0)-$M1382</f>
        <v>0</v>
      </c>
      <c r="O1382" s="3" t="s">
        <v>3227</v>
      </c>
      <c r="P1382" s="3" t="s">
        <v>3227</v>
      </c>
      <c r="Q1382" s="3" t="s">
        <v>3225</v>
      </c>
      <c r="R1382" s="3" t="s">
        <v>92</v>
      </c>
      <c r="S1382" s="3" t="s">
        <v>1193</v>
      </c>
    </row>
    <row r="1383" spans="1:19">
      <c r="A1383" s="3">
        <v>300</v>
      </c>
      <c r="B1383" s="3" t="b">
        <f>ISNUMBER(MATCH(A1383,[1]stockregister!$A$2:$A$2000,0))</f>
        <v>1</v>
      </c>
      <c r="C1383" s="3" t="s">
        <v>3228</v>
      </c>
      <c r="D1383" s="3" t="str">
        <f>VLOOKUP($C1383,[1]stockregister!$B$2:$B$2000,1,0)</f>
        <v>BUFFALO TRACE BOURBON WHISKY 750ML</v>
      </c>
      <c r="E1383" s="3" t="str">
        <f>IF(ISNA($D1383),VLOOKUP($A1383,[2]stockregister!$A$2:$B$2000,2,FALSE),"")</f>
        <v/>
      </c>
      <c r="F1383" s="3" t="s">
        <v>21</v>
      </c>
      <c r="G1383" s="3">
        <f>_xlfn.IFNA(VLOOKUP($A1383,[3]stockregister!$A$2:$L$2000,11,0),0)</f>
        <v>0</v>
      </c>
      <c r="H1383" s="3">
        <f>_xlfn.IFNA(VLOOKUP($A1383,[3]stockregister!$A$2:$L$2000,11,0),0)-$G1383</f>
        <v>0</v>
      </c>
      <c r="I1383" s="3">
        <f>_xlfn.IFNA(VLOOKUP($A1383,[3]stockregister!$A$2:$L$2000,12,0),0)</f>
        <v>2668</v>
      </c>
      <c r="J1383" s="3">
        <f>_xlfn.IFNA(VLOOKUP($A1383,[3]stockregister!$A$1:$M$2000,12,0),0)-$I1383</f>
        <v>0</v>
      </c>
      <c r="K1383" s="3" t="s">
        <v>22</v>
      </c>
      <c r="L1383" s="3" t="s">
        <v>23</v>
      </c>
      <c r="M1383" s="3">
        <f>_xlfn.IFNA(VLOOKUP($A1383,[2]stockregister!$A$2:$H$2000,8,0),0)</f>
        <v>2900</v>
      </c>
      <c r="N1383" s="3">
        <f>_xlfn.IFNA(VLOOKUP($A1383,[2]stockregister!$A$2:$H$2000,8,0),0)-$M1383</f>
        <v>0</v>
      </c>
      <c r="O1383" s="3" t="s">
        <v>3229</v>
      </c>
      <c r="P1383" s="3" t="s">
        <v>3229</v>
      </c>
      <c r="Q1383" s="3" t="s">
        <v>3230</v>
      </c>
      <c r="R1383" s="3" t="s">
        <v>92</v>
      </c>
      <c r="S1383" s="3" t="s">
        <v>1193</v>
      </c>
    </row>
    <row r="1384" spans="1:19">
      <c r="A1384" s="3">
        <v>301</v>
      </c>
      <c r="B1384" s="3" t="b">
        <f>ISNUMBER(MATCH(A1384,[1]stockregister!$A$2:$A$2000,0))</f>
        <v>1</v>
      </c>
      <c r="C1384" s="3" t="s">
        <v>3231</v>
      </c>
      <c r="D1384" s="3" t="str">
        <f>VLOOKUP($C1384,[1]stockregister!$B$2:$B$2000,1,0)</f>
        <v>BUFFALO TRACE WHISKY 1LTR</v>
      </c>
      <c r="E1384" s="3" t="str">
        <f>IF(ISNA($D1384),VLOOKUP($A1384,[2]stockregister!$A$2:$B$2000,2,FALSE),"")</f>
        <v/>
      </c>
      <c r="F1384" s="3" t="s">
        <v>21</v>
      </c>
      <c r="G1384" s="3">
        <f>_xlfn.IFNA(VLOOKUP($A1384,[3]stockregister!$A$2:$L$2000,11,0),0)</f>
        <v>0</v>
      </c>
      <c r="H1384" s="3">
        <f>_xlfn.IFNA(VLOOKUP($A1384,[3]stockregister!$A$2:$L$2000,11,0),0)-$G1384</f>
        <v>0</v>
      </c>
      <c r="I1384" s="3">
        <f>_xlfn.IFNA(VLOOKUP($A1384,[3]stockregister!$A$2:$L$2000,12,0),0)</f>
        <v>3036</v>
      </c>
      <c r="J1384" s="3">
        <f>_xlfn.IFNA(VLOOKUP($A1384,[3]stockregister!$A$1:$M$2000,12,0),0)-$I1384</f>
        <v>0</v>
      </c>
      <c r="K1384" s="3" t="s">
        <v>22</v>
      </c>
      <c r="L1384" s="3" t="s">
        <v>23</v>
      </c>
      <c r="M1384" s="3">
        <f>_xlfn.IFNA(VLOOKUP($A1384,[2]stockregister!$A$2:$H$2000,8,0),0)</f>
        <v>3300</v>
      </c>
      <c r="N1384" s="3">
        <f>_xlfn.IFNA(VLOOKUP($A1384,[2]stockregister!$A$2:$H$2000,8,0),0)-$M1384</f>
        <v>0</v>
      </c>
      <c r="O1384" s="3" t="s">
        <v>3232</v>
      </c>
      <c r="P1384" s="3" t="s">
        <v>3232</v>
      </c>
      <c r="Q1384" s="3" t="s">
        <v>3230</v>
      </c>
      <c r="R1384" s="3" t="s">
        <v>92</v>
      </c>
      <c r="S1384" s="3" t="s">
        <v>1193</v>
      </c>
    </row>
    <row r="1385" spans="1:19">
      <c r="A1385" s="3">
        <v>304</v>
      </c>
      <c r="B1385" s="3" t="b">
        <f>ISNUMBER(MATCH(A1385,[1]stockregister!$A$2:$A$2000,0))</f>
        <v>1</v>
      </c>
      <c r="C1385" s="3" t="s">
        <v>3233</v>
      </c>
      <c r="D1385" s="3" t="str">
        <f>VLOOKUP($C1385,[1]stockregister!$B$2:$B$2000,1,0)</f>
        <v>BULLEIT BOURBON FRONTIER WHISKY 1LTR</v>
      </c>
      <c r="E1385" s="3" t="str">
        <f>IF(ISNA($D1385),VLOOKUP($A1385,[2]stockregister!$A$2:$B$2000,2,FALSE),"")</f>
        <v/>
      </c>
      <c r="F1385" s="3" t="s">
        <v>21</v>
      </c>
      <c r="G1385" s="3">
        <f>_xlfn.IFNA(VLOOKUP($A1385,[3]stockregister!$A$2:$L$2000,11,0),0)</f>
        <v>0</v>
      </c>
      <c r="H1385" s="3">
        <f>_xlfn.IFNA(VLOOKUP($A1385,[3]stockregister!$A$2:$L$2000,11,0),0)-$G1385</f>
        <v>0</v>
      </c>
      <c r="I1385" s="3">
        <f>_xlfn.IFNA(VLOOKUP($A1385,[3]stockregister!$A$2:$L$2000,12,0),0)</f>
        <v>3680</v>
      </c>
      <c r="J1385" s="3">
        <f>_xlfn.IFNA(VLOOKUP($A1385,[3]stockregister!$A$1:$M$2000,12,0),0)-$I1385</f>
        <v>0</v>
      </c>
      <c r="K1385" s="3" t="s">
        <v>22</v>
      </c>
      <c r="L1385" s="3" t="s">
        <v>23</v>
      </c>
      <c r="M1385" s="3">
        <f>_xlfn.IFNA(VLOOKUP($A1385,[2]stockregister!$A$2:$H$2000,8,0),0)</f>
        <v>4000</v>
      </c>
      <c r="N1385" s="3">
        <f>_xlfn.IFNA(VLOOKUP($A1385,[2]stockregister!$A$2:$H$2000,8,0),0)-$M1385</f>
        <v>0</v>
      </c>
      <c r="O1385" s="3" t="s">
        <v>3234</v>
      </c>
      <c r="P1385" s="3" t="s">
        <v>3234</v>
      </c>
      <c r="Q1385" s="3" t="s">
        <v>3235</v>
      </c>
      <c r="R1385" s="3" t="s">
        <v>92</v>
      </c>
      <c r="S1385" s="3" t="s">
        <v>1193</v>
      </c>
    </row>
    <row r="1386" spans="1:19">
      <c r="A1386" s="3">
        <v>305</v>
      </c>
      <c r="B1386" s="3" t="b">
        <f>ISNUMBER(MATCH(A1386,[1]stockregister!$A$2:$A$2000,0))</f>
        <v>1</v>
      </c>
      <c r="C1386" s="3" t="s">
        <v>3236</v>
      </c>
      <c r="D1386" s="3" t="str">
        <f>VLOOKUP($C1386,[1]stockregister!$B$2:$B$2000,1,0)</f>
        <v>BULLEIT BOURBON FRONTIER WHSKY 700ML</v>
      </c>
      <c r="E1386" s="3" t="str">
        <f>IF(ISNA($D1386),VLOOKUP($A1386,[2]stockregister!$A$2:$B$2000,2,FALSE),"")</f>
        <v/>
      </c>
      <c r="F1386" s="3" t="s">
        <v>21</v>
      </c>
      <c r="G1386" s="3">
        <f>_xlfn.IFNA(VLOOKUP($A1386,[3]stockregister!$A$2:$L$2000,11,0),0)</f>
        <v>0</v>
      </c>
      <c r="H1386" s="3">
        <f>_xlfn.IFNA(VLOOKUP($A1386,[3]stockregister!$A$2:$L$2000,11,0),0)-$G1386</f>
        <v>0</v>
      </c>
      <c r="I1386" s="3">
        <f>_xlfn.IFNA(VLOOKUP($A1386,[3]stockregister!$A$2:$L$2000,12,0),0)</f>
        <v>3450</v>
      </c>
      <c r="J1386" s="3">
        <f>_xlfn.IFNA(VLOOKUP($A1386,[3]stockregister!$A$1:$M$2000,12,0),0)-$I1386</f>
        <v>0</v>
      </c>
      <c r="K1386" s="3" t="s">
        <v>22</v>
      </c>
      <c r="L1386" s="3" t="s">
        <v>23</v>
      </c>
      <c r="M1386" s="3">
        <f>_xlfn.IFNA(VLOOKUP($A1386,[2]stockregister!$A$2:$H$2000,8,0),0)</f>
        <v>3400</v>
      </c>
      <c r="N1386" s="3">
        <f>_xlfn.IFNA(VLOOKUP($A1386,[2]stockregister!$A$2:$H$2000,8,0),0)-$M1386</f>
        <v>0</v>
      </c>
      <c r="O1386" s="3" t="s">
        <v>3234</v>
      </c>
      <c r="P1386" s="3" t="s">
        <v>3234</v>
      </c>
      <c r="Q1386" s="3" t="s">
        <v>3235</v>
      </c>
      <c r="R1386" s="3" t="s">
        <v>92</v>
      </c>
      <c r="S1386" s="3" t="s">
        <v>1193</v>
      </c>
    </row>
    <row r="1387" spans="1:19">
      <c r="A1387" s="3">
        <v>1081</v>
      </c>
      <c r="B1387" s="3" t="b">
        <f>ISNUMBER(MATCH(A1387,[1]stockregister!$A$2:$A$2000,0))</f>
        <v>1</v>
      </c>
      <c r="C1387" s="3" t="s">
        <v>3237</v>
      </c>
      <c r="D1387" s="3" t="str">
        <f>VLOOKUP($C1387,[1]stockregister!$B$2:$B$2000,1,0)</f>
        <v>JIM BEAM DEVILS CUT WHISKY 700ml</v>
      </c>
      <c r="E1387" s="3" t="str">
        <f>IF(ISNA($D1387),VLOOKUP($A1387,[2]stockregister!$A$2:$B$2000,2,FALSE),"")</f>
        <v/>
      </c>
      <c r="F1387" s="3" t="s">
        <v>21</v>
      </c>
      <c r="G1387" s="3">
        <f>_xlfn.IFNA(VLOOKUP($A1387,[3]stockregister!$A$2:$L$2000,11,0),0)</f>
        <v>0</v>
      </c>
      <c r="H1387" s="3">
        <f>_xlfn.IFNA(VLOOKUP($A1387,[3]stockregister!$A$2:$L$2000,11,0),0)-$G1387</f>
        <v>0</v>
      </c>
      <c r="I1387" s="3">
        <f>_xlfn.IFNA(VLOOKUP($A1387,[3]stockregister!$A$2:$L$2000,12,0),0)</f>
        <v>3220</v>
      </c>
      <c r="J1387" s="3">
        <f>_xlfn.IFNA(VLOOKUP($A1387,[3]stockregister!$A$1:$M$2000,12,0),0)-$I1387</f>
        <v>0</v>
      </c>
      <c r="K1387" s="3" t="s">
        <v>22</v>
      </c>
      <c r="L1387" s="3" t="s">
        <v>23</v>
      </c>
      <c r="M1387" s="3">
        <f>_xlfn.IFNA(VLOOKUP($A1387,[2]stockregister!$A$2:$H$2000,8,0),0)</f>
        <v>3500</v>
      </c>
      <c r="N1387" s="3">
        <f>_xlfn.IFNA(VLOOKUP($A1387,[2]stockregister!$A$2:$H$2000,8,0),0)-$M1387</f>
        <v>0</v>
      </c>
      <c r="O1387" s="3" t="s">
        <v>3238</v>
      </c>
      <c r="P1387" s="3" t="s">
        <v>3238</v>
      </c>
      <c r="Q1387" s="3" t="s">
        <v>3225</v>
      </c>
      <c r="R1387" s="3" t="s">
        <v>92</v>
      </c>
      <c r="S1387" s="3" t="s">
        <v>1193</v>
      </c>
    </row>
    <row r="1388" spans="1:19">
      <c r="A1388" s="3">
        <v>1550</v>
      </c>
      <c r="B1388" s="3" t="b">
        <f>ISNUMBER(MATCH(A1388,[1]stockregister!$A$2:$A$2000,0))</f>
        <v>1</v>
      </c>
      <c r="C1388" s="3" t="s">
        <v>3239</v>
      </c>
      <c r="D1388" s="3" t="str">
        <f>VLOOKUP($C1388,[1]stockregister!$B$2:$B$2000,1,0)</f>
        <v>OLD FORESTER WHISKY 1ltr</v>
      </c>
      <c r="E1388" s="3" t="str">
        <f>IF(ISNA($D1388),VLOOKUP($A1388,[2]stockregister!$A$2:$B$2000,2,FALSE),"")</f>
        <v/>
      </c>
      <c r="F1388" s="3" t="s">
        <v>21</v>
      </c>
      <c r="G1388" s="3">
        <f>_xlfn.IFNA(VLOOKUP($A1388,[3]stockregister!$A$2:$L$2000,11,0),0)</f>
        <v>0</v>
      </c>
      <c r="H1388" s="3">
        <f>_xlfn.IFNA(VLOOKUP($A1388,[3]stockregister!$A$2:$L$2000,11,0),0)-$G1388</f>
        <v>0</v>
      </c>
      <c r="I1388" s="3">
        <f>_xlfn.IFNA(VLOOKUP($A1388,[3]stockregister!$A$2:$L$2000,12,0),0)</f>
        <v>3588</v>
      </c>
      <c r="J1388" s="3">
        <f>_xlfn.IFNA(VLOOKUP($A1388,[3]stockregister!$A$1:$M$2000,12,0),0)-$I1388</f>
        <v>0</v>
      </c>
      <c r="K1388" s="3" t="s">
        <v>22</v>
      </c>
      <c r="L1388" s="3" t="s">
        <v>23</v>
      </c>
      <c r="M1388" s="3">
        <f>_xlfn.IFNA(VLOOKUP($A1388,[2]stockregister!$A$2:$H$2000,8,0),0)</f>
        <v>3900</v>
      </c>
      <c r="N1388" s="3">
        <f>_xlfn.IFNA(VLOOKUP($A1388,[2]stockregister!$A$2:$H$2000,8,0),0)-$M1388</f>
        <v>0</v>
      </c>
      <c r="O1388" s="3" t="s">
        <v>3240</v>
      </c>
      <c r="P1388" s="3" t="s">
        <v>3240</v>
      </c>
      <c r="Q1388" s="3" t="s">
        <v>3241</v>
      </c>
      <c r="R1388" s="3" t="s">
        <v>92</v>
      </c>
      <c r="S1388" s="3" t="s">
        <v>1193</v>
      </c>
    </row>
    <row r="1389" spans="1:19">
      <c r="A1389" s="3">
        <v>2090</v>
      </c>
      <c r="B1389" s="3" t="b">
        <f>ISNUMBER(MATCH(A1389,[1]stockregister!$A$2:$A$2000,0))</f>
        <v>1</v>
      </c>
      <c r="C1389" s="3" t="s">
        <v>3242</v>
      </c>
      <c r="D1389" s="3" t="str">
        <f>VLOOKUP($C1389,[1]stockregister!$B$2:$B$2000,1,0)</f>
        <v>WHYTEHALL FIRE(CINAMON) 1LT</v>
      </c>
      <c r="E1389" s="3" t="str">
        <f>IF(ISNA($D1389),VLOOKUP($A1389,[2]stockregister!$A$2:$B$2000,2,FALSE),"")</f>
        <v/>
      </c>
      <c r="F1389" s="3" t="s">
        <v>21</v>
      </c>
      <c r="G1389" s="3">
        <f>_xlfn.IFNA(VLOOKUP($A1389,[3]stockregister!$A$2:$L$2000,11,0),0)</f>
        <v>0</v>
      </c>
      <c r="H1389" s="3">
        <f>_xlfn.IFNA(VLOOKUP($A1389,[3]stockregister!$A$2:$L$2000,11,0),0)-$G1389</f>
        <v>0</v>
      </c>
      <c r="I1389" s="3">
        <f>_xlfn.IFNA(VLOOKUP($A1389,[3]stockregister!$A$2:$L$2000,12,0),0)</f>
        <v>1350</v>
      </c>
      <c r="J1389" s="3">
        <f>_xlfn.IFNA(VLOOKUP($A1389,[3]stockregister!$A$1:$M$2000,12,0),0)-$I1389</f>
        <v>0</v>
      </c>
      <c r="K1389" s="3" t="s">
        <v>22</v>
      </c>
      <c r="L1389" s="3" t="s">
        <v>23</v>
      </c>
      <c r="M1389" s="3">
        <f>_xlfn.IFNA(VLOOKUP($A1389,[2]stockregister!$A$2:$H$2000,8,0),0)</f>
        <v>1500</v>
      </c>
      <c r="N1389" s="3">
        <f>_xlfn.IFNA(VLOOKUP($A1389,[2]stockregister!$A$2:$H$2000,8,0),0)-$M1389</f>
        <v>0</v>
      </c>
      <c r="O1389" s="3" t="s">
        <v>3243</v>
      </c>
      <c r="P1389" s="3" t="s">
        <v>3243</v>
      </c>
      <c r="Q1389" s="3" t="s">
        <v>866</v>
      </c>
      <c r="R1389" s="3" t="s">
        <v>113</v>
      </c>
      <c r="S1389" s="3" t="s">
        <v>3244</v>
      </c>
    </row>
    <row r="1390" spans="1:19">
      <c r="A1390" s="3">
        <v>698</v>
      </c>
      <c r="B1390" s="3" t="b">
        <f>ISNUMBER(MATCH(A1390,[1]stockregister!$A$2:$A$2000,0))</f>
        <v>1</v>
      </c>
      <c r="C1390" s="3" t="s">
        <v>3245</v>
      </c>
      <c r="D1390" s="3" t="str">
        <f>VLOOKUP($C1390,[1]stockregister!$B$2:$B$2000,1,0)</f>
        <v>FIRE WATER 1LTR</v>
      </c>
      <c r="E1390" s="3" t="str">
        <f>IF(ISNA($D1390),VLOOKUP($A1390,[2]stockregister!$A$2:$B$2000,2,FALSE),"")</f>
        <v/>
      </c>
      <c r="F1390" s="3" t="s">
        <v>21</v>
      </c>
      <c r="G1390" s="3">
        <f>_xlfn.IFNA(VLOOKUP($A1390,[3]stockregister!$A$2:$L$2000,11,0),0)</f>
        <v>0</v>
      </c>
      <c r="H1390" s="3">
        <f>_xlfn.IFNA(VLOOKUP($A1390,[3]stockregister!$A$2:$L$2000,11,0),0)-$G1390</f>
        <v>0</v>
      </c>
      <c r="I1390" s="3">
        <f>_xlfn.IFNA(VLOOKUP($A1390,[3]stockregister!$A$2:$L$2000,12,0),0)</f>
        <v>2300</v>
      </c>
      <c r="J1390" s="3">
        <f>_xlfn.IFNA(VLOOKUP($A1390,[3]stockregister!$A$1:$M$2000,12,0),0)-$I1390</f>
        <v>0</v>
      </c>
      <c r="K1390" s="3" t="s">
        <v>22</v>
      </c>
      <c r="L1390" s="3" t="s">
        <v>23</v>
      </c>
      <c r="M1390" s="3">
        <f>_xlfn.IFNA(VLOOKUP($A1390,[2]stockregister!$A$2:$H$2000,8,0),0)</f>
        <v>2500</v>
      </c>
      <c r="N1390" s="3">
        <f>_xlfn.IFNA(VLOOKUP($A1390,[2]stockregister!$A$2:$H$2000,8,0),0)-$M1390</f>
        <v>0</v>
      </c>
      <c r="O1390" s="3" t="s">
        <v>3246</v>
      </c>
      <c r="P1390" s="3" t="s">
        <v>3246</v>
      </c>
      <c r="Q1390" s="3" t="s">
        <v>3247</v>
      </c>
      <c r="R1390" s="3" t="s">
        <v>92</v>
      </c>
      <c r="S1390" s="3" t="s">
        <v>3248</v>
      </c>
    </row>
    <row r="1391" spans="1:19">
      <c r="A1391" s="3">
        <v>699</v>
      </c>
      <c r="B1391" s="3" t="b">
        <f>ISNUMBER(MATCH(A1391,[1]stockregister!$A$2:$A$2000,0))</f>
        <v>1</v>
      </c>
      <c r="C1391" s="3" t="s">
        <v>3249</v>
      </c>
      <c r="D1391" s="3" t="str">
        <f>VLOOKUP($C1391,[1]stockregister!$B$2:$B$2000,1,0)</f>
        <v>FIRE WATER 750ML</v>
      </c>
      <c r="E1391" s="3" t="str">
        <f>IF(ISNA($D1391),VLOOKUP($A1391,[2]stockregister!$A$2:$B$2000,2,FALSE),"")</f>
        <v/>
      </c>
      <c r="F1391" s="3" t="s">
        <v>21</v>
      </c>
      <c r="G1391" s="3">
        <f>_xlfn.IFNA(VLOOKUP($A1391,[3]stockregister!$A$2:$L$2000,11,0),0)</f>
        <v>0</v>
      </c>
      <c r="H1391" s="3">
        <f>_xlfn.IFNA(VLOOKUP($A1391,[3]stockregister!$A$2:$L$2000,11,0),0)-$G1391</f>
        <v>0</v>
      </c>
      <c r="I1391" s="3">
        <f>_xlfn.IFNA(VLOOKUP($A1391,[3]stockregister!$A$2:$L$2000,12,0),0)</f>
        <v>1656</v>
      </c>
      <c r="J1391" s="3">
        <f>_xlfn.IFNA(VLOOKUP($A1391,[3]stockregister!$A$1:$M$2000,12,0),0)-$I1391</f>
        <v>0</v>
      </c>
      <c r="K1391" s="3" t="s">
        <v>22</v>
      </c>
      <c r="L1391" s="3" t="s">
        <v>23</v>
      </c>
      <c r="M1391" s="3">
        <f>_xlfn.IFNA(VLOOKUP($A1391,[2]stockregister!$A$2:$H$2000,8,0),0)</f>
        <v>1800</v>
      </c>
      <c r="N1391" s="3">
        <f>_xlfn.IFNA(VLOOKUP($A1391,[2]stockregister!$A$2:$H$2000,8,0),0)-$M1391</f>
        <v>0</v>
      </c>
      <c r="O1391" s="3" t="s">
        <v>3250</v>
      </c>
      <c r="P1391" s="3" t="s">
        <v>3250</v>
      </c>
      <c r="Q1391" s="3" t="s">
        <v>3247</v>
      </c>
      <c r="R1391" s="3" t="s">
        <v>92</v>
      </c>
      <c r="S1391" s="3" t="s">
        <v>3248</v>
      </c>
    </row>
    <row r="1392" spans="1:20">
      <c r="A1392" s="3">
        <v>33</v>
      </c>
      <c r="B1392" s="3" t="b">
        <f>ISNUMBER(MATCH(A1392,[1]stockregister!$A$2:$A$2000,0))</f>
        <v>1</v>
      </c>
      <c r="C1392" s="3" t="s">
        <v>561</v>
      </c>
      <c r="D1392" s="3" t="str">
        <f>VLOOKUP($C1392,[1]stockregister!$B$2:$B$2000,1,0)</f>
        <v>ABERLOUR 16 YRS  DOUBLE CASK WHISKY 700ML</v>
      </c>
      <c r="E1392" s="3" t="str">
        <f>IF(ISNA($D1392),VLOOKUP($A1392,[2]stockregister!$A$2:$B$2000,2,FALSE),"")</f>
        <v/>
      </c>
      <c r="F1392" s="3" t="s">
        <v>21</v>
      </c>
      <c r="G1392" s="3">
        <f>_xlfn.IFNA(VLOOKUP($A1392,[3]stockregister!$A$2:$L$2000,11,0),0)</f>
        <v>0</v>
      </c>
      <c r="H1392" s="3">
        <f>_xlfn.IFNA(VLOOKUP($A1392,[3]stockregister!$A$2:$L$2000,11,0),0)-$G1392</f>
        <v>0</v>
      </c>
      <c r="I1392" s="3">
        <f>_xlfn.IFNA(VLOOKUP($A1392,[3]stockregister!$A$2:$L$2000,12,0),0)</f>
        <v>9600</v>
      </c>
      <c r="J1392" s="3">
        <f>_xlfn.IFNA(VLOOKUP($A1392,[3]stockregister!$A$1:$M$2000,12,0),0)-$I1392</f>
        <v>0</v>
      </c>
      <c r="K1392" s="3" t="s">
        <v>22</v>
      </c>
      <c r="L1392" s="3" t="s">
        <v>23</v>
      </c>
      <c r="M1392" s="3">
        <f>_xlfn.IFNA(VLOOKUP($A1392,[2]stockregister!$A$2:$H$2000,8,0),0)</f>
        <v>14000</v>
      </c>
      <c r="N1392" s="3">
        <f>_xlfn.IFNA(VLOOKUP($A1392,[2]stockregister!$A$2:$H$2000,8,0),0)-$M1392</f>
        <v>0</v>
      </c>
      <c r="O1392" s="3" t="s">
        <v>3251</v>
      </c>
      <c r="P1392" s="3" t="s">
        <v>3251</v>
      </c>
      <c r="Q1392" s="3" t="s">
        <v>3252</v>
      </c>
      <c r="R1392" s="3" t="s">
        <v>92</v>
      </c>
      <c r="S1392" s="3" t="s">
        <v>3253</v>
      </c>
      <c r="T1392" s="3">
        <v>16</v>
      </c>
    </row>
    <row r="1393" spans="1:19">
      <c r="A1393" s="3">
        <v>2842</v>
      </c>
      <c r="B1393" s="3" t="b">
        <f>ISNUMBER(MATCH(A1393,[1]stockregister!$A$2:$A$2000,0))</f>
        <v>1</v>
      </c>
      <c r="C1393" s="3" t="s">
        <v>564</v>
      </c>
      <c r="D1393" s="3" t="str">
        <f>VLOOKUP($C1393,[1]stockregister!$B$2:$B$2000,1,0)</f>
        <v>ROYAL CIRCLE HONEY 750ML  </v>
      </c>
      <c r="E1393" s="3" t="str">
        <f>IF(ISNA($D1393),VLOOKUP($A1393,[2]stockregister!$A$2:$B$2000,2,FALSE),"")</f>
        <v/>
      </c>
      <c r="F1393" s="3" t="s">
        <v>21</v>
      </c>
      <c r="G1393" s="3">
        <f>_xlfn.IFNA(VLOOKUP($A1393,[3]stockregister!$A$2:$L$2000,11,0),0)</f>
        <v>0</v>
      </c>
      <c r="H1393" s="3">
        <f>_xlfn.IFNA(VLOOKUP($A1393,[3]stockregister!$A$2:$L$2000,11,0),0)-$G1393</f>
        <v>0</v>
      </c>
      <c r="I1393" s="3">
        <f>_xlfn.IFNA(VLOOKUP($A1393,[3]stockregister!$A$2:$L$2000,12,0),0)</f>
        <v>1087.27</v>
      </c>
      <c r="J1393" s="3">
        <f>_xlfn.IFNA(VLOOKUP($A1393,[3]stockregister!$A$1:$M$2000,12,0),0)-$I1393</f>
        <v>0</v>
      </c>
      <c r="K1393" s="3" t="s">
        <v>22</v>
      </c>
      <c r="L1393" s="3" t="s">
        <v>23</v>
      </c>
      <c r="M1393" s="3">
        <f>_xlfn.IFNA(VLOOKUP($A1393,[2]stockregister!$A$2:$H$2000,8,0),0)</f>
        <v>1150</v>
      </c>
      <c r="N1393" s="3">
        <f>_xlfn.IFNA(VLOOKUP($A1393,[2]stockregister!$A$2:$H$2000,8,0),0)-$M1393</f>
        <v>0</v>
      </c>
      <c r="O1393" s="3" t="s">
        <v>3254</v>
      </c>
      <c r="P1393" s="3" t="s">
        <v>3254</v>
      </c>
      <c r="Q1393" s="3" t="s">
        <v>444</v>
      </c>
      <c r="R1393" s="3" t="s">
        <v>113</v>
      </c>
      <c r="S1393" s="3" t="s">
        <v>867</v>
      </c>
    </row>
    <row r="1394" spans="1:19">
      <c r="A1394" s="3">
        <v>1704</v>
      </c>
      <c r="B1394" s="3" t="b">
        <f>ISNUMBER(MATCH(A1394,[1]stockregister!$A$2:$A$2000,0))</f>
        <v>1</v>
      </c>
      <c r="C1394" s="3" t="s">
        <v>3255</v>
      </c>
      <c r="D1394" s="3" t="str">
        <f>VLOOKUP($C1394,[1]stockregister!$B$2:$B$2000,1,0)</f>
        <v>ROYAL CHALLENGE AMERICAN PRIDE 750ML</v>
      </c>
      <c r="E1394" s="3" t="str">
        <f>IF(ISNA($D1394),VLOOKUP($A1394,[2]stockregister!$A$2:$B$2000,2,FALSE),"")</f>
        <v/>
      </c>
      <c r="F1394" s="3" t="s">
        <v>21</v>
      </c>
      <c r="G1394" s="3">
        <f>_xlfn.IFNA(VLOOKUP($A1394,[3]stockregister!$A$2:$L$2000,11,0),0)</f>
        <v>0</v>
      </c>
      <c r="H1394" s="3">
        <f>_xlfn.IFNA(VLOOKUP($A1394,[3]stockregister!$A$2:$L$2000,11,0),0)-$G1394</f>
        <v>0</v>
      </c>
      <c r="I1394" s="3">
        <f>_xlfn.IFNA(VLOOKUP($A1394,[3]stockregister!$A$2:$L$2000,12,0),0)</f>
        <v>1058</v>
      </c>
      <c r="J1394" s="3">
        <f>_xlfn.IFNA(VLOOKUP($A1394,[3]stockregister!$A$1:$M$2000,12,0),0)-$I1394</f>
        <v>0</v>
      </c>
      <c r="K1394" s="3" t="s">
        <v>22</v>
      </c>
      <c r="L1394" s="3" t="s">
        <v>23</v>
      </c>
      <c r="M1394" s="3">
        <f>_xlfn.IFNA(VLOOKUP($A1394,[2]stockregister!$A$2:$H$2000,8,0),0)</f>
        <v>1150</v>
      </c>
      <c r="N1394" s="3">
        <f>_xlfn.IFNA(VLOOKUP($A1394,[2]stockregister!$A$2:$H$2000,8,0),0)-$M1394</f>
        <v>0</v>
      </c>
      <c r="O1394" s="3" t="s">
        <v>3256</v>
      </c>
      <c r="P1394" s="3" t="s">
        <v>3256</v>
      </c>
      <c r="Q1394" s="3" t="s">
        <v>283</v>
      </c>
      <c r="R1394" s="3" t="s">
        <v>92</v>
      </c>
      <c r="S1394" s="3" t="s">
        <v>3257</v>
      </c>
    </row>
    <row r="1395" spans="1:19">
      <c r="A1395" s="3">
        <v>313</v>
      </c>
      <c r="B1395" s="3" t="b">
        <f>ISNUMBER(MATCH(A1395,[1]stockregister!$A$2:$A$2000,0))</f>
        <v>1</v>
      </c>
      <c r="C1395" s="3" t="s">
        <v>3258</v>
      </c>
      <c r="D1395" s="3" t="str">
        <f>VLOOKUP($C1395,[1]stockregister!$B$2:$B$2000,1,0)</f>
        <v>BUSHMILLS 1LTR</v>
      </c>
      <c r="E1395" s="3" t="str">
        <f>IF(ISNA($D1395),VLOOKUP($A1395,[2]stockregister!$A$2:$B$2000,2,FALSE),"")</f>
        <v/>
      </c>
      <c r="F1395" s="3" t="s">
        <v>21</v>
      </c>
      <c r="G1395" s="3">
        <f>_xlfn.IFNA(VLOOKUP($A1395,[3]stockregister!$A$2:$L$2000,11,0),0)</f>
        <v>0</v>
      </c>
      <c r="H1395" s="3">
        <f>_xlfn.IFNA(VLOOKUP($A1395,[3]stockregister!$A$2:$L$2000,11,0),0)-$G1395</f>
        <v>0</v>
      </c>
      <c r="I1395" s="3">
        <f>_xlfn.IFNA(VLOOKUP($A1395,[3]stockregister!$A$2:$L$2000,12,0),0)</f>
        <v>2760</v>
      </c>
      <c r="J1395" s="3">
        <f>_xlfn.IFNA(VLOOKUP($A1395,[3]stockregister!$A$1:$M$2000,12,0),0)-$I1395</f>
        <v>0</v>
      </c>
      <c r="K1395" s="3" t="s">
        <v>22</v>
      </c>
      <c r="L1395" s="3" t="s">
        <v>23</v>
      </c>
      <c r="M1395" s="3">
        <f>_xlfn.IFNA(VLOOKUP($A1395,[2]stockregister!$A$2:$H$2000,8,0),0)</f>
        <v>3000</v>
      </c>
      <c r="N1395" s="3">
        <f>_xlfn.IFNA(VLOOKUP($A1395,[2]stockregister!$A$2:$H$2000,8,0),0)-$M1395</f>
        <v>0</v>
      </c>
      <c r="O1395" s="3" t="s">
        <v>3259</v>
      </c>
      <c r="P1395" s="3" t="s">
        <v>3259</v>
      </c>
      <c r="Q1395" s="3" t="s">
        <v>307</v>
      </c>
      <c r="R1395" s="3" t="s">
        <v>92</v>
      </c>
      <c r="S1395" s="3" t="s">
        <v>519</v>
      </c>
    </row>
    <row r="1396" spans="1:19">
      <c r="A1396" s="3">
        <v>1069</v>
      </c>
      <c r="B1396" s="3" t="b">
        <f>ISNUMBER(MATCH(A1396,[1]stockregister!$A$2:$A$2000,0))</f>
        <v>1</v>
      </c>
      <c r="C1396" s="3" t="s">
        <v>567</v>
      </c>
      <c r="D1396" s="3" t="str">
        <f>VLOOKUP($C1396,[1]stockregister!$B$2:$B$2000,1,0)</f>
        <v>JAMESON WHISKY  4.5LTR</v>
      </c>
      <c r="E1396" s="3" t="str">
        <f>IF(ISNA($D1396),VLOOKUP($A1396,[2]stockregister!$A$2:$B$2000,2,FALSE),"")</f>
        <v/>
      </c>
      <c r="F1396" s="3" t="s">
        <v>21</v>
      </c>
      <c r="G1396" s="3">
        <f>_xlfn.IFNA(VLOOKUP($A1396,[3]stockregister!$A$2:$L$2000,11,0),0)</f>
        <v>0</v>
      </c>
      <c r="H1396" s="3">
        <f>_xlfn.IFNA(VLOOKUP($A1396,[3]stockregister!$A$2:$L$2000,11,0),0)-$G1396</f>
        <v>0</v>
      </c>
      <c r="I1396" s="3">
        <f>_xlfn.IFNA(VLOOKUP($A1396,[3]stockregister!$A$2:$L$2000,12,0),0)</f>
        <v>14000</v>
      </c>
      <c r="J1396" s="3">
        <f>_xlfn.IFNA(VLOOKUP($A1396,[3]stockregister!$A$1:$M$2000,12,0),0)-$I1396</f>
        <v>0</v>
      </c>
      <c r="K1396" s="3" t="s">
        <v>22</v>
      </c>
      <c r="L1396" s="3" t="s">
        <v>23</v>
      </c>
      <c r="M1396" s="3">
        <f>_xlfn.IFNA(VLOOKUP($A1396,[2]stockregister!$A$2:$H$2000,8,0),0)</f>
        <v>14200</v>
      </c>
      <c r="N1396" s="3">
        <f>_xlfn.IFNA(VLOOKUP($A1396,[2]stockregister!$A$2:$H$2000,8,0),0)-$M1396</f>
        <v>0</v>
      </c>
      <c r="O1396" s="3" t="s">
        <v>3260</v>
      </c>
      <c r="P1396" s="3" t="s">
        <v>3260</v>
      </c>
      <c r="Q1396" s="3" t="s">
        <v>269</v>
      </c>
      <c r="R1396" s="3" t="s">
        <v>92</v>
      </c>
      <c r="S1396" s="3" t="s">
        <v>519</v>
      </c>
    </row>
    <row r="1397" spans="1:19">
      <c r="A1397" s="3">
        <v>314</v>
      </c>
      <c r="B1397" s="3" t="b">
        <f>ISNUMBER(MATCH(A1397,[1]stockregister!$A$2:$A$2000,0))</f>
        <v>1</v>
      </c>
      <c r="C1397" s="3" t="s">
        <v>3261</v>
      </c>
      <c r="D1397" s="3" t="str">
        <f>VLOOKUP($C1397,[1]stockregister!$B$2:$B$2000,1,0)</f>
        <v>BUSHMILLS RED BUSH 700ML</v>
      </c>
      <c r="E1397" s="3" t="str">
        <f>IF(ISNA($D1397),VLOOKUP($A1397,[2]stockregister!$A$2:$B$2000,2,FALSE),"")</f>
        <v/>
      </c>
      <c r="F1397" s="3" t="s">
        <v>21</v>
      </c>
      <c r="G1397" s="3">
        <f>_xlfn.IFNA(VLOOKUP($A1397,[3]stockregister!$A$2:$L$2000,11,0),0)</f>
        <v>0</v>
      </c>
      <c r="H1397" s="3">
        <f>_xlfn.IFNA(VLOOKUP($A1397,[3]stockregister!$A$2:$L$2000,11,0),0)-$G1397</f>
        <v>0</v>
      </c>
      <c r="I1397" s="3">
        <f>_xlfn.IFNA(VLOOKUP($A1397,[3]stockregister!$A$2:$L$2000,12,0),0)</f>
        <v>2400</v>
      </c>
      <c r="J1397" s="3">
        <f>_xlfn.IFNA(VLOOKUP($A1397,[3]stockregister!$A$1:$M$2000,12,0),0)-$I1397</f>
        <v>0</v>
      </c>
      <c r="K1397" s="3" t="s">
        <v>22</v>
      </c>
      <c r="L1397" s="3" t="s">
        <v>23</v>
      </c>
      <c r="M1397" s="3">
        <f>_xlfn.IFNA(VLOOKUP($A1397,[2]stockregister!$A$2:$H$2000,8,0),0)</f>
        <v>2700</v>
      </c>
      <c r="N1397" s="3">
        <f>_xlfn.IFNA(VLOOKUP($A1397,[2]stockregister!$A$2:$H$2000,8,0),0)-$M1397</f>
        <v>0</v>
      </c>
      <c r="O1397" s="3" t="s">
        <v>3262</v>
      </c>
      <c r="P1397" s="3" t="s">
        <v>3262</v>
      </c>
      <c r="Q1397" s="3" t="s">
        <v>307</v>
      </c>
      <c r="R1397" s="3" t="s">
        <v>92</v>
      </c>
      <c r="S1397" s="3" t="s">
        <v>519</v>
      </c>
    </row>
    <row r="1398" spans="1:19">
      <c r="A1398" s="3">
        <v>1576</v>
      </c>
      <c r="B1398" s="3" t="b">
        <f>ISNUMBER(MATCH(A1398,[1]stockregister!$A$2:$A$2000,0))</f>
        <v>1</v>
      </c>
      <c r="C1398" s="3" t="s">
        <v>3263</v>
      </c>
      <c r="D1398" s="3" t="str">
        <f>VLOOKUP($C1398,[1]stockregister!$B$2:$B$2000,1,0)</f>
        <v>PADDY IRISH WHISKY 375ML</v>
      </c>
      <c r="E1398" s="3" t="str">
        <f>IF(ISNA($D1398),VLOOKUP($A1398,[2]stockregister!$A$2:$B$2000,2,FALSE),"")</f>
        <v/>
      </c>
      <c r="F1398" s="3" t="s">
        <v>21</v>
      </c>
      <c r="G1398" s="3">
        <f>_xlfn.IFNA(VLOOKUP($A1398,[3]stockregister!$A$2:$L$2000,11,0),0)</f>
        <v>0</v>
      </c>
      <c r="H1398" s="3">
        <f>_xlfn.IFNA(VLOOKUP($A1398,[3]stockregister!$A$2:$L$2000,11,0),0)-$G1398</f>
        <v>0</v>
      </c>
      <c r="I1398" s="3">
        <f>_xlfn.IFNA(VLOOKUP($A1398,[3]stockregister!$A$2:$L$2000,12,0),0)</f>
        <v>552</v>
      </c>
      <c r="J1398" s="3">
        <f>_xlfn.IFNA(VLOOKUP($A1398,[3]stockregister!$A$1:$M$2000,12,0),0)-$I1398</f>
        <v>0</v>
      </c>
      <c r="K1398" s="3" t="s">
        <v>22</v>
      </c>
      <c r="L1398" s="3" t="s">
        <v>23</v>
      </c>
      <c r="M1398" s="3">
        <f>_xlfn.IFNA(VLOOKUP($A1398,[2]stockregister!$A$2:$H$2000,8,0),0)</f>
        <v>600</v>
      </c>
      <c r="N1398" s="3">
        <f>_xlfn.IFNA(VLOOKUP($A1398,[2]stockregister!$A$2:$H$2000,8,0),0)-$M1398</f>
        <v>0</v>
      </c>
      <c r="O1398" s="3" t="s">
        <v>3264</v>
      </c>
      <c r="P1398" s="3" t="s">
        <v>3264</v>
      </c>
      <c r="Q1398" s="3" t="s">
        <v>3265</v>
      </c>
      <c r="R1398" s="3" t="s">
        <v>92</v>
      </c>
      <c r="S1398" s="3" t="s">
        <v>519</v>
      </c>
    </row>
    <row r="1399" spans="1:19">
      <c r="A1399" s="3">
        <v>2022</v>
      </c>
      <c r="B1399" s="3" t="b">
        <f>ISNUMBER(MATCH(A1399,[1]stockregister!$A$2:$A$2000,0))</f>
        <v>1</v>
      </c>
      <c r="C1399" s="3" t="s">
        <v>3266</v>
      </c>
      <c r="D1399" s="3" t="str">
        <f>VLOOKUP($C1399,[1]stockregister!$B$2:$B$2000,1,0)</f>
        <v>TULLAMORE 750ML</v>
      </c>
      <c r="E1399" s="3" t="str">
        <f>IF(ISNA($D1399),VLOOKUP($A1399,[2]stockregister!$A$2:$B$2000,2,FALSE),"")</f>
        <v/>
      </c>
      <c r="F1399" s="3" t="s">
        <v>21</v>
      </c>
      <c r="G1399" s="3">
        <f>_xlfn.IFNA(VLOOKUP($A1399,[3]stockregister!$A$2:$L$2000,11,0),0)</f>
        <v>0</v>
      </c>
      <c r="H1399" s="3">
        <f>_xlfn.IFNA(VLOOKUP($A1399,[3]stockregister!$A$2:$L$2000,11,0),0)-$G1399</f>
        <v>0</v>
      </c>
      <c r="I1399" s="3">
        <f>_xlfn.IFNA(VLOOKUP($A1399,[3]stockregister!$A$2:$L$2000,12,0),0)</f>
        <v>2303</v>
      </c>
      <c r="J1399" s="3">
        <f>_xlfn.IFNA(VLOOKUP($A1399,[3]stockregister!$A$1:$M$2000,12,0),0)-$I1399</f>
        <v>0</v>
      </c>
      <c r="K1399" s="3" t="s">
        <v>22</v>
      </c>
      <c r="L1399" s="3" t="s">
        <v>23</v>
      </c>
      <c r="M1399" s="3">
        <f>_xlfn.IFNA(VLOOKUP($A1399,[2]stockregister!$A$2:$H$2000,8,0),0)</f>
        <v>2400</v>
      </c>
      <c r="N1399" s="3">
        <f>_xlfn.IFNA(VLOOKUP($A1399,[2]stockregister!$A$2:$H$2000,8,0),0)-$M1399</f>
        <v>0</v>
      </c>
      <c r="O1399" s="3" t="s">
        <v>3267</v>
      </c>
      <c r="P1399" s="3" t="s">
        <v>3267</v>
      </c>
      <c r="Q1399" s="3" t="s">
        <v>518</v>
      </c>
      <c r="R1399" s="3" t="s">
        <v>92</v>
      </c>
      <c r="S1399" s="3" t="s">
        <v>519</v>
      </c>
    </row>
    <row r="1400" spans="1:19">
      <c r="A1400" s="3">
        <v>984</v>
      </c>
      <c r="B1400" s="3" t="b">
        <f>ISNUMBER(MATCH(A1400,[1]stockregister!$A$2:$A$2000,0))</f>
        <v>1</v>
      </c>
      <c r="C1400" s="3" t="s">
        <v>3268</v>
      </c>
      <c r="D1400" s="3" t="str">
        <f>VLOOKUP($C1400,[1]stockregister!$B$2:$B$2000,1,0)</f>
        <v>HIBIKI SUNTORY WHISKY JAPANESE 700ML</v>
      </c>
      <c r="E1400" s="3" t="str">
        <f>IF(ISNA($D1400),VLOOKUP($A1400,[2]stockregister!$A$2:$B$2000,2,FALSE),"")</f>
        <v/>
      </c>
      <c r="F1400" s="3" t="s">
        <v>21</v>
      </c>
      <c r="G1400" s="3">
        <f>_xlfn.IFNA(VLOOKUP($A1400,[3]stockregister!$A$2:$L$2000,11,0),0)</f>
        <v>0</v>
      </c>
      <c r="H1400" s="3">
        <f>_xlfn.IFNA(VLOOKUP($A1400,[3]stockregister!$A$2:$L$2000,11,0),0)-$G1400</f>
        <v>0</v>
      </c>
      <c r="I1400" s="3">
        <f>_xlfn.IFNA(VLOOKUP($A1400,[3]stockregister!$A$2:$L$2000,12,0),0)</f>
        <v>23000</v>
      </c>
      <c r="J1400" s="3">
        <f>_xlfn.IFNA(VLOOKUP($A1400,[3]stockregister!$A$1:$M$2000,12,0),0)-$I1400</f>
        <v>0</v>
      </c>
      <c r="K1400" s="3" t="s">
        <v>22</v>
      </c>
      <c r="L1400" s="3" t="s">
        <v>23</v>
      </c>
      <c r="M1400" s="3">
        <f>_xlfn.IFNA(VLOOKUP($A1400,[2]stockregister!$A$2:$H$2000,8,0),0)</f>
        <v>25000</v>
      </c>
      <c r="N1400" s="3">
        <f>_xlfn.IFNA(VLOOKUP($A1400,[2]stockregister!$A$2:$H$2000,8,0),0)-$M1400</f>
        <v>0</v>
      </c>
      <c r="O1400" s="3" t="s">
        <v>3269</v>
      </c>
      <c r="P1400" s="3" t="s">
        <v>3269</v>
      </c>
      <c r="Q1400" s="3" t="s">
        <v>3270</v>
      </c>
      <c r="R1400" s="3" t="s">
        <v>92</v>
      </c>
      <c r="S1400" s="3" t="s">
        <v>3271</v>
      </c>
    </row>
    <row r="1401" spans="1:19">
      <c r="A1401" s="3">
        <v>1014</v>
      </c>
      <c r="B1401" s="3" t="b">
        <f>ISNUMBER(MATCH(A1401,[1]stockregister!$A$2:$A$2000,0))</f>
        <v>1</v>
      </c>
      <c r="C1401" s="3" t="s">
        <v>3272</v>
      </c>
      <c r="D1401" s="3" t="str">
        <f>VLOOKUP($C1401,[1]stockregister!$B$2:$B$2000,1,0)</f>
        <v>IWAI JAPANESE WHISKY 750ml</v>
      </c>
      <c r="E1401" s="3" t="str">
        <f>IF(ISNA($D1401),VLOOKUP($A1401,[2]stockregister!$A$2:$B$2000,2,FALSE),"")</f>
        <v/>
      </c>
      <c r="F1401" s="3" t="s">
        <v>21</v>
      </c>
      <c r="G1401" s="3">
        <f>_xlfn.IFNA(VLOOKUP($A1401,[3]stockregister!$A$2:$L$2000,11,0),0)</f>
        <v>0</v>
      </c>
      <c r="H1401" s="3">
        <f>_xlfn.IFNA(VLOOKUP($A1401,[3]stockregister!$A$2:$L$2000,11,0),0)-$G1401</f>
        <v>0</v>
      </c>
      <c r="I1401" s="3">
        <f>_xlfn.IFNA(VLOOKUP($A1401,[3]stockregister!$A$2:$L$2000,12,0),0)</f>
        <v>7820</v>
      </c>
      <c r="J1401" s="3">
        <f>_xlfn.IFNA(VLOOKUP($A1401,[3]stockregister!$A$1:$M$2000,12,0),0)-$I1401</f>
        <v>0</v>
      </c>
      <c r="K1401" s="3" t="s">
        <v>22</v>
      </c>
      <c r="L1401" s="3" t="s">
        <v>23</v>
      </c>
      <c r="M1401" s="3">
        <f>_xlfn.IFNA(VLOOKUP($A1401,[2]stockregister!$A$2:$H$2000,8,0),0)</f>
        <v>8500</v>
      </c>
      <c r="N1401" s="3">
        <f>_xlfn.IFNA(VLOOKUP($A1401,[2]stockregister!$A$2:$H$2000,8,0),0)-$M1401</f>
        <v>0</v>
      </c>
      <c r="O1401" s="3" t="s">
        <v>3273</v>
      </c>
      <c r="P1401" s="3" t="s">
        <v>3273</v>
      </c>
      <c r="Q1401" s="3" t="s">
        <v>3274</v>
      </c>
      <c r="R1401" s="3" t="s">
        <v>92</v>
      </c>
      <c r="S1401" s="3" t="s">
        <v>3275</v>
      </c>
    </row>
    <row r="1402" spans="1:19">
      <c r="A1402" s="3">
        <v>849</v>
      </c>
      <c r="B1402" s="3" t="b">
        <f>ISNUMBER(MATCH(A1402,[1]stockregister!$A$2:$A$2000,0))</f>
        <v>1</v>
      </c>
      <c r="C1402" s="3" t="s">
        <v>3276</v>
      </c>
      <c r="D1402" s="3" t="str">
        <f>VLOOKUP($C1402,[1]stockregister!$B$2:$B$2000,1,0)</f>
        <v>GLENFIDDICH IPA EXPERIMENT SERIES WHISKY 700ML</v>
      </c>
      <c r="E1402" s="3" t="str">
        <f>IF(ISNA($D1402),VLOOKUP($A1402,[2]stockregister!$A$2:$B$2000,2,FALSE),"")</f>
        <v/>
      </c>
      <c r="F1402" s="3" t="s">
        <v>21</v>
      </c>
      <c r="G1402" s="3">
        <f>_xlfn.IFNA(VLOOKUP($A1402,[3]stockregister!$A$2:$L$2000,11,0),0)</f>
        <v>0</v>
      </c>
      <c r="H1402" s="3">
        <f>_xlfn.IFNA(VLOOKUP($A1402,[3]stockregister!$A$2:$L$2000,11,0),0)-$G1402</f>
        <v>0</v>
      </c>
      <c r="I1402" s="3">
        <f>_xlfn.IFNA(VLOOKUP($A1402,[3]stockregister!$A$2:$L$2000,12,0),0)</f>
        <v>6900</v>
      </c>
      <c r="J1402" s="3">
        <f>_xlfn.IFNA(VLOOKUP($A1402,[3]stockregister!$A$1:$M$2000,12,0),0)-$I1402</f>
        <v>0</v>
      </c>
      <c r="K1402" s="3" t="s">
        <v>22</v>
      </c>
      <c r="L1402" s="3" t="s">
        <v>23</v>
      </c>
      <c r="M1402" s="3">
        <f>_xlfn.IFNA(VLOOKUP($A1402,[2]stockregister!$A$2:$H$2000,8,0),0)</f>
        <v>7500</v>
      </c>
      <c r="N1402" s="3">
        <f>_xlfn.IFNA(VLOOKUP($A1402,[2]stockregister!$A$2:$H$2000,8,0),0)-$M1402</f>
        <v>0</v>
      </c>
      <c r="O1402" s="3" t="s">
        <v>3277</v>
      </c>
      <c r="P1402" s="3" t="s">
        <v>3277</v>
      </c>
      <c r="Q1402" s="3" t="s">
        <v>1892</v>
      </c>
      <c r="R1402" s="3" t="s">
        <v>92</v>
      </c>
      <c r="S1402" s="3" t="s">
        <v>93</v>
      </c>
    </row>
    <row r="1403" spans="1:20">
      <c r="A1403" s="3">
        <v>541</v>
      </c>
      <c r="B1403" s="3" t="b">
        <f>ISNUMBER(MATCH(A1403,[1]stockregister!$A$2:$A$2000,0))</f>
        <v>1</v>
      </c>
      <c r="C1403" s="3" t="s">
        <v>3278</v>
      </c>
      <c r="D1403" s="3" t="str">
        <f>VLOOKUP($C1403,[1]stockregister!$B$2:$B$2000,1,0)</f>
        <v>CRAGGANMORE 12YRS WHISKY 1LTR</v>
      </c>
      <c r="E1403" s="3" t="str">
        <f>IF(ISNA($D1403),VLOOKUP($A1403,[2]stockregister!$A$2:$B$2000,2,FALSE),"")</f>
        <v/>
      </c>
      <c r="F1403" s="3" t="s">
        <v>21</v>
      </c>
      <c r="G1403" s="3">
        <f>_xlfn.IFNA(VLOOKUP($A1403,[3]stockregister!$A$2:$L$2000,11,0),0)</f>
        <v>0</v>
      </c>
      <c r="H1403" s="3">
        <f>_xlfn.IFNA(VLOOKUP($A1403,[3]stockregister!$A$2:$L$2000,11,0),0)-$G1403</f>
        <v>0</v>
      </c>
      <c r="I1403" s="3">
        <f>_xlfn.IFNA(VLOOKUP($A1403,[3]stockregister!$A$2:$L$2000,12,0),0)</f>
        <v>5336</v>
      </c>
      <c r="J1403" s="3">
        <f>_xlfn.IFNA(VLOOKUP($A1403,[3]stockregister!$A$1:$M$2000,12,0),0)-$I1403</f>
        <v>0</v>
      </c>
      <c r="K1403" s="3" t="s">
        <v>22</v>
      </c>
      <c r="L1403" s="3" t="s">
        <v>23</v>
      </c>
      <c r="M1403" s="3">
        <f>_xlfn.IFNA(VLOOKUP($A1403,[2]stockregister!$A$2:$H$2000,8,0),0)</f>
        <v>5800</v>
      </c>
      <c r="N1403" s="3">
        <f>_xlfn.IFNA(VLOOKUP($A1403,[2]stockregister!$A$2:$H$2000,8,0),0)-$M1403</f>
        <v>0</v>
      </c>
      <c r="O1403" s="3" t="s">
        <v>3279</v>
      </c>
      <c r="P1403" s="3" t="s">
        <v>3279</v>
      </c>
      <c r="Q1403" s="3" t="s">
        <v>3280</v>
      </c>
      <c r="R1403" s="3" t="s">
        <v>92</v>
      </c>
      <c r="S1403" s="3" t="s">
        <v>93</v>
      </c>
      <c r="T1403" s="3">
        <v>12</v>
      </c>
    </row>
    <row r="1404" spans="1:20">
      <c r="A1404" s="3">
        <v>542</v>
      </c>
      <c r="B1404" s="3" t="b">
        <f>ISNUMBER(MATCH(A1404,[1]stockregister!$A$2:$A$2000,0))</f>
        <v>1</v>
      </c>
      <c r="C1404" s="3" t="s">
        <v>3281</v>
      </c>
      <c r="D1404" s="3" t="str">
        <f>VLOOKUP($C1404,[1]stockregister!$B$2:$B$2000,1,0)</f>
        <v>CRAGGANMORE 12YRS WHISKY 750ML</v>
      </c>
      <c r="E1404" s="3" t="str">
        <f>IF(ISNA($D1404),VLOOKUP($A1404,[2]stockregister!$A$2:$B$2000,2,FALSE),"")</f>
        <v/>
      </c>
      <c r="F1404" s="3" t="s">
        <v>21</v>
      </c>
      <c r="G1404" s="3">
        <f>_xlfn.IFNA(VLOOKUP($A1404,[3]stockregister!$A$2:$L$2000,11,0),0)</f>
        <v>0</v>
      </c>
      <c r="H1404" s="3">
        <f>_xlfn.IFNA(VLOOKUP($A1404,[3]stockregister!$A$2:$L$2000,11,0),0)-$G1404</f>
        <v>0</v>
      </c>
      <c r="I1404" s="3">
        <f>_xlfn.IFNA(VLOOKUP($A1404,[3]stockregister!$A$2:$L$2000,12,0),0)</f>
        <v>4857.6</v>
      </c>
      <c r="J1404" s="3">
        <f>_xlfn.IFNA(VLOOKUP($A1404,[3]stockregister!$A$1:$M$2000,12,0),0)-$I1404</f>
        <v>0</v>
      </c>
      <c r="K1404" s="3" t="s">
        <v>22</v>
      </c>
      <c r="L1404" s="3" t="s">
        <v>23</v>
      </c>
      <c r="M1404" s="3">
        <f>_xlfn.IFNA(VLOOKUP($A1404,[2]stockregister!$A$2:$H$2000,8,0),0)</f>
        <v>5280</v>
      </c>
      <c r="N1404" s="3">
        <f>_xlfn.IFNA(VLOOKUP($A1404,[2]stockregister!$A$2:$H$2000,8,0),0)-$M1404</f>
        <v>0</v>
      </c>
      <c r="O1404" s="3" t="s">
        <v>3282</v>
      </c>
      <c r="P1404" s="3" t="s">
        <v>3282</v>
      </c>
      <c r="Q1404" s="3" t="s">
        <v>3280</v>
      </c>
      <c r="R1404" s="3" t="s">
        <v>92</v>
      </c>
      <c r="S1404" s="3" t="s">
        <v>93</v>
      </c>
      <c r="T1404" s="3">
        <v>12</v>
      </c>
    </row>
    <row r="1405" spans="1:20">
      <c r="A1405" s="3">
        <v>570</v>
      </c>
      <c r="B1405" s="3" t="b">
        <f>ISNUMBER(MATCH(A1405,[1]stockregister!$A$2:$A$2000,0))</f>
        <v>1</v>
      </c>
      <c r="C1405" s="3" t="s">
        <v>3283</v>
      </c>
      <c r="D1405" s="3" t="str">
        <f>VLOOKUP($C1405,[1]stockregister!$B$2:$B$2000,1,0)</f>
        <v>DALMORE 18YRS SINGLE MALT 700ML</v>
      </c>
      <c r="E1405" s="3" t="str">
        <f>IF(ISNA($D1405),VLOOKUP($A1405,[2]stockregister!$A$2:$B$2000,2,FALSE),"")</f>
        <v/>
      </c>
      <c r="F1405" s="3" t="s">
        <v>21</v>
      </c>
      <c r="G1405" s="3">
        <f>_xlfn.IFNA(VLOOKUP($A1405,[3]stockregister!$A$2:$L$2000,11,0),0)</f>
        <v>0</v>
      </c>
      <c r="H1405" s="3">
        <f>_xlfn.IFNA(VLOOKUP($A1405,[3]stockregister!$A$2:$L$2000,11,0),0)-$G1405</f>
        <v>0</v>
      </c>
      <c r="I1405" s="3">
        <f>_xlfn.IFNA(VLOOKUP($A1405,[3]stockregister!$A$2:$L$2000,12,0),0)</f>
        <v>14720</v>
      </c>
      <c r="J1405" s="3">
        <f>_xlfn.IFNA(VLOOKUP($A1405,[3]stockregister!$A$1:$M$2000,12,0),0)-$I1405</f>
        <v>0</v>
      </c>
      <c r="K1405" s="3" t="s">
        <v>22</v>
      </c>
      <c r="L1405" s="3" t="s">
        <v>23</v>
      </c>
      <c r="M1405" s="3">
        <f>_xlfn.IFNA(VLOOKUP($A1405,[2]stockregister!$A$2:$H$2000,8,0),0)</f>
        <v>16000</v>
      </c>
      <c r="N1405" s="3">
        <f>_xlfn.IFNA(VLOOKUP($A1405,[2]stockregister!$A$2:$H$2000,8,0),0)-$M1405</f>
        <v>0</v>
      </c>
      <c r="O1405" s="3" t="s">
        <v>3284</v>
      </c>
      <c r="P1405" s="3" t="s">
        <v>3284</v>
      </c>
      <c r="Q1405" s="3" t="s">
        <v>3182</v>
      </c>
      <c r="R1405" s="3" t="s">
        <v>92</v>
      </c>
      <c r="S1405" s="3" t="s">
        <v>93</v>
      </c>
      <c r="T1405" s="3">
        <v>18</v>
      </c>
    </row>
    <row r="1406" spans="1:20">
      <c r="A1406" s="3">
        <v>1159</v>
      </c>
      <c r="B1406" s="3" t="b">
        <f>ISNUMBER(MATCH(A1406,[1]stockregister!$A$2:$A$2000,0))</f>
        <v>1</v>
      </c>
      <c r="C1406" s="3" t="s">
        <v>3285</v>
      </c>
      <c r="D1406" s="3" t="str">
        <f>VLOOKUP($C1406,[1]stockregister!$B$2:$B$2000,1,0)</f>
        <v>JURA 12YRS OLD SINGLE MALT WHISKY 700ML</v>
      </c>
      <c r="E1406" s="3" t="str">
        <f>IF(ISNA($D1406),VLOOKUP($A1406,[2]stockregister!$A$2:$B$2000,2,FALSE),"")</f>
        <v/>
      </c>
      <c r="F1406" s="3" t="s">
        <v>21</v>
      </c>
      <c r="G1406" s="3">
        <f>_xlfn.IFNA(VLOOKUP($A1406,[3]stockregister!$A$2:$L$2000,11,0),0)</f>
        <v>0</v>
      </c>
      <c r="H1406" s="3">
        <f>_xlfn.IFNA(VLOOKUP($A1406,[3]stockregister!$A$2:$L$2000,11,0),0)-$G1406</f>
        <v>0</v>
      </c>
      <c r="I1406" s="3">
        <f>_xlfn.IFNA(VLOOKUP($A1406,[3]stockregister!$A$2:$L$2000,12,0),0)</f>
        <v>5495</v>
      </c>
      <c r="J1406" s="3">
        <f>_xlfn.IFNA(VLOOKUP($A1406,[3]stockregister!$A$1:$M$2000,12,0),0)-$I1406</f>
        <v>0</v>
      </c>
      <c r="K1406" s="3" t="s">
        <v>22</v>
      </c>
      <c r="L1406" s="3" t="s">
        <v>23</v>
      </c>
      <c r="M1406" s="3">
        <f>_xlfn.IFNA(VLOOKUP($A1406,[2]stockregister!$A$2:$H$2000,8,0),0)</f>
        <v>6200</v>
      </c>
      <c r="N1406" s="3">
        <f>_xlfn.IFNA(VLOOKUP($A1406,[2]stockregister!$A$2:$H$2000,8,0),0)-$M1406</f>
        <v>0</v>
      </c>
      <c r="O1406" s="3" t="s">
        <v>3286</v>
      </c>
      <c r="P1406" s="3" t="s">
        <v>3286</v>
      </c>
      <c r="Q1406" s="3" t="s">
        <v>3287</v>
      </c>
      <c r="R1406" s="3" t="s">
        <v>92</v>
      </c>
      <c r="S1406" s="3" t="s">
        <v>93</v>
      </c>
      <c r="T1406" s="3">
        <v>12</v>
      </c>
    </row>
    <row r="1407" spans="1:19">
      <c r="A1407" s="3">
        <v>1660</v>
      </c>
      <c r="B1407" s="3" t="b">
        <f>ISNUMBER(MATCH(A1407,[1]stockregister!$A$2:$A$2000,0))</f>
        <v>1</v>
      </c>
      <c r="C1407" s="3" t="s">
        <v>3288</v>
      </c>
      <c r="D1407" s="3" t="str">
        <f>VLOOKUP($C1407,[1]stockregister!$B$2:$B$2000,1,0)</f>
        <v>RESERVE 7 RARE WHISKY 750ML</v>
      </c>
      <c r="E1407" s="3" t="str">
        <f>IF(ISNA($D1407),VLOOKUP($A1407,[2]stockregister!$A$2:$B$2000,2,FALSE),"")</f>
        <v/>
      </c>
      <c r="F1407" s="3" t="s">
        <v>21</v>
      </c>
      <c r="G1407" s="3">
        <f>_xlfn.IFNA(VLOOKUP($A1407,[3]stockregister!$A$2:$L$2000,11,0),0)</f>
        <v>0</v>
      </c>
      <c r="H1407" s="3">
        <f>_xlfn.IFNA(VLOOKUP($A1407,[3]stockregister!$A$2:$L$2000,11,0),0)-$G1407</f>
        <v>0</v>
      </c>
      <c r="I1407" s="3">
        <f>_xlfn.IFNA(VLOOKUP($A1407,[3]stockregister!$A$2:$L$2000,12,0),0)</f>
        <v>690</v>
      </c>
      <c r="J1407" s="3">
        <f>_xlfn.IFNA(VLOOKUP($A1407,[3]stockregister!$A$1:$M$2000,12,0),0)-$I1407</f>
        <v>0</v>
      </c>
      <c r="K1407" s="3" t="s">
        <v>22</v>
      </c>
      <c r="L1407" s="3" t="s">
        <v>23</v>
      </c>
      <c r="M1407" s="3">
        <f>_xlfn.IFNA(VLOOKUP($A1407,[2]stockregister!$A$2:$H$2000,8,0),0)</f>
        <v>750</v>
      </c>
      <c r="N1407" s="3">
        <f>_xlfn.IFNA(VLOOKUP($A1407,[2]stockregister!$A$2:$H$2000,8,0),0)-$M1407</f>
        <v>0</v>
      </c>
      <c r="O1407" s="3" t="s">
        <v>3289</v>
      </c>
      <c r="P1407" s="3" t="s">
        <v>3289</v>
      </c>
      <c r="Q1407" s="3" t="s">
        <v>1171</v>
      </c>
      <c r="R1407" s="3" t="s">
        <v>92</v>
      </c>
      <c r="S1407" s="3" t="s">
        <v>93</v>
      </c>
    </row>
    <row r="1408" spans="1:19">
      <c r="A1408" s="3">
        <v>1779</v>
      </c>
      <c r="B1408" s="3" t="b">
        <f>ISNUMBER(MATCH(A1408,[1]stockregister!$A$2:$A$2000,0))</f>
        <v>1</v>
      </c>
      <c r="C1408" s="3" t="s">
        <v>3290</v>
      </c>
      <c r="D1408" s="3" t="str">
        <f>VLOOKUP($C1408,[1]stockregister!$B$2:$B$2000,1,0)</f>
        <v>SHACKLETON BLENDED MALT 700ML</v>
      </c>
      <c r="E1408" s="3" t="str">
        <f>IF(ISNA($D1408),VLOOKUP($A1408,[2]stockregister!$A$2:$B$2000,2,FALSE),"")</f>
        <v/>
      </c>
      <c r="F1408" s="3" t="s">
        <v>21</v>
      </c>
      <c r="G1408" s="3">
        <f>_xlfn.IFNA(VLOOKUP($A1408,[3]stockregister!$A$2:$L$2000,11,0),0)</f>
        <v>0</v>
      </c>
      <c r="H1408" s="3">
        <f>_xlfn.IFNA(VLOOKUP($A1408,[3]stockregister!$A$2:$L$2000,11,0),0)-$G1408</f>
        <v>0</v>
      </c>
      <c r="I1408" s="3">
        <f>_xlfn.IFNA(VLOOKUP($A1408,[3]stockregister!$A$2:$L$2000,12,0),0)</f>
        <v>3864</v>
      </c>
      <c r="J1408" s="3">
        <f>_xlfn.IFNA(VLOOKUP($A1408,[3]stockregister!$A$1:$M$2000,12,0),0)-$I1408</f>
        <v>0</v>
      </c>
      <c r="K1408" s="3" t="s">
        <v>22</v>
      </c>
      <c r="L1408" s="3" t="s">
        <v>23</v>
      </c>
      <c r="M1408" s="3">
        <f>_xlfn.IFNA(VLOOKUP($A1408,[2]stockregister!$A$2:$H$2000,8,0),0)</f>
        <v>4200</v>
      </c>
      <c r="N1408" s="3">
        <f>_xlfn.IFNA(VLOOKUP($A1408,[2]stockregister!$A$2:$H$2000,8,0),0)-$M1408</f>
        <v>0</v>
      </c>
      <c r="O1408" s="3" t="s">
        <v>3291</v>
      </c>
      <c r="P1408" s="3" t="s">
        <v>3291</v>
      </c>
      <c r="Q1408" s="3" t="s">
        <v>3292</v>
      </c>
      <c r="R1408" s="3" t="s">
        <v>92</v>
      </c>
      <c r="S1408" s="3" t="s">
        <v>93</v>
      </c>
    </row>
    <row r="1409" spans="1:20">
      <c r="A1409" s="3">
        <v>1801</v>
      </c>
      <c r="B1409" s="3" t="b">
        <f>ISNUMBER(MATCH(A1409,[1]stockregister!$A$2:$A$2000,0))</f>
        <v>1</v>
      </c>
      <c r="C1409" s="3" t="s">
        <v>3293</v>
      </c>
      <c r="D1409" s="3" t="str">
        <f>VLOOKUP($C1409,[1]stockregister!$B$2:$B$2000,1,0)</f>
        <v>SINGLETON DUFFTOWN 15YRS 750ML</v>
      </c>
      <c r="E1409" s="3" t="str">
        <f>IF(ISNA($D1409),VLOOKUP($A1409,[2]stockregister!$A$2:$B$2000,2,FALSE),"")</f>
        <v/>
      </c>
      <c r="F1409" s="3" t="s">
        <v>21</v>
      </c>
      <c r="G1409" s="3">
        <f>_xlfn.IFNA(VLOOKUP($A1409,[3]stockregister!$A$2:$L$2000,11,0),0)</f>
        <v>0</v>
      </c>
      <c r="H1409" s="3">
        <f>_xlfn.IFNA(VLOOKUP($A1409,[3]stockregister!$A$2:$L$2000,11,0),0)-$G1409</f>
        <v>0</v>
      </c>
      <c r="I1409" s="3">
        <f>_xlfn.IFNA(VLOOKUP($A1409,[3]stockregister!$A$2:$L$2000,12,0),0)</f>
        <v>3643</v>
      </c>
      <c r="J1409" s="3">
        <f>_xlfn.IFNA(VLOOKUP($A1409,[3]stockregister!$A$1:$M$2000,12,0),0)-$I1409</f>
        <v>0</v>
      </c>
      <c r="K1409" s="3" t="s">
        <v>22</v>
      </c>
      <c r="L1409" s="3" t="s">
        <v>23</v>
      </c>
      <c r="M1409" s="3">
        <f>_xlfn.IFNA(VLOOKUP($A1409,[2]stockregister!$A$2:$H$2000,8,0),0)</f>
        <v>6300</v>
      </c>
      <c r="N1409" s="3">
        <f>_xlfn.IFNA(VLOOKUP($A1409,[2]stockregister!$A$2:$H$2000,8,0),0)-$M1409</f>
        <v>0</v>
      </c>
      <c r="O1409" s="3" t="s">
        <v>3294</v>
      </c>
      <c r="P1409" s="3" t="s">
        <v>3294</v>
      </c>
      <c r="Q1409" s="3" t="s">
        <v>635</v>
      </c>
      <c r="R1409" s="3" t="s">
        <v>92</v>
      </c>
      <c r="S1409" s="3" t="s">
        <v>3295</v>
      </c>
      <c r="T1409" s="3">
        <v>15</v>
      </c>
    </row>
    <row r="1410" spans="1:19">
      <c r="A1410" s="3">
        <v>1983</v>
      </c>
      <c r="B1410" s="3" t="b">
        <f>ISNUMBER(MATCH(A1410,[1]stockregister!$A$2:$A$2000,0))</f>
        <v>1</v>
      </c>
      <c r="C1410" s="3" t="s">
        <v>3296</v>
      </c>
      <c r="D1410" s="3" t="str">
        <f>VLOOKUP($C1410,[1]stockregister!$B$2:$B$2000,1,0)</f>
        <v>THE MACALLAN THE HARMONY COLLECTION WHISKY 700ML</v>
      </c>
      <c r="E1410" s="3" t="str">
        <f>IF(ISNA($D1410),VLOOKUP($A1410,[2]stockregister!$A$2:$B$2000,2,FALSE),"")</f>
        <v/>
      </c>
      <c r="F1410" s="3" t="s">
        <v>21</v>
      </c>
      <c r="G1410" s="3">
        <f>_xlfn.IFNA(VLOOKUP($A1410,[3]stockregister!$A$2:$L$2000,11,0),0)</f>
        <v>0</v>
      </c>
      <c r="H1410" s="3">
        <f>_xlfn.IFNA(VLOOKUP($A1410,[3]stockregister!$A$2:$L$2000,11,0),0)-$G1410</f>
        <v>0</v>
      </c>
      <c r="I1410" s="3">
        <f>_xlfn.IFNA(VLOOKUP($A1410,[3]stockregister!$A$2:$L$2000,12,0),0)</f>
        <v>19320</v>
      </c>
      <c r="J1410" s="3">
        <f>_xlfn.IFNA(VLOOKUP($A1410,[3]stockregister!$A$1:$M$2000,12,0),0)-$I1410</f>
        <v>0</v>
      </c>
      <c r="K1410" s="3" t="s">
        <v>22</v>
      </c>
      <c r="L1410" s="3" t="s">
        <v>23</v>
      </c>
      <c r="M1410" s="3">
        <f>_xlfn.IFNA(VLOOKUP($A1410,[2]stockregister!$A$2:$H$2000,8,0),0)</f>
        <v>21000</v>
      </c>
      <c r="N1410" s="3">
        <f>_xlfn.IFNA(VLOOKUP($A1410,[2]stockregister!$A$2:$H$2000,8,0),0)-$M1410</f>
        <v>0</v>
      </c>
      <c r="O1410" s="3" t="s">
        <v>3297</v>
      </c>
      <c r="P1410" s="3" t="s">
        <v>3297</v>
      </c>
      <c r="Q1410" s="3" t="s">
        <v>907</v>
      </c>
      <c r="R1410" s="3" t="s">
        <v>92</v>
      </c>
      <c r="S1410" s="3" t="s">
        <v>93</v>
      </c>
    </row>
    <row r="1411" spans="1:19">
      <c r="A1411" s="3">
        <v>76</v>
      </c>
      <c r="B1411" s="3" t="b">
        <f>ISNUMBER(MATCH(A1411,[1]stockregister!$A$2:$A$2000,0))</f>
        <v>1</v>
      </c>
      <c r="C1411" s="3" t="s">
        <v>3298</v>
      </c>
      <c r="D1411" s="3" t="str">
        <f>VLOOKUP($C1411,[1]stockregister!$B$2:$B$2000,1,0)</f>
        <v>ALL SEASONS WHISKY 250ML</v>
      </c>
      <c r="E1411" s="3" t="str">
        <f>IF(ISNA($D1411),VLOOKUP($A1411,[2]stockregister!$A$2:$B$2000,2,FALSE),"")</f>
        <v/>
      </c>
      <c r="F1411" s="3" t="s">
        <v>21</v>
      </c>
      <c r="G1411" s="3">
        <f>_xlfn.IFNA(VLOOKUP($A1411,[3]stockregister!$A$2:$L$2000,11,0),0)</f>
        <v>0</v>
      </c>
      <c r="H1411" s="3">
        <f>_xlfn.IFNA(VLOOKUP($A1411,[3]stockregister!$A$2:$L$2000,11,0),0)-$G1411</f>
        <v>0</v>
      </c>
      <c r="I1411" s="3">
        <f>_xlfn.IFNA(VLOOKUP($A1411,[3]stockregister!$A$2:$L$2000,12,0),0)</f>
        <v>380</v>
      </c>
      <c r="J1411" s="3">
        <f>_xlfn.IFNA(VLOOKUP($A1411,[3]stockregister!$A$1:$M$2000,12,0),0)-$I1411</f>
        <v>0</v>
      </c>
      <c r="K1411" s="3" t="s">
        <v>22</v>
      </c>
      <c r="L1411" s="3" t="s">
        <v>23</v>
      </c>
      <c r="M1411" s="3">
        <f>_xlfn.IFNA(VLOOKUP($A1411,[2]stockregister!$A$2:$H$2000,8,0),0)</f>
        <v>400</v>
      </c>
      <c r="N1411" s="3">
        <f>_xlfn.IFNA(VLOOKUP($A1411,[2]stockregister!$A$2:$H$2000,8,0),0)-$M1411</f>
        <v>0</v>
      </c>
      <c r="O1411" s="3" t="s">
        <v>3299</v>
      </c>
      <c r="P1411" s="3" t="s">
        <v>3299</v>
      </c>
      <c r="Q1411" s="3" t="s">
        <v>1263</v>
      </c>
      <c r="R1411" s="3" t="s">
        <v>92</v>
      </c>
      <c r="S1411" s="3" t="s">
        <v>252</v>
      </c>
    </row>
    <row r="1412" spans="1:19">
      <c r="A1412" s="3">
        <v>1546</v>
      </c>
      <c r="B1412" s="3" t="b">
        <f>ISNUMBER(MATCH(A1412,[1]stockregister!$A$2:$A$2000,0))</f>
        <v>1</v>
      </c>
      <c r="C1412" s="3" t="s">
        <v>3300</v>
      </c>
      <c r="D1412" s="3" t="str">
        <f>VLOOKUP($C1412,[1]stockregister!$B$2:$B$2000,1,0)</f>
        <v>OFFICERS CHOICE 750ML</v>
      </c>
      <c r="E1412" s="3" t="str">
        <f>IF(ISNA($D1412),VLOOKUP($A1412,[2]stockregister!$A$2:$B$2000,2,FALSE),"")</f>
        <v/>
      </c>
      <c r="F1412" s="3" t="s">
        <v>21</v>
      </c>
      <c r="G1412" s="3">
        <f>_xlfn.IFNA(VLOOKUP($A1412,[3]stockregister!$A$2:$L$2000,11,0),0)</f>
        <v>0</v>
      </c>
      <c r="H1412" s="3">
        <f>_xlfn.IFNA(VLOOKUP($A1412,[3]stockregister!$A$2:$L$2000,11,0),0)-$G1412</f>
        <v>0</v>
      </c>
      <c r="I1412" s="3">
        <f>_xlfn.IFNA(VLOOKUP($A1412,[3]stockregister!$A$2:$L$2000,12,0),0)</f>
        <v>736</v>
      </c>
      <c r="J1412" s="3">
        <f>_xlfn.IFNA(VLOOKUP($A1412,[3]stockregister!$A$1:$M$2000,12,0),0)-$I1412</f>
        <v>0</v>
      </c>
      <c r="K1412" s="3" t="s">
        <v>22</v>
      </c>
      <c r="L1412" s="3" t="s">
        <v>23</v>
      </c>
      <c r="M1412" s="3">
        <f>_xlfn.IFNA(VLOOKUP($A1412,[2]stockregister!$A$2:$H$2000,8,0),0)</f>
        <v>800</v>
      </c>
      <c r="N1412" s="3">
        <f>_xlfn.IFNA(VLOOKUP($A1412,[2]stockregister!$A$2:$H$2000,8,0),0)-$M1412</f>
        <v>0</v>
      </c>
      <c r="O1412" s="3" t="s">
        <v>3301</v>
      </c>
      <c r="P1412" s="3" t="s">
        <v>3301</v>
      </c>
      <c r="Q1412" s="3" t="s">
        <v>3132</v>
      </c>
      <c r="R1412" s="3" t="s">
        <v>92</v>
      </c>
      <c r="S1412" s="3" t="s">
        <v>1131</v>
      </c>
    </row>
    <row r="1413" spans="1:19">
      <c r="A1413" s="3">
        <v>993</v>
      </c>
      <c r="B1413" s="3" t="b">
        <f>ISNUMBER(MATCH(A1413,[1]stockregister!$A$2:$A$2000,0))</f>
        <v>1</v>
      </c>
      <c r="C1413" s="3" t="s">
        <v>3302</v>
      </c>
      <c r="D1413" s="3" t="str">
        <f>VLOOKUP($C1413,[1]stockregister!$B$2:$B$2000,1,0)</f>
        <v>HUNTERS 350 ML</v>
      </c>
      <c r="E1413" s="3" t="str">
        <f>IF(ISNA($D1413),VLOOKUP($A1413,[2]stockregister!$A$2:$B$2000,2,FALSE),"")</f>
        <v/>
      </c>
      <c r="F1413" s="3" t="s">
        <v>21</v>
      </c>
      <c r="G1413" s="3">
        <f>_xlfn.IFNA(VLOOKUP($A1413,[3]stockregister!$A$2:$L$2000,11,0),0)</f>
        <v>132</v>
      </c>
      <c r="H1413" s="3">
        <f>_xlfn.IFNA(VLOOKUP($A1413,[3]stockregister!$A$2:$L$2000,11,0),0)-$G1413</f>
        <v>0</v>
      </c>
      <c r="I1413" s="3">
        <f>_xlfn.IFNA(VLOOKUP($A1413,[3]stockregister!$A$2:$L$2000,12,0),0)</f>
        <v>418.55</v>
      </c>
      <c r="J1413" s="3">
        <f>_xlfn.IFNA(VLOOKUP($A1413,[3]stockregister!$A$1:$M$2000,12,0),0)-$I1413</f>
        <v>0</v>
      </c>
      <c r="K1413" s="3" t="s">
        <v>22</v>
      </c>
      <c r="L1413" s="3" t="s">
        <v>23</v>
      </c>
      <c r="M1413" s="3">
        <f>_xlfn.IFNA(VLOOKUP($A1413,[2]stockregister!$A$2:$H$2000,8,0),0)</f>
        <v>425</v>
      </c>
      <c r="N1413" s="3">
        <f>_xlfn.IFNA(VLOOKUP($A1413,[2]stockregister!$A$2:$H$2000,8,0),0)-$M1413</f>
        <v>0</v>
      </c>
      <c r="O1413" s="3" t="s">
        <v>3303</v>
      </c>
      <c r="P1413" s="3" t="s">
        <v>3303</v>
      </c>
      <c r="Q1413" s="3" t="s">
        <v>660</v>
      </c>
      <c r="R1413" s="3" t="s">
        <v>92</v>
      </c>
      <c r="S1413" s="3" t="s">
        <v>252</v>
      </c>
    </row>
    <row r="1414" spans="1:19">
      <c r="A1414" s="3">
        <v>2344</v>
      </c>
      <c r="B1414" s="3" t="b">
        <f>ISNUMBER(MATCH(A1414,[1]stockregister!$A$2:$A$2000,0))</f>
        <v>1</v>
      </c>
      <c r="C1414" s="3" t="s">
        <v>569</v>
      </c>
      <c r="D1414" s="3" t="str">
        <f>VLOOKUP($C1414,[1]stockregister!$B$2:$B$2000,1,0)</f>
        <v>HIGH COMMISSIONER  1LTR</v>
      </c>
      <c r="E1414" s="3" t="str">
        <f>IF(ISNA($D1414),VLOOKUP($A1414,[2]stockregister!$A$2:$B$2000,2,FALSE),"")</f>
        <v/>
      </c>
      <c r="F1414" s="3" t="s">
        <v>21</v>
      </c>
      <c r="G1414" s="3">
        <f>_xlfn.IFNA(VLOOKUP($A1414,[3]stockregister!$A$2:$L$2000,11,0),0)</f>
        <v>0</v>
      </c>
      <c r="H1414" s="3">
        <f>_xlfn.IFNA(VLOOKUP($A1414,[3]stockregister!$A$2:$L$2000,11,0),0)-$G1414</f>
        <v>0</v>
      </c>
      <c r="I1414" s="3">
        <f>_xlfn.IFNA(VLOOKUP($A1414,[3]stockregister!$A$2:$L$2000,12,0),0)</f>
        <v>1100</v>
      </c>
      <c r="J1414" s="3">
        <f>_xlfn.IFNA(VLOOKUP($A1414,[3]stockregister!$A$1:$M$2000,12,0),0)-$I1414</f>
        <v>0</v>
      </c>
      <c r="K1414" s="3" t="s">
        <v>22</v>
      </c>
      <c r="L1414" s="3" t="s">
        <v>23</v>
      </c>
      <c r="M1414" s="3">
        <f>_xlfn.IFNA(VLOOKUP($A1414,[2]stockregister!$A$2:$H$2000,8,0),0)</f>
        <v>1400</v>
      </c>
      <c r="N1414" s="3">
        <f>_xlfn.IFNA(VLOOKUP($A1414,[2]stockregister!$A$2:$H$2000,8,0),0)-$M1414</f>
        <v>0</v>
      </c>
      <c r="O1414" s="3" t="s">
        <v>3304</v>
      </c>
      <c r="P1414" s="3" t="s">
        <v>3304</v>
      </c>
      <c r="Q1414" s="3" t="s">
        <v>3305</v>
      </c>
      <c r="R1414" s="3" t="s">
        <v>92</v>
      </c>
      <c r="S1414" s="3" t="s">
        <v>252</v>
      </c>
    </row>
    <row r="1415" spans="1:19">
      <c r="A1415" s="3">
        <v>2311</v>
      </c>
      <c r="B1415" s="3" t="b">
        <f>ISNUMBER(MATCH(A1415,[1]stockregister!$A$2:$A$2000,0))</f>
        <v>1</v>
      </c>
      <c r="C1415" s="3" t="s">
        <v>3306</v>
      </c>
      <c r="D1415" s="3" t="str">
        <f>VLOOKUP($C1415,[1]stockregister!$B$2:$B$2000,1,0)</f>
        <v>OLD MONK 1LTR</v>
      </c>
      <c r="E1415" s="3" t="str">
        <f>IF(ISNA($D1415),VLOOKUP($A1415,[2]stockregister!$A$2:$B$2000,2,FALSE),"")</f>
        <v/>
      </c>
      <c r="F1415" s="3" t="s">
        <v>21</v>
      </c>
      <c r="G1415" s="3">
        <f>_xlfn.IFNA(VLOOKUP($A1415,[3]stockregister!$A$2:$L$2000,11,0),0)</f>
        <v>0</v>
      </c>
      <c r="H1415" s="3">
        <f>_xlfn.IFNA(VLOOKUP($A1415,[3]stockregister!$A$2:$L$2000,11,0),0)-$G1415</f>
        <v>0</v>
      </c>
      <c r="I1415" s="3">
        <f>_xlfn.IFNA(VLOOKUP($A1415,[3]stockregister!$A$2:$L$2000,12,0),0)</f>
        <v>1000</v>
      </c>
      <c r="J1415" s="3">
        <f>_xlfn.IFNA(VLOOKUP($A1415,[3]stockregister!$A$1:$M$2000,12,0),0)-$I1415</f>
        <v>0</v>
      </c>
      <c r="K1415" s="3" t="s">
        <v>22</v>
      </c>
      <c r="L1415" s="3" t="s">
        <v>23</v>
      </c>
      <c r="M1415" s="3">
        <f>_xlfn.IFNA(VLOOKUP($A1415,[2]stockregister!$A$2:$H$2000,8,0),0)</f>
        <v>1050</v>
      </c>
      <c r="N1415" s="3">
        <f>_xlfn.IFNA(VLOOKUP($A1415,[2]stockregister!$A$2:$H$2000,8,0),0)-$M1415</f>
        <v>0</v>
      </c>
      <c r="O1415" s="3" t="s">
        <v>3307</v>
      </c>
      <c r="P1415" s="3" t="s">
        <v>3307</v>
      </c>
      <c r="Q1415" s="3" t="s">
        <v>929</v>
      </c>
      <c r="R1415" s="3" t="s">
        <v>92</v>
      </c>
      <c r="S1415" s="3" t="s">
        <v>252</v>
      </c>
    </row>
    <row r="1416" spans="1:19">
      <c r="A1416" s="3">
        <v>79</v>
      </c>
      <c r="B1416" s="3" t="b">
        <f>ISNUMBER(MATCH(A1416,[1]stockregister!$A$2:$A$2000,0))</f>
        <v>1</v>
      </c>
      <c r="C1416" s="3" t="s">
        <v>3308</v>
      </c>
      <c r="D1416" s="3" t="str">
        <f>VLOOKUP($C1416,[1]stockregister!$B$2:$B$2000,1,0)</f>
        <v>ALL SEASONS WHISKY 750ML</v>
      </c>
      <c r="E1416" s="3" t="str">
        <f>IF(ISNA($D1416),VLOOKUP($A1416,[2]stockregister!$A$2:$B$2000,2,FALSE),"")</f>
        <v/>
      </c>
      <c r="F1416" s="3" t="s">
        <v>21</v>
      </c>
      <c r="G1416" s="3">
        <f>_xlfn.IFNA(VLOOKUP($A1416,[3]stockregister!$A$2:$L$2000,11,0),0)</f>
        <v>0</v>
      </c>
      <c r="H1416" s="3">
        <f>_xlfn.IFNA(VLOOKUP($A1416,[3]stockregister!$A$2:$L$2000,11,0),0)-$G1416</f>
        <v>0</v>
      </c>
      <c r="I1416" s="3">
        <f>_xlfn.IFNA(VLOOKUP($A1416,[3]stockregister!$A$2:$L$2000,12,0),0)</f>
        <v>700</v>
      </c>
      <c r="J1416" s="3">
        <f>_xlfn.IFNA(VLOOKUP($A1416,[3]stockregister!$A$1:$M$2000,12,0),0)-$I1416</f>
        <v>0</v>
      </c>
      <c r="K1416" s="3" t="s">
        <v>22</v>
      </c>
      <c r="L1416" s="3" t="s">
        <v>23</v>
      </c>
      <c r="M1416" s="3">
        <f>_xlfn.IFNA(VLOOKUP($A1416,[2]stockregister!$A$2:$H$2000,8,0),0)</f>
        <v>1050</v>
      </c>
      <c r="N1416" s="3">
        <f>_xlfn.IFNA(VLOOKUP($A1416,[2]stockregister!$A$2:$H$2000,8,0),0)-$M1416</f>
        <v>0</v>
      </c>
      <c r="O1416" s="3" t="s">
        <v>3309</v>
      </c>
      <c r="P1416" s="3" t="s">
        <v>3309</v>
      </c>
      <c r="Q1416" s="3" t="s">
        <v>1263</v>
      </c>
      <c r="R1416" s="3" t="s">
        <v>92</v>
      </c>
      <c r="S1416" s="3" t="s">
        <v>252</v>
      </c>
    </row>
    <row r="1417" spans="1:19">
      <c r="A1417" s="3">
        <v>213</v>
      </c>
      <c r="B1417" s="3" t="b">
        <f>ISNUMBER(MATCH(A1417,[1]stockregister!$A$2:$A$2000,0))</f>
        <v>1</v>
      </c>
      <c r="C1417" s="3" t="s">
        <v>3310</v>
      </c>
      <c r="D1417" s="3" t="str">
        <f>VLOOKUP($C1417,[1]stockregister!$B$2:$B$2000,1,0)</f>
        <v>BERKSHIRE 500ML</v>
      </c>
      <c r="E1417" s="3" t="str">
        <f>IF(ISNA($D1417),VLOOKUP($A1417,[2]stockregister!$A$2:$B$2000,2,FALSE),"")</f>
        <v/>
      </c>
      <c r="F1417" s="3" t="s">
        <v>21</v>
      </c>
      <c r="G1417" s="3">
        <f>_xlfn.IFNA(VLOOKUP($A1417,[3]stockregister!$A$2:$L$2000,11,0),0)</f>
        <v>0</v>
      </c>
      <c r="H1417" s="3">
        <f>_xlfn.IFNA(VLOOKUP($A1417,[3]stockregister!$A$2:$L$2000,11,0),0)-$G1417</f>
        <v>0</v>
      </c>
      <c r="I1417" s="3">
        <f>_xlfn.IFNA(VLOOKUP($A1417,[3]stockregister!$A$2:$L$2000,12,0),0)</f>
        <v>3680</v>
      </c>
      <c r="J1417" s="3">
        <f>_xlfn.IFNA(VLOOKUP($A1417,[3]stockregister!$A$1:$M$2000,12,0),0)-$I1417</f>
        <v>0</v>
      </c>
      <c r="K1417" s="3" t="s">
        <v>22</v>
      </c>
      <c r="L1417" s="3" t="s">
        <v>23</v>
      </c>
      <c r="M1417" s="3">
        <f>_xlfn.IFNA(VLOOKUP($A1417,[2]stockregister!$A$2:$H$2000,8,0),0)</f>
        <v>4000</v>
      </c>
      <c r="N1417" s="3">
        <f>_xlfn.IFNA(VLOOKUP($A1417,[2]stockregister!$A$2:$H$2000,8,0),0)-$M1417</f>
        <v>0</v>
      </c>
      <c r="O1417" s="3" t="s">
        <v>3311</v>
      </c>
      <c r="P1417" s="3" t="s">
        <v>3311</v>
      </c>
      <c r="Q1417" s="3" t="s">
        <v>3312</v>
      </c>
      <c r="R1417" s="3" t="s">
        <v>92</v>
      </c>
      <c r="S1417" s="3" t="s">
        <v>252</v>
      </c>
    </row>
    <row r="1418" spans="1:19">
      <c r="A1418" s="3">
        <v>222</v>
      </c>
      <c r="B1418" s="3" t="b">
        <f>ISNUMBER(MATCH(A1418,[1]stockregister!$A$2:$A$2000,0))</f>
        <v>1</v>
      </c>
      <c r="C1418" s="3" t="s">
        <v>3313</v>
      </c>
      <c r="D1418" s="3" t="str">
        <f>VLOOKUP($C1418,[1]stockregister!$B$2:$B$2000,1,0)</f>
        <v>BEST WHISKY 250ML</v>
      </c>
      <c r="E1418" s="3" t="str">
        <f>IF(ISNA($D1418),VLOOKUP($A1418,[2]stockregister!$A$2:$B$2000,2,FALSE),"")</f>
        <v/>
      </c>
      <c r="F1418" s="3" t="s">
        <v>21</v>
      </c>
      <c r="G1418" s="3">
        <f>_xlfn.IFNA(VLOOKUP($A1418,[3]stockregister!$A$2:$L$2000,11,0),0)</f>
        <v>0</v>
      </c>
      <c r="H1418" s="3">
        <f>_xlfn.IFNA(VLOOKUP($A1418,[3]stockregister!$A$2:$L$2000,11,0),0)-$G1418</f>
        <v>0</v>
      </c>
      <c r="I1418" s="3">
        <f>_xlfn.IFNA(VLOOKUP($A1418,[3]stockregister!$A$2:$L$2000,12,0),0)</f>
        <v>300</v>
      </c>
      <c r="J1418" s="3">
        <f>_xlfn.IFNA(VLOOKUP($A1418,[3]stockregister!$A$1:$M$2000,12,0),0)-$I1418</f>
        <v>0</v>
      </c>
      <c r="K1418" s="3" t="s">
        <v>22</v>
      </c>
      <c r="L1418" s="3" t="s">
        <v>23</v>
      </c>
      <c r="M1418" s="3">
        <f>_xlfn.IFNA(VLOOKUP($A1418,[2]stockregister!$A$2:$H$2000,8,0),0)</f>
        <v>305</v>
      </c>
      <c r="N1418" s="3">
        <f>_xlfn.IFNA(VLOOKUP($A1418,[2]stockregister!$A$2:$H$2000,8,0),0)-$M1418</f>
        <v>0</v>
      </c>
      <c r="O1418" s="3" t="s">
        <v>3314</v>
      </c>
      <c r="P1418" s="3" t="s">
        <v>3314</v>
      </c>
      <c r="Q1418" s="3" t="s">
        <v>77</v>
      </c>
      <c r="R1418" s="3" t="s">
        <v>92</v>
      </c>
      <c r="S1418" s="3" t="s">
        <v>252</v>
      </c>
    </row>
    <row r="1419" spans="1:19">
      <c r="A1419" s="3">
        <v>2263</v>
      </c>
      <c r="B1419" s="3" t="b">
        <f>ISNUMBER(MATCH(A1419,[1]stockregister!$A$2:$A$2000,0))</f>
        <v>1</v>
      </c>
      <c r="C1419" s="3" t="s">
        <v>3315</v>
      </c>
      <c r="D1419" s="3" t="str">
        <f>VLOOKUP($C1419,[1]stockregister!$B$2:$B$2000,1,0)</f>
        <v>BIG OAK RED 1LTR</v>
      </c>
      <c r="E1419" s="3" t="str">
        <f>IF(ISNA($D1419),VLOOKUP($A1419,[2]stockregister!$A$2:$B$2000,2,FALSE),"")</f>
        <v/>
      </c>
      <c r="F1419" s="3" t="s">
        <v>21</v>
      </c>
      <c r="G1419" s="3">
        <f>_xlfn.IFNA(VLOOKUP($A1419,[3]stockregister!$A$2:$L$2000,11,0),0)</f>
        <v>0</v>
      </c>
      <c r="H1419" s="3">
        <f>_xlfn.IFNA(VLOOKUP($A1419,[3]stockregister!$A$2:$L$2000,11,0),0)-$G1419</f>
        <v>0</v>
      </c>
      <c r="I1419" s="3">
        <f>_xlfn.IFNA(VLOOKUP($A1419,[3]stockregister!$A$2:$L$2000,12,0),0)</f>
        <v>1400</v>
      </c>
      <c r="J1419" s="3">
        <f>_xlfn.IFNA(VLOOKUP($A1419,[3]stockregister!$A$1:$M$2000,12,0),0)-$I1419</f>
        <v>0</v>
      </c>
      <c r="K1419" s="3" t="s">
        <v>22</v>
      </c>
      <c r="L1419" s="3" t="s">
        <v>23</v>
      </c>
      <c r="M1419" s="3">
        <f>_xlfn.IFNA(VLOOKUP($A1419,[2]stockregister!$A$2:$H$2000,8,0),0)</f>
        <v>1500</v>
      </c>
      <c r="N1419" s="3">
        <f>_xlfn.IFNA(VLOOKUP($A1419,[2]stockregister!$A$2:$H$2000,8,0),0)-$M1419</f>
        <v>0</v>
      </c>
      <c r="O1419" s="3" t="s">
        <v>3316</v>
      </c>
      <c r="P1419" s="3" t="s">
        <v>3316</v>
      </c>
      <c r="Q1419" s="3" t="s">
        <v>3317</v>
      </c>
      <c r="R1419" s="3" t="s">
        <v>92</v>
      </c>
      <c r="S1419" s="3" t="s">
        <v>252</v>
      </c>
    </row>
    <row r="1420" spans="1:19">
      <c r="A1420" s="3">
        <v>492</v>
      </c>
      <c r="B1420" s="3" t="b">
        <f>ISNUMBER(MATCH(A1420,[1]stockregister!$A$2:$A$2000,0))</f>
        <v>1</v>
      </c>
      <c r="C1420" s="3" t="s">
        <v>3318</v>
      </c>
      <c r="D1420" s="3" t="str">
        <f>VLOOKUP($C1420,[1]stockregister!$B$2:$B$2000,1,0)</f>
        <v>CLAN MCGREGOR 1ltr</v>
      </c>
      <c r="E1420" s="3" t="str">
        <f>IF(ISNA($D1420),VLOOKUP($A1420,[2]stockregister!$A$2:$B$2000,2,FALSE),"")</f>
        <v/>
      </c>
      <c r="F1420" s="3" t="s">
        <v>21</v>
      </c>
      <c r="G1420" s="3">
        <f>_xlfn.IFNA(VLOOKUP($A1420,[3]stockregister!$A$2:$L$2000,11,0),0)</f>
        <v>0</v>
      </c>
      <c r="H1420" s="3">
        <f>_xlfn.IFNA(VLOOKUP($A1420,[3]stockregister!$A$2:$L$2000,11,0),0)-$G1420</f>
        <v>0</v>
      </c>
      <c r="I1420" s="3">
        <f>_xlfn.IFNA(VLOOKUP($A1420,[3]stockregister!$A$2:$L$2000,12,0),0)</f>
        <v>1250</v>
      </c>
      <c r="J1420" s="3">
        <f>_xlfn.IFNA(VLOOKUP($A1420,[3]stockregister!$A$1:$M$2000,12,0),0)-$I1420</f>
        <v>0</v>
      </c>
      <c r="K1420" s="3" t="s">
        <v>22</v>
      </c>
      <c r="L1420" s="3" t="s">
        <v>23</v>
      </c>
      <c r="M1420" s="3">
        <f>_xlfn.IFNA(VLOOKUP($A1420,[2]stockregister!$A$2:$H$2000,8,0),0)</f>
        <v>1400</v>
      </c>
      <c r="N1420" s="3">
        <f>_xlfn.IFNA(VLOOKUP($A1420,[2]stockregister!$A$2:$H$2000,8,0),0)-$M1420</f>
        <v>0</v>
      </c>
      <c r="O1420" s="3" t="s">
        <v>3319</v>
      </c>
      <c r="P1420" s="3" t="s">
        <v>3319</v>
      </c>
      <c r="Q1420" s="3" t="s">
        <v>3320</v>
      </c>
      <c r="R1420" s="3" t="s">
        <v>92</v>
      </c>
      <c r="S1420" s="3" t="s">
        <v>252</v>
      </c>
    </row>
    <row r="1421" spans="1:20">
      <c r="A1421" s="3">
        <v>2269</v>
      </c>
      <c r="B1421" s="3" t="b">
        <f>ISNUMBER(MATCH(A1421,[1]stockregister!$A$2:$A$2000,0))</f>
        <v>1</v>
      </c>
      <c r="C1421" s="3" t="s">
        <v>3321</v>
      </c>
      <c r="D1421" s="3" t="str">
        <f>VLOOKUP($C1421,[1]stockregister!$B$2:$B$2000,1,0)</f>
        <v>DEWARS 12YRS 1LTR</v>
      </c>
      <c r="E1421" s="3" t="str">
        <f>IF(ISNA($D1421),VLOOKUP($A1421,[2]stockregister!$A$2:$B$2000,2,FALSE),"")</f>
        <v/>
      </c>
      <c r="F1421" s="3" t="s">
        <v>21</v>
      </c>
      <c r="G1421" s="3">
        <f>_xlfn.IFNA(VLOOKUP($A1421,[3]stockregister!$A$2:$L$2000,11,0),0)</f>
        <v>0</v>
      </c>
      <c r="H1421" s="3">
        <f>_xlfn.IFNA(VLOOKUP($A1421,[3]stockregister!$A$2:$L$2000,11,0),0)-$G1421</f>
        <v>0</v>
      </c>
      <c r="I1421" s="3">
        <f>_xlfn.IFNA(VLOOKUP($A1421,[3]stockregister!$A$2:$L$2000,12,0),0)</f>
        <v>4300</v>
      </c>
      <c r="J1421" s="3">
        <f>_xlfn.IFNA(VLOOKUP($A1421,[3]stockregister!$A$1:$M$2000,12,0),0)-$I1421</f>
        <v>0</v>
      </c>
      <c r="K1421" s="3" t="s">
        <v>22</v>
      </c>
      <c r="L1421" s="3" t="s">
        <v>23</v>
      </c>
      <c r="M1421" s="3">
        <f>_xlfn.IFNA(VLOOKUP($A1421,[2]stockregister!$A$2:$H$2000,8,0),0)</f>
        <v>4500</v>
      </c>
      <c r="N1421" s="3">
        <f>_xlfn.IFNA(VLOOKUP($A1421,[2]stockregister!$A$2:$H$2000,8,0),0)-$M1421</f>
        <v>0</v>
      </c>
      <c r="O1421" s="3" t="s">
        <v>3322</v>
      </c>
      <c r="P1421" s="3" t="s">
        <v>3322</v>
      </c>
      <c r="Q1421" s="3" t="s">
        <v>433</v>
      </c>
      <c r="R1421" s="3" t="s">
        <v>92</v>
      </c>
      <c r="S1421" s="3" t="s">
        <v>252</v>
      </c>
      <c r="T1421" s="3">
        <v>12</v>
      </c>
    </row>
    <row r="1422" spans="1:19">
      <c r="A1422" s="3">
        <v>605</v>
      </c>
      <c r="B1422" s="3" t="b">
        <f>ISNUMBER(MATCH(A1422,[1]stockregister!$A$2:$A$2000,0))</f>
        <v>1</v>
      </c>
      <c r="C1422" s="3" t="s">
        <v>3323</v>
      </c>
      <c r="D1422" s="3" t="str">
        <f>VLOOKUP($C1422,[1]stockregister!$B$2:$B$2000,1,0)</f>
        <v>DEWARS 1LTR</v>
      </c>
      <c r="E1422" s="3" t="str">
        <f>IF(ISNA($D1422),VLOOKUP($A1422,[2]stockregister!$A$2:$B$2000,2,FALSE),"")</f>
        <v/>
      </c>
      <c r="F1422" s="3" t="s">
        <v>21</v>
      </c>
      <c r="G1422" s="3">
        <f>_xlfn.IFNA(VLOOKUP($A1422,[3]stockregister!$A$2:$L$2000,11,0),0)</f>
        <v>0</v>
      </c>
      <c r="H1422" s="3">
        <f>_xlfn.IFNA(VLOOKUP($A1422,[3]stockregister!$A$2:$L$2000,11,0),0)-$G1422</f>
        <v>0</v>
      </c>
      <c r="I1422" s="3">
        <f>_xlfn.IFNA(VLOOKUP($A1422,[3]stockregister!$A$2:$L$2000,12,0),0)</f>
        <v>1748</v>
      </c>
      <c r="J1422" s="3">
        <f>_xlfn.IFNA(VLOOKUP($A1422,[3]stockregister!$A$1:$M$2000,12,0),0)-$I1422</f>
        <v>0</v>
      </c>
      <c r="K1422" s="3" t="s">
        <v>22</v>
      </c>
      <c r="L1422" s="3" t="s">
        <v>23</v>
      </c>
      <c r="M1422" s="3">
        <f>_xlfn.IFNA(VLOOKUP($A1422,[2]stockregister!$A$2:$H$2000,8,0),0)</f>
        <v>1900</v>
      </c>
      <c r="N1422" s="3">
        <f>_xlfn.IFNA(VLOOKUP($A1422,[2]stockregister!$A$2:$H$2000,8,0),0)-$M1422</f>
        <v>0</v>
      </c>
      <c r="O1422" s="3" t="s">
        <v>3324</v>
      </c>
      <c r="P1422" s="3" t="s">
        <v>3324</v>
      </c>
      <c r="Q1422" s="3" t="s">
        <v>433</v>
      </c>
      <c r="R1422" s="3" t="s">
        <v>92</v>
      </c>
      <c r="S1422" s="3" t="s">
        <v>1131</v>
      </c>
    </row>
    <row r="1423" spans="1:19">
      <c r="A1423" s="3">
        <v>606</v>
      </c>
      <c r="B1423" s="3" t="b">
        <f>ISNUMBER(MATCH(A1423,[1]stockregister!$A$2:$A$2000,0))</f>
        <v>1</v>
      </c>
      <c r="C1423" s="3" t="s">
        <v>3325</v>
      </c>
      <c r="D1423" s="3" t="str">
        <f>VLOOKUP($C1423,[1]stockregister!$B$2:$B$2000,1,0)</f>
        <v>DEWARS 750ML</v>
      </c>
      <c r="E1423" s="3" t="str">
        <f>IF(ISNA($D1423),VLOOKUP($A1423,[2]stockregister!$A$2:$B$2000,2,FALSE),"")</f>
        <v/>
      </c>
      <c r="F1423" s="3" t="s">
        <v>21</v>
      </c>
      <c r="G1423" s="3">
        <f>_xlfn.IFNA(VLOOKUP($A1423,[3]stockregister!$A$2:$L$2000,11,0),0)</f>
        <v>0</v>
      </c>
      <c r="H1423" s="3">
        <f>_xlfn.IFNA(VLOOKUP($A1423,[3]stockregister!$A$2:$L$2000,11,0),0)-$G1423</f>
        <v>0</v>
      </c>
      <c r="I1423" s="3">
        <f>_xlfn.IFNA(VLOOKUP($A1423,[3]stockregister!$A$2:$L$2000,12,0),0)</f>
        <v>1380</v>
      </c>
      <c r="J1423" s="3">
        <f>_xlfn.IFNA(VLOOKUP($A1423,[3]stockregister!$A$1:$M$2000,12,0),0)-$I1423</f>
        <v>0</v>
      </c>
      <c r="K1423" s="3" t="s">
        <v>22</v>
      </c>
      <c r="L1423" s="3" t="s">
        <v>23</v>
      </c>
      <c r="M1423" s="3">
        <f>_xlfn.IFNA(VLOOKUP($A1423,[2]stockregister!$A$2:$H$2000,8,0),0)</f>
        <v>1500</v>
      </c>
      <c r="N1423" s="3">
        <f>_xlfn.IFNA(VLOOKUP($A1423,[2]stockregister!$A$2:$H$2000,8,0),0)-$M1423</f>
        <v>0</v>
      </c>
      <c r="O1423" s="3" t="s">
        <v>3326</v>
      </c>
      <c r="P1423" s="3" t="s">
        <v>3326</v>
      </c>
      <c r="Q1423" s="3" t="s">
        <v>433</v>
      </c>
      <c r="R1423" s="3" t="s">
        <v>92</v>
      </c>
      <c r="S1423" s="3" t="s">
        <v>252</v>
      </c>
    </row>
    <row r="1424" spans="1:19">
      <c r="A1424" s="3">
        <v>2199</v>
      </c>
      <c r="B1424" s="3" t="b">
        <f>ISNUMBER(MATCH(A1424,[1]stockregister!$A$2:$A$2000,0))</f>
        <v>1</v>
      </c>
      <c r="C1424" s="3" t="s">
        <v>3327</v>
      </c>
      <c r="D1424" s="3" t="str">
        <f>VLOOKUP($C1424,[1]stockregister!$B$2:$B$2000,1,0)</f>
        <v>HUNTING LODGE GREEN APPLE 1LTR</v>
      </c>
      <c r="E1424" s="3" t="str">
        <f>IF(ISNA($D1424),VLOOKUP($A1424,[2]stockregister!$A$2:$B$2000,2,FALSE),"")</f>
        <v/>
      </c>
      <c r="F1424" s="3" t="s">
        <v>21</v>
      </c>
      <c r="G1424" s="3">
        <f>_xlfn.IFNA(VLOOKUP($A1424,[3]stockregister!$A$2:$L$2000,11,0),0)</f>
        <v>0</v>
      </c>
      <c r="H1424" s="3">
        <f>_xlfn.IFNA(VLOOKUP($A1424,[3]stockregister!$A$2:$L$2000,11,0),0)-$G1424</f>
        <v>0</v>
      </c>
      <c r="I1424" s="3">
        <f>_xlfn.IFNA(VLOOKUP($A1424,[3]stockregister!$A$2:$L$2000,12,0),0)</f>
        <v>1300</v>
      </c>
      <c r="J1424" s="3">
        <f>_xlfn.IFNA(VLOOKUP($A1424,[3]stockregister!$A$1:$M$2000,12,0),0)-$I1424</f>
        <v>0</v>
      </c>
      <c r="K1424" s="3" t="s">
        <v>22</v>
      </c>
      <c r="L1424" s="3" t="s">
        <v>23</v>
      </c>
      <c r="M1424" s="3">
        <f>_xlfn.IFNA(VLOOKUP($A1424,[2]stockregister!$A$2:$H$2000,8,0),0)</f>
        <v>1400</v>
      </c>
      <c r="N1424" s="3">
        <f>_xlfn.IFNA(VLOOKUP($A1424,[2]stockregister!$A$2:$H$2000,8,0),0)-$M1424</f>
        <v>0</v>
      </c>
      <c r="O1424" s="3" t="s">
        <v>3328</v>
      </c>
      <c r="P1424" s="3" t="s">
        <v>3328</v>
      </c>
      <c r="Q1424" s="3" t="s">
        <v>1887</v>
      </c>
      <c r="R1424" s="3" t="s">
        <v>92</v>
      </c>
      <c r="S1424" s="3" t="s">
        <v>252</v>
      </c>
    </row>
    <row r="1425" spans="1:19">
      <c r="A1425" s="3">
        <v>1003</v>
      </c>
      <c r="B1425" s="3" t="b">
        <f>ISNUMBER(MATCH(A1425,[1]stockregister!$A$2:$A$2000,0))</f>
        <v>1</v>
      </c>
      <c r="C1425" s="3" t="s">
        <v>3329</v>
      </c>
      <c r="D1425" s="3" t="str">
        <f>VLOOKUP($C1425,[1]stockregister!$B$2:$B$2000,1,0)</f>
        <v>HUNTING LODGE WHISKY 1LTR</v>
      </c>
      <c r="E1425" s="3" t="str">
        <f>IF(ISNA($D1425),VLOOKUP($A1425,[2]stockregister!$A$2:$B$2000,2,FALSE),"")</f>
        <v/>
      </c>
      <c r="F1425" s="3" t="s">
        <v>21</v>
      </c>
      <c r="G1425" s="3">
        <f>_xlfn.IFNA(VLOOKUP($A1425,[3]stockregister!$A$2:$L$2000,11,0),0)</f>
        <v>0</v>
      </c>
      <c r="H1425" s="3">
        <f>_xlfn.IFNA(VLOOKUP($A1425,[3]stockregister!$A$2:$L$2000,11,0),0)-$G1425</f>
        <v>0</v>
      </c>
      <c r="I1425" s="3">
        <f>_xlfn.IFNA(VLOOKUP($A1425,[3]stockregister!$A$2:$L$2000,12,0),0)</f>
        <v>1215</v>
      </c>
      <c r="J1425" s="3">
        <f>_xlfn.IFNA(VLOOKUP($A1425,[3]stockregister!$A$1:$M$2000,12,0),0)-$I1425</f>
        <v>0</v>
      </c>
      <c r="K1425" s="3" t="s">
        <v>22</v>
      </c>
      <c r="L1425" s="3" t="s">
        <v>23</v>
      </c>
      <c r="M1425" s="3">
        <f>_xlfn.IFNA(VLOOKUP($A1425,[2]stockregister!$A$2:$H$2000,8,0),0)</f>
        <v>1400</v>
      </c>
      <c r="N1425" s="3">
        <f>_xlfn.IFNA(VLOOKUP($A1425,[2]stockregister!$A$2:$H$2000,8,0),0)-$M1425</f>
        <v>0</v>
      </c>
      <c r="O1425" s="3" t="s">
        <v>3330</v>
      </c>
      <c r="P1425" s="3" t="s">
        <v>3330</v>
      </c>
      <c r="Q1425" s="3" t="s">
        <v>1887</v>
      </c>
      <c r="R1425" s="3" t="s">
        <v>92</v>
      </c>
      <c r="S1425" s="3" t="s">
        <v>1131</v>
      </c>
    </row>
    <row r="1426" spans="1:19">
      <c r="A1426" s="3">
        <v>2306</v>
      </c>
      <c r="B1426" s="3" t="b">
        <f>ISNUMBER(MATCH(A1426,[1]stockregister!$A$2:$A$2000,0))</f>
        <v>1</v>
      </c>
      <c r="C1426" s="3" t="s">
        <v>3331</v>
      </c>
      <c r="D1426" s="3" t="str">
        <f>VLOOKUP($C1426,[1]stockregister!$B$2:$B$2000,1,0)</f>
        <v>LAMBAY WHISKY 1LTR</v>
      </c>
      <c r="E1426" s="3" t="str">
        <f>IF(ISNA($D1426),VLOOKUP($A1426,[2]stockregister!$A$2:$B$2000,2,FALSE),"")</f>
        <v/>
      </c>
      <c r="F1426" s="3" t="s">
        <v>21</v>
      </c>
      <c r="G1426" s="3">
        <f>_xlfn.IFNA(VLOOKUP($A1426,[3]stockregister!$A$2:$L$2000,11,0),0)</f>
        <v>0</v>
      </c>
      <c r="H1426" s="3">
        <f>_xlfn.IFNA(VLOOKUP($A1426,[3]stockregister!$A$2:$L$2000,11,0),0)-$G1426</f>
        <v>0</v>
      </c>
      <c r="I1426" s="3">
        <f>_xlfn.IFNA(VLOOKUP($A1426,[3]stockregister!$A$2:$L$2000,12,0),0)</f>
        <v>4200</v>
      </c>
      <c r="J1426" s="3">
        <f>_xlfn.IFNA(VLOOKUP($A1426,[3]stockregister!$A$1:$M$2000,12,0),0)-$I1426</f>
        <v>0</v>
      </c>
      <c r="K1426" s="3" t="s">
        <v>22</v>
      </c>
      <c r="L1426" s="3" t="s">
        <v>23</v>
      </c>
      <c r="M1426" s="3">
        <f>_xlfn.IFNA(VLOOKUP($A1426,[2]stockregister!$A$2:$H$2000,8,0),0)</f>
        <v>4500</v>
      </c>
      <c r="N1426" s="3">
        <f>_xlfn.IFNA(VLOOKUP($A1426,[2]stockregister!$A$2:$H$2000,8,0),0)-$M1426</f>
        <v>0</v>
      </c>
      <c r="O1426" s="3" t="s">
        <v>3332</v>
      </c>
      <c r="P1426" s="3" t="s">
        <v>3332</v>
      </c>
      <c r="Q1426" s="3" t="s">
        <v>3333</v>
      </c>
      <c r="R1426" s="3" t="s">
        <v>92</v>
      </c>
      <c r="S1426" s="3" t="s">
        <v>252</v>
      </c>
    </row>
    <row r="1427" spans="1:19">
      <c r="A1427" s="3">
        <v>1703</v>
      </c>
      <c r="B1427" s="3" t="b">
        <f>ISNUMBER(MATCH(A1427,[1]stockregister!$A$2:$A$2000,0))</f>
        <v>1</v>
      </c>
      <c r="C1427" s="3" t="s">
        <v>3334</v>
      </c>
      <c r="D1427" s="3" t="str">
        <f>VLOOKUP($C1427,[1]stockregister!$B$2:$B$2000,1,0)</f>
        <v>ROYAL ARMS BLUE RESERVE BLACK 750ML</v>
      </c>
      <c r="E1427" s="3" t="str">
        <f>IF(ISNA($D1427),VLOOKUP($A1427,[2]stockregister!$A$2:$B$2000,2,FALSE),"")</f>
        <v/>
      </c>
      <c r="F1427" s="3" t="s">
        <v>21</v>
      </c>
      <c r="G1427" s="3">
        <f>_xlfn.IFNA(VLOOKUP($A1427,[3]stockregister!$A$2:$L$2000,11,0),0)</f>
        <v>0</v>
      </c>
      <c r="H1427" s="3">
        <f>_xlfn.IFNA(VLOOKUP($A1427,[3]stockregister!$A$2:$L$2000,11,0),0)-$G1427</f>
        <v>0</v>
      </c>
      <c r="I1427" s="3">
        <f>_xlfn.IFNA(VLOOKUP($A1427,[3]stockregister!$A$2:$L$2000,12,0),0)</f>
        <v>690</v>
      </c>
      <c r="J1427" s="3">
        <f>_xlfn.IFNA(VLOOKUP($A1427,[3]stockregister!$A$1:$M$2000,12,0),0)-$I1427</f>
        <v>0</v>
      </c>
      <c r="K1427" s="3" t="s">
        <v>22</v>
      </c>
      <c r="L1427" s="3" t="s">
        <v>23</v>
      </c>
      <c r="M1427" s="3">
        <f>_xlfn.IFNA(VLOOKUP($A1427,[2]stockregister!$A$2:$H$2000,8,0),0)</f>
        <v>750</v>
      </c>
      <c r="N1427" s="3">
        <f>_xlfn.IFNA(VLOOKUP($A1427,[2]stockregister!$A$2:$H$2000,8,0),0)-$M1427</f>
        <v>0</v>
      </c>
      <c r="O1427" s="3" t="s">
        <v>3335</v>
      </c>
      <c r="P1427" s="3" t="s">
        <v>3335</v>
      </c>
      <c r="Q1427" s="3" t="s">
        <v>3336</v>
      </c>
      <c r="R1427" s="3" t="s">
        <v>92</v>
      </c>
      <c r="S1427" s="3" t="s">
        <v>1131</v>
      </c>
    </row>
    <row r="1428" spans="1:19">
      <c r="A1428" s="3">
        <v>2290</v>
      </c>
      <c r="B1428" s="3" t="b">
        <f>ISNUMBER(MATCH(A1428,[1]stockregister!$A$2:$A$2000,0))</f>
        <v>1</v>
      </c>
      <c r="C1428" s="3" t="s">
        <v>3337</v>
      </c>
      <c r="D1428" s="3" t="str">
        <f>VLOOKUP($C1428,[1]stockregister!$B$2:$B$2000,1,0)</f>
        <v>TWO KEYS 375ML</v>
      </c>
      <c r="E1428" s="3" t="str">
        <f>IF(ISNA($D1428),VLOOKUP($A1428,[2]stockregister!$A$2:$B$2000,2,FALSE),"")</f>
        <v/>
      </c>
      <c r="F1428" s="3" t="s">
        <v>21</v>
      </c>
      <c r="G1428" s="3">
        <f>_xlfn.IFNA(VLOOKUP($A1428,[3]stockregister!$A$2:$L$2000,11,0),0)</f>
        <v>0</v>
      </c>
      <c r="H1428" s="3">
        <f>_xlfn.IFNA(VLOOKUP($A1428,[3]stockregister!$A$2:$L$2000,11,0),0)-$G1428</f>
        <v>0</v>
      </c>
      <c r="I1428" s="3">
        <f>_xlfn.IFNA(VLOOKUP($A1428,[3]stockregister!$A$2:$L$2000,12,0),0)</f>
        <v>600</v>
      </c>
      <c r="J1428" s="3">
        <f>_xlfn.IFNA(VLOOKUP($A1428,[3]stockregister!$A$1:$M$2000,12,0),0)-$I1428</f>
        <v>0</v>
      </c>
      <c r="K1428" s="3" t="s">
        <v>22</v>
      </c>
      <c r="L1428" s="3" t="s">
        <v>23</v>
      </c>
      <c r="M1428" s="3">
        <f>_xlfn.IFNA(VLOOKUP($A1428,[2]stockregister!$A$2:$H$2000,8,0),0)</f>
        <v>700</v>
      </c>
      <c r="N1428" s="3">
        <f>_xlfn.IFNA(VLOOKUP($A1428,[2]stockregister!$A$2:$H$2000,8,0),0)-$M1428</f>
        <v>0</v>
      </c>
      <c r="O1428" s="3" t="s">
        <v>3338</v>
      </c>
      <c r="P1428" s="3" t="s">
        <v>3338</v>
      </c>
      <c r="Q1428" s="3" t="s">
        <v>3339</v>
      </c>
      <c r="R1428" s="3" t="s">
        <v>92</v>
      </c>
      <c r="S1428" s="3" t="s">
        <v>252</v>
      </c>
    </row>
    <row r="1429" spans="1:19">
      <c r="A1429" s="3">
        <v>2130</v>
      </c>
      <c r="B1429" s="3" t="b">
        <f>ISNUMBER(MATCH(A1429,[1]stockregister!$A$2:$A$2000,0))</f>
        <v>1</v>
      </c>
      <c r="C1429" s="3" t="s">
        <v>3340</v>
      </c>
      <c r="D1429" s="3" t="str">
        <f>VLOOKUP($C1429,[1]stockregister!$B$2:$B$2000,1,0)</f>
        <v>WOODFORD RESERVE 700ML</v>
      </c>
      <c r="E1429" s="3" t="str">
        <f>IF(ISNA($D1429),VLOOKUP($A1429,[2]stockregister!$A$2:$B$2000,2,FALSE),"")</f>
        <v/>
      </c>
      <c r="F1429" s="3" t="s">
        <v>21</v>
      </c>
      <c r="G1429" s="3">
        <f>_xlfn.IFNA(VLOOKUP($A1429,[3]stockregister!$A$2:$L$2000,11,0),0)</f>
        <v>0</v>
      </c>
      <c r="H1429" s="3">
        <f>_xlfn.IFNA(VLOOKUP($A1429,[3]stockregister!$A$2:$L$2000,11,0),0)-$G1429</f>
        <v>0</v>
      </c>
      <c r="I1429" s="3">
        <f>_xlfn.IFNA(VLOOKUP($A1429,[3]stockregister!$A$2:$L$2000,12,0),0)</f>
        <v>4000</v>
      </c>
      <c r="J1429" s="3">
        <f>_xlfn.IFNA(VLOOKUP($A1429,[3]stockregister!$A$1:$M$2000,12,0),0)-$I1429</f>
        <v>0</v>
      </c>
      <c r="K1429" s="3" t="s">
        <v>22</v>
      </c>
      <c r="L1429" s="3" t="s">
        <v>23</v>
      </c>
      <c r="M1429" s="3">
        <f>_xlfn.IFNA(VLOOKUP($A1429,[2]stockregister!$A$2:$H$2000,8,0),0)</f>
        <v>4000</v>
      </c>
      <c r="N1429" s="3">
        <f>_xlfn.IFNA(VLOOKUP($A1429,[2]stockregister!$A$2:$H$2000,8,0),0)-$M1429</f>
        <v>0</v>
      </c>
      <c r="O1429" s="3" t="s">
        <v>3341</v>
      </c>
      <c r="P1429" s="3" t="s">
        <v>3341</v>
      </c>
      <c r="Q1429" s="3" t="s">
        <v>3342</v>
      </c>
      <c r="R1429" s="3" t="s">
        <v>92</v>
      </c>
      <c r="S1429" s="3" t="s">
        <v>1171</v>
      </c>
    </row>
    <row r="1430" spans="1:20">
      <c r="A1430" s="3">
        <v>162</v>
      </c>
      <c r="B1430" s="3" t="b">
        <f>ISNUMBER(MATCH(A1430,[1]stockregister!$A$2:$A$2000,0))</f>
        <v>1</v>
      </c>
      <c r="C1430" s="3" t="s">
        <v>3343</v>
      </c>
      <c r="D1430" s="3" t="str">
        <f>VLOOKUP($C1430,[1]stockregister!$B$2:$B$2000,1,0)</f>
        <v>BALLANTINE'S FINEST 21YRS WHISKY 700ML</v>
      </c>
      <c r="E1430" s="3" t="str">
        <f>IF(ISNA($D1430),VLOOKUP($A1430,[2]stockregister!$A$2:$B$2000,2,FALSE),"")</f>
        <v/>
      </c>
      <c r="F1430" s="3" t="s">
        <v>21</v>
      </c>
      <c r="G1430" s="3">
        <f>_xlfn.IFNA(VLOOKUP($A1430,[3]stockregister!$A$2:$L$2000,11,0),0)</f>
        <v>0</v>
      </c>
      <c r="H1430" s="3">
        <f>_xlfn.IFNA(VLOOKUP($A1430,[3]stockregister!$A$2:$L$2000,11,0),0)-$G1430</f>
        <v>0</v>
      </c>
      <c r="I1430" s="3">
        <f>_xlfn.IFNA(VLOOKUP($A1430,[3]stockregister!$A$2:$L$2000,12,0),0)</f>
        <v>7820</v>
      </c>
      <c r="J1430" s="3">
        <f>_xlfn.IFNA(VLOOKUP($A1430,[3]stockregister!$A$1:$M$2000,12,0),0)-$I1430</f>
        <v>0</v>
      </c>
      <c r="K1430" s="3" t="s">
        <v>22</v>
      </c>
      <c r="L1430" s="3" t="s">
        <v>23</v>
      </c>
      <c r="M1430" s="3">
        <f>_xlfn.IFNA(VLOOKUP($A1430,[2]stockregister!$A$2:$H$2000,8,0),0)</f>
        <v>8500</v>
      </c>
      <c r="N1430" s="3">
        <f>_xlfn.IFNA(VLOOKUP($A1430,[2]stockregister!$A$2:$H$2000,8,0),0)-$M1430</f>
        <v>0</v>
      </c>
      <c r="O1430" s="3" t="s">
        <v>3344</v>
      </c>
      <c r="P1430" s="3" t="s">
        <v>3344</v>
      </c>
      <c r="Q1430" s="3" t="s">
        <v>701</v>
      </c>
      <c r="R1430" s="3" t="s">
        <v>92</v>
      </c>
      <c r="S1430" s="3" t="s">
        <v>1171</v>
      </c>
      <c r="T1430" s="3">
        <v>21</v>
      </c>
    </row>
    <row r="1431" spans="1:19">
      <c r="A1431" s="3">
        <v>2129</v>
      </c>
      <c r="B1431" s="3" t="b">
        <f>ISNUMBER(MATCH(A1431,[1]stockregister!$A$2:$A$2000,0))</f>
        <v>1</v>
      </c>
      <c r="C1431" s="3" t="s">
        <v>3345</v>
      </c>
      <c r="D1431" s="3" t="str">
        <f>VLOOKUP($C1431,[1]stockregister!$B$2:$B$2000,1,0)</f>
        <v>WOODFORD RESERVE 1LTR</v>
      </c>
      <c r="E1431" s="3" t="str">
        <f>IF(ISNA($D1431),VLOOKUP($A1431,[2]stockregister!$A$2:$B$2000,2,FALSE),"")</f>
        <v/>
      </c>
      <c r="F1431" s="3" t="s">
        <v>21</v>
      </c>
      <c r="G1431" s="3">
        <f>_xlfn.IFNA(VLOOKUP($A1431,[3]stockregister!$A$2:$L$2000,11,0),0)</f>
        <v>0</v>
      </c>
      <c r="H1431" s="3">
        <f>_xlfn.IFNA(VLOOKUP($A1431,[3]stockregister!$A$2:$L$2000,11,0),0)-$G1431</f>
        <v>0</v>
      </c>
      <c r="I1431" s="3">
        <f>_xlfn.IFNA(VLOOKUP($A1431,[3]stockregister!$A$2:$L$2000,12,0),0)</f>
        <v>4400</v>
      </c>
      <c r="J1431" s="3">
        <f>_xlfn.IFNA(VLOOKUP($A1431,[3]stockregister!$A$1:$M$2000,12,0),0)-$I1431</f>
        <v>0</v>
      </c>
      <c r="K1431" s="3" t="s">
        <v>22</v>
      </c>
      <c r="L1431" s="3" t="s">
        <v>23</v>
      </c>
      <c r="M1431" s="3">
        <f>_xlfn.IFNA(VLOOKUP($A1431,[2]stockregister!$A$2:$H$2000,8,0),0)</f>
        <v>5000</v>
      </c>
      <c r="N1431" s="3">
        <f>_xlfn.IFNA(VLOOKUP($A1431,[2]stockregister!$A$2:$H$2000,8,0),0)-$M1431</f>
        <v>0</v>
      </c>
      <c r="O1431" s="3" t="s">
        <v>3346</v>
      </c>
      <c r="P1431" s="3" t="s">
        <v>3346</v>
      </c>
      <c r="Q1431" s="3" t="s">
        <v>3342</v>
      </c>
      <c r="R1431" s="3" t="s">
        <v>92</v>
      </c>
      <c r="S1431" s="3" t="s">
        <v>1171</v>
      </c>
    </row>
    <row r="1432" spans="1:19">
      <c r="A1432" s="3">
        <v>2046</v>
      </c>
      <c r="B1432" s="3" t="b">
        <f>ISNUMBER(MATCH(A1432,[1]stockregister!$A$2:$A$2000,0))</f>
        <v>1</v>
      </c>
      <c r="C1432" s="3" t="s">
        <v>3347</v>
      </c>
      <c r="D1432" s="3" t="str">
        <f>VLOOKUP($C1432,[1]stockregister!$B$2:$B$2000,1,0)</f>
        <v>VAT 69 375ML</v>
      </c>
      <c r="E1432" s="3" t="str">
        <f>IF(ISNA($D1432),VLOOKUP($A1432,[2]stockregister!$A$2:$B$2000,2,FALSE),"")</f>
        <v/>
      </c>
      <c r="F1432" s="3" t="s">
        <v>21</v>
      </c>
      <c r="G1432" s="3">
        <f>_xlfn.IFNA(VLOOKUP($A1432,[3]stockregister!$A$2:$L$2000,11,0),0)</f>
        <v>0</v>
      </c>
      <c r="H1432" s="3">
        <f>_xlfn.IFNA(VLOOKUP($A1432,[3]stockregister!$A$2:$L$2000,11,0),0)-$G1432</f>
        <v>0</v>
      </c>
      <c r="I1432" s="3">
        <f>_xlfn.IFNA(VLOOKUP($A1432,[3]stockregister!$A$2:$L$2000,12,0),0)</f>
        <v>738.72</v>
      </c>
      <c r="J1432" s="3">
        <f>_xlfn.IFNA(VLOOKUP($A1432,[3]stockregister!$A$1:$M$2000,12,0),0)-$I1432</f>
        <v>0</v>
      </c>
      <c r="K1432" s="3" t="s">
        <v>22</v>
      </c>
      <c r="L1432" s="3" t="s">
        <v>23</v>
      </c>
      <c r="M1432" s="3">
        <f>_xlfn.IFNA(VLOOKUP($A1432,[2]stockregister!$A$2:$H$2000,8,0),0)</f>
        <v>750</v>
      </c>
      <c r="N1432" s="3">
        <f>_xlfn.IFNA(VLOOKUP($A1432,[2]stockregister!$A$2:$H$2000,8,0),0)-$M1432</f>
        <v>0</v>
      </c>
      <c r="O1432" s="3" t="s">
        <v>3348</v>
      </c>
      <c r="P1432" s="3" t="s">
        <v>3348</v>
      </c>
      <c r="Q1432" s="3" t="s">
        <v>382</v>
      </c>
      <c r="R1432" s="3" t="s">
        <v>92</v>
      </c>
      <c r="S1432" s="3" t="s">
        <v>134</v>
      </c>
    </row>
    <row r="1433" spans="1:19">
      <c r="A1433" s="3">
        <v>1082</v>
      </c>
      <c r="B1433" s="3" t="b">
        <f>ISNUMBER(MATCH(A1433,[1]stockregister!$A$2:$A$2000,0))</f>
        <v>1</v>
      </c>
      <c r="C1433" s="3" t="s">
        <v>3349</v>
      </c>
      <c r="D1433" s="3" t="str">
        <f>VLOOKUP($C1433,[1]stockregister!$B$2:$B$2000,1,0)</f>
        <v>JIM BEAM DOUBLE OAK 700ml</v>
      </c>
      <c r="E1433" s="3" t="str">
        <f>IF(ISNA($D1433),VLOOKUP($A1433,[2]stockregister!$A$2:$B$2000,2,FALSE),"")</f>
        <v/>
      </c>
      <c r="F1433" s="3" t="s">
        <v>21</v>
      </c>
      <c r="G1433" s="3">
        <f>_xlfn.IFNA(VLOOKUP($A1433,[3]stockregister!$A$2:$L$2000,11,0),0)</f>
        <v>0</v>
      </c>
      <c r="H1433" s="3">
        <f>_xlfn.IFNA(VLOOKUP($A1433,[3]stockregister!$A$2:$L$2000,11,0),0)-$G1433</f>
        <v>0</v>
      </c>
      <c r="I1433" s="3">
        <f>_xlfn.IFNA(VLOOKUP($A1433,[3]stockregister!$A$2:$L$2000,12,0),0)</f>
        <v>3220</v>
      </c>
      <c r="J1433" s="3">
        <f>_xlfn.IFNA(VLOOKUP($A1433,[3]stockregister!$A$1:$M$2000,12,0),0)-$I1433</f>
        <v>0</v>
      </c>
      <c r="K1433" s="3" t="s">
        <v>22</v>
      </c>
      <c r="L1433" s="3" t="s">
        <v>23</v>
      </c>
      <c r="M1433" s="3">
        <f>_xlfn.IFNA(VLOOKUP($A1433,[2]stockregister!$A$2:$H$2000,8,0),0)</f>
        <v>3500</v>
      </c>
      <c r="N1433" s="3">
        <f>_xlfn.IFNA(VLOOKUP($A1433,[2]stockregister!$A$2:$H$2000,8,0),0)-$M1433</f>
        <v>0</v>
      </c>
      <c r="O1433" s="3" t="s">
        <v>3350</v>
      </c>
      <c r="P1433" s="3" t="s">
        <v>3350</v>
      </c>
      <c r="Q1433" s="3" t="s">
        <v>3225</v>
      </c>
      <c r="R1433" s="3" t="s">
        <v>92</v>
      </c>
      <c r="S1433" s="3" t="s">
        <v>134</v>
      </c>
    </row>
    <row r="1434" spans="1:19">
      <c r="A1434" s="3">
        <v>1093</v>
      </c>
      <c r="B1434" s="3" t="b">
        <f>ISNUMBER(MATCH(A1434,[1]stockregister!$A$2:$A$2000,0))</f>
        <v>1</v>
      </c>
      <c r="C1434" s="3" t="s">
        <v>3351</v>
      </c>
      <c r="D1434" s="3" t="str">
        <f>VLOOKUP($C1434,[1]stockregister!$B$2:$B$2000,1,0)</f>
        <v>JOHN BARR RESERVE WHISKY BLACK 750ML</v>
      </c>
      <c r="E1434" s="3" t="str">
        <f>IF(ISNA($D1434),VLOOKUP($A1434,[2]stockregister!$A$2:$B$2000,2,FALSE),"")</f>
        <v/>
      </c>
      <c r="F1434" s="3" t="s">
        <v>21</v>
      </c>
      <c r="G1434" s="3">
        <f>_xlfn.IFNA(VLOOKUP($A1434,[3]stockregister!$A$2:$L$2000,11,0),0)</f>
        <v>0</v>
      </c>
      <c r="H1434" s="3">
        <f>_xlfn.IFNA(VLOOKUP($A1434,[3]stockregister!$A$2:$L$2000,11,0),0)-$G1434</f>
        <v>0</v>
      </c>
      <c r="I1434" s="3">
        <f>_xlfn.IFNA(VLOOKUP($A1434,[3]stockregister!$A$2:$L$2000,12,0),0)</f>
        <v>965</v>
      </c>
      <c r="J1434" s="3">
        <f>_xlfn.IFNA(VLOOKUP($A1434,[3]stockregister!$A$1:$M$2000,12,0),0)-$I1434</f>
        <v>0</v>
      </c>
      <c r="K1434" s="3" t="s">
        <v>22</v>
      </c>
      <c r="L1434" s="3" t="s">
        <v>23</v>
      </c>
      <c r="M1434" s="3">
        <f>_xlfn.IFNA(VLOOKUP($A1434,[2]stockregister!$A$2:$H$2000,8,0),0)</f>
        <v>1550</v>
      </c>
      <c r="N1434" s="3">
        <f>_xlfn.IFNA(VLOOKUP($A1434,[2]stockregister!$A$2:$H$2000,8,0),0)-$M1434</f>
        <v>0</v>
      </c>
      <c r="O1434" s="3" t="s">
        <v>3352</v>
      </c>
      <c r="P1434" s="3" t="s">
        <v>3352</v>
      </c>
      <c r="Q1434" s="3" t="s">
        <v>2205</v>
      </c>
      <c r="R1434" s="3" t="s">
        <v>92</v>
      </c>
      <c r="S1434" s="3" t="s">
        <v>134</v>
      </c>
    </row>
    <row r="1435" spans="1:19">
      <c r="A1435" s="3">
        <v>1065</v>
      </c>
      <c r="B1435" s="3" t="b">
        <f>ISNUMBER(MATCH(A1435,[1]stockregister!$A$2:$A$2000,0))</f>
        <v>1</v>
      </c>
      <c r="C1435" s="3" t="s">
        <v>3353</v>
      </c>
      <c r="D1435" s="3" t="str">
        <f>VLOOKUP($C1435,[1]stockregister!$B$2:$B$2000,1,0)</f>
        <v>JAMESON IRISH WHISKY 1LTR</v>
      </c>
      <c r="E1435" s="3" t="str">
        <f>IF(ISNA($D1435),VLOOKUP($A1435,[2]stockregister!$A$2:$B$2000,2,FALSE),"")</f>
        <v/>
      </c>
      <c r="F1435" s="3" t="s">
        <v>21</v>
      </c>
      <c r="G1435" s="3">
        <f>_xlfn.IFNA(VLOOKUP($A1435,[3]stockregister!$A$2:$L$2000,11,0),0)</f>
        <v>0</v>
      </c>
      <c r="H1435" s="3">
        <f>_xlfn.IFNA(VLOOKUP($A1435,[3]stockregister!$A$2:$L$2000,11,0),0)-$G1435</f>
        <v>0</v>
      </c>
      <c r="I1435" s="3">
        <f>_xlfn.IFNA(VLOOKUP($A1435,[3]stockregister!$A$2:$L$2000,12,0),0)</f>
        <v>2780.26</v>
      </c>
      <c r="J1435" s="3">
        <f>_xlfn.IFNA(VLOOKUP($A1435,[3]stockregister!$A$1:$M$2000,12,0),0)-$I1435</f>
        <v>0</v>
      </c>
      <c r="K1435" s="3" t="s">
        <v>22</v>
      </c>
      <c r="L1435" s="3" t="s">
        <v>23</v>
      </c>
      <c r="M1435" s="3">
        <f>_xlfn.IFNA(VLOOKUP($A1435,[2]stockregister!$A$2:$H$2000,8,0),0)</f>
        <v>2900</v>
      </c>
      <c r="N1435" s="3">
        <f>_xlfn.IFNA(VLOOKUP($A1435,[2]stockregister!$A$2:$H$2000,8,0),0)-$M1435</f>
        <v>0</v>
      </c>
      <c r="O1435" s="3" t="s">
        <v>3354</v>
      </c>
      <c r="P1435" s="3" t="s">
        <v>3354</v>
      </c>
      <c r="Q1435" s="3" t="s">
        <v>269</v>
      </c>
      <c r="R1435" s="3" t="s">
        <v>92</v>
      </c>
      <c r="S1435" s="3" t="s">
        <v>134</v>
      </c>
    </row>
    <row r="1436" spans="1:20">
      <c r="A1436" s="3">
        <v>838</v>
      </c>
      <c r="B1436" s="3" t="b">
        <f>ISNUMBER(MATCH(A1436,[1]stockregister!$A$2:$A$2000,0))</f>
        <v>1</v>
      </c>
      <c r="C1436" s="3" t="s">
        <v>3355</v>
      </c>
      <c r="D1436" s="3" t="str">
        <f>VLOOKUP($C1436,[1]stockregister!$B$2:$B$2000,1,0)</f>
        <v>GLENFIDDICH 15YRS VAT 03 700ML</v>
      </c>
      <c r="E1436" s="3" t="str">
        <f>IF(ISNA($D1436),VLOOKUP($A1436,[2]stockregister!$A$2:$B$2000,2,FALSE),"")</f>
        <v/>
      </c>
      <c r="F1436" s="3" t="s">
        <v>21</v>
      </c>
      <c r="G1436" s="3">
        <f>_xlfn.IFNA(VLOOKUP($A1436,[3]stockregister!$A$2:$L$2000,11,0),0)</f>
        <v>0</v>
      </c>
      <c r="H1436" s="3">
        <f>_xlfn.IFNA(VLOOKUP($A1436,[3]stockregister!$A$2:$L$2000,11,0),0)-$G1436</f>
        <v>0</v>
      </c>
      <c r="I1436" s="3">
        <f>_xlfn.IFNA(VLOOKUP($A1436,[3]stockregister!$A$2:$L$2000,12,0),0)</f>
        <v>7820</v>
      </c>
      <c r="J1436" s="3">
        <f>_xlfn.IFNA(VLOOKUP($A1436,[3]stockregister!$A$1:$M$2000,12,0),0)-$I1436</f>
        <v>0</v>
      </c>
      <c r="K1436" s="3" t="s">
        <v>22</v>
      </c>
      <c r="L1436" s="3" t="s">
        <v>23</v>
      </c>
      <c r="M1436" s="3">
        <f>_xlfn.IFNA(VLOOKUP($A1436,[2]stockregister!$A$2:$H$2000,8,0),0)</f>
        <v>8500</v>
      </c>
      <c r="N1436" s="3">
        <f>_xlfn.IFNA(VLOOKUP($A1436,[2]stockregister!$A$2:$H$2000,8,0),0)-$M1436</f>
        <v>0</v>
      </c>
      <c r="O1436" s="3" t="s">
        <v>3356</v>
      </c>
      <c r="P1436" s="3" t="s">
        <v>3356</v>
      </c>
      <c r="Q1436" s="3" t="s">
        <v>365</v>
      </c>
      <c r="R1436" s="3" t="s">
        <v>92</v>
      </c>
      <c r="S1436" s="3" t="s">
        <v>134</v>
      </c>
      <c r="T1436" s="3">
        <v>15</v>
      </c>
    </row>
    <row r="1437" spans="1:19">
      <c r="A1437" s="3">
        <v>913</v>
      </c>
      <c r="B1437" s="3" t="b">
        <f>ISNUMBER(MATCH(A1437,[1]stockregister!$A$2:$A$2000,0))</f>
        <v>1</v>
      </c>
      <c r="C1437" s="3" t="s">
        <v>3357</v>
      </c>
      <c r="D1437" s="3" t="str">
        <f>VLOOKUP($C1437,[1]stockregister!$B$2:$B$2000,1,0)</f>
        <v>GRANTS WITH GLASS 750ML</v>
      </c>
      <c r="E1437" s="3" t="str">
        <f>IF(ISNA($D1437),VLOOKUP($A1437,[2]stockregister!$A$2:$B$2000,2,FALSE),"")</f>
        <v/>
      </c>
      <c r="F1437" s="3" t="s">
        <v>21</v>
      </c>
      <c r="G1437" s="3">
        <f>_xlfn.IFNA(VLOOKUP($A1437,[3]stockregister!$A$2:$L$2000,11,0),0)</f>
        <v>0</v>
      </c>
      <c r="H1437" s="3">
        <f>_xlfn.IFNA(VLOOKUP($A1437,[3]stockregister!$A$2:$L$2000,11,0),0)-$G1437</f>
        <v>0</v>
      </c>
      <c r="I1437" s="3">
        <f>_xlfn.IFNA(VLOOKUP($A1437,[3]stockregister!$A$2:$L$2000,12,0),0)</f>
        <v>1750</v>
      </c>
      <c r="J1437" s="3">
        <f>_xlfn.IFNA(VLOOKUP($A1437,[3]stockregister!$A$1:$M$2000,12,0),0)-$I1437</f>
        <v>0</v>
      </c>
      <c r="K1437" s="3" t="s">
        <v>22</v>
      </c>
      <c r="L1437" s="3" t="s">
        <v>23</v>
      </c>
      <c r="M1437" s="3">
        <f>_xlfn.IFNA(VLOOKUP($A1437,[2]stockregister!$A$2:$H$2000,8,0),0)</f>
        <v>1800</v>
      </c>
      <c r="N1437" s="3">
        <f>_xlfn.IFNA(VLOOKUP($A1437,[2]stockregister!$A$2:$H$2000,8,0),0)-$M1437</f>
        <v>0</v>
      </c>
      <c r="O1437" s="3" t="s">
        <v>3358</v>
      </c>
      <c r="P1437" s="3" t="s">
        <v>3358</v>
      </c>
      <c r="Q1437" s="3" t="s">
        <v>1535</v>
      </c>
      <c r="R1437" s="3" t="s">
        <v>92</v>
      </c>
      <c r="S1437" s="3" t="s">
        <v>134</v>
      </c>
    </row>
    <row r="1438" spans="1:19">
      <c r="A1438" s="3">
        <v>1962</v>
      </c>
      <c r="B1438" s="3" t="b">
        <f>ISNUMBER(MATCH(A1438,[1]stockregister!$A$2:$A$2000,0))</f>
        <v>1</v>
      </c>
      <c r="C1438" s="3" t="s">
        <v>3359</v>
      </c>
      <c r="D1438" s="3" t="str">
        <f>VLOOKUP($C1438,[1]stockregister!$B$2:$B$2000,1,0)</f>
        <v>THE FAMOUS GROUSE 350ML</v>
      </c>
      <c r="E1438" s="3" t="str">
        <f>IF(ISNA($D1438),VLOOKUP($A1438,[2]stockregister!$A$2:$B$2000,2,FALSE),"")</f>
        <v/>
      </c>
      <c r="F1438" s="3" t="s">
        <v>21</v>
      </c>
      <c r="G1438" s="3">
        <f>_xlfn.IFNA(VLOOKUP($A1438,[3]stockregister!$A$2:$L$2000,11,0),0)</f>
        <v>0</v>
      </c>
      <c r="H1438" s="3">
        <f>_xlfn.IFNA(VLOOKUP($A1438,[3]stockregister!$A$2:$L$2000,11,0),0)-$G1438</f>
        <v>0</v>
      </c>
      <c r="I1438" s="3">
        <f>_xlfn.IFNA(VLOOKUP($A1438,[3]stockregister!$A$2:$L$2000,12,0),0)</f>
        <v>874</v>
      </c>
      <c r="J1438" s="3">
        <f>_xlfn.IFNA(VLOOKUP($A1438,[3]stockregister!$A$1:$M$2000,12,0),0)-$I1438</f>
        <v>0</v>
      </c>
      <c r="K1438" s="3" t="s">
        <v>22</v>
      </c>
      <c r="L1438" s="3" t="s">
        <v>23</v>
      </c>
      <c r="M1438" s="3">
        <f>_xlfn.IFNA(VLOOKUP($A1438,[2]stockregister!$A$2:$H$2000,8,0),0)</f>
        <v>950</v>
      </c>
      <c r="N1438" s="3">
        <f>_xlfn.IFNA(VLOOKUP($A1438,[2]stockregister!$A$2:$H$2000,8,0),0)-$M1438</f>
        <v>0</v>
      </c>
      <c r="O1438" s="3" t="s">
        <v>3360</v>
      </c>
      <c r="P1438" s="3" t="s">
        <v>3360</v>
      </c>
      <c r="Q1438" s="3" t="s">
        <v>362</v>
      </c>
      <c r="R1438" s="3" t="s">
        <v>92</v>
      </c>
      <c r="S1438" s="3" t="s">
        <v>134</v>
      </c>
    </row>
    <row r="1439" spans="1:19">
      <c r="A1439" s="3">
        <v>2111</v>
      </c>
      <c r="B1439" s="3" t="b">
        <f>ISNUMBER(MATCH(A1439,[1]stockregister!$A$2:$A$2000,0))</f>
        <v>1</v>
      </c>
      <c r="C1439" s="3" t="s">
        <v>3361</v>
      </c>
      <c r="D1439" s="3" t="str">
        <f>VLOOKUP($C1439,[1]stockregister!$B$2:$B$2000,1,0)</f>
        <v>WHYTE &amp; MACKAY WHISKY 350ML</v>
      </c>
      <c r="E1439" s="3" t="str">
        <f>IF(ISNA($D1439),VLOOKUP($A1439,[2]stockregister!$A$2:$B$2000,2,FALSE),"")</f>
        <v/>
      </c>
      <c r="F1439" s="3" t="s">
        <v>21</v>
      </c>
      <c r="G1439" s="3">
        <f>_xlfn.IFNA(VLOOKUP($A1439,[3]stockregister!$A$2:$L$2000,11,0),0)</f>
        <v>0</v>
      </c>
      <c r="H1439" s="3">
        <f>_xlfn.IFNA(VLOOKUP($A1439,[3]stockregister!$A$2:$L$2000,11,0),0)-$G1439</f>
        <v>0</v>
      </c>
      <c r="I1439" s="3">
        <f>_xlfn.IFNA(VLOOKUP($A1439,[3]stockregister!$A$2:$L$2000,12,0),0)</f>
        <v>700</v>
      </c>
      <c r="J1439" s="3">
        <f>_xlfn.IFNA(VLOOKUP($A1439,[3]stockregister!$A$1:$M$2000,12,0),0)-$I1439</f>
        <v>0</v>
      </c>
      <c r="K1439" s="3" t="s">
        <v>22</v>
      </c>
      <c r="L1439" s="3" t="s">
        <v>23</v>
      </c>
      <c r="M1439" s="3">
        <f>_xlfn.IFNA(VLOOKUP($A1439,[2]stockregister!$A$2:$H$2000,8,0),0)</f>
        <v>800</v>
      </c>
      <c r="N1439" s="3">
        <f>_xlfn.IFNA(VLOOKUP($A1439,[2]stockregister!$A$2:$H$2000,8,0),0)-$M1439</f>
        <v>0</v>
      </c>
      <c r="O1439" s="3" t="s">
        <v>3362</v>
      </c>
      <c r="P1439" s="3" t="s">
        <v>3362</v>
      </c>
      <c r="Q1439" s="3" t="s">
        <v>1267</v>
      </c>
      <c r="R1439" s="3" t="s">
        <v>92</v>
      </c>
      <c r="S1439" s="3" t="s">
        <v>134</v>
      </c>
    </row>
    <row r="1440" spans="1:19">
      <c r="A1440" s="3">
        <v>1018</v>
      </c>
      <c r="B1440" s="3" t="b">
        <f>ISNUMBER(MATCH(A1440,[1]stockregister!$A$2:$A$2000,0))</f>
        <v>1</v>
      </c>
      <c r="C1440" s="3" t="s">
        <v>3363</v>
      </c>
      <c r="D1440" s="3" t="str">
        <f>VLOOKUP($C1440,[1]stockregister!$B$2:$B$2000,1,0)</f>
        <v>J&amp;B RARE WHISKY 750ML</v>
      </c>
      <c r="E1440" s="3" t="str">
        <f>IF(ISNA($D1440),VLOOKUP($A1440,[2]stockregister!$A$2:$B$2000,2,FALSE),"")</f>
        <v/>
      </c>
      <c r="F1440" s="3" t="s">
        <v>21</v>
      </c>
      <c r="G1440" s="3">
        <f>_xlfn.IFNA(VLOOKUP($A1440,[3]stockregister!$A$2:$L$2000,11,0),0)</f>
        <v>0</v>
      </c>
      <c r="H1440" s="3">
        <f>_xlfn.IFNA(VLOOKUP($A1440,[3]stockregister!$A$2:$L$2000,11,0),0)-$G1440</f>
        <v>0</v>
      </c>
      <c r="I1440" s="3">
        <f>_xlfn.IFNA(VLOOKUP($A1440,[3]stockregister!$A$2:$L$2000,12,0),0)</f>
        <v>1472</v>
      </c>
      <c r="J1440" s="3">
        <f>_xlfn.IFNA(VLOOKUP($A1440,[3]stockregister!$A$1:$M$2000,12,0),0)-$I1440</f>
        <v>0</v>
      </c>
      <c r="K1440" s="3" t="s">
        <v>22</v>
      </c>
      <c r="L1440" s="3" t="s">
        <v>23</v>
      </c>
      <c r="M1440" s="3">
        <f>_xlfn.IFNA(VLOOKUP($A1440,[2]stockregister!$A$2:$H$2000,8,0),0)</f>
        <v>1800</v>
      </c>
      <c r="N1440" s="3">
        <f>_xlfn.IFNA(VLOOKUP($A1440,[2]stockregister!$A$2:$H$2000,8,0),0)-$M1440</f>
        <v>0</v>
      </c>
      <c r="O1440" s="3" t="s">
        <v>590</v>
      </c>
      <c r="P1440" s="3" t="s">
        <v>590</v>
      </c>
      <c r="Q1440" s="3" t="s">
        <v>591</v>
      </c>
      <c r="R1440" s="3" t="s">
        <v>92</v>
      </c>
      <c r="S1440" s="3" t="s">
        <v>134</v>
      </c>
    </row>
    <row r="1441" spans="1:19">
      <c r="A1441" s="3">
        <v>2044</v>
      </c>
      <c r="B1441" s="3" t="b">
        <f>ISNUMBER(MATCH(A1441,[1]stockregister!$A$2:$A$2000,0))</f>
        <v>1</v>
      </c>
      <c r="C1441" s="3" t="s">
        <v>572</v>
      </c>
      <c r="D1441" s="3" t="str">
        <f>VLOOKUP($C1441,[1]stockregister!$B$2:$B$2000,1,0)</f>
        <v>VAT 69 1L</v>
      </c>
      <c r="E1441" s="3" t="str">
        <f>IF(ISNA($D1441),VLOOKUP($A1441,[2]stockregister!$A$2:$B$2000,2,FALSE),"")</f>
        <v/>
      </c>
      <c r="F1441" s="3" t="s">
        <v>21</v>
      </c>
      <c r="G1441" s="3">
        <f>_xlfn.IFNA(VLOOKUP($A1441,[3]stockregister!$A$2:$L$2000,11,0),0)</f>
        <v>0</v>
      </c>
      <c r="H1441" s="3">
        <f>_xlfn.IFNA(VLOOKUP($A1441,[3]stockregister!$A$2:$L$2000,11,0),0)-$G1441</f>
        <v>0</v>
      </c>
      <c r="I1441" s="3">
        <f>_xlfn.IFNA(VLOOKUP($A1441,[3]stockregister!$A$2:$L$2000,12,0),0)</f>
        <v>1400</v>
      </c>
      <c r="J1441" s="3">
        <f>_xlfn.IFNA(VLOOKUP($A1441,[3]stockregister!$A$1:$M$2000,12,0),0)-$I1441</f>
        <v>0</v>
      </c>
      <c r="K1441" s="3" t="s">
        <v>22</v>
      </c>
      <c r="L1441" s="3" t="s">
        <v>23</v>
      </c>
      <c r="M1441" s="3">
        <f>_xlfn.IFNA(VLOOKUP($A1441,[2]stockregister!$A$2:$H$2000,8,0),0)</f>
        <v>1700</v>
      </c>
      <c r="N1441" s="3">
        <f>_xlfn.IFNA(VLOOKUP($A1441,[2]stockregister!$A$2:$H$2000,8,0),0)-$M1441</f>
        <v>0</v>
      </c>
      <c r="O1441" s="3" t="s">
        <v>3364</v>
      </c>
      <c r="P1441" s="3" t="s">
        <v>3364</v>
      </c>
      <c r="Q1441" s="3" t="s">
        <v>382</v>
      </c>
      <c r="R1441" s="3" t="s">
        <v>92</v>
      </c>
      <c r="S1441" s="3" t="s">
        <v>134</v>
      </c>
    </row>
    <row r="1442" spans="1:20">
      <c r="A1442" s="3">
        <v>1800</v>
      </c>
      <c r="B1442" s="3" t="b">
        <f>ISNUMBER(MATCH(A1442,[1]stockregister!$A$2:$A$2000,0))</f>
        <v>1</v>
      </c>
      <c r="C1442" s="3" t="s">
        <v>3365</v>
      </c>
      <c r="D1442" s="3" t="str">
        <f>VLOOKUP($C1442,[1]stockregister!$B$2:$B$2000,1,0)</f>
        <v>SINGLETON 21YRS 700ML</v>
      </c>
      <c r="E1442" s="3" t="str">
        <f>IF(ISNA($D1442),VLOOKUP($A1442,[2]stockregister!$A$2:$B$2000,2,FALSE),"")</f>
        <v/>
      </c>
      <c r="F1442" s="3" t="s">
        <v>21</v>
      </c>
      <c r="G1442" s="3">
        <f>_xlfn.IFNA(VLOOKUP($A1442,[3]stockregister!$A$2:$L$2000,11,0),0)</f>
        <v>0</v>
      </c>
      <c r="H1442" s="3">
        <f>_xlfn.IFNA(VLOOKUP($A1442,[3]stockregister!$A$2:$L$2000,11,0),0)-$G1442</f>
        <v>0</v>
      </c>
      <c r="I1442" s="3">
        <f>_xlfn.IFNA(VLOOKUP($A1442,[3]stockregister!$A$2:$L$2000,12,0),0)</f>
        <v>17800</v>
      </c>
      <c r="J1442" s="3">
        <f>_xlfn.IFNA(VLOOKUP($A1442,[3]stockregister!$A$1:$M$2000,12,0),0)-$I1442</f>
        <v>0</v>
      </c>
      <c r="K1442" s="3" t="s">
        <v>22</v>
      </c>
      <c r="L1442" s="3" t="s">
        <v>23</v>
      </c>
      <c r="M1442" s="3">
        <f>_xlfn.IFNA(VLOOKUP($A1442,[2]stockregister!$A$2:$H$2000,8,0),0)</f>
        <v>18000</v>
      </c>
      <c r="N1442" s="3">
        <f>_xlfn.IFNA(VLOOKUP($A1442,[2]stockregister!$A$2:$H$2000,8,0),0)-$M1442</f>
        <v>0</v>
      </c>
      <c r="O1442" s="3" t="s">
        <v>3366</v>
      </c>
      <c r="P1442" s="3" t="s">
        <v>3366</v>
      </c>
      <c r="Q1442" s="3" t="s">
        <v>2213</v>
      </c>
      <c r="R1442" s="3" t="s">
        <v>92</v>
      </c>
      <c r="S1442" s="3" t="s">
        <v>134</v>
      </c>
      <c r="T1442" s="3">
        <v>21</v>
      </c>
    </row>
    <row r="1443" spans="1:20">
      <c r="A1443" s="3">
        <v>1097</v>
      </c>
      <c r="B1443" s="3" t="b">
        <f>ISNUMBER(MATCH(A1443,[1]stockregister!$A$2:$A$2000,0))</f>
        <v>1</v>
      </c>
      <c r="C1443" s="3" t="s">
        <v>3367</v>
      </c>
      <c r="D1443" s="3" t="str">
        <f>VLOOKUP($C1443,[1]stockregister!$B$2:$B$2000,1,0)</f>
        <v>JOHNNIE WALKER 18YRS WHISKY 750ML</v>
      </c>
      <c r="E1443" s="3" t="str">
        <f>IF(ISNA($D1443),VLOOKUP($A1443,[2]stockregister!$A$2:$B$2000,2,FALSE),"")</f>
        <v/>
      </c>
      <c r="F1443" s="3" t="s">
        <v>21</v>
      </c>
      <c r="G1443" s="3">
        <f>_xlfn.IFNA(VLOOKUP($A1443,[3]stockregister!$A$2:$L$2000,11,0),0)</f>
        <v>0</v>
      </c>
      <c r="H1443" s="3">
        <f>_xlfn.IFNA(VLOOKUP($A1443,[3]stockregister!$A$2:$L$2000,11,0),0)-$G1443</f>
        <v>0</v>
      </c>
      <c r="I1443" s="3">
        <f>_xlfn.IFNA(VLOOKUP($A1443,[3]stockregister!$A$2:$L$2000,12,0),0)</f>
        <v>8900</v>
      </c>
      <c r="J1443" s="3">
        <f>_xlfn.IFNA(VLOOKUP($A1443,[3]stockregister!$A$1:$M$2000,12,0),0)-$I1443</f>
        <v>0</v>
      </c>
      <c r="K1443" s="3" t="s">
        <v>22</v>
      </c>
      <c r="L1443" s="3" t="s">
        <v>23</v>
      </c>
      <c r="M1443" s="3">
        <f>_xlfn.IFNA(VLOOKUP($A1443,[2]stockregister!$A$2:$H$2000,8,0),0)</f>
        <v>9000</v>
      </c>
      <c r="N1443" s="3">
        <f>_xlfn.IFNA(VLOOKUP($A1443,[2]stockregister!$A$2:$H$2000,8,0),0)-$M1443</f>
        <v>0</v>
      </c>
      <c r="O1443" s="3" t="s">
        <v>3368</v>
      </c>
      <c r="P1443" s="3" t="s">
        <v>3368</v>
      </c>
      <c r="Q1443" s="3" t="s">
        <v>133</v>
      </c>
      <c r="R1443" s="3" t="s">
        <v>92</v>
      </c>
      <c r="S1443" s="3" t="s">
        <v>134</v>
      </c>
      <c r="T1443" s="3">
        <v>18</v>
      </c>
    </row>
    <row r="1444" spans="1:19">
      <c r="A1444" s="3">
        <v>1111</v>
      </c>
      <c r="B1444" s="3" t="b">
        <f>ISNUMBER(MATCH(A1444,[1]stockregister!$A$2:$A$2000,0))</f>
        <v>1</v>
      </c>
      <c r="C1444" s="3" t="s">
        <v>3369</v>
      </c>
      <c r="D1444" s="3" t="str">
        <f>VLOOKUP($C1444,[1]stockregister!$B$2:$B$2000,1,0)</f>
        <v>JOHNNIE WALKER DOUBLE BLACK 750ML</v>
      </c>
      <c r="E1444" s="3" t="str">
        <f>IF(ISNA($D1444),VLOOKUP($A1444,[2]stockregister!$A$2:$B$2000,2,FALSE),"")</f>
        <v/>
      </c>
      <c r="F1444" s="3" t="s">
        <v>21</v>
      </c>
      <c r="G1444" s="3">
        <f>_xlfn.IFNA(VLOOKUP($A1444,[3]stockregister!$A$2:$L$2000,11,0),0)</f>
        <v>0</v>
      </c>
      <c r="H1444" s="3">
        <f>_xlfn.IFNA(VLOOKUP($A1444,[3]stockregister!$A$2:$L$2000,11,0),0)-$G1444</f>
        <v>0</v>
      </c>
      <c r="I1444" s="3">
        <f>_xlfn.IFNA(VLOOKUP($A1444,[3]stockregister!$A$2:$L$2000,12,0),0)</f>
        <v>4043.36</v>
      </c>
      <c r="J1444" s="3">
        <f>_xlfn.IFNA(VLOOKUP($A1444,[3]stockregister!$A$1:$M$2000,12,0),0)-$I1444</f>
        <v>0</v>
      </c>
      <c r="K1444" s="3" t="s">
        <v>22</v>
      </c>
      <c r="L1444" s="3" t="s">
        <v>23</v>
      </c>
      <c r="M1444" s="3">
        <f>_xlfn.IFNA(VLOOKUP($A1444,[2]stockregister!$A$2:$H$2000,8,0),0)</f>
        <v>4400</v>
      </c>
      <c r="N1444" s="3">
        <f>_xlfn.IFNA(VLOOKUP($A1444,[2]stockregister!$A$2:$H$2000,8,0),0)-$M1444</f>
        <v>0</v>
      </c>
      <c r="O1444" s="3" t="s">
        <v>3370</v>
      </c>
      <c r="P1444" s="3" t="s">
        <v>3370</v>
      </c>
      <c r="Q1444" s="3" t="s">
        <v>133</v>
      </c>
      <c r="R1444" s="3" t="s">
        <v>92</v>
      </c>
      <c r="S1444" s="3" t="s">
        <v>134</v>
      </c>
    </row>
    <row r="1445" spans="1:19">
      <c r="A1445" s="3">
        <v>2203</v>
      </c>
      <c r="B1445" s="3" t="b">
        <f>ISNUMBER(MATCH(A1445,[1]stockregister!$A$2:$A$2000,0))</f>
        <v>1</v>
      </c>
      <c r="C1445" s="3" t="s">
        <v>3371</v>
      </c>
      <c r="D1445" s="3" t="str">
        <f>VLOOKUP($C1445,[1]stockregister!$B$2:$B$2000,1,0)</f>
        <v>JOHNNIE WALKER KING GEORGE V 750ML</v>
      </c>
      <c r="E1445" s="3" t="str">
        <f>IF(ISNA($D1445),VLOOKUP($A1445,[2]stockregister!$A$2:$B$2000,2,FALSE),"")</f>
        <v/>
      </c>
      <c r="F1445" s="3" t="s">
        <v>21</v>
      </c>
      <c r="G1445" s="3">
        <f>_xlfn.IFNA(VLOOKUP($A1445,[3]stockregister!$A$2:$L$2000,11,0),0)</f>
        <v>0</v>
      </c>
      <c r="H1445" s="3">
        <f>_xlfn.IFNA(VLOOKUP($A1445,[3]stockregister!$A$2:$L$2000,11,0),0)-$G1445</f>
        <v>0</v>
      </c>
      <c r="I1445" s="3">
        <f>_xlfn.IFNA(VLOOKUP($A1445,[3]stockregister!$A$2:$L$2000,12,0),0)</f>
        <v>59000</v>
      </c>
      <c r="J1445" s="3">
        <f>_xlfn.IFNA(VLOOKUP($A1445,[3]stockregister!$A$1:$M$2000,12,0),0)-$I1445</f>
        <v>0</v>
      </c>
      <c r="K1445" s="3" t="s">
        <v>22</v>
      </c>
      <c r="L1445" s="3" t="s">
        <v>23</v>
      </c>
      <c r="M1445" s="3">
        <f>_xlfn.IFNA(VLOOKUP($A1445,[2]stockregister!$A$2:$H$2000,8,0),0)</f>
        <v>60000</v>
      </c>
      <c r="N1445" s="3">
        <f>_xlfn.IFNA(VLOOKUP($A1445,[2]stockregister!$A$2:$H$2000,8,0),0)-$M1445</f>
        <v>0</v>
      </c>
      <c r="O1445" s="3" t="s">
        <v>3372</v>
      </c>
      <c r="P1445" s="3" t="s">
        <v>3372</v>
      </c>
      <c r="Q1445" s="3" t="s">
        <v>824</v>
      </c>
      <c r="R1445" s="3" t="s">
        <v>92</v>
      </c>
      <c r="S1445" s="3" t="s">
        <v>284</v>
      </c>
    </row>
    <row r="1446" spans="1:19">
      <c r="A1446" s="3">
        <v>1119</v>
      </c>
      <c r="B1446" s="3" t="b">
        <f>ISNUMBER(MATCH(A1446,[1]stockregister!$A$2:$A$2000,0))</f>
        <v>1</v>
      </c>
      <c r="C1446" s="3" t="s">
        <v>3373</v>
      </c>
      <c r="D1446" s="3" t="str">
        <f>VLOOKUP($C1446,[1]stockregister!$B$2:$B$2000,1,0)</f>
        <v>JOHNNIE WALKER RED LABEL WHISKY 250ML</v>
      </c>
      <c r="E1446" s="3" t="str">
        <f>IF(ISNA($D1446),VLOOKUP($A1446,[2]stockregister!$A$2:$B$2000,2,FALSE),"")</f>
        <v/>
      </c>
      <c r="F1446" s="3" t="s">
        <v>21</v>
      </c>
      <c r="G1446" s="3">
        <f>_xlfn.IFNA(VLOOKUP($A1446,[3]stockregister!$A$2:$L$2000,11,0),0)</f>
        <v>0</v>
      </c>
      <c r="H1446" s="3">
        <f>_xlfn.IFNA(VLOOKUP($A1446,[3]stockregister!$A$2:$L$2000,11,0),0)-$G1446</f>
        <v>0</v>
      </c>
      <c r="I1446" s="3">
        <f>_xlfn.IFNA(VLOOKUP($A1446,[3]stockregister!$A$2:$L$2000,12,0),0)</f>
        <v>552</v>
      </c>
      <c r="J1446" s="3">
        <f>_xlfn.IFNA(VLOOKUP($A1446,[3]stockregister!$A$1:$M$2000,12,0),0)-$I1446</f>
        <v>0</v>
      </c>
      <c r="K1446" s="3" t="s">
        <v>22</v>
      </c>
      <c r="L1446" s="3" t="s">
        <v>23</v>
      </c>
      <c r="M1446" s="3">
        <f>_xlfn.IFNA(VLOOKUP($A1446,[2]stockregister!$A$2:$H$2000,8,0),0)</f>
        <v>600</v>
      </c>
      <c r="N1446" s="3">
        <f>_xlfn.IFNA(VLOOKUP($A1446,[2]stockregister!$A$2:$H$2000,8,0),0)-$M1446</f>
        <v>0</v>
      </c>
      <c r="O1446" s="3" t="s">
        <v>3374</v>
      </c>
      <c r="P1446" s="3" t="s">
        <v>3374</v>
      </c>
      <c r="Q1446" s="3" t="s">
        <v>133</v>
      </c>
      <c r="R1446" s="3" t="s">
        <v>92</v>
      </c>
      <c r="S1446" s="3" t="s">
        <v>134</v>
      </c>
    </row>
    <row r="1447" spans="1:19">
      <c r="A1447" s="3">
        <v>231</v>
      </c>
      <c r="B1447" s="3" t="b">
        <f>ISNUMBER(MATCH(A1447,[1]stockregister!$A$2:$A$2000,0))</f>
        <v>1</v>
      </c>
      <c r="C1447" s="3" t="s">
        <v>3375</v>
      </c>
      <c r="D1447" s="3" t="str">
        <f>VLOOKUP($C1447,[1]stockregister!$B$2:$B$2000,1,0)</f>
        <v>BLACK &amp; WHITE WHISKY 375ML</v>
      </c>
      <c r="E1447" s="3" t="str">
        <f>IF(ISNA($D1447),VLOOKUP($A1447,[2]stockregister!$A$2:$B$2000,2,FALSE),"")</f>
        <v/>
      </c>
      <c r="F1447" s="3" t="s">
        <v>21</v>
      </c>
      <c r="G1447" s="3">
        <f>_xlfn.IFNA(VLOOKUP($A1447,[3]stockregister!$A$2:$L$2000,11,0),0)</f>
        <v>0</v>
      </c>
      <c r="H1447" s="3">
        <f>_xlfn.IFNA(VLOOKUP($A1447,[3]stockregister!$A$2:$L$2000,11,0),0)-$G1447</f>
        <v>0</v>
      </c>
      <c r="I1447" s="3">
        <f>_xlfn.IFNA(VLOOKUP($A1447,[3]stockregister!$A$2:$L$2000,12,0),0)</f>
        <v>548</v>
      </c>
      <c r="J1447" s="3">
        <f>_xlfn.IFNA(VLOOKUP($A1447,[3]stockregister!$A$1:$M$2000,12,0),0)-$I1447</f>
        <v>0</v>
      </c>
      <c r="K1447" s="3" t="s">
        <v>22</v>
      </c>
      <c r="L1447" s="3" t="s">
        <v>23</v>
      </c>
      <c r="M1447" s="3">
        <f>_xlfn.IFNA(VLOOKUP($A1447,[2]stockregister!$A$2:$H$2000,8,0),0)</f>
        <v>576</v>
      </c>
      <c r="N1447" s="3">
        <f>_xlfn.IFNA(VLOOKUP($A1447,[2]stockregister!$A$2:$H$2000,8,0),0)-$M1447</f>
        <v>0</v>
      </c>
      <c r="O1447" s="3" t="s">
        <v>3376</v>
      </c>
      <c r="P1447" s="3" t="s">
        <v>3376</v>
      </c>
      <c r="Q1447" s="3" t="s">
        <v>510</v>
      </c>
      <c r="R1447" s="3" t="s">
        <v>92</v>
      </c>
      <c r="S1447" s="3" t="s">
        <v>134</v>
      </c>
    </row>
    <row r="1448" spans="1:20">
      <c r="A1448" s="3">
        <v>844</v>
      </c>
      <c r="B1448" s="3" t="b">
        <f>ISNUMBER(MATCH(A1448,[1]stockregister!$A$2:$A$2000,0))</f>
        <v>1</v>
      </c>
      <c r="C1448" s="3" t="s">
        <v>575</v>
      </c>
      <c r="D1448" s="3" t="str">
        <f>VLOOKUP($C1448,[1]stockregister!$B$2:$B$2000,1,0)</f>
        <v>GLENFIDDICH 25YRS WHISKY 750ML </v>
      </c>
      <c r="E1448" s="3" t="str">
        <f>IF(ISNA($D1448),VLOOKUP($A1448,[2]stockregister!$A$2:$B$2000,2,FALSE),"")</f>
        <v/>
      </c>
      <c r="F1448" s="3" t="s">
        <v>21</v>
      </c>
      <c r="G1448" s="3">
        <f>_xlfn.IFNA(VLOOKUP($A1448,[3]stockregister!$A$2:$L$2000,11,0),0)</f>
        <v>0</v>
      </c>
      <c r="H1448" s="3">
        <f>_xlfn.IFNA(VLOOKUP($A1448,[3]stockregister!$A$2:$L$2000,11,0),0)-$G1448</f>
        <v>0</v>
      </c>
      <c r="I1448" s="3">
        <f>_xlfn.IFNA(VLOOKUP($A1448,[3]stockregister!$A$2:$L$2000,12,0),0)</f>
        <v>41400</v>
      </c>
      <c r="J1448" s="3">
        <f>_xlfn.IFNA(VLOOKUP($A1448,[3]stockregister!$A$1:$M$2000,12,0),0)-$I1448</f>
        <v>0</v>
      </c>
      <c r="K1448" s="3" t="s">
        <v>22</v>
      </c>
      <c r="L1448" s="3" t="s">
        <v>23</v>
      </c>
      <c r="M1448" s="3">
        <f>_xlfn.IFNA(VLOOKUP($A1448,[2]stockregister!$A$2:$H$2000,8,0),0)</f>
        <v>45000</v>
      </c>
      <c r="N1448" s="3">
        <f>_xlfn.IFNA(VLOOKUP($A1448,[2]stockregister!$A$2:$H$2000,8,0),0)-$M1448</f>
        <v>0</v>
      </c>
      <c r="O1448" s="3" t="s">
        <v>3377</v>
      </c>
      <c r="P1448" s="3" t="s">
        <v>3377</v>
      </c>
      <c r="Q1448" s="3" t="s">
        <v>1892</v>
      </c>
      <c r="R1448" s="3" t="s">
        <v>92</v>
      </c>
      <c r="S1448" s="3" t="s">
        <v>134</v>
      </c>
      <c r="T1448" s="3">
        <v>25</v>
      </c>
    </row>
    <row r="1449" spans="1:20">
      <c r="A1449" s="3">
        <v>2171</v>
      </c>
      <c r="B1449" s="3" t="b">
        <f>ISNUMBER(MATCH(A1449,[1]stockregister!$A$2:$A$2000,0))</f>
        <v>1</v>
      </c>
      <c r="C1449" s="3" t="s">
        <v>3378</v>
      </c>
      <c r="D1449" s="3" t="str">
        <f>VLOOKUP($C1449,[1]stockregister!$B$2:$B$2000,1,0)</f>
        <v>ABERLOUR SPEYSIDE SINGLE MALT 12YRS 1LTR</v>
      </c>
      <c r="E1449" s="3" t="str">
        <f>IF(ISNA($D1449),VLOOKUP($A1449,[2]stockregister!$A$2:$B$2000,2,FALSE),"")</f>
        <v/>
      </c>
      <c r="F1449" s="3" t="s">
        <v>21</v>
      </c>
      <c r="G1449" s="3">
        <f>_xlfn.IFNA(VLOOKUP($A1449,[3]stockregister!$A$2:$L$2000,11,0),0)</f>
        <v>0</v>
      </c>
      <c r="H1449" s="3">
        <f>_xlfn.IFNA(VLOOKUP($A1449,[3]stockregister!$A$2:$L$2000,11,0),0)-$G1449</f>
        <v>0</v>
      </c>
      <c r="I1449" s="3">
        <f>_xlfn.IFNA(VLOOKUP($A1449,[3]stockregister!$A$2:$L$2000,12,0),0)</f>
        <v>9400</v>
      </c>
      <c r="J1449" s="3">
        <f>_xlfn.IFNA(VLOOKUP($A1449,[3]stockregister!$A$1:$M$2000,12,0),0)-$I1449</f>
        <v>0</v>
      </c>
      <c r="K1449" s="3" t="s">
        <v>22</v>
      </c>
      <c r="L1449" s="3" t="s">
        <v>23</v>
      </c>
      <c r="M1449" s="3">
        <f>_xlfn.IFNA(VLOOKUP($A1449,[2]stockregister!$A$2:$H$2000,8,0),0)</f>
        <v>9500</v>
      </c>
      <c r="N1449" s="3">
        <f>_xlfn.IFNA(VLOOKUP($A1449,[2]stockregister!$A$2:$H$2000,8,0),0)-$M1449</f>
        <v>0</v>
      </c>
      <c r="O1449" s="3" t="s">
        <v>3379</v>
      </c>
      <c r="P1449" s="3" t="s">
        <v>3379</v>
      </c>
      <c r="Q1449" s="3" t="s">
        <v>3252</v>
      </c>
      <c r="R1449" s="3" t="s">
        <v>92</v>
      </c>
      <c r="S1449" s="3" t="s">
        <v>134</v>
      </c>
      <c r="T1449" s="3">
        <v>12</v>
      </c>
    </row>
    <row r="1450" spans="1:19">
      <c r="A1450" s="3">
        <v>131</v>
      </c>
      <c r="B1450" s="3" t="b">
        <f>ISNUMBER(MATCH(A1450,[1]stockregister!$A$2:$A$2000,0))</f>
        <v>1</v>
      </c>
      <c r="C1450" s="3" t="s">
        <v>3380</v>
      </c>
      <c r="D1450" s="3" t="str">
        <f>VLOOKUP($C1450,[1]stockregister!$B$2:$B$2000,1,0)</f>
        <v>AUCHENTOSHAN WHISKY 750ML</v>
      </c>
      <c r="E1450" s="3" t="str">
        <f>IF(ISNA($D1450),VLOOKUP($A1450,[2]stockregister!$A$2:$B$2000,2,FALSE),"")</f>
        <v/>
      </c>
      <c r="F1450" s="3" t="s">
        <v>21</v>
      </c>
      <c r="G1450" s="3">
        <f>_xlfn.IFNA(VLOOKUP($A1450,[3]stockregister!$A$2:$L$2000,11,0),0)</f>
        <v>0</v>
      </c>
      <c r="H1450" s="3">
        <f>_xlfn.IFNA(VLOOKUP($A1450,[3]stockregister!$A$2:$L$2000,11,0),0)-$G1450</f>
        <v>0</v>
      </c>
      <c r="I1450" s="3">
        <f>_xlfn.IFNA(VLOOKUP($A1450,[3]stockregister!$A$2:$L$2000,12,0),0)</f>
        <v>6900</v>
      </c>
      <c r="J1450" s="3">
        <f>_xlfn.IFNA(VLOOKUP($A1450,[3]stockregister!$A$1:$M$2000,12,0),0)-$I1450</f>
        <v>0</v>
      </c>
      <c r="K1450" s="3" t="s">
        <v>22</v>
      </c>
      <c r="L1450" s="3" t="s">
        <v>23</v>
      </c>
      <c r="M1450" s="3">
        <f>_xlfn.IFNA(VLOOKUP($A1450,[2]stockregister!$A$2:$H$2000,8,0),0)</f>
        <v>7500</v>
      </c>
      <c r="N1450" s="3">
        <f>_xlfn.IFNA(VLOOKUP($A1450,[2]stockregister!$A$2:$H$2000,8,0),0)-$M1450</f>
        <v>0</v>
      </c>
      <c r="O1450" s="3" t="s">
        <v>3381</v>
      </c>
      <c r="P1450" s="3" t="s">
        <v>3381</v>
      </c>
      <c r="Q1450" s="3" t="s">
        <v>3382</v>
      </c>
      <c r="R1450" s="3" t="s">
        <v>92</v>
      </c>
      <c r="S1450" s="3" t="s">
        <v>134</v>
      </c>
    </row>
    <row r="1451" spans="1:19">
      <c r="A1451" s="3">
        <v>232</v>
      </c>
      <c r="B1451" s="3" t="b">
        <f>ISNUMBER(MATCH(A1451,[1]stockregister!$A$2:$A$2000,0))</f>
        <v>1</v>
      </c>
      <c r="C1451" s="3" t="s">
        <v>3383</v>
      </c>
      <c r="D1451" s="3" t="str">
        <f>VLOOKUP($C1451,[1]stockregister!$B$2:$B$2000,1,0)</f>
        <v>BLACK &amp; WHITE WHISKY 750ML</v>
      </c>
      <c r="E1451" s="3" t="str">
        <f>IF(ISNA($D1451),VLOOKUP($A1451,[2]stockregister!$A$2:$B$2000,2,FALSE),"")</f>
        <v/>
      </c>
      <c r="F1451" s="3" t="s">
        <v>21</v>
      </c>
      <c r="G1451" s="3">
        <f>_xlfn.IFNA(VLOOKUP($A1451,[3]stockregister!$A$2:$L$2000,11,0),0)</f>
        <v>0</v>
      </c>
      <c r="H1451" s="3">
        <f>_xlfn.IFNA(VLOOKUP($A1451,[3]stockregister!$A$2:$L$2000,11,0),0)-$G1451</f>
        <v>0</v>
      </c>
      <c r="I1451" s="3">
        <f>_xlfn.IFNA(VLOOKUP($A1451,[3]stockregister!$A$2:$L$2000,12,0),0)</f>
        <v>1096.7</v>
      </c>
      <c r="J1451" s="3">
        <f>_xlfn.IFNA(VLOOKUP($A1451,[3]stockregister!$A$1:$M$2000,12,0),0)-$I1451</f>
        <v>0</v>
      </c>
      <c r="K1451" s="3" t="s">
        <v>22</v>
      </c>
      <c r="L1451" s="3" t="s">
        <v>23</v>
      </c>
      <c r="M1451" s="3">
        <f>_xlfn.IFNA(VLOOKUP($A1451,[2]stockregister!$A$2:$H$2000,8,0),0)</f>
        <v>1130</v>
      </c>
      <c r="N1451" s="3">
        <f>_xlfn.IFNA(VLOOKUP($A1451,[2]stockregister!$A$2:$H$2000,8,0),0)-$M1451</f>
        <v>0</v>
      </c>
      <c r="O1451" s="3" t="s">
        <v>3384</v>
      </c>
      <c r="P1451" s="3" t="s">
        <v>3384</v>
      </c>
      <c r="Q1451" s="3" t="s">
        <v>510</v>
      </c>
      <c r="R1451" s="3" t="s">
        <v>92</v>
      </c>
      <c r="S1451" s="3" t="s">
        <v>134</v>
      </c>
    </row>
    <row r="1452" spans="1:20">
      <c r="A1452" s="3">
        <v>385</v>
      </c>
      <c r="B1452" s="3" t="b">
        <f>ISNUMBER(MATCH(A1452,[1]stockregister!$A$2:$A$2000,0))</f>
        <v>1</v>
      </c>
      <c r="C1452" s="3" t="s">
        <v>3385</v>
      </c>
      <c r="D1452" s="3" t="str">
        <f>VLOOKUP($C1452,[1]stockregister!$B$2:$B$2000,1,0)</f>
        <v>CARDHU 15YRS WHISKY 700ML</v>
      </c>
      <c r="E1452" s="3" t="str">
        <f>IF(ISNA($D1452),VLOOKUP($A1452,[2]stockregister!$A$2:$B$2000,2,FALSE),"")</f>
        <v/>
      </c>
      <c r="F1452" s="3" t="s">
        <v>21</v>
      </c>
      <c r="G1452" s="3">
        <f>_xlfn.IFNA(VLOOKUP($A1452,[3]stockregister!$A$2:$L$2000,11,0),0)</f>
        <v>0</v>
      </c>
      <c r="H1452" s="3">
        <f>_xlfn.IFNA(VLOOKUP($A1452,[3]stockregister!$A$2:$L$2000,11,0),0)-$G1452</f>
        <v>0</v>
      </c>
      <c r="I1452" s="3">
        <f>_xlfn.IFNA(VLOOKUP($A1452,[3]stockregister!$A$2:$L$2000,12,0),0)</f>
        <v>8740</v>
      </c>
      <c r="J1452" s="3">
        <f>_xlfn.IFNA(VLOOKUP($A1452,[3]stockregister!$A$1:$M$2000,12,0),0)-$I1452</f>
        <v>0</v>
      </c>
      <c r="K1452" s="3" t="s">
        <v>22</v>
      </c>
      <c r="L1452" s="3" t="s">
        <v>23</v>
      </c>
      <c r="M1452" s="3">
        <f>_xlfn.IFNA(VLOOKUP($A1452,[2]stockregister!$A$2:$H$2000,8,0),0)</f>
        <v>9500</v>
      </c>
      <c r="N1452" s="3">
        <f>_xlfn.IFNA(VLOOKUP($A1452,[2]stockregister!$A$2:$H$2000,8,0),0)-$M1452</f>
        <v>0</v>
      </c>
      <c r="O1452" s="3" t="s">
        <v>3386</v>
      </c>
      <c r="P1452" s="3" t="s">
        <v>3386</v>
      </c>
      <c r="Q1452" s="3" t="s">
        <v>1128</v>
      </c>
      <c r="R1452" s="3" t="s">
        <v>92</v>
      </c>
      <c r="S1452" s="3" t="s">
        <v>134</v>
      </c>
      <c r="T1452" s="3">
        <v>15</v>
      </c>
    </row>
    <row r="1453" spans="1:20">
      <c r="A1453" s="3">
        <v>460</v>
      </c>
      <c r="B1453" s="3" t="b">
        <f>ISNUMBER(MATCH(A1453,[1]stockregister!$A$2:$A$2000,0))</f>
        <v>1</v>
      </c>
      <c r="C1453" s="3" t="s">
        <v>3387</v>
      </c>
      <c r="D1453" s="3" t="str">
        <f>VLOOKUP($C1453,[1]stockregister!$B$2:$B$2000,1,0)</f>
        <v>CHIVAS REGAL 12YRS WHISKY GIFT PACK 4.5LTR</v>
      </c>
      <c r="E1453" s="3" t="str">
        <f>IF(ISNA($D1453),VLOOKUP($A1453,[2]stockregister!$A$2:$B$2000,2,FALSE),"")</f>
        <v/>
      </c>
      <c r="F1453" s="3" t="s">
        <v>21</v>
      </c>
      <c r="G1453" s="3">
        <f>_xlfn.IFNA(VLOOKUP($A1453,[3]stockregister!$A$2:$L$2000,11,0),0)</f>
        <v>0</v>
      </c>
      <c r="H1453" s="3">
        <f>_xlfn.IFNA(VLOOKUP($A1453,[3]stockregister!$A$2:$L$2000,11,0),0)-$G1453</f>
        <v>0</v>
      </c>
      <c r="I1453" s="3">
        <f>_xlfn.IFNA(VLOOKUP($A1453,[3]stockregister!$A$2:$L$2000,12,0),0)</f>
        <v>20000</v>
      </c>
      <c r="J1453" s="3">
        <f>_xlfn.IFNA(VLOOKUP($A1453,[3]stockregister!$A$1:$M$2000,12,0),0)-$I1453</f>
        <v>0</v>
      </c>
      <c r="K1453" s="3" t="s">
        <v>22</v>
      </c>
      <c r="L1453" s="3" t="s">
        <v>23</v>
      </c>
      <c r="M1453" s="3">
        <f>_xlfn.IFNA(VLOOKUP($A1453,[2]stockregister!$A$2:$H$2000,8,0),0)</f>
        <v>21500</v>
      </c>
      <c r="N1453" s="3">
        <f>_xlfn.IFNA(VLOOKUP($A1453,[2]stockregister!$A$2:$H$2000,8,0),0)-$M1453</f>
        <v>0</v>
      </c>
      <c r="O1453" s="3" t="s">
        <v>3388</v>
      </c>
      <c r="P1453" s="3" t="s">
        <v>3388</v>
      </c>
      <c r="Q1453" s="3" t="s">
        <v>164</v>
      </c>
      <c r="R1453" s="3" t="s">
        <v>92</v>
      </c>
      <c r="S1453" s="3" t="s">
        <v>134</v>
      </c>
      <c r="T1453" s="3">
        <v>12</v>
      </c>
    </row>
    <row r="1454" spans="1:20">
      <c r="A1454" s="3">
        <v>467</v>
      </c>
      <c r="B1454" s="3" t="b">
        <f>ISNUMBER(MATCH(A1454,[1]stockregister!$A$2:$A$2000,0))</f>
        <v>1</v>
      </c>
      <c r="C1454" s="3" t="s">
        <v>3389</v>
      </c>
      <c r="D1454" s="3" t="str">
        <f>VLOOKUP($C1454,[1]stockregister!$B$2:$B$2000,1,0)</f>
        <v>CHIVAS REGAL 25YRS WHISKY 700ML</v>
      </c>
      <c r="E1454" s="3" t="str">
        <f>IF(ISNA($D1454),VLOOKUP($A1454,[2]stockregister!$A$2:$B$2000,2,FALSE),"")</f>
        <v/>
      </c>
      <c r="F1454" s="3" t="s">
        <v>21</v>
      </c>
      <c r="G1454" s="3">
        <f>_xlfn.IFNA(VLOOKUP($A1454,[3]stockregister!$A$2:$L$2000,11,0),0)</f>
        <v>0</v>
      </c>
      <c r="H1454" s="3">
        <f>_xlfn.IFNA(VLOOKUP($A1454,[3]stockregister!$A$2:$L$2000,11,0),0)-$G1454</f>
        <v>0</v>
      </c>
      <c r="I1454" s="3">
        <f>_xlfn.IFNA(VLOOKUP($A1454,[3]stockregister!$A$2:$L$2000,12,0),0)</f>
        <v>30820</v>
      </c>
      <c r="J1454" s="3">
        <f>_xlfn.IFNA(VLOOKUP($A1454,[3]stockregister!$A$1:$M$2000,12,0),0)-$I1454</f>
        <v>0</v>
      </c>
      <c r="K1454" s="3" t="s">
        <v>22</v>
      </c>
      <c r="L1454" s="3" t="s">
        <v>23</v>
      </c>
      <c r="M1454" s="3">
        <f>_xlfn.IFNA(VLOOKUP($A1454,[2]stockregister!$A$2:$H$2000,8,0),0)</f>
        <v>33500</v>
      </c>
      <c r="N1454" s="3">
        <f>_xlfn.IFNA(VLOOKUP($A1454,[2]stockregister!$A$2:$H$2000,8,0),0)-$M1454</f>
        <v>0</v>
      </c>
      <c r="O1454" s="3" t="s">
        <v>3390</v>
      </c>
      <c r="P1454" s="3" t="s">
        <v>3390</v>
      </c>
      <c r="Q1454" s="3" t="s">
        <v>164</v>
      </c>
      <c r="R1454" s="3" t="s">
        <v>92</v>
      </c>
      <c r="S1454" s="3" t="s">
        <v>134</v>
      </c>
      <c r="T1454" s="3">
        <v>25</v>
      </c>
    </row>
    <row r="1455" spans="1:19">
      <c r="A1455" s="3">
        <v>491</v>
      </c>
      <c r="B1455" s="3" t="b">
        <f>ISNUMBER(MATCH(A1455,[1]stockregister!$A$2:$A$2000,0))</f>
        <v>1</v>
      </c>
      <c r="C1455" s="3" t="s">
        <v>3391</v>
      </c>
      <c r="D1455" s="3" t="str">
        <f>VLOOKUP($C1455,[1]stockregister!$B$2:$B$2000,1,0)</f>
        <v>CLAN MACGREGOR WHISKY 750ML</v>
      </c>
      <c r="E1455" s="3" t="str">
        <f>IF(ISNA($D1455),VLOOKUP($A1455,[2]stockregister!$A$2:$B$2000,2,FALSE),"")</f>
        <v/>
      </c>
      <c r="F1455" s="3" t="s">
        <v>21</v>
      </c>
      <c r="G1455" s="3">
        <f>_xlfn.IFNA(VLOOKUP($A1455,[3]stockregister!$A$2:$L$2000,11,0),0)</f>
        <v>0</v>
      </c>
      <c r="H1455" s="3">
        <f>_xlfn.IFNA(VLOOKUP($A1455,[3]stockregister!$A$2:$L$2000,11,0),0)-$G1455</f>
        <v>0</v>
      </c>
      <c r="I1455" s="3">
        <f>_xlfn.IFNA(VLOOKUP($A1455,[3]stockregister!$A$2:$L$2000,12,0),0)</f>
        <v>920</v>
      </c>
      <c r="J1455" s="3">
        <f>_xlfn.IFNA(VLOOKUP($A1455,[3]stockregister!$A$1:$M$2000,12,0),0)-$I1455</f>
        <v>0</v>
      </c>
      <c r="K1455" s="3" t="s">
        <v>22</v>
      </c>
      <c r="L1455" s="3" t="s">
        <v>23</v>
      </c>
      <c r="M1455" s="3">
        <f>_xlfn.IFNA(VLOOKUP($A1455,[2]stockregister!$A$2:$H$2000,8,0),0)</f>
        <v>1000</v>
      </c>
      <c r="N1455" s="3">
        <f>_xlfn.IFNA(VLOOKUP($A1455,[2]stockregister!$A$2:$H$2000,8,0),0)-$M1455</f>
        <v>0</v>
      </c>
      <c r="O1455" s="3" t="s">
        <v>3392</v>
      </c>
      <c r="P1455" s="3" t="s">
        <v>3392</v>
      </c>
      <c r="Q1455" s="3" t="s">
        <v>3393</v>
      </c>
      <c r="R1455" s="3" t="s">
        <v>92</v>
      </c>
      <c r="S1455" s="3" t="s">
        <v>134</v>
      </c>
    </row>
    <row r="1456" spans="1:19">
      <c r="A1456" s="3">
        <v>497</v>
      </c>
      <c r="B1456" s="3" t="b">
        <f>ISNUMBER(MATCH(A1456,[1]stockregister!$A$2:$A$2000,0))</f>
        <v>1</v>
      </c>
      <c r="C1456" s="3" t="s">
        <v>3394</v>
      </c>
      <c r="D1456" s="3" t="str">
        <f>VLOOKUP($C1456,[1]stockregister!$B$2:$B$2000,1,0)</f>
        <v>CLAYMORE BLENDED SCOTCH WHISKY 1LTR</v>
      </c>
      <c r="E1456" s="3" t="str">
        <f>IF(ISNA($D1456),VLOOKUP($A1456,[2]stockregister!$A$2:$B$2000,2,FALSE),"")</f>
        <v/>
      </c>
      <c r="F1456" s="3" t="s">
        <v>21</v>
      </c>
      <c r="G1456" s="3">
        <f>_xlfn.IFNA(VLOOKUP($A1456,[3]stockregister!$A$2:$L$2000,11,0),0)</f>
        <v>0</v>
      </c>
      <c r="H1456" s="3">
        <f>_xlfn.IFNA(VLOOKUP($A1456,[3]stockregister!$A$2:$L$2000,11,0),0)-$G1456</f>
        <v>0</v>
      </c>
      <c r="I1456" s="3">
        <f>_xlfn.IFNA(VLOOKUP($A1456,[3]stockregister!$A$2:$L$2000,12,0),0)</f>
        <v>1380</v>
      </c>
      <c r="J1456" s="3">
        <f>_xlfn.IFNA(VLOOKUP($A1456,[3]stockregister!$A$1:$M$2000,12,0),0)-$I1456</f>
        <v>0</v>
      </c>
      <c r="K1456" s="3" t="s">
        <v>22</v>
      </c>
      <c r="L1456" s="3" t="s">
        <v>23</v>
      </c>
      <c r="M1456" s="3">
        <f>_xlfn.IFNA(VLOOKUP($A1456,[2]stockregister!$A$2:$H$2000,8,0),0)</f>
        <v>1500</v>
      </c>
      <c r="N1456" s="3">
        <f>_xlfn.IFNA(VLOOKUP($A1456,[2]stockregister!$A$2:$H$2000,8,0),0)-$M1456</f>
        <v>0</v>
      </c>
      <c r="O1456" s="3" t="s">
        <v>3395</v>
      </c>
      <c r="P1456" s="3" t="s">
        <v>3395</v>
      </c>
      <c r="Q1456" s="3" t="s">
        <v>3396</v>
      </c>
      <c r="R1456" s="3" t="s">
        <v>92</v>
      </c>
      <c r="S1456" s="3" t="s">
        <v>134</v>
      </c>
    </row>
    <row r="1457" spans="1:20">
      <c r="A1457" s="3">
        <v>609</v>
      </c>
      <c r="B1457" s="3" t="b">
        <f>ISNUMBER(MATCH(A1457,[1]stockregister!$A$2:$A$2000,0))</f>
        <v>1</v>
      </c>
      <c r="C1457" s="3" t="s">
        <v>3397</v>
      </c>
      <c r="D1457" s="3" t="str">
        <f>VLOOKUP($C1457,[1]stockregister!$B$2:$B$2000,1,0)</f>
        <v>DIMPLE 15YRS WHISKY 750ML</v>
      </c>
      <c r="E1457" s="3" t="str">
        <f>IF(ISNA($D1457),VLOOKUP($A1457,[2]stockregister!$A$2:$B$2000,2,FALSE),"")</f>
        <v/>
      </c>
      <c r="F1457" s="3" t="s">
        <v>21</v>
      </c>
      <c r="G1457" s="3">
        <f>_xlfn.IFNA(VLOOKUP($A1457,[3]stockregister!$A$2:$L$2000,11,0),0)</f>
        <v>0</v>
      </c>
      <c r="H1457" s="3">
        <f>_xlfn.IFNA(VLOOKUP($A1457,[3]stockregister!$A$2:$L$2000,11,0),0)-$G1457</f>
        <v>0</v>
      </c>
      <c r="I1457" s="3">
        <f>_xlfn.IFNA(VLOOKUP($A1457,[3]stockregister!$A$2:$L$2000,12,0),0)</f>
        <v>3450</v>
      </c>
      <c r="J1457" s="3">
        <f>_xlfn.IFNA(VLOOKUP($A1457,[3]stockregister!$A$1:$M$2000,12,0),0)-$I1457</f>
        <v>0</v>
      </c>
      <c r="K1457" s="3" t="s">
        <v>22</v>
      </c>
      <c r="L1457" s="3" t="s">
        <v>23</v>
      </c>
      <c r="M1457" s="3">
        <f>_xlfn.IFNA(VLOOKUP($A1457,[2]stockregister!$A$2:$H$2000,8,0),0)</f>
        <v>3750</v>
      </c>
      <c r="N1457" s="3">
        <f>_xlfn.IFNA(VLOOKUP($A1457,[2]stockregister!$A$2:$H$2000,8,0),0)-$M1457</f>
        <v>0</v>
      </c>
      <c r="O1457" s="3" t="s">
        <v>3398</v>
      </c>
      <c r="P1457" s="3" t="s">
        <v>3398</v>
      </c>
      <c r="Q1457" s="3" t="s">
        <v>1219</v>
      </c>
      <c r="R1457" s="3" t="s">
        <v>92</v>
      </c>
      <c r="S1457" s="3" t="s">
        <v>134</v>
      </c>
      <c r="T1457" s="3">
        <v>15</v>
      </c>
    </row>
    <row r="1458" spans="1:19">
      <c r="A1458" s="3">
        <v>636</v>
      </c>
      <c r="B1458" s="3" t="b">
        <f>ISNUMBER(MATCH(A1458,[1]stockregister!$A$2:$A$2000,0))</f>
        <v>1</v>
      </c>
      <c r="C1458" s="3" t="s">
        <v>3399</v>
      </c>
      <c r="D1458" s="3" t="str">
        <f>VLOOKUP($C1458,[1]stockregister!$B$2:$B$2000,1,0)</f>
        <v>DRAMBUIE 1LTR</v>
      </c>
      <c r="E1458" s="3" t="str">
        <f>IF(ISNA($D1458),VLOOKUP($A1458,[2]stockregister!$A$2:$B$2000,2,FALSE),"")</f>
        <v/>
      </c>
      <c r="F1458" s="3" t="s">
        <v>21</v>
      </c>
      <c r="G1458" s="3">
        <f>_xlfn.IFNA(VLOOKUP($A1458,[3]stockregister!$A$2:$L$2000,11,0),0)</f>
        <v>0</v>
      </c>
      <c r="H1458" s="3">
        <f>_xlfn.IFNA(VLOOKUP($A1458,[3]stockregister!$A$2:$L$2000,11,0),0)-$G1458</f>
        <v>0</v>
      </c>
      <c r="I1458" s="3">
        <f>_xlfn.IFNA(VLOOKUP($A1458,[3]stockregister!$A$2:$L$2000,12,0),0)</f>
        <v>2760</v>
      </c>
      <c r="J1458" s="3">
        <f>_xlfn.IFNA(VLOOKUP($A1458,[3]stockregister!$A$1:$M$2000,12,0),0)-$I1458</f>
        <v>0</v>
      </c>
      <c r="K1458" s="3" t="s">
        <v>22</v>
      </c>
      <c r="L1458" s="3" t="s">
        <v>23</v>
      </c>
      <c r="M1458" s="3">
        <f>_xlfn.IFNA(VLOOKUP($A1458,[2]stockregister!$A$2:$H$2000,8,0),0)</f>
        <v>3000</v>
      </c>
      <c r="N1458" s="3">
        <f>_xlfn.IFNA(VLOOKUP($A1458,[2]stockregister!$A$2:$H$2000,8,0),0)-$M1458</f>
        <v>0</v>
      </c>
      <c r="O1458" s="3" t="s">
        <v>3400</v>
      </c>
      <c r="P1458" s="3" t="s">
        <v>3400</v>
      </c>
      <c r="Q1458" s="3" t="s">
        <v>3401</v>
      </c>
      <c r="R1458" s="3" t="s">
        <v>92</v>
      </c>
      <c r="S1458" s="3" t="s">
        <v>134</v>
      </c>
    </row>
    <row r="1459" spans="1:20">
      <c r="A1459" s="3">
        <v>2274</v>
      </c>
      <c r="B1459" s="3" t="b">
        <f>ISNUMBER(MATCH(A1459,[1]stockregister!$A$2:$A$2000,0))</f>
        <v>1</v>
      </c>
      <c r="C1459" s="3" t="s">
        <v>3402</v>
      </c>
      <c r="D1459" s="3" t="str">
        <f>VLOOKUP($C1459,[1]stockregister!$B$2:$B$2000,1,0)</f>
        <v>GLEN SILVER'S 8YRS 700ML</v>
      </c>
      <c r="E1459" s="3" t="str">
        <f>IF(ISNA($D1459),VLOOKUP($A1459,[2]stockregister!$A$2:$B$2000,2,FALSE),"")</f>
        <v/>
      </c>
      <c r="F1459" s="3" t="s">
        <v>21</v>
      </c>
      <c r="G1459" s="3">
        <f>_xlfn.IFNA(VLOOKUP($A1459,[3]stockregister!$A$2:$L$2000,11,0),0)</f>
        <v>0</v>
      </c>
      <c r="H1459" s="3">
        <f>_xlfn.IFNA(VLOOKUP($A1459,[3]stockregister!$A$2:$L$2000,11,0),0)-$G1459</f>
        <v>0</v>
      </c>
      <c r="I1459" s="3">
        <f>_xlfn.IFNA(VLOOKUP($A1459,[3]stockregister!$A$2:$L$2000,12,0),0)</f>
        <v>2900</v>
      </c>
      <c r="J1459" s="3">
        <f>_xlfn.IFNA(VLOOKUP($A1459,[3]stockregister!$A$1:$M$2000,12,0),0)-$I1459</f>
        <v>0</v>
      </c>
      <c r="K1459" s="3" t="s">
        <v>22</v>
      </c>
      <c r="L1459" s="3" t="s">
        <v>23</v>
      </c>
      <c r="M1459" s="3">
        <f>_xlfn.IFNA(VLOOKUP($A1459,[2]stockregister!$A$2:$H$2000,8,0),0)</f>
        <v>3000</v>
      </c>
      <c r="N1459" s="3">
        <f>_xlfn.IFNA(VLOOKUP($A1459,[2]stockregister!$A$2:$H$2000,8,0),0)-$M1459</f>
        <v>0</v>
      </c>
      <c r="O1459" s="3" t="s">
        <v>3403</v>
      </c>
      <c r="P1459" s="3" t="s">
        <v>3403</v>
      </c>
      <c r="Q1459" s="3" t="s">
        <v>3404</v>
      </c>
      <c r="R1459" s="3" t="s">
        <v>92</v>
      </c>
      <c r="S1459" s="3" t="s">
        <v>284</v>
      </c>
      <c r="T1459" s="3">
        <v>8</v>
      </c>
    </row>
    <row r="1460" spans="1:20">
      <c r="A1460" s="3">
        <v>840</v>
      </c>
      <c r="B1460" s="3" t="b">
        <f>ISNUMBER(MATCH(A1460,[1]stockregister!$A$2:$A$2000,0))</f>
        <v>1</v>
      </c>
      <c r="C1460" s="3" t="s">
        <v>3405</v>
      </c>
      <c r="D1460" s="3" t="str">
        <f>VLOOKUP($C1460,[1]stockregister!$B$2:$B$2000,1,0)</f>
        <v>GLENFIDDICH 18YRS 1LTR</v>
      </c>
      <c r="E1460" s="3" t="str">
        <f>IF(ISNA($D1460),VLOOKUP($A1460,[2]stockregister!$A$2:$B$2000,2,FALSE),"")</f>
        <v/>
      </c>
      <c r="F1460" s="3" t="s">
        <v>21</v>
      </c>
      <c r="G1460" s="3">
        <f>_xlfn.IFNA(VLOOKUP($A1460,[3]stockregister!$A$2:$L$2000,11,0),0)</f>
        <v>0</v>
      </c>
      <c r="H1460" s="3">
        <f>_xlfn.IFNA(VLOOKUP($A1460,[3]stockregister!$A$2:$L$2000,11,0),0)-$G1460</f>
        <v>0</v>
      </c>
      <c r="I1460" s="3">
        <f>_xlfn.IFNA(VLOOKUP($A1460,[3]stockregister!$A$2:$L$2000,12,0),0)</f>
        <v>15640</v>
      </c>
      <c r="J1460" s="3">
        <f>_xlfn.IFNA(VLOOKUP($A1460,[3]stockregister!$A$1:$M$2000,12,0),0)-$I1460</f>
        <v>0</v>
      </c>
      <c r="K1460" s="3" t="s">
        <v>22</v>
      </c>
      <c r="L1460" s="3" t="s">
        <v>23</v>
      </c>
      <c r="M1460" s="3">
        <f>_xlfn.IFNA(VLOOKUP($A1460,[2]stockregister!$A$2:$H$2000,8,0),0)</f>
        <v>17000</v>
      </c>
      <c r="N1460" s="3">
        <f>_xlfn.IFNA(VLOOKUP($A1460,[2]stockregister!$A$2:$H$2000,8,0),0)-$M1460</f>
        <v>0</v>
      </c>
      <c r="O1460" s="3" t="s">
        <v>3406</v>
      </c>
      <c r="P1460" s="3" t="s">
        <v>3406</v>
      </c>
      <c r="Q1460" s="3" t="s">
        <v>365</v>
      </c>
      <c r="R1460" s="3" t="s">
        <v>92</v>
      </c>
      <c r="S1460" s="3" t="s">
        <v>134</v>
      </c>
      <c r="T1460" s="3">
        <v>18</v>
      </c>
    </row>
    <row r="1461" spans="1:19">
      <c r="A1461" s="3">
        <v>854</v>
      </c>
      <c r="B1461" s="3" t="b">
        <f>ISNUMBER(MATCH(A1461,[1]stockregister!$A$2:$A$2000,0))</f>
        <v>1</v>
      </c>
      <c r="C1461" s="3" t="s">
        <v>3407</v>
      </c>
      <c r="D1461" s="3" t="str">
        <f>VLOOKUP($C1461,[1]stockregister!$B$2:$B$2000,1,0)</f>
        <v>GLENFIDDICH SELECT CASK WHISKY 1LTR</v>
      </c>
      <c r="E1461" s="3" t="str">
        <f>IF(ISNA($D1461),VLOOKUP($A1461,[2]stockregister!$A$2:$B$2000,2,FALSE),"")</f>
        <v/>
      </c>
      <c r="F1461" s="3" t="s">
        <v>21</v>
      </c>
      <c r="G1461" s="3">
        <f>_xlfn.IFNA(VLOOKUP($A1461,[3]stockregister!$A$2:$L$2000,11,0),0)</f>
        <v>0</v>
      </c>
      <c r="H1461" s="3">
        <f>_xlfn.IFNA(VLOOKUP($A1461,[3]stockregister!$A$2:$L$2000,11,0),0)-$G1461</f>
        <v>0</v>
      </c>
      <c r="I1461" s="3">
        <f>_xlfn.IFNA(VLOOKUP($A1461,[3]stockregister!$A$2:$L$2000,12,0),0)</f>
        <v>5520</v>
      </c>
      <c r="J1461" s="3">
        <f>_xlfn.IFNA(VLOOKUP($A1461,[3]stockregister!$A$1:$M$2000,12,0),0)-$I1461</f>
        <v>0</v>
      </c>
      <c r="K1461" s="3" t="s">
        <v>22</v>
      </c>
      <c r="L1461" s="3" t="s">
        <v>23</v>
      </c>
      <c r="M1461" s="3">
        <f>_xlfn.IFNA(VLOOKUP($A1461,[2]stockregister!$A$2:$H$2000,8,0),0)</f>
        <v>6000</v>
      </c>
      <c r="N1461" s="3">
        <f>_xlfn.IFNA(VLOOKUP($A1461,[2]stockregister!$A$2:$H$2000,8,0),0)-$M1461</f>
        <v>0</v>
      </c>
      <c r="O1461" s="3" t="s">
        <v>3408</v>
      </c>
      <c r="P1461" s="3" t="s">
        <v>3408</v>
      </c>
      <c r="Q1461" s="3" t="s">
        <v>365</v>
      </c>
      <c r="R1461" s="3" t="s">
        <v>92</v>
      </c>
      <c r="S1461" s="3" t="s">
        <v>284</v>
      </c>
    </row>
    <row r="1462" spans="1:20">
      <c r="A1462" s="3">
        <v>2275</v>
      </c>
      <c r="B1462" s="3" t="b">
        <f>ISNUMBER(MATCH(A1462,[1]stockregister!$A$2:$A$2000,0))</f>
        <v>1</v>
      </c>
      <c r="C1462" s="3" t="s">
        <v>3409</v>
      </c>
      <c r="D1462" s="3" t="str">
        <f>VLOOKUP($C1462,[1]stockregister!$B$2:$B$2000,1,0)</f>
        <v>GLENFIDICH 12YRS 50ML</v>
      </c>
      <c r="E1462" s="3" t="str">
        <f>IF(ISNA($D1462),VLOOKUP($A1462,[2]stockregister!$A$2:$B$2000,2,FALSE),"")</f>
        <v/>
      </c>
      <c r="F1462" s="3" t="s">
        <v>21</v>
      </c>
      <c r="G1462" s="3">
        <f>_xlfn.IFNA(VLOOKUP($A1462,[3]stockregister!$A$2:$L$2000,11,0),0)</f>
        <v>0</v>
      </c>
      <c r="H1462" s="3">
        <f>_xlfn.IFNA(VLOOKUP($A1462,[3]stockregister!$A$2:$L$2000,11,0),0)-$G1462</f>
        <v>0</v>
      </c>
      <c r="I1462" s="3">
        <f>_xlfn.IFNA(VLOOKUP($A1462,[3]stockregister!$A$2:$L$2000,12,0),0)</f>
        <v>450</v>
      </c>
      <c r="J1462" s="3">
        <f>_xlfn.IFNA(VLOOKUP($A1462,[3]stockregister!$A$1:$M$2000,12,0),0)-$I1462</f>
        <v>0</v>
      </c>
      <c r="K1462" s="3" t="s">
        <v>22</v>
      </c>
      <c r="L1462" s="3" t="s">
        <v>23</v>
      </c>
      <c r="M1462" s="3">
        <f>_xlfn.IFNA(VLOOKUP($A1462,[2]stockregister!$A$2:$H$2000,8,0),0)</f>
        <v>500</v>
      </c>
      <c r="N1462" s="3">
        <f>_xlfn.IFNA(VLOOKUP($A1462,[2]stockregister!$A$2:$H$2000,8,0),0)-$M1462</f>
        <v>0</v>
      </c>
      <c r="O1462" s="3" t="s">
        <v>3410</v>
      </c>
      <c r="P1462" s="3" t="s">
        <v>3410</v>
      </c>
      <c r="Q1462" s="3" t="s">
        <v>365</v>
      </c>
      <c r="R1462" s="3" t="s">
        <v>92</v>
      </c>
      <c r="S1462" s="3" t="s">
        <v>284</v>
      </c>
      <c r="T1462" s="3">
        <v>12</v>
      </c>
    </row>
    <row r="1463" spans="1:20">
      <c r="A1463" s="3">
        <v>2190</v>
      </c>
      <c r="B1463" s="3" t="b">
        <f>ISNUMBER(MATCH(A1463,[1]stockregister!$A$2:$A$2000,0))</f>
        <v>1</v>
      </c>
      <c r="C1463" s="3" t="s">
        <v>3411</v>
      </c>
      <c r="D1463" s="3" t="str">
        <f>VLOOKUP($C1463,[1]stockregister!$B$2:$B$2000,1,0)</f>
        <v>GLENMORANGIE 10YRS 1LTR</v>
      </c>
      <c r="E1463" s="3" t="str">
        <f>IF(ISNA($D1463),VLOOKUP($A1463,[2]stockregister!$A$2:$B$2000,2,FALSE),"")</f>
        <v/>
      </c>
      <c r="F1463" s="3" t="s">
        <v>21</v>
      </c>
      <c r="G1463" s="3">
        <f>_xlfn.IFNA(VLOOKUP($A1463,[3]stockregister!$A$2:$L$2000,11,0),0)</f>
        <v>0</v>
      </c>
      <c r="H1463" s="3">
        <f>_xlfn.IFNA(VLOOKUP($A1463,[3]stockregister!$A$2:$L$2000,11,0),0)-$G1463</f>
        <v>0</v>
      </c>
      <c r="I1463" s="3">
        <f>_xlfn.IFNA(VLOOKUP($A1463,[3]stockregister!$A$2:$L$2000,12,0),0)</f>
        <v>6800</v>
      </c>
      <c r="J1463" s="3">
        <f>_xlfn.IFNA(VLOOKUP($A1463,[3]stockregister!$A$1:$M$2000,12,0),0)-$I1463</f>
        <v>0</v>
      </c>
      <c r="K1463" s="3" t="s">
        <v>22</v>
      </c>
      <c r="L1463" s="3" t="s">
        <v>23</v>
      </c>
      <c r="M1463" s="3">
        <f>_xlfn.IFNA(VLOOKUP($A1463,[2]stockregister!$A$2:$H$2000,8,0),0)</f>
        <v>7000</v>
      </c>
      <c r="N1463" s="3">
        <f>_xlfn.IFNA(VLOOKUP($A1463,[2]stockregister!$A$2:$H$2000,8,0),0)-$M1463</f>
        <v>0</v>
      </c>
      <c r="O1463" s="3" t="s">
        <v>963</v>
      </c>
      <c r="P1463" s="3" t="s">
        <v>963</v>
      </c>
      <c r="Q1463" s="3" t="s">
        <v>3412</v>
      </c>
      <c r="R1463" s="3" t="s">
        <v>92</v>
      </c>
      <c r="S1463" s="3" t="s">
        <v>134</v>
      </c>
      <c r="T1463" s="3">
        <v>10</v>
      </c>
    </row>
    <row r="1464" spans="1:20">
      <c r="A1464" s="3">
        <v>868</v>
      </c>
      <c r="B1464" s="3" t="b">
        <f>ISNUMBER(MATCH(A1464,[1]stockregister!$A$2:$A$2000,0))</f>
        <v>1</v>
      </c>
      <c r="C1464" s="3" t="s">
        <v>3413</v>
      </c>
      <c r="D1464" s="3" t="str">
        <f>VLOOKUP($C1464,[1]stockregister!$B$2:$B$2000,1,0)</f>
        <v>GLENMORANGIE 12YRS 1LTR</v>
      </c>
      <c r="E1464" s="3" t="str">
        <f>IF(ISNA($D1464),VLOOKUP($A1464,[2]stockregister!$A$2:$B$2000,2,FALSE),"")</f>
        <v/>
      </c>
      <c r="F1464" s="3" t="s">
        <v>21</v>
      </c>
      <c r="G1464" s="3">
        <f>_xlfn.IFNA(VLOOKUP($A1464,[3]stockregister!$A$2:$L$2000,11,0),0)</f>
        <v>0</v>
      </c>
      <c r="H1464" s="3">
        <f>_xlfn.IFNA(VLOOKUP($A1464,[3]stockregister!$A$2:$L$2000,11,0),0)-$G1464</f>
        <v>0</v>
      </c>
      <c r="I1464" s="3">
        <f>_xlfn.IFNA(VLOOKUP($A1464,[3]stockregister!$A$2:$L$2000,12,0),0)</f>
        <v>8800</v>
      </c>
      <c r="J1464" s="3">
        <f>_xlfn.IFNA(VLOOKUP($A1464,[3]stockregister!$A$1:$M$2000,12,0),0)-$I1464</f>
        <v>0</v>
      </c>
      <c r="K1464" s="3" t="s">
        <v>22</v>
      </c>
      <c r="L1464" s="3" t="s">
        <v>23</v>
      </c>
      <c r="M1464" s="3">
        <f>_xlfn.IFNA(VLOOKUP($A1464,[2]stockregister!$A$2:$H$2000,8,0),0)</f>
        <v>9000</v>
      </c>
      <c r="N1464" s="3">
        <f>_xlfn.IFNA(VLOOKUP($A1464,[2]stockregister!$A$2:$H$2000,8,0),0)-$M1464</f>
        <v>0</v>
      </c>
      <c r="O1464" s="3" t="s">
        <v>3414</v>
      </c>
      <c r="P1464" s="3" t="s">
        <v>3414</v>
      </c>
      <c r="Q1464" s="3" t="s">
        <v>780</v>
      </c>
      <c r="R1464" s="3" t="s">
        <v>92</v>
      </c>
      <c r="S1464" s="3" t="s">
        <v>134</v>
      </c>
      <c r="T1464" s="3">
        <v>12</v>
      </c>
    </row>
    <row r="1465" spans="1:20">
      <c r="A1465" s="3">
        <v>2191</v>
      </c>
      <c r="B1465" s="3" t="b">
        <f>ISNUMBER(MATCH(A1465,[1]stockregister!$A$2:$A$2000,0))</f>
        <v>1</v>
      </c>
      <c r="C1465" s="3" t="s">
        <v>3415</v>
      </c>
      <c r="D1465" s="3" t="str">
        <f>VLOOKUP($C1465,[1]stockregister!$B$2:$B$2000,1,0)</f>
        <v>GLENMORANGIE 12YRS 700ML</v>
      </c>
      <c r="E1465" s="3" t="str">
        <f>IF(ISNA($D1465),VLOOKUP($A1465,[2]stockregister!$A$2:$B$2000,2,FALSE),"")</f>
        <v/>
      </c>
      <c r="F1465" s="3" t="s">
        <v>21</v>
      </c>
      <c r="G1465" s="3">
        <f>_xlfn.IFNA(VLOOKUP($A1465,[3]stockregister!$A$2:$L$2000,11,0),0)</f>
        <v>0</v>
      </c>
      <c r="H1465" s="3">
        <f>_xlfn.IFNA(VLOOKUP($A1465,[3]stockregister!$A$2:$L$2000,11,0),0)-$G1465</f>
        <v>0</v>
      </c>
      <c r="I1465" s="3">
        <f>_xlfn.IFNA(VLOOKUP($A1465,[3]stockregister!$A$2:$L$2000,12,0),0)</f>
        <v>6300</v>
      </c>
      <c r="J1465" s="3">
        <f>_xlfn.IFNA(VLOOKUP($A1465,[3]stockregister!$A$1:$M$2000,12,0),0)-$I1465</f>
        <v>0</v>
      </c>
      <c r="K1465" s="3" t="s">
        <v>22</v>
      </c>
      <c r="L1465" s="3" t="s">
        <v>23</v>
      </c>
      <c r="M1465" s="3">
        <f>_xlfn.IFNA(VLOOKUP($A1465,[2]stockregister!$A$2:$H$2000,8,0),0)</f>
        <v>6500</v>
      </c>
      <c r="N1465" s="3">
        <f>_xlfn.IFNA(VLOOKUP($A1465,[2]stockregister!$A$2:$H$2000,8,0),0)-$M1465</f>
        <v>0</v>
      </c>
      <c r="O1465" s="3" t="s">
        <v>3416</v>
      </c>
      <c r="P1465" s="3" t="s">
        <v>3416</v>
      </c>
      <c r="Q1465" s="3" t="s">
        <v>3417</v>
      </c>
      <c r="R1465" s="3" t="s">
        <v>92</v>
      </c>
      <c r="S1465" s="3" t="s">
        <v>134</v>
      </c>
      <c r="T1465" s="3">
        <v>12</v>
      </c>
    </row>
    <row r="1466" spans="1:20">
      <c r="A1466" s="3">
        <v>870</v>
      </c>
      <c r="B1466" s="3" t="b">
        <f>ISNUMBER(MATCH(A1466,[1]stockregister!$A$2:$A$2000,0))</f>
        <v>1</v>
      </c>
      <c r="C1466" s="3" t="s">
        <v>3418</v>
      </c>
      <c r="D1466" s="3" t="str">
        <f>VLOOKUP($C1466,[1]stockregister!$B$2:$B$2000,1,0)</f>
        <v>GLENMORANGIE 19YRS WHISKY 700ML</v>
      </c>
      <c r="E1466" s="3" t="str">
        <f>IF(ISNA($D1466),VLOOKUP($A1466,[2]stockregister!$A$2:$B$2000,2,FALSE),"")</f>
        <v/>
      </c>
      <c r="F1466" s="3" t="s">
        <v>21</v>
      </c>
      <c r="G1466" s="3">
        <f>_xlfn.IFNA(VLOOKUP($A1466,[3]stockregister!$A$2:$L$2000,11,0),0)</f>
        <v>0</v>
      </c>
      <c r="H1466" s="3">
        <f>_xlfn.IFNA(VLOOKUP($A1466,[3]stockregister!$A$2:$L$2000,11,0),0)-$G1466</f>
        <v>0</v>
      </c>
      <c r="I1466" s="3">
        <f>_xlfn.IFNA(VLOOKUP($A1466,[3]stockregister!$A$2:$L$2000,12,0),0)</f>
        <v>14720</v>
      </c>
      <c r="J1466" s="3">
        <f>_xlfn.IFNA(VLOOKUP($A1466,[3]stockregister!$A$1:$M$2000,12,0),0)-$I1466</f>
        <v>0</v>
      </c>
      <c r="K1466" s="3" t="s">
        <v>22</v>
      </c>
      <c r="L1466" s="3" t="s">
        <v>23</v>
      </c>
      <c r="M1466" s="3">
        <f>_xlfn.IFNA(VLOOKUP($A1466,[2]stockregister!$A$2:$H$2000,8,0),0)</f>
        <v>16000</v>
      </c>
      <c r="N1466" s="3">
        <f>_xlfn.IFNA(VLOOKUP($A1466,[2]stockregister!$A$2:$H$2000,8,0),0)-$M1466</f>
        <v>0</v>
      </c>
      <c r="O1466" s="3" t="s">
        <v>3419</v>
      </c>
      <c r="P1466" s="3" t="s">
        <v>3419</v>
      </c>
      <c r="Q1466" s="3" t="s">
        <v>3412</v>
      </c>
      <c r="R1466" s="3" t="s">
        <v>92</v>
      </c>
      <c r="S1466" s="3" t="s">
        <v>134</v>
      </c>
      <c r="T1466" s="3">
        <v>19</v>
      </c>
    </row>
    <row r="1467" spans="1:19">
      <c r="A1467" s="3">
        <v>875</v>
      </c>
      <c r="B1467" s="3" t="b">
        <f>ISNUMBER(MATCH(A1467,[1]stockregister!$A$2:$A$2000,0))</f>
        <v>1</v>
      </c>
      <c r="C1467" s="3" t="s">
        <v>3420</v>
      </c>
      <c r="D1467" s="3" t="str">
        <f>VLOOKUP($C1467,[1]stockregister!$B$2:$B$2000,1,0)</f>
        <v>GLENMORANGIE QUINTA RUBAN 700ML</v>
      </c>
      <c r="E1467" s="3" t="str">
        <f>IF(ISNA($D1467),VLOOKUP($A1467,[2]stockregister!$A$2:$B$2000,2,FALSE),"")</f>
        <v/>
      </c>
      <c r="F1467" s="3" t="s">
        <v>21</v>
      </c>
      <c r="G1467" s="3">
        <f>_xlfn.IFNA(VLOOKUP($A1467,[3]stockregister!$A$2:$L$2000,11,0),0)</f>
        <v>0</v>
      </c>
      <c r="H1467" s="3">
        <f>_xlfn.IFNA(VLOOKUP($A1467,[3]stockregister!$A$2:$L$2000,11,0),0)-$G1467</f>
        <v>0</v>
      </c>
      <c r="I1467" s="3">
        <f>_xlfn.IFNA(VLOOKUP($A1467,[3]stockregister!$A$2:$L$2000,12,0),0)</f>
        <v>5336</v>
      </c>
      <c r="J1467" s="3">
        <f>_xlfn.IFNA(VLOOKUP($A1467,[3]stockregister!$A$1:$M$2000,12,0),0)-$I1467</f>
        <v>0</v>
      </c>
      <c r="K1467" s="3" t="s">
        <v>22</v>
      </c>
      <c r="L1467" s="3" t="s">
        <v>23</v>
      </c>
      <c r="M1467" s="3">
        <f>_xlfn.IFNA(VLOOKUP($A1467,[2]stockregister!$A$2:$H$2000,8,0),0)</f>
        <v>5800</v>
      </c>
      <c r="N1467" s="3">
        <f>_xlfn.IFNA(VLOOKUP($A1467,[2]stockregister!$A$2:$H$2000,8,0),0)-$M1467</f>
        <v>0</v>
      </c>
      <c r="O1467" s="3" t="s">
        <v>3421</v>
      </c>
      <c r="P1467" s="3" t="s">
        <v>3421</v>
      </c>
      <c r="Q1467" s="3" t="s">
        <v>3412</v>
      </c>
      <c r="R1467" s="3" t="s">
        <v>92</v>
      </c>
      <c r="S1467" s="3" t="s">
        <v>134</v>
      </c>
    </row>
    <row r="1468" spans="1:19">
      <c r="A1468" s="3">
        <v>906</v>
      </c>
      <c r="B1468" s="3" t="b">
        <f>ISNUMBER(MATCH(A1468,[1]stockregister!$A$2:$A$2000,0))</f>
        <v>1</v>
      </c>
      <c r="C1468" s="3" t="s">
        <v>3422</v>
      </c>
      <c r="D1468" s="3" t="str">
        <f>VLOOKUP($C1468,[1]stockregister!$B$2:$B$2000,1,0)</f>
        <v>GRANT'S 375ML</v>
      </c>
      <c r="E1468" s="3" t="str">
        <f>IF(ISNA($D1468),VLOOKUP($A1468,[2]stockregister!$A$2:$B$2000,2,FALSE),"")</f>
        <v/>
      </c>
      <c r="F1468" s="3" t="s">
        <v>21</v>
      </c>
      <c r="G1468" s="3">
        <f>_xlfn.IFNA(VLOOKUP($A1468,[3]stockregister!$A$2:$L$2000,11,0),0)</f>
        <v>0</v>
      </c>
      <c r="H1468" s="3">
        <f>_xlfn.IFNA(VLOOKUP($A1468,[3]stockregister!$A$2:$L$2000,11,0),0)-$G1468</f>
        <v>0</v>
      </c>
      <c r="I1468" s="3">
        <f>_xlfn.IFNA(VLOOKUP($A1468,[3]stockregister!$A$2:$L$2000,12,0),0)</f>
        <v>680</v>
      </c>
      <c r="J1468" s="3">
        <f>_xlfn.IFNA(VLOOKUP($A1468,[3]stockregister!$A$1:$M$2000,12,0),0)-$I1468</f>
        <v>0</v>
      </c>
      <c r="K1468" s="3" t="s">
        <v>22</v>
      </c>
      <c r="L1468" s="3" t="s">
        <v>23</v>
      </c>
      <c r="M1468" s="3">
        <f>_xlfn.IFNA(VLOOKUP($A1468,[2]stockregister!$A$2:$H$2000,8,0),0)</f>
        <v>800</v>
      </c>
      <c r="N1468" s="3">
        <f>_xlfn.IFNA(VLOOKUP($A1468,[2]stockregister!$A$2:$H$2000,8,0),0)-$M1468</f>
        <v>0</v>
      </c>
      <c r="O1468" s="3" t="s">
        <v>3423</v>
      </c>
      <c r="P1468" s="3" t="s">
        <v>3423</v>
      </c>
      <c r="Q1468" s="3" t="s">
        <v>1535</v>
      </c>
      <c r="R1468" s="3" t="s">
        <v>92</v>
      </c>
      <c r="S1468" s="3" t="s">
        <v>134</v>
      </c>
    </row>
    <row r="1469" spans="1:20">
      <c r="A1469" s="3">
        <v>910</v>
      </c>
      <c r="B1469" s="3" t="b">
        <f>ISNUMBER(MATCH(A1469,[1]stockregister!$A$2:$A$2000,0))</f>
        <v>1</v>
      </c>
      <c r="C1469" s="3" t="s">
        <v>578</v>
      </c>
      <c r="D1469" s="3" t="str">
        <f>VLOOKUP($C1469,[1]stockregister!$B$2:$B$2000,1,0)</f>
        <v>GRANTS 12YRS WHISKY 750ML </v>
      </c>
      <c r="E1469" s="3" t="str">
        <f>IF(ISNA($D1469),VLOOKUP($A1469,[2]stockregister!$A$2:$B$2000,2,FALSE),"")</f>
        <v/>
      </c>
      <c r="F1469" s="3" t="s">
        <v>21</v>
      </c>
      <c r="G1469" s="3">
        <f>_xlfn.IFNA(VLOOKUP($A1469,[3]stockregister!$A$2:$L$2000,11,0),0)</f>
        <v>0</v>
      </c>
      <c r="H1469" s="3">
        <f>_xlfn.IFNA(VLOOKUP($A1469,[3]stockregister!$A$2:$L$2000,11,0),0)-$G1469</f>
        <v>0</v>
      </c>
      <c r="I1469" s="3">
        <f>_xlfn.IFNA(VLOOKUP($A1469,[3]stockregister!$A$2:$L$2000,12,0),0)</f>
        <v>2944</v>
      </c>
      <c r="J1469" s="3">
        <f>_xlfn.IFNA(VLOOKUP($A1469,[3]stockregister!$A$1:$M$2000,12,0),0)-$I1469</f>
        <v>0</v>
      </c>
      <c r="K1469" s="3" t="s">
        <v>22</v>
      </c>
      <c r="L1469" s="3" t="s">
        <v>23</v>
      </c>
      <c r="M1469" s="3">
        <f>_xlfn.IFNA(VLOOKUP($A1469,[2]stockregister!$A$2:$H$2000,8,0),0)</f>
        <v>3200</v>
      </c>
      <c r="N1469" s="3">
        <f>_xlfn.IFNA(VLOOKUP($A1469,[2]stockregister!$A$2:$H$2000,8,0),0)-$M1469</f>
        <v>0</v>
      </c>
      <c r="O1469" s="3" t="s">
        <v>3424</v>
      </c>
      <c r="P1469" s="3" t="s">
        <v>3424</v>
      </c>
      <c r="Q1469" s="3" t="s">
        <v>1535</v>
      </c>
      <c r="R1469" s="3" t="s">
        <v>92</v>
      </c>
      <c r="S1469" s="3" t="s">
        <v>134</v>
      </c>
      <c r="T1469" s="3">
        <v>12</v>
      </c>
    </row>
    <row r="1470" spans="1:19">
      <c r="A1470" s="3">
        <v>938</v>
      </c>
      <c r="B1470" s="3" t="b">
        <f>ISNUMBER(MATCH(A1470,[1]stockregister!$A$2:$A$2000,0))</f>
        <v>1</v>
      </c>
      <c r="C1470" s="3" t="s">
        <v>3425</v>
      </c>
      <c r="D1470" s="3" t="str">
        <f>VLOOKUP($C1470,[1]stockregister!$B$2:$B$2000,1,0)</f>
        <v>HARRINGTON SCOTCH WHISKY 750ML</v>
      </c>
      <c r="E1470" s="3" t="str">
        <f>IF(ISNA($D1470),VLOOKUP($A1470,[2]stockregister!$A$2:$B$2000,2,FALSE),"")</f>
        <v/>
      </c>
      <c r="F1470" s="3" t="s">
        <v>21</v>
      </c>
      <c r="G1470" s="3">
        <f>_xlfn.IFNA(VLOOKUP($A1470,[3]stockregister!$A$2:$L$2000,11,0),0)</f>
        <v>0</v>
      </c>
      <c r="H1470" s="3">
        <f>_xlfn.IFNA(VLOOKUP($A1470,[3]stockregister!$A$2:$L$2000,11,0),0)-$G1470</f>
        <v>0</v>
      </c>
      <c r="I1470" s="3">
        <f>_xlfn.IFNA(VLOOKUP($A1470,[3]stockregister!$A$2:$L$2000,12,0),0)</f>
        <v>2300</v>
      </c>
      <c r="J1470" s="3">
        <f>_xlfn.IFNA(VLOOKUP($A1470,[3]stockregister!$A$1:$M$2000,12,0),0)-$I1470</f>
        <v>0</v>
      </c>
      <c r="K1470" s="3" t="s">
        <v>22</v>
      </c>
      <c r="L1470" s="3" t="s">
        <v>23</v>
      </c>
      <c r="M1470" s="3">
        <f>_xlfn.IFNA(VLOOKUP($A1470,[2]stockregister!$A$2:$H$2000,8,0),0)</f>
        <v>2500</v>
      </c>
      <c r="N1470" s="3">
        <f>_xlfn.IFNA(VLOOKUP($A1470,[2]stockregister!$A$2:$H$2000,8,0),0)-$M1470</f>
        <v>0</v>
      </c>
      <c r="O1470" s="3" t="s">
        <v>3426</v>
      </c>
      <c r="P1470" s="3" t="s">
        <v>3426</v>
      </c>
      <c r="Q1470" s="3" t="s">
        <v>3427</v>
      </c>
      <c r="R1470" s="3" t="s">
        <v>92</v>
      </c>
      <c r="S1470" s="3" t="s">
        <v>134</v>
      </c>
    </row>
    <row r="1471" spans="1:19">
      <c r="A1471" s="3">
        <v>937</v>
      </c>
      <c r="B1471" s="3" t="b">
        <f>ISNUMBER(MATCH(A1471,[1]stockregister!$A$2:$A$2000,0))</f>
        <v>1</v>
      </c>
      <c r="C1471" s="3" t="s">
        <v>581</v>
      </c>
      <c r="D1471" s="3" t="str">
        <f>VLOOKUP($C1471,[1]stockregister!$B$2:$B$2000,1,0)</f>
        <v>HARRINGTON  WHISKY 750ML</v>
      </c>
      <c r="E1471" s="3" t="str">
        <f>IF(ISNA($D1471),VLOOKUP($A1471,[2]stockregister!$A$2:$B$2000,2,FALSE),"")</f>
        <v/>
      </c>
      <c r="F1471" s="3" t="s">
        <v>21</v>
      </c>
      <c r="G1471" s="3">
        <f>_xlfn.IFNA(VLOOKUP($A1471,[3]stockregister!$A$2:$L$2000,11,0),0)</f>
        <v>0</v>
      </c>
      <c r="H1471" s="3">
        <f>_xlfn.IFNA(VLOOKUP($A1471,[3]stockregister!$A$2:$L$2000,11,0),0)-$G1471</f>
        <v>0</v>
      </c>
      <c r="I1471" s="3">
        <f>_xlfn.IFNA(VLOOKUP($A1471,[3]stockregister!$A$2:$L$2000,12,0),0)</f>
        <v>1748</v>
      </c>
      <c r="J1471" s="3">
        <f>_xlfn.IFNA(VLOOKUP($A1471,[3]stockregister!$A$1:$M$2000,12,0),0)-$I1471</f>
        <v>0</v>
      </c>
      <c r="K1471" s="3" t="s">
        <v>22</v>
      </c>
      <c r="L1471" s="3" t="s">
        <v>23</v>
      </c>
      <c r="M1471" s="3">
        <f>_xlfn.IFNA(VLOOKUP($A1471,[2]stockregister!$A$2:$H$2000,8,0),0)</f>
        <v>1900</v>
      </c>
      <c r="N1471" s="3">
        <f>_xlfn.IFNA(VLOOKUP($A1471,[2]stockregister!$A$2:$H$2000,8,0),0)-$M1471</f>
        <v>0</v>
      </c>
      <c r="O1471" s="3" t="s">
        <v>3426</v>
      </c>
      <c r="P1471" s="3" t="s">
        <v>3426</v>
      </c>
      <c r="Q1471" s="3" t="s">
        <v>3428</v>
      </c>
      <c r="R1471" s="3" t="s">
        <v>92</v>
      </c>
      <c r="S1471" s="3" t="s">
        <v>134</v>
      </c>
    </row>
    <row r="1472" spans="1:19">
      <c r="A1472" s="3">
        <v>989</v>
      </c>
      <c r="B1472" s="3" t="b">
        <f>ISNUMBER(MATCH(A1472,[1]stockregister!$A$2:$A$2000,0))</f>
        <v>1</v>
      </c>
      <c r="C1472" s="3" t="s">
        <v>3429</v>
      </c>
      <c r="D1472" s="3" t="str">
        <f>VLOOKUP($C1472,[1]stockregister!$B$2:$B$2000,1,0)</f>
        <v>HIGHLAND QUEEN WHISKY 1LTR</v>
      </c>
      <c r="E1472" s="3" t="str">
        <f>IF(ISNA($D1472),VLOOKUP($A1472,[2]stockregister!$A$2:$B$2000,2,FALSE),"")</f>
        <v/>
      </c>
      <c r="F1472" s="3" t="s">
        <v>21</v>
      </c>
      <c r="G1472" s="3">
        <f>_xlfn.IFNA(VLOOKUP($A1472,[3]stockregister!$A$2:$L$2000,11,0),0)</f>
        <v>0</v>
      </c>
      <c r="H1472" s="3">
        <f>_xlfn.IFNA(VLOOKUP($A1472,[3]stockregister!$A$2:$L$2000,11,0),0)-$G1472</f>
        <v>0</v>
      </c>
      <c r="I1472" s="3">
        <f>_xlfn.IFNA(VLOOKUP($A1472,[3]stockregister!$A$2:$L$2000,12,0),0)</f>
        <v>1100</v>
      </c>
      <c r="J1472" s="3">
        <f>_xlfn.IFNA(VLOOKUP($A1472,[3]stockregister!$A$1:$M$2000,12,0),0)-$I1472</f>
        <v>0</v>
      </c>
      <c r="K1472" s="3" t="s">
        <v>22</v>
      </c>
      <c r="L1472" s="3" t="s">
        <v>23</v>
      </c>
      <c r="M1472" s="3">
        <f>_xlfn.IFNA(VLOOKUP($A1472,[2]stockregister!$A$2:$H$2000,8,0),0)</f>
        <v>1500</v>
      </c>
      <c r="N1472" s="3">
        <f>_xlfn.IFNA(VLOOKUP($A1472,[2]stockregister!$A$2:$H$2000,8,0),0)-$M1472</f>
        <v>0</v>
      </c>
      <c r="O1472" s="3" t="s">
        <v>3430</v>
      </c>
      <c r="P1472" s="3" t="s">
        <v>3430</v>
      </c>
      <c r="Q1472" s="3" t="s">
        <v>3431</v>
      </c>
      <c r="R1472" s="3" t="s">
        <v>92</v>
      </c>
      <c r="S1472" s="3" t="s">
        <v>134</v>
      </c>
    </row>
    <row r="1473" spans="1:19">
      <c r="A1473" s="3">
        <v>1007</v>
      </c>
      <c r="B1473" s="3" t="b">
        <f>ISNUMBER(MATCH(A1473,[1]stockregister!$A$2:$A$2000,0))</f>
        <v>1</v>
      </c>
      <c r="C1473" s="3" t="s">
        <v>3432</v>
      </c>
      <c r="D1473" s="3" t="str">
        <f>VLOOKUP($C1473,[1]stockregister!$B$2:$B$2000,1,0)</f>
        <v>IMPERIAL BLUE WHISKY 750ML</v>
      </c>
      <c r="E1473" s="3" t="str">
        <f>IF(ISNA($D1473),VLOOKUP($A1473,[2]stockregister!$A$2:$B$2000,2,FALSE),"")</f>
        <v/>
      </c>
      <c r="F1473" s="3" t="s">
        <v>21</v>
      </c>
      <c r="G1473" s="3">
        <f>_xlfn.IFNA(VLOOKUP($A1473,[3]stockregister!$A$2:$L$2000,11,0),0)</f>
        <v>0</v>
      </c>
      <c r="H1473" s="3">
        <f>_xlfn.IFNA(VLOOKUP($A1473,[3]stockregister!$A$2:$L$2000,11,0),0)-$G1473</f>
        <v>0</v>
      </c>
      <c r="I1473" s="3">
        <f>_xlfn.IFNA(VLOOKUP($A1473,[3]stockregister!$A$2:$L$2000,12,0),0)</f>
        <v>807.52</v>
      </c>
      <c r="J1473" s="3">
        <f>_xlfn.IFNA(VLOOKUP($A1473,[3]stockregister!$A$1:$M$2000,12,0),0)-$I1473</f>
        <v>0</v>
      </c>
      <c r="K1473" s="3" t="s">
        <v>22</v>
      </c>
      <c r="L1473" s="3" t="s">
        <v>23</v>
      </c>
      <c r="M1473" s="3">
        <f>_xlfn.IFNA(VLOOKUP($A1473,[2]stockregister!$A$2:$H$2000,8,0),0)</f>
        <v>900</v>
      </c>
      <c r="N1473" s="3">
        <f>_xlfn.IFNA(VLOOKUP($A1473,[2]stockregister!$A$2:$H$2000,8,0),0)-$M1473</f>
        <v>0</v>
      </c>
      <c r="O1473" s="3" t="s">
        <v>3433</v>
      </c>
      <c r="P1473" s="3" t="s">
        <v>3433</v>
      </c>
      <c r="Q1473" s="3" t="s">
        <v>3434</v>
      </c>
      <c r="R1473" s="3" t="s">
        <v>92</v>
      </c>
      <c r="S1473" s="3" t="s">
        <v>134</v>
      </c>
    </row>
    <row r="1474" spans="1:19">
      <c r="A1474" s="3">
        <v>1064</v>
      </c>
      <c r="B1474" s="3" t="b">
        <f>ISNUMBER(MATCH(A1474,[1]stockregister!$A$2:$A$2000,0))</f>
        <v>1</v>
      </c>
      <c r="C1474" s="3" t="s">
        <v>3435</v>
      </c>
      <c r="D1474" s="3" t="str">
        <f>VLOOKUP($C1474,[1]stockregister!$B$2:$B$2000,1,0)</f>
        <v>JAMESON IPA 750ML</v>
      </c>
      <c r="E1474" s="3" t="str">
        <f>IF(ISNA($D1474),VLOOKUP($A1474,[2]stockregister!$A$2:$B$2000,2,FALSE),"")</f>
        <v/>
      </c>
      <c r="F1474" s="3" t="s">
        <v>21</v>
      </c>
      <c r="G1474" s="3">
        <f>_xlfn.IFNA(VLOOKUP($A1474,[3]stockregister!$A$2:$L$2000,11,0),0)</f>
        <v>0</v>
      </c>
      <c r="H1474" s="3">
        <f>_xlfn.IFNA(VLOOKUP($A1474,[3]stockregister!$A$2:$L$2000,11,0),0)-$G1474</f>
        <v>0</v>
      </c>
      <c r="I1474" s="3">
        <f>_xlfn.IFNA(VLOOKUP($A1474,[3]stockregister!$A$2:$L$2000,12,0),0)</f>
        <v>4140</v>
      </c>
      <c r="J1474" s="3">
        <f>_xlfn.IFNA(VLOOKUP($A1474,[3]stockregister!$A$1:$M$2000,12,0),0)-$I1474</f>
        <v>0</v>
      </c>
      <c r="K1474" s="3" t="s">
        <v>22</v>
      </c>
      <c r="L1474" s="3" t="s">
        <v>23</v>
      </c>
      <c r="M1474" s="3">
        <f>_xlfn.IFNA(VLOOKUP($A1474,[2]stockregister!$A$2:$H$2000,8,0),0)</f>
        <v>4500</v>
      </c>
      <c r="N1474" s="3">
        <f>_xlfn.IFNA(VLOOKUP($A1474,[2]stockregister!$A$2:$H$2000,8,0),0)-$M1474</f>
        <v>0</v>
      </c>
      <c r="O1474" s="3" t="s">
        <v>3436</v>
      </c>
      <c r="P1474" s="3" t="s">
        <v>3436</v>
      </c>
      <c r="Q1474" s="3" t="s">
        <v>732</v>
      </c>
      <c r="R1474" s="3" t="s">
        <v>92</v>
      </c>
      <c r="S1474" s="3" t="s">
        <v>134</v>
      </c>
    </row>
    <row r="1475" spans="1:19">
      <c r="A1475" s="3">
        <v>1066</v>
      </c>
      <c r="B1475" s="3" t="b">
        <f>ISNUMBER(MATCH(A1475,[1]stockregister!$A$2:$A$2000,0))</f>
        <v>1</v>
      </c>
      <c r="C1475" s="3" t="s">
        <v>3437</v>
      </c>
      <c r="D1475" s="3" t="str">
        <f>VLOOKUP($C1475,[1]stockregister!$B$2:$B$2000,1,0)</f>
        <v>JAMESON IRISH WHISKY 350ML</v>
      </c>
      <c r="E1475" s="3" t="str">
        <f>IF(ISNA($D1475),VLOOKUP($A1475,[2]stockregister!$A$2:$B$2000,2,FALSE),"")</f>
        <v/>
      </c>
      <c r="F1475" s="3" t="s">
        <v>21</v>
      </c>
      <c r="G1475" s="3">
        <f>_xlfn.IFNA(VLOOKUP($A1475,[3]stockregister!$A$2:$L$2000,11,0),0)</f>
        <v>0</v>
      </c>
      <c r="H1475" s="3">
        <f>_xlfn.IFNA(VLOOKUP($A1475,[3]stockregister!$A$2:$L$2000,11,0),0)-$G1475</f>
        <v>0</v>
      </c>
      <c r="I1475" s="3">
        <f>_xlfn.IFNA(VLOOKUP($A1475,[3]stockregister!$A$2:$L$2000,12,0),0)</f>
        <v>1162.28</v>
      </c>
      <c r="J1475" s="3">
        <f>_xlfn.IFNA(VLOOKUP($A1475,[3]stockregister!$A$1:$M$2000,12,0),0)-$I1475</f>
        <v>0</v>
      </c>
      <c r="K1475" s="3" t="s">
        <v>22</v>
      </c>
      <c r="L1475" s="3" t="s">
        <v>23</v>
      </c>
      <c r="M1475" s="3">
        <f>_xlfn.IFNA(VLOOKUP($A1475,[2]stockregister!$A$2:$H$2000,8,0),0)</f>
        <v>1200</v>
      </c>
      <c r="N1475" s="3">
        <f>_xlfn.IFNA(VLOOKUP($A1475,[2]stockregister!$A$2:$H$2000,8,0),0)-$M1475</f>
        <v>0</v>
      </c>
      <c r="O1475" s="3" t="s">
        <v>3438</v>
      </c>
      <c r="P1475" s="3" t="s">
        <v>3438</v>
      </c>
      <c r="Q1475" s="3" t="s">
        <v>269</v>
      </c>
      <c r="R1475" s="3" t="s">
        <v>92</v>
      </c>
      <c r="S1475" s="3" t="s">
        <v>134</v>
      </c>
    </row>
    <row r="1476" spans="1:19">
      <c r="A1476" s="3">
        <v>1091</v>
      </c>
      <c r="B1476" s="3" t="b">
        <f>ISNUMBER(MATCH(A1476,[1]stockregister!$A$2:$A$2000,0))</f>
        <v>1</v>
      </c>
      <c r="C1476" s="3" t="s">
        <v>3439</v>
      </c>
      <c r="D1476" s="3" t="str">
        <f>VLOOKUP($C1476,[1]stockregister!$B$2:$B$2000,1,0)</f>
        <v>JOHN BARR FINEST WHISKY RED 750ML</v>
      </c>
      <c r="E1476" s="3" t="str">
        <f>IF(ISNA($D1476),VLOOKUP($A1476,[2]stockregister!$A$2:$B$2000,2,FALSE),"")</f>
        <v/>
      </c>
      <c r="F1476" s="3" t="s">
        <v>21</v>
      </c>
      <c r="G1476" s="3">
        <f>_xlfn.IFNA(VLOOKUP($A1476,[3]stockregister!$A$2:$L$2000,11,0),0)</f>
        <v>0</v>
      </c>
      <c r="H1476" s="3">
        <f>_xlfn.IFNA(VLOOKUP($A1476,[3]stockregister!$A$2:$L$2000,11,0),0)-$G1476</f>
        <v>0</v>
      </c>
      <c r="I1476" s="3">
        <f>_xlfn.IFNA(VLOOKUP($A1476,[3]stockregister!$A$2:$L$2000,12,0),0)</f>
        <v>1196</v>
      </c>
      <c r="J1476" s="3">
        <f>_xlfn.IFNA(VLOOKUP($A1476,[3]stockregister!$A$1:$M$2000,12,0),0)-$I1476</f>
        <v>0</v>
      </c>
      <c r="K1476" s="3" t="s">
        <v>22</v>
      </c>
      <c r="L1476" s="3" t="s">
        <v>23</v>
      </c>
      <c r="M1476" s="3">
        <f>_xlfn.IFNA(VLOOKUP($A1476,[2]stockregister!$A$2:$H$2000,8,0),0)</f>
        <v>1400</v>
      </c>
      <c r="N1476" s="3">
        <f>_xlfn.IFNA(VLOOKUP($A1476,[2]stockregister!$A$2:$H$2000,8,0),0)-$M1476</f>
        <v>0</v>
      </c>
      <c r="O1476" s="3" t="s">
        <v>3440</v>
      </c>
      <c r="P1476" s="3" t="s">
        <v>3440</v>
      </c>
      <c r="Q1476" s="3" t="s">
        <v>2205</v>
      </c>
      <c r="R1476" s="3" t="s">
        <v>92</v>
      </c>
      <c r="S1476" s="3" t="s">
        <v>134</v>
      </c>
    </row>
    <row r="1477" spans="1:19">
      <c r="A1477" s="3">
        <v>1092</v>
      </c>
      <c r="B1477" s="3" t="b">
        <f>ISNUMBER(MATCH(A1477,[1]stockregister!$A$2:$A$2000,0))</f>
        <v>1</v>
      </c>
      <c r="C1477" s="3" t="s">
        <v>3441</v>
      </c>
      <c r="D1477" s="3" t="str">
        <f>VLOOKUP($C1477,[1]stockregister!$B$2:$B$2000,1,0)</f>
        <v>JOHN BARR RED WHISKY 1LTR</v>
      </c>
      <c r="E1477" s="3" t="str">
        <f>IF(ISNA($D1477),VLOOKUP($A1477,[2]stockregister!$A$2:$B$2000,2,FALSE),"")</f>
        <v/>
      </c>
      <c r="F1477" s="3" t="s">
        <v>21</v>
      </c>
      <c r="G1477" s="3">
        <f>_xlfn.IFNA(VLOOKUP($A1477,[3]stockregister!$A$2:$L$2000,11,0),0)</f>
        <v>0</v>
      </c>
      <c r="H1477" s="3">
        <f>_xlfn.IFNA(VLOOKUP($A1477,[3]stockregister!$A$2:$L$2000,11,0),0)-$G1477</f>
        <v>0</v>
      </c>
      <c r="I1477" s="3">
        <f>_xlfn.IFNA(VLOOKUP($A1477,[3]stockregister!$A$2:$L$2000,12,0),0)</f>
        <v>1060</v>
      </c>
      <c r="J1477" s="3">
        <f>_xlfn.IFNA(VLOOKUP($A1477,[3]stockregister!$A$1:$M$2000,12,0),0)-$I1477</f>
        <v>0</v>
      </c>
      <c r="K1477" s="3" t="s">
        <v>22</v>
      </c>
      <c r="L1477" s="3" t="s">
        <v>23</v>
      </c>
      <c r="M1477" s="3">
        <f>_xlfn.IFNA(VLOOKUP($A1477,[2]stockregister!$A$2:$H$2000,8,0),0)</f>
        <v>1500</v>
      </c>
      <c r="N1477" s="3">
        <f>_xlfn.IFNA(VLOOKUP($A1477,[2]stockregister!$A$2:$H$2000,8,0),0)-$M1477</f>
        <v>0</v>
      </c>
      <c r="O1477" s="3" t="s">
        <v>3442</v>
      </c>
      <c r="P1477" s="3" t="s">
        <v>3442</v>
      </c>
      <c r="Q1477" s="3" t="s">
        <v>2205</v>
      </c>
      <c r="R1477" s="3" t="s">
        <v>92</v>
      </c>
      <c r="S1477" s="3" t="s">
        <v>134</v>
      </c>
    </row>
    <row r="1478" spans="1:20">
      <c r="A1478" s="3">
        <v>1096</v>
      </c>
      <c r="B1478" s="3" t="b">
        <f>ISNUMBER(MATCH(A1478,[1]stockregister!$A$2:$A$2000,0))</f>
        <v>1</v>
      </c>
      <c r="C1478" s="3" t="s">
        <v>3443</v>
      </c>
      <c r="D1478" s="3" t="str">
        <f>VLOOKUP($C1478,[1]stockregister!$B$2:$B$2000,1,0)</f>
        <v>JOHNNIE WALKER 18YRS WHISKY 1LTR</v>
      </c>
      <c r="E1478" s="3" t="str">
        <f>IF(ISNA($D1478),VLOOKUP($A1478,[2]stockregister!$A$2:$B$2000,2,FALSE),"")</f>
        <v/>
      </c>
      <c r="F1478" s="3" t="s">
        <v>21</v>
      </c>
      <c r="G1478" s="3">
        <f>_xlfn.IFNA(VLOOKUP($A1478,[3]stockregister!$A$2:$L$2000,11,0),0)</f>
        <v>0</v>
      </c>
      <c r="H1478" s="3">
        <f>_xlfn.IFNA(VLOOKUP($A1478,[3]stockregister!$A$2:$L$2000,11,0),0)-$G1478</f>
        <v>0</v>
      </c>
      <c r="I1478" s="3">
        <f>_xlfn.IFNA(VLOOKUP($A1478,[3]stockregister!$A$2:$L$2000,12,0),0)</f>
        <v>12420</v>
      </c>
      <c r="J1478" s="3">
        <f>_xlfn.IFNA(VLOOKUP($A1478,[3]stockregister!$A$1:$M$2000,12,0),0)-$I1478</f>
        <v>0</v>
      </c>
      <c r="K1478" s="3" t="s">
        <v>22</v>
      </c>
      <c r="L1478" s="3" t="s">
        <v>23</v>
      </c>
      <c r="M1478" s="3">
        <f>_xlfn.IFNA(VLOOKUP($A1478,[2]stockregister!$A$2:$H$2000,8,0),0)</f>
        <v>13500</v>
      </c>
      <c r="N1478" s="3">
        <f>_xlfn.IFNA(VLOOKUP($A1478,[2]stockregister!$A$2:$H$2000,8,0),0)-$M1478</f>
        <v>0</v>
      </c>
      <c r="O1478" s="3" t="s">
        <v>3444</v>
      </c>
      <c r="P1478" s="3" t="s">
        <v>3444</v>
      </c>
      <c r="Q1478" s="3" t="s">
        <v>133</v>
      </c>
      <c r="R1478" s="3" t="s">
        <v>92</v>
      </c>
      <c r="S1478" s="3" t="s">
        <v>134</v>
      </c>
      <c r="T1478" s="3">
        <v>18</v>
      </c>
    </row>
    <row r="1479" spans="1:19">
      <c r="A1479" s="3">
        <v>1105</v>
      </c>
      <c r="B1479" s="3" t="b">
        <f>ISNUMBER(MATCH(A1479,[1]stockregister!$A$2:$A$2000,0))</f>
        <v>1</v>
      </c>
      <c r="C1479" s="3" t="s">
        <v>3445</v>
      </c>
      <c r="D1479" s="3" t="str">
        <f>VLOOKUP($C1479,[1]stockregister!$B$2:$B$2000,1,0)</f>
        <v>JOHNNIE WALKER BLACK LABEL WHISKY 250ML</v>
      </c>
      <c r="E1479" s="3" t="str">
        <f>IF(ISNA($D1479),VLOOKUP($A1479,[2]stockregister!$A$2:$B$2000,2,FALSE),"")</f>
        <v/>
      </c>
      <c r="F1479" s="3" t="s">
        <v>21</v>
      </c>
      <c r="G1479" s="3">
        <f>_xlfn.IFNA(VLOOKUP($A1479,[3]stockregister!$A$2:$L$2000,11,0),0)</f>
        <v>0</v>
      </c>
      <c r="H1479" s="3">
        <f>_xlfn.IFNA(VLOOKUP($A1479,[3]stockregister!$A$2:$L$2000,11,0),0)-$G1479</f>
        <v>0</v>
      </c>
      <c r="I1479" s="3">
        <f>_xlfn.IFNA(VLOOKUP($A1479,[3]stockregister!$A$2:$L$2000,12,0),0)</f>
        <v>920</v>
      </c>
      <c r="J1479" s="3">
        <f>_xlfn.IFNA(VLOOKUP($A1479,[3]stockregister!$A$1:$M$2000,12,0),0)-$I1479</f>
        <v>0</v>
      </c>
      <c r="K1479" s="3" t="s">
        <v>22</v>
      </c>
      <c r="L1479" s="3" t="s">
        <v>23</v>
      </c>
      <c r="M1479" s="3">
        <f>_xlfn.IFNA(VLOOKUP($A1479,[2]stockregister!$A$2:$H$2000,8,0),0)</f>
        <v>1200</v>
      </c>
      <c r="N1479" s="3">
        <f>_xlfn.IFNA(VLOOKUP($A1479,[2]stockregister!$A$2:$H$2000,8,0),0)-$M1479</f>
        <v>0</v>
      </c>
      <c r="O1479" s="3" t="s">
        <v>3446</v>
      </c>
      <c r="P1479" s="3" t="s">
        <v>3446</v>
      </c>
      <c r="Q1479" s="3" t="s">
        <v>133</v>
      </c>
      <c r="R1479" s="3" t="s">
        <v>92</v>
      </c>
      <c r="S1479" s="3" t="s">
        <v>134</v>
      </c>
    </row>
    <row r="1480" spans="1:19">
      <c r="A1480" s="3">
        <v>1108</v>
      </c>
      <c r="B1480" s="3" t="b">
        <f>ISNUMBER(MATCH(A1480,[1]stockregister!$A$2:$A$2000,0))</f>
        <v>1</v>
      </c>
      <c r="C1480" s="3" t="s">
        <v>584</v>
      </c>
      <c r="D1480" s="3" t="str">
        <f>VLOOKUP($C1480,[1]stockregister!$B$2:$B$2000,1,0)</f>
        <v>JOHNNIE WALKER BLONDE  750ml</v>
      </c>
      <c r="E1480" s="3" t="str">
        <f>IF(ISNA($D1480),VLOOKUP($A1480,[2]stockregister!$A$2:$B$2000,2,FALSE),"")</f>
        <v/>
      </c>
      <c r="F1480" s="3" t="s">
        <v>21</v>
      </c>
      <c r="G1480" s="3">
        <f>_xlfn.IFNA(VLOOKUP($A1480,[3]stockregister!$A$2:$L$2000,11,0),0)</f>
        <v>0</v>
      </c>
      <c r="H1480" s="3">
        <f>_xlfn.IFNA(VLOOKUP($A1480,[3]stockregister!$A$2:$L$2000,11,0),0)-$G1480</f>
        <v>0</v>
      </c>
      <c r="I1480" s="3">
        <f>_xlfn.IFNA(VLOOKUP($A1480,[3]stockregister!$A$2:$L$2000,12,0),0)</f>
        <v>2760</v>
      </c>
      <c r="J1480" s="3">
        <f>_xlfn.IFNA(VLOOKUP($A1480,[3]stockregister!$A$1:$M$2000,12,0),0)-$I1480</f>
        <v>0</v>
      </c>
      <c r="K1480" s="3" t="s">
        <v>22</v>
      </c>
      <c r="L1480" s="3" t="s">
        <v>23</v>
      </c>
      <c r="M1480" s="3">
        <f>_xlfn.IFNA(VLOOKUP($A1480,[2]stockregister!$A$2:$H$2000,8,0),0)</f>
        <v>3000</v>
      </c>
      <c r="N1480" s="3">
        <f>_xlfn.IFNA(VLOOKUP($A1480,[2]stockregister!$A$2:$H$2000,8,0),0)-$M1480</f>
        <v>0</v>
      </c>
      <c r="O1480" s="3" t="s">
        <v>3447</v>
      </c>
      <c r="P1480" s="3" t="s">
        <v>3447</v>
      </c>
      <c r="Q1480" s="3" t="s">
        <v>133</v>
      </c>
      <c r="R1480" s="3" t="s">
        <v>92</v>
      </c>
      <c r="S1480" s="3" t="s">
        <v>134</v>
      </c>
    </row>
    <row r="1481" spans="1:19">
      <c r="A1481" s="3">
        <v>1094</v>
      </c>
      <c r="B1481" s="3" t="b">
        <f>ISNUMBER(MATCH(A1481,[1]stockregister!$A$2:$A$2000,0))</f>
        <v>1</v>
      </c>
      <c r="C1481" s="3" t="s">
        <v>586</v>
      </c>
      <c r="D1481" s="3" t="str">
        <f>VLOOKUP($C1481,[1]stockregister!$B$2:$B$2000,1,0)</f>
        <v>JOHNNIE WALKER  PLATINUM WHISKY 1LTR</v>
      </c>
      <c r="E1481" s="3" t="str">
        <f>IF(ISNA($D1481),VLOOKUP($A1481,[2]stockregister!$A$2:$B$2000,2,FALSE),"")</f>
        <v/>
      </c>
      <c r="F1481" s="3" t="s">
        <v>21</v>
      </c>
      <c r="G1481" s="3">
        <f>_xlfn.IFNA(VLOOKUP($A1481,[3]stockregister!$A$2:$L$2000,11,0),0)</f>
        <v>0</v>
      </c>
      <c r="H1481" s="3">
        <f>_xlfn.IFNA(VLOOKUP($A1481,[3]stockregister!$A$2:$L$2000,11,0),0)-$G1481</f>
        <v>0</v>
      </c>
      <c r="I1481" s="3">
        <f>_xlfn.IFNA(VLOOKUP($A1481,[3]stockregister!$A$2:$L$2000,12,0),0)</f>
        <v>9200</v>
      </c>
      <c r="J1481" s="3">
        <f>_xlfn.IFNA(VLOOKUP($A1481,[3]stockregister!$A$1:$M$2000,12,0),0)-$I1481</f>
        <v>0</v>
      </c>
      <c r="K1481" s="3" t="s">
        <v>22</v>
      </c>
      <c r="L1481" s="3" t="s">
        <v>23</v>
      </c>
      <c r="M1481" s="3">
        <f>_xlfn.IFNA(VLOOKUP($A1481,[2]stockregister!$A$2:$H$2000,8,0),0)</f>
        <v>10000</v>
      </c>
      <c r="N1481" s="3">
        <f>_xlfn.IFNA(VLOOKUP($A1481,[2]stockregister!$A$2:$H$2000,8,0),0)-$M1481</f>
        <v>0</v>
      </c>
      <c r="O1481" s="3" t="s">
        <v>3448</v>
      </c>
      <c r="P1481" s="3" t="s">
        <v>3448</v>
      </c>
      <c r="Q1481" s="3" t="s">
        <v>824</v>
      </c>
      <c r="R1481" s="3" t="s">
        <v>92</v>
      </c>
      <c r="S1481" s="3" t="s">
        <v>134</v>
      </c>
    </row>
    <row r="1482" spans="1:19">
      <c r="A1482" s="3">
        <v>1207</v>
      </c>
      <c r="B1482" s="3" t="b">
        <f>ISNUMBER(MATCH(A1482,[1]stockregister!$A$2:$A$2000,0))</f>
        <v>1</v>
      </c>
      <c r="C1482" s="3" t="s">
        <v>3449</v>
      </c>
      <c r="D1482" s="3" t="str">
        <f>VLOOKUP($C1482,[1]stockregister!$B$2:$B$2000,1,0)</f>
        <v>KING ROBERT II 750ML</v>
      </c>
      <c r="E1482" s="3" t="str">
        <f>IF(ISNA($D1482),VLOOKUP($A1482,[2]stockregister!$A$2:$B$2000,2,FALSE),"")</f>
        <v/>
      </c>
      <c r="F1482" s="3" t="s">
        <v>21</v>
      </c>
      <c r="G1482" s="3">
        <f>_xlfn.IFNA(VLOOKUP($A1482,[3]stockregister!$A$2:$L$2000,11,0),0)</f>
        <v>0</v>
      </c>
      <c r="H1482" s="3">
        <f>_xlfn.IFNA(VLOOKUP($A1482,[3]stockregister!$A$2:$L$2000,11,0),0)-$G1482</f>
        <v>0</v>
      </c>
      <c r="I1482" s="3">
        <f>_xlfn.IFNA(VLOOKUP($A1482,[3]stockregister!$A$2:$L$2000,12,0),0)</f>
        <v>920</v>
      </c>
      <c r="J1482" s="3">
        <f>_xlfn.IFNA(VLOOKUP($A1482,[3]stockregister!$A$1:$M$2000,12,0),0)-$I1482</f>
        <v>0</v>
      </c>
      <c r="K1482" s="3" t="s">
        <v>22</v>
      </c>
      <c r="L1482" s="3" t="s">
        <v>23</v>
      </c>
      <c r="M1482" s="3">
        <f>_xlfn.IFNA(VLOOKUP($A1482,[2]stockregister!$A$2:$H$2000,8,0),0)</f>
        <v>1000</v>
      </c>
      <c r="N1482" s="3">
        <f>_xlfn.IFNA(VLOOKUP($A1482,[2]stockregister!$A$2:$H$2000,8,0),0)-$M1482</f>
        <v>0</v>
      </c>
      <c r="O1482" s="3" t="s">
        <v>3450</v>
      </c>
      <c r="P1482" s="3" t="s">
        <v>3450</v>
      </c>
      <c r="Q1482" s="3" t="s">
        <v>1274</v>
      </c>
      <c r="R1482" s="3" t="s">
        <v>92</v>
      </c>
      <c r="S1482" s="3" t="s">
        <v>134</v>
      </c>
    </row>
    <row r="1483" spans="1:19">
      <c r="A1483" s="3">
        <v>1211</v>
      </c>
      <c r="B1483" s="3" t="b">
        <f>ISNUMBER(MATCH(A1483,[1]stockregister!$A$2:$A$2000,0))</f>
        <v>1</v>
      </c>
      <c r="C1483" s="3" t="s">
        <v>3451</v>
      </c>
      <c r="D1483" s="3" t="str">
        <f>VLOOKUP($C1483,[1]stockregister!$B$2:$B$2000,1,0)</f>
        <v>KING ROBERT WHISKY 750ML</v>
      </c>
      <c r="E1483" s="3" t="str">
        <f>IF(ISNA($D1483),VLOOKUP($A1483,[2]stockregister!$A$2:$B$2000,2,FALSE),"")</f>
        <v/>
      </c>
      <c r="F1483" s="3" t="s">
        <v>21</v>
      </c>
      <c r="G1483" s="3">
        <f>_xlfn.IFNA(VLOOKUP($A1483,[3]stockregister!$A$2:$L$2000,11,0),0)</f>
        <v>0</v>
      </c>
      <c r="H1483" s="3">
        <f>_xlfn.IFNA(VLOOKUP($A1483,[3]stockregister!$A$2:$L$2000,11,0),0)-$G1483</f>
        <v>0</v>
      </c>
      <c r="I1483" s="3">
        <f>_xlfn.IFNA(VLOOKUP($A1483,[3]stockregister!$A$2:$L$2000,12,0),0)</f>
        <v>920</v>
      </c>
      <c r="J1483" s="3">
        <f>_xlfn.IFNA(VLOOKUP($A1483,[3]stockregister!$A$1:$M$2000,12,0),0)-$I1483</f>
        <v>0</v>
      </c>
      <c r="K1483" s="3" t="s">
        <v>22</v>
      </c>
      <c r="L1483" s="3" t="s">
        <v>23</v>
      </c>
      <c r="M1483" s="3">
        <f>_xlfn.IFNA(VLOOKUP($A1483,[2]stockregister!$A$2:$H$2000,8,0),0)</f>
        <v>1000</v>
      </c>
      <c r="N1483" s="3">
        <f>_xlfn.IFNA(VLOOKUP($A1483,[2]stockregister!$A$2:$H$2000,8,0),0)-$M1483</f>
        <v>0</v>
      </c>
      <c r="O1483" s="3" t="s">
        <v>3452</v>
      </c>
      <c r="P1483" s="3" t="s">
        <v>3452</v>
      </c>
      <c r="Q1483" s="3" t="s">
        <v>1274</v>
      </c>
      <c r="R1483" s="3" t="s">
        <v>92</v>
      </c>
      <c r="S1483" s="3" t="s">
        <v>134</v>
      </c>
    </row>
    <row r="1484" spans="1:20">
      <c r="A1484" s="3">
        <v>2230</v>
      </c>
      <c r="B1484" s="3" t="b">
        <f>ISNUMBER(MATCH(A1484,[1]stockregister!$A$2:$A$2000,0))</f>
        <v>1</v>
      </c>
      <c r="C1484" s="3" t="s">
        <v>3453</v>
      </c>
      <c r="D1484" s="3" t="str">
        <f>VLOOKUP($C1484,[1]stockregister!$B$2:$B$2000,1,0)</f>
        <v>LAGAVULIN ISLAY 12YRS 750ML</v>
      </c>
      <c r="E1484" s="3" t="str">
        <f>IF(ISNA($D1484),VLOOKUP($A1484,[2]stockregister!$A$2:$B$2000,2,FALSE),"")</f>
        <v/>
      </c>
      <c r="F1484" s="3" t="s">
        <v>21</v>
      </c>
      <c r="G1484" s="3">
        <f>_xlfn.IFNA(VLOOKUP($A1484,[3]stockregister!$A$2:$L$2000,11,0),0)</f>
        <v>0</v>
      </c>
      <c r="H1484" s="3">
        <f>_xlfn.IFNA(VLOOKUP($A1484,[3]stockregister!$A$2:$L$2000,11,0),0)-$G1484</f>
        <v>0</v>
      </c>
      <c r="I1484" s="3">
        <f>_xlfn.IFNA(VLOOKUP($A1484,[3]stockregister!$A$2:$L$2000,12,0),0)</f>
        <v>8800</v>
      </c>
      <c r="J1484" s="3">
        <f>_xlfn.IFNA(VLOOKUP($A1484,[3]stockregister!$A$1:$M$2000,12,0),0)-$I1484</f>
        <v>0</v>
      </c>
      <c r="K1484" s="3" t="s">
        <v>22</v>
      </c>
      <c r="L1484" s="3" t="s">
        <v>23</v>
      </c>
      <c r="M1484" s="3">
        <f>_xlfn.IFNA(VLOOKUP($A1484,[2]stockregister!$A$2:$H$2000,8,0),0)</f>
        <v>9000</v>
      </c>
      <c r="N1484" s="3">
        <f>_xlfn.IFNA(VLOOKUP($A1484,[2]stockregister!$A$2:$H$2000,8,0),0)-$M1484</f>
        <v>0</v>
      </c>
      <c r="O1484" s="3" t="s">
        <v>3454</v>
      </c>
      <c r="P1484" s="3" t="s">
        <v>3454</v>
      </c>
      <c r="Q1484" s="3" t="s">
        <v>3455</v>
      </c>
      <c r="R1484" s="3" t="s">
        <v>92</v>
      </c>
      <c r="S1484" s="3" t="s">
        <v>284</v>
      </c>
      <c r="T1484" s="3">
        <v>12</v>
      </c>
    </row>
    <row r="1485" spans="1:19">
      <c r="A1485" s="3">
        <v>2231</v>
      </c>
      <c r="B1485" s="3" t="b">
        <f>ISNUMBER(MATCH(A1485,[1]stockregister!$A$2:$A$2000,0))</f>
        <v>1</v>
      </c>
      <c r="C1485" s="3" t="s">
        <v>3456</v>
      </c>
      <c r="D1485" s="3" t="str">
        <f>VLOOKUP($C1485,[1]stockregister!$B$2:$B$2000,1,0)</f>
        <v>LAPHROAIG 700ML</v>
      </c>
      <c r="E1485" s="3" t="str">
        <f>IF(ISNA($D1485),VLOOKUP($A1485,[2]stockregister!$A$2:$B$2000,2,FALSE),"")</f>
        <v/>
      </c>
      <c r="F1485" s="3" t="s">
        <v>21</v>
      </c>
      <c r="G1485" s="3">
        <f>_xlfn.IFNA(VLOOKUP($A1485,[3]stockregister!$A$2:$L$2000,11,0),0)</f>
        <v>0</v>
      </c>
      <c r="H1485" s="3">
        <f>_xlfn.IFNA(VLOOKUP($A1485,[3]stockregister!$A$2:$L$2000,11,0),0)-$G1485</f>
        <v>0</v>
      </c>
      <c r="I1485" s="3">
        <f>_xlfn.IFNA(VLOOKUP($A1485,[3]stockregister!$A$2:$L$2000,12,0),0)</f>
        <v>8000</v>
      </c>
      <c r="J1485" s="3">
        <f>_xlfn.IFNA(VLOOKUP($A1485,[3]stockregister!$A$1:$M$2000,12,0),0)-$I1485</f>
        <v>0</v>
      </c>
      <c r="K1485" s="3" t="s">
        <v>22</v>
      </c>
      <c r="L1485" s="3" t="s">
        <v>23</v>
      </c>
      <c r="M1485" s="3">
        <f>_xlfn.IFNA(VLOOKUP($A1485,[2]stockregister!$A$2:$H$2000,8,0),0)</f>
        <v>8500</v>
      </c>
      <c r="N1485" s="3">
        <f>_xlfn.IFNA(VLOOKUP($A1485,[2]stockregister!$A$2:$H$2000,8,0),0)-$M1485</f>
        <v>0</v>
      </c>
      <c r="O1485" s="3" t="s">
        <v>3457</v>
      </c>
      <c r="P1485" s="3" t="s">
        <v>3457</v>
      </c>
      <c r="Q1485" s="3" t="s">
        <v>3458</v>
      </c>
      <c r="R1485" s="3" t="s">
        <v>92</v>
      </c>
      <c r="S1485" s="3" t="s">
        <v>284</v>
      </c>
    </row>
    <row r="1486" spans="1:19">
      <c r="A1486" s="3">
        <v>2232</v>
      </c>
      <c r="B1486" s="3" t="b">
        <f>ISNUMBER(MATCH(A1486,[1]stockregister!$A$2:$A$2000,0))</f>
        <v>1</v>
      </c>
      <c r="C1486" s="3" t="s">
        <v>3459</v>
      </c>
      <c r="D1486" s="3" t="str">
        <f>VLOOKUP($C1486,[1]stockregister!$B$2:$B$2000,1,0)</f>
        <v>LAPHROAIG AN CUAN MOR 700ML</v>
      </c>
      <c r="E1486" s="3" t="str">
        <f>IF(ISNA($D1486),VLOOKUP($A1486,[2]stockregister!$A$2:$B$2000,2,FALSE),"")</f>
        <v/>
      </c>
      <c r="F1486" s="3" t="s">
        <v>21</v>
      </c>
      <c r="G1486" s="3">
        <f>_xlfn.IFNA(VLOOKUP($A1486,[3]stockregister!$A$2:$L$2000,11,0),0)</f>
        <v>0</v>
      </c>
      <c r="H1486" s="3">
        <f>_xlfn.IFNA(VLOOKUP($A1486,[3]stockregister!$A$2:$L$2000,11,0),0)-$G1486</f>
        <v>0</v>
      </c>
      <c r="I1486" s="3">
        <f>_xlfn.IFNA(VLOOKUP($A1486,[3]stockregister!$A$2:$L$2000,12,0),0)</f>
        <v>8400</v>
      </c>
      <c r="J1486" s="3">
        <f>_xlfn.IFNA(VLOOKUP($A1486,[3]stockregister!$A$1:$M$2000,12,0),0)-$I1486</f>
        <v>0</v>
      </c>
      <c r="K1486" s="3" t="s">
        <v>22</v>
      </c>
      <c r="L1486" s="3" t="s">
        <v>23</v>
      </c>
      <c r="M1486" s="3">
        <f>_xlfn.IFNA(VLOOKUP($A1486,[2]stockregister!$A$2:$H$2000,8,0),0)</f>
        <v>8500</v>
      </c>
      <c r="N1486" s="3">
        <f>_xlfn.IFNA(VLOOKUP($A1486,[2]stockregister!$A$2:$H$2000,8,0),0)-$M1486</f>
        <v>0</v>
      </c>
      <c r="O1486" s="3" t="s">
        <v>3460</v>
      </c>
      <c r="P1486" s="3" t="s">
        <v>3460</v>
      </c>
      <c r="Q1486" s="3" t="s">
        <v>3458</v>
      </c>
      <c r="R1486" s="3" t="s">
        <v>92</v>
      </c>
      <c r="S1486" s="3" t="s">
        <v>284</v>
      </c>
    </row>
    <row r="1487" spans="1:19">
      <c r="A1487" s="3">
        <v>1259</v>
      </c>
      <c r="B1487" s="3" t="b">
        <f>ISNUMBER(MATCH(A1487,[1]stockregister!$A$2:$A$2000,0))</f>
        <v>1</v>
      </c>
      <c r="C1487" s="3" t="s">
        <v>3461</v>
      </c>
      <c r="D1487" s="3" t="str">
        <f>VLOOKUP($C1487,[1]stockregister!$B$2:$B$2000,1,0)</f>
        <v>LAPHROAIG FOUR OAK 750ML</v>
      </c>
      <c r="E1487" s="3" t="str">
        <f>IF(ISNA($D1487),VLOOKUP($A1487,[2]stockregister!$A$2:$B$2000,2,FALSE),"")</f>
        <v/>
      </c>
      <c r="F1487" s="3" t="s">
        <v>21</v>
      </c>
      <c r="G1487" s="3">
        <f>_xlfn.IFNA(VLOOKUP($A1487,[3]stockregister!$A$2:$L$2000,11,0),0)</f>
        <v>0</v>
      </c>
      <c r="H1487" s="3">
        <f>_xlfn.IFNA(VLOOKUP($A1487,[3]stockregister!$A$2:$L$2000,11,0),0)-$G1487</f>
        <v>0</v>
      </c>
      <c r="I1487" s="3">
        <f>_xlfn.IFNA(VLOOKUP($A1487,[3]stockregister!$A$2:$L$2000,12,0),0)</f>
        <v>5060</v>
      </c>
      <c r="J1487" s="3">
        <f>_xlfn.IFNA(VLOOKUP($A1487,[3]stockregister!$A$1:$M$2000,12,0),0)-$I1487</f>
        <v>0</v>
      </c>
      <c r="K1487" s="3" t="s">
        <v>22</v>
      </c>
      <c r="L1487" s="3" t="s">
        <v>23</v>
      </c>
      <c r="M1487" s="3">
        <f>_xlfn.IFNA(VLOOKUP($A1487,[2]stockregister!$A$2:$H$2000,8,0),0)</f>
        <v>5500</v>
      </c>
      <c r="N1487" s="3">
        <f>_xlfn.IFNA(VLOOKUP($A1487,[2]stockregister!$A$2:$H$2000,8,0),0)-$M1487</f>
        <v>0</v>
      </c>
      <c r="O1487" s="3" t="s">
        <v>3462</v>
      </c>
      <c r="P1487" s="3" t="s">
        <v>3462</v>
      </c>
      <c r="Q1487" s="3" t="s">
        <v>1100</v>
      </c>
      <c r="R1487" s="3" t="s">
        <v>92</v>
      </c>
      <c r="S1487" s="3" t="s">
        <v>134</v>
      </c>
    </row>
    <row r="1488" spans="1:19">
      <c r="A1488" s="3">
        <v>1367</v>
      </c>
      <c r="B1488" s="3" t="b">
        <f>ISNUMBER(MATCH(A1488,[1]stockregister!$A$2:$A$2000,0))</f>
        <v>1</v>
      </c>
      <c r="C1488" s="3" t="s">
        <v>3463</v>
      </c>
      <c r="D1488" s="3" t="str">
        <f>VLOOKUP($C1488,[1]stockregister!$B$2:$B$2000,1,0)</f>
        <v>MAJOR GUNN'S 1LTR</v>
      </c>
      <c r="E1488" s="3" t="str">
        <f>IF(ISNA($D1488),VLOOKUP($A1488,[2]stockregister!$A$2:$B$2000,2,FALSE),"")</f>
        <v/>
      </c>
      <c r="F1488" s="3" t="s">
        <v>21</v>
      </c>
      <c r="G1488" s="3">
        <f>_xlfn.IFNA(VLOOKUP($A1488,[3]stockregister!$A$2:$L$2000,11,0),0)</f>
        <v>0</v>
      </c>
      <c r="H1488" s="3">
        <f>_xlfn.IFNA(VLOOKUP($A1488,[3]stockregister!$A$2:$L$2000,11,0),0)-$G1488</f>
        <v>0</v>
      </c>
      <c r="I1488" s="3">
        <f>_xlfn.IFNA(VLOOKUP($A1488,[3]stockregister!$A$2:$L$2000,12,0),0)</f>
        <v>1100</v>
      </c>
      <c r="J1488" s="3">
        <f>_xlfn.IFNA(VLOOKUP($A1488,[3]stockregister!$A$1:$M$2000,12,0),0)-$I1488</f>
        <v>0</v>
      </c>
      <c r="K1488" s="3" t="s">
        <v>22</v>
      </c>
      <c r="L1488" s="3" t="s">
        <v>23</v>
      </c>
      <c r="M1488" s="3">
        <f>_xlfn.IFNA(VLOOKUP($A1488,[2]stockregister!$A$2:$H$2000,8,0),0)</f>
        <v>1500</v>
      </c>
      <c r="N1488" s="3">
        <f>_xlfn.IFNA(VLOOKUP($A1488,[2]stockregister!$A$2:$H$2000,8,0),0)-$M1488</f>
        <v>0</v>
      </c>
      <c r="O1488" s="3" t="s">
        <v>3464</v>
      </c>
      <c r="P1488" s="3" t="s">
        <v>3464</v>
      </c>
      <c r="Q1488" s="3" t="s">
        <v>3465</v>
      </c>
      <c r="R1488" s="3" t="s">
        <v>92</v>
      </c>
      <c r="S1488" s="3" t="s">
        <v>134</v>
      </c>
    </row>
    <row r="1489" spans="1:19">
      <c r="A1489" s="3">
        <v>1587</v>
      </c>
      <c r="B1489" s="3" t="b">
        <f>ISNUMBER(MATCH(A1489,[1]stockregister!$A$2:$A$2000,0))</f>
        <v>1</v>
      </c>
      <c r="C1489" s="3" t="s">
        <v>3466</v>
      </c>
      <c r="D1489" s="3" t="str">
        <f>VLOOKUP($C1489,[1]stockregister!$B$2:$B$2000,1,0)</f>
        <v>PASSPORT SCOTCH 40% 750ML</v>
      </c>
      <c r="E1489" s="3" t="str">
        <f>IF(ISNA($D1489),VLOOKUP($A1489,[2]stockregister!$A$2:$B$2000,2,FALSE),"")</f>
        <v/>
      </c>
      <c r="F1489" s="3" t="s">
        <v>21</v>
      </c>
      <c r="G1489" s="3">
        <f>_xlfn.IFNA(VLOOKUP($A1489,[3]stockregister!$A$2:$L$2000,11,0),0)</f>
        <v>0</v>
      </c>
      <c r="H1489" s="3">
        <f>_xlfn.IFNA(VLOOKUP($A1489,[3]stockregister!$A$2:$L$2000,11,0),0)-$G1489</f>
        <v>0</v>
      </c>
      <c r="I1489" s="3">
        <f>_xlfn.IFNA(VLOOKUP($A1489,[3]stockregister!$A$2:$L$2000,12,0),0)</f>
        <v>1012</v>
      </c>
      <c r="J1489" s="3">
        <f>_xlfn.IFNA(VLOOKUP($A1489,[3]stockregister!$A$1:$M$2000,12,0),0)-$I1489</f>
        <v>0</v>
      </c>
      <c r="K1489" s="3" t="s">
        <v>22</v>
      </c>
      <c r="L1489" s="3" t="s">
        <v>23</v>
      </c>
      <c r="M1489" s="3">
        <f>_xlfn.IFNA(VLOOKUP($A1489,[2]stockregister!$A$2:$H$2000,8,0),0)</f>
        <v>1100</v>
      </c>
      <c r="N1489" s="3">
        <f>_xlfn.IFNA(VLOOKUP($A1489,[2]stockregister!$A$2:$H$2000,8,0),0)-$M1489</f>
        <v>0</v>
      </c>
      <c r="O1489" s="3" t="s">
        <v>3467</v>
      </c>
      <c r="P1489" s="3" t="s">
        <v>3467</v>
      </c>
      <c r="Q1489" s="3" t="s">
        <v>3468</v>
      </c>
      <c r="R1489" s="3" t="s">
        <v>92</v>
      </c>
      <c r="S1489" s="3" t="s">
        <v>134</v>
      </c>
    </row>
    <row r="1490" spans="1:19">
      <c r="A1490" s="3">
        <v>1588</v>
      </c>
      <c r="B1490" s="3" t="b">
        <f>ISNUMBER(MATCH(A1490,[1]stockregister!$A$2:$A$2000,0))</f>
        <v>1</v>
      </c>
      <c r="C1490" s="3" t="s">
        <v>3469</v>
      </c>
      <c r="D1490" s="3" t="str">
        <f>VLOOKUP($C1490,[1]stockregister!$B$2:$B$2000,1,0)</f>
        <v>PASSPORT SCOTCH WHISKY 1LTR</v>
      </c>
      <c r="E1490" s="3" t="str">
        <f>IF(ISNA($D1490),VLOOKUP($A1490,[2]stockregister!$A$2:$B$2000,2,FALSE),"")</f>
        <v/>
      </c>
      <c r="F1490" s="3" t="s">
        <v>21</v>
      </c>
      <c r="G1490" s="3">
        <f>_xlfn.IFNA(VLOOKUP($A1490,[3]stockregister!$A$2:$L$2000,11,0),0)</f>
        <v>0</v>
      </c>
      <c r="H1490" s="3">
        <f>_xlfn.IFNA(VLOOKUP($A1490,[3]stockregister!$A$2:$L$2000,11,0),0)-$G1490</f>
        <v>0</v>
      </c>
      <c r="I1490" s="3">
        <f>_xlfn.IFNA(VLOOKUP($A1490,[3]stockregister!$A$2:$L$2000,12,0),0)</f>
        <v>1748</v>
      </c>
      <c r="J1490" s="3">
        <f>_xlfn.IFNA(VLOOKUP($A1490,[3]stockregister!$A$1:$M$2000,12,0),0)-$I1490</f>
        <v>0</v>
      </c>
      <c r="K1490" s="3" t="s">
        <v>22</v>
      </c>
      <c r="L1490" s="3" t="s">
        <v>23</v>
      </c>
      <c r="M1490" s="3">
        <f>_xlfn.IFNA(VLOOKUP($A1490,[2]stockregister!$A$2:$H$2000,8,0),0)</f>
        <v>1900</v>
      </c>
      <c r="N1490" s="3">
        <f>_xlfn.IFNA(VLOOKUP($A1490,[2]stockregister!$A$2:$H$2000,8,0),0)-$M1490</f>
        <v>0</v>
      </c>
      <c r="O1490" s="3" t="s">
        <v>3470</v>
      </c>
      <c r="P1490" s="3" t="s">
        <v>3470</v>
      </c>
      <c r="Q1490" s="3" t="s">
        <v>3468</v>
      </c>
      <c r="R1490" s="3" t="s">
        <v>92</v>
      </c>
      <c r="S1490" s="3" t="s">
        <v>134</v>
      </c>
    </row>
    <row r="1491" spans="1:19">
      <c r="A1491" s="3">
        <v>1774</v>
      </c>
      <c r="B1491" s="3" t="b">
        <f>ISNUMBER(MATCH(A1491,[1]stockregister!$A$2:$A$2000,0))</f>
        <v>1</v>
      </c>
      <c r="C1491" s="3" t="s">
        <v>3471</v>
      </c>
      <c r="D1491" s="3" t="str">
        <f>VLOOKUP($C1491,[1]stockregister!$B$2:$B$2000,1,0)</f>
        <v>SCOTTISH LEADER ORIGINAL 1LTR</v>
      </c>
      <c r="E1491" s="3" t="str">
        <f>IF(ISNA($D1491),VLOOKUP($A1491,[2]stockregister!$A$2:$B$2000,2,FALSE),"")</f>
        <v/>
      </c>
      <c r="F1491" s="3" t="s">
        <v>21</v>
      </c>
      <c r="G1491" s="3">
        <f>_xlfn.IFNA(VLOOKUP($A1491,[3]stockregister!$A$2:$L$2000,11,0),0)</f>
        <v>0</v>
      </c>
      <c r="H1491" s="3">
        <f>_xlfn.IFNA(VLOOKUP($A1491,[3]stockregister!$A$2:$L$2000,11,0),0)-$G1491</f>
        <v>0</v>
      </c>
      <c r="I1491" s="3">
        <f>_xlfn.IFNA(VLOOKUP($A1491,[3]stockregister!$A$2:$L$2000,12,0),0)</f>
        <v>1472</v>
      </c>
      <c r="J1491" s="3">
        <f>_xlfn.IFNA(VLOOKUP($A1491,[3]stockregister!$A$1:$M$2000,12,0),0)-$I1491</f>
        <v>0</v>
      </c>
      <c r="K1491" s="3" t="s">
        <v>22</v>
      </c>
      <c r="L1491" s="3" t="s">
        <v>23</v>
      </c>
      <c r="M1491" s="3">
        <f>_xlfn.IFNA(VLOOKUP($A1491,[2]stockregister!$A$2:$H$2000,8,0),0)</f>
        <v>1600</v>
      </c>
      <c r="N1491" s="3">
        <f>_xlfn.IFNA(VLOOKUP($A1491,[2]stockregister!$A$2:$H$2000,8,0),0)-$M1491</f>
        <v>0</v>
      </c>
      <c r="O1491" s="3" t="s">
        <v>898</v>
      </c>
      <c r="P1491" s="3" t="s">
        <v>898</v>
      </c>
      <c r="Q1491" s="3" t="s">
        <v>3472</v>
      </c>
      <c r="R1491" s="3" t="s">
        <v>92</v>
      </c>
      <c r="S1491" s="3" t="s">
        <v>284</v>
      </c>
    </row>
    <row r="1492" spans="1:19">
      <c r="A1492" s="3">
        <v>1775</v>
      </c>
      <c r="B1492" s="3" t="b">
        <f>ISNUMBER(MATCH(A1492,[1]stockregister!$A$2:$A$2000,0))</f>
        <v>1</v>
      </c>
      <c r="C1492" s="3" t="s">
        <v>3473</v>
      </c>
      <c r="D1492" s="3" t="str">
        <f>VLOOKUP($C1492,[1]stockregister!$B$2:$B$2000,1,0)</f>
        <v>SCOTTISH LEADER ORIGINAL 700ML</v>
      </c>
      <c r="E1492" s="3" t="str">
        <f>IF(ISNA($D1492),VLOOKUP($A1492,[2]stockregister!$A$2:$B$2000,2,FALSE),"")</f>
        <v/>
      </c>
      <c r="F1492" s="3" t="s">
        <v>21</v>
      </c>
      <c r="G1492" s="3">
        <f>_xlfn.IFNA(VLOOKUP($A1492,[3]stockregister!$A$2:$L$2000,11,0),0)</f>
        <v>0</v>
      </c>
      <c r="H1492" s="3">
        <f>_xlfn.IFNA(VLOOKUP($A1492,[3]stockregister!$A$2:$L$2000,11,0),0)-$G1492</f>
        <v>0</v>
      </c>
      <c r="I1492" s="3">
        <f>_xlfn.IFNA(VLOOKUP($A1492,[3]stockregister!$A$2:$L$2000,12,0),0)</f>
        <v>1196</v>
      </c>
      <c r="J1492" s="3">
        <f>_xlfn.IFNA(VLOOKUP($A1492,[3]stockregister!$A$1:$M$2000,12,0),0)-$I1492</f>
        <v>0</v>
      </c>
      <c r="K1492" s="3" t="s">
        <v>22</v>
      </c>
      <c r="L1492" s="3" t="s">
        <v>23</v>
      </c>
      <c r="M1492" s="3">
        <f>_xlfn.IFNA(VLOOKUP($A1492,[2]stockregister!$A$2:$H$2000,8,0),0)</f>
        <v>1300</v>
      </c>
      <c r="N1492" s="3">
        <f>_xlfn.IFNA(VLOOKUP($A1492,[2]stockregister!$A$2:$H$2000,8,0),0)-$M1492</f>
        <v>0</v>
      </c>
      <c r="O1492" s="3" t="s">
        <v>898</v>
      </c>
      <c r="P1492" s="3" t="s">
        <v>898</v>
      </c>
      <c r="Q1492" s="3" t="s">
        <v>3472</v>
      </c>
      <c r="R1492" s="3" t="s">
        <v>92</v>
      </c>
      <c r="S1492" s="3" t="s">
        <v>134</v>
      </c>
    </row>
    <row r="1493" spans="1:19">
      <c r="A1493" s="3">
        <v>1808</v>
      </c>
      <c r="B1493" s="3" t="b">
        <f>ISNUMBER(MATCH(A1493,[1]stockregister!$A$2:$A$2000,0))</f>
        <v>1</v>
      </c>
      <c r="C1493" s="3" t="s">
        <v>589</v>
      </c>
      <c r="D1493" s="3" t="str">
        <f>VLOOKUP($C1493,[1]stockregister!$B$2:$B$2000,1,0)</f>
        <v>SIR EDWARDS WHISKY  4.5LTR</v>
      </c>
      <c r="E1493" s="3" t="str">
        <f>IF(ISNA($D1493),VLOOKUP($A1493,[2]stockregister!$A$2:$B$2000,2,FALSE),"")</f>
        <v/>
      </c>
      <c r="F1493" s="3" t="s">
        <v>21</v>
      </c>
      <c r="G1493" s="3">
        <f>_xlfn.IFNA(VLOOKUP($A1493,[3]stockregister!$A$2:$L$2000,11,0),0)</f>
        <v>0</v>
      </c>
      <c r="H1493" s="3">
        <f>_xlfn.IFNA(VLOOKUP($A1493,[3]stockregister!$A$2:$L$2000,11,0),0)-$G1493</f>
        <v>0</v>
      </c>
      <c r="I1493" s="3">
        <f>_xlfn.IFNA(VLOOKUP($A1493,[3]stockregister!$A$2:$L$2000,12,0),0)</f>
        <v>9660</v>
      </c>
      <c r="J1493" s="3">
        <f>_xlfn.IFNA(VLOOKUP($A1493,[3]stockregister!$A$1:$M$2000,12,0),0)-$I1493</f>
        <v>0</v>
      </c>
      <c r="K1493" s="3" t="s">
        <v>22</v>
      </c>
      <c r="L1493" s="3" t="s">
        <v>23</v>
      </c>
      <c r="M1493" s="3">
        <f>_xlfn.IFNA(VLOOKUP($A1493,[2]stockregister!$A$2:$H$2000,8,0),0)</f>
        <v>10500</v>
      </c>
      <c r="N1493" s="3">
        <f>_xlfn.IFNA(VLOOKUP($A1493,[2]stockregister!$A$2:$H$2000,8,0),0)-$M1493</f>
        <v>0</v>
      </c>
      <c r="O1493" s="3" t="s">
        <v>3474</v>
      </c>
      <c r="P1493" s="3" t="s">
        <v>3474</v>
      </c>
      <c r="Q1493" s="3" t="s">
        <v>263</v>
      </c>
      <c r="R1493" s="3" t="s">
        <v>92</v>
      </c>
      <c r="S1493" s="3" t="s">
        <v>134</v>
      </c>
    </row>
    <row r="1494" spans="1:20">
      <c r="A1494" s="3">
        <v>1896</v>
      </c>
      <c r="B1494" s="3" t="b">
        <f>ISNUMBER(MATCH(A1494,[1]stockregister!$A$2:$A$2000,0))</f>
        <v>1</v>
      </c>
      <c r="C1494" s="3" t="s">
        <v>3475</v>
      </c>
      <c r="D1494" s="3" t="str">
        <f>VLOOKUP($C1494,[1]stockregister!$B$2:$B$2000,1,0)</f>
        <v>STRATHISLA 12YRS WHISKY 700ML</v>
      </c>
      <c r="E1494" s="3" t="str">
        <f>IF(ISNA($D1494),VLOOKUP($A1494,[2]stockregister!$A$2:$B$2000,2,FALSE),"")</f>
        <v/>
      </c>
      <c r="F1494" s="3" t="s">
        <v>21</v>
      </c>
      <c r="G1494" s="3">
        <f>_xlfn.IFNA(VLOOKUP($A1494,[3]stockregister!$A$2:$L$2000,11,0),0)</f>
        <v>0</v>
      </c>
      <c r="H1494" s="3">
        <f>_xlfn.IFNA(VLOOKUP($A1494,[3]stockregister!$A$2:$L$2000,11,0),0)-$G1494</f>
        <v>0</v>
      </c>
      <c r="I1494" s="3">
        <f>_xlfn.IFNA(VLOOKUP($A1494,[3]stockregister!$A$2:$L$2000,12,0),0)</f>
        <v>4140</v>
      </c>
      <c r="J1494" s="3">
        <f>_xlfn.IFNA(VLOOKUP($A1494,[3]stockregister!$A$1:$M$2000,12,0),0)-$I1494</f>
        <v>0</v>
      </c>
      <c r="K1494" s="3" t="s">
        <v>22</v>
      </c>
      <c r="L1494" s="3" t="s">
        <v>23</v>
      </c>
      <c r="M1494" s="3">
        <f>_xlfn.IFNA(VLOOKUP($A1494,[2]stockregister!$A$2:$H$2000,8,0),0)</f>
        <v>4500</v>
      </c>
      <c r="N1494" s="3">
        <f>_xlfn.IFNA(VLOOKUP($A1494,[2]stockregister!$A$2:$H$2000,8,0),0)-$M1494</f>
        <v>0</v>
      </c>
      <c r="O1494" s="3" t="s">
        <v>3476</v>
      </c>
      <c r="P1494" s="3" t="s">
        <v>3476</v>
      </c>
      <c r="Q1494" s="3" t="s">
        <v>3477</v>
      </c>
      <c r="R1494" s="3" t="s">
        <v>92</v>
      </c>
      <c r="S1494" s="3" t="s">
        <v>134</v>
      </c>
      <c r="T1494" s="3">
        <v>12</v>
      </c>
    </row>
    <row r="1495" spans="1:19">
      <c r="A1495" s="3">
        <v>1916</v>
      </c>
      <c r="B1495" s="3" t="b">
        <f>ISNUMBER(MATCH(A1495,[1]stockregister!$A$2:$A$2000,0))</f>
        <v>1</v>
      </c>
      <c r="C1495" s="3" t="s">
        <v>592</v>
      </c>
      <c r="D1495" s="3" t="str">
        <f>VLOOKUP($C1495,[1]stockregister!$B$2:$B$2000,1,0)</f>
        <v>TALISKER  NEIST POINT 700ml</v>
      </c>
      <c r="E1495" s="3" t="str">
        <f>IF(ISNA($D1495),VLOOKUP($A1495,[2]stockregister!$A$2:$B$2000,2,FALSE),"")</f>
        <v/>
      </c>
      <c r="F1495" s="3" t="s">
        <v>21</v>
      </c>
      <c r="G1495" s="3">
        <f>_xlfn.IFNA(VLOOKUP($A1495,[3]stockregister!$A$2:$L$2000,11,0),0)</f>
        <v>0</v>
      </c>
      <c r="H1495" s="3">
        <f>_xlfn.IFNA(VLOOKUP($A1495,[3]stockregister!$A$2:$L$2000,11,0),0)-$G1495</f>
        <v>0</v>
      </c>
      <c r="I1495" s="3">
        <f>_xlfn.IFNA(VLOOKUP($A1495,[3]stockregister!$A$2:$L$2000,12,0),0)</f>
        <v>11960</v>
      </c>
      <c r="J1495" s="3">
        <f>_xlfn.IFNA(VLOOKUP($A1495,[3]stockregister!$A$1:$M$2000,12,0),0)-$I1495</f>
        <v>0</v>
      </c>
      <c r="K1495" s="3" t="s">
        <v>22</v>
      </c>
      <c r="L1495" s="3" t="s">
        <v>23</v>
      </c>
      <c r="M1495" s="3">
        <f>_xlfn.IFNA(VLOOKUP($A1495,[2]stockregister!$A$2:$H$2000,8,0),0)</f>
        <v>13000</v>
      </c>
      <c r="N1495" s="3">
        <f>_xlfn.IFNA(VLOOKUP($A1495,[2]stockregister!$A$2:$H$2000,8,0),0)-$M1495</f>
        <v>0</v>
      </c>
      <c r="O1495" s="3" t="s">
        <v>3478</v>
      </c>
      <c r="P1495" s="3" t="s">
        <v>3478</v>
      </c>
      <c r="Q1495" s="3" t="s">
        <v>1409</v>
      </c>
      <c r="R1495" s="3" t="s">
        <v>92</v>
      </c>
      <c r="S1495" s="3" t="s">
        <v>134</v>
      </c>
    </row>
    <row r="1496" spans="1:19">
      <c r="A1496" s="3">
        <v>1963</v>
      </c>
      <c r="B1496" s="3" t="b">
        <f>ISNUMBER(MATCH(A1496,[1]stockregister!$A$2:$A$2000,0))</f>
        <v>1</v>
      </c>
      <c r="C1496" s="3" t="s">
        <v>3479</v>
      </c>
      <c r="D1496" s="3" t="str">
        <f>VLOOKUP($C1496,[1]stockregister!$B$2:$B$2000,1,0)</f>
        <v>THE FAMOUS GROUSE 750ML</v>
      </c>
      <c r="E1496" s="3" t="str">
        <f>IF(ISNA($D1496),VLOOKUP($A1496,[2]stockregister!$A$2:$B$2000,2,FALSE),"")</f>
        <v/>
      </c>
      <c r="F1496" s="3" t="s">
        <v>21</v>
      </c>
      <c r="G1496" s="3">
        <f>_xlfn.IFNA(VLOOKUP($A1496,[3]stockregister!$A$2:$L$2000,11,0),0)</f>
        <v>0</v>
      </c>
      <c r="H1496" s="3">
        <f>_xlfn.IFNA(VLOOKUP($A1496,[3]stockregister!$A$2:$L$2000,11,0),0)-$G1496</f>
        <v>0</v>
      </c>
      <c r="I1496" s="3">
        <f>_xlfn.IFNA(VLOOKUP($A1496,[3]stockregister!$A$2:$L$2000,12,0),0)</f>
        <v>1610</v>
      </c>
      <c r="J1496" s="3">
        <f>_xlfn.IFNA(VLOOKUP($A1496,[3]stockregister!$A$1:$M$2000,12,0),0)-$I1496</f>
        <v>0</v>
      </c>
      <c r="K1496" s="3" t="s">
        <v>22</v>
      </c>
      <c r="L1496" s="3" t="s">
        <v>23</v>
      </c>
      <c r="M1496" s="3">
        <f>_xlfn.IFNA(VLOOKUP($A1496,[2]stockregister!$A$2:$H$2000,8,0),0)</f>
        <v>1700</v>
      </c>
      <c r="N1496" s="3">
        <f>_xlfn.IFNA(VLOOKUP($A1496,[2]stockregister!$A$2:$H$2000,8,0),0)-$M1496</f>
        <v>0</v>
      </c>
      <c r="O1496" s="3" t="s">
        <v>3480</v>
      </c>
      <c r="P1496" s="3" t="s">
        <v>3480</v>
      </c>
      <c r="Q1496" s="3" t="s">
        <v>362</v>
      </c>
      <c r="R1496" s="3" t="s">
        <v>92</v>
      </c>
      <c r="S1496" s="3" t="s">
        <v>134</v>
      </c>
    </row>
    <row r="1497" spans="1:19">
      <c r="A1497" s="3">
        <v>1964</v>
      </c>
      <c r="B1497" s="3" t="b">
        <f>ISNUMBER(MATCH(A1497,[1]stockregister!$A$2:$A$2000,0))</f>
        <v>1</v>
      </c>
      <c r="C1497" s="3" t="s">
        <v>3481</v>
      </c>
      <c r="D1497" s="3" t="str">
        <f>VLOOKUP($C1497,[1]stockregister!$B$2:$B$2000,1,0)</f>
        <v>THE GLEN SILVER'S SINGLE MALT SCOTCH WHISKY 700ML</v>
      </c>
      <c r="E1497" s="3" t="str">
        <f>IF(ISNA($D1497),VLOOKUP($A1497,[2]stockregister!$A$2:$B$2000,2,FALSE),"")</f>
        <v/>
      </c>
      <c r="F1497" s="3" t="s">
        <v>21</v>
      </c>
      <c r="G1497" s="3">
        <f>_xlfn.IFNA(VLOOKUP($A1497,[3]stockregister!$A$2:$L$2000,11,0),0)</f>
        <v>0</v>
      </c>
      <c r="H1497" s="3">
        <f>_xlfn.IFNA(VLOOKUP($A1497,[3]stockregister!$A$2:$L$2000,11,0),0)-$G1497</f>
        <v>0</v>
      </c>
      <c r="I1497" s="3">
        <f>_xlfn.IFNA(VLOOKUP($A1497,[3]stockregister!$A$2:$L$2000,12,0),0)</f>
        <v>2300</v>
      </c>
      <c r="J1497" s="3">
        <f>_xlfn.IFNA(VLOOKUP($A1497,[3]stockregister!$A$1:$M$2000,12,0),0)-$I1497</f>
        <v>0</v>
      </c>
      <c r="K1497" s="3" t="s">
        <v>22</v>
      </c>
      <c r="L1497" s="3" t="s">
        <v>23</v>
      </c>
      <c r="M1497" s="3">
        <f>_xlfn.IFNA(VLOOKUP($A1497,[2]stockregister!$A$2:$H$2000,8,0),0)</f>
        <v>2500</v>
      </c>
      <c r="N1497" s="3">
        <f>_xlfn.IFNA(VLOOKUP($A1497,[2]stockregister!$A$2:$H$2000,8,0),0)-$M1497</f>
        <v>0</v>
      </c>
      <c r="O1497" s="3" t="s">
        <v>3482</v>
      </c>
      <c r="P1497" s="3" t="s">
        <v>3482</v>
      </c>
      <c r="Q1497" s="3" t="s">
        <v>3483</v>
      </c>
      <c r="R1497" s="3" t="s">
        <v>92</v>
      </c>
      <c r="S1497" s="3" t="s">
        <v>134</v>
      </c>
    </row>
    <row r="1498" spans="1:20">
      <c r="A1498" s="3">
        <v>1968</v>
      </c>
      <c r="B1498" s="3" t="b">
        <f>ISNUMBER(MATCH(A1498,[1]stockregister!$A$2:$A$2000,0))</f>
        <v>1</v>
      </c>
      <c r="C1498" s="3" t="s">
        <v>3484</v>
      </c>
      <c r="D1498" s="3" t="str">
        <f>VLOOKUP($C1498,[1]stockregister!$B$2:$B$2000,1,0)</f>
        <v>THE GLENLIVET 12 YO 405 1LT</v>
      </c>
      <c r="E1498" s="3" t="str">
        <f>IF(ISNA($D1498),VLOOKUP($A1498,[2]stockregister!$A$2:$B$2000,2,FALSE),"")</f>
        <v/>
      </c>
      <c r="F1498" s="3" t="s">
        <v>21</v>
      </c>
      <c r="G1498" s="3">
        <f>_xlfn.IFNA(VLOOKUP($A1498,[3]stockregister!$A$2:$L$2000,11,0),0)</f>
        <v>0</v>
      </c>
      <c r="H1498" s="3">
        <f>_xlfn.IFNA(VLOOKUP($A1498,[3]stockregister!$A$2:$L$2000,11,0),0)-$G1498</f>
        <v>0</v>
      </c>
      <c r="I1498" s="3">
        <f>_xlfn.IFNA(VLOOKUP($A1498,[3]stockregister!$A$2:$L$2000,12,0),0)</f>
        <v>5980</v>
      </c>
      <c r="J1498" s="3">
        <f>_xlfn.IFNA(VLOOKUP($A1498,[3]stockregister!$A$1:$M$2000,12,0),0)-$I1498</f>
        <v>0</v>
      </c>
      <c r="K1498" s="3" t="s">
        <v>22</v>
      </c>
      <c r="L1498" s="3" t="s">
        <v>23</v>
      </c>
      <c r="M1498" s="3">
        <f>_xlfn.IFNA(VLOOKUP($A1498,[2]stockregister!$A$2:$H$2000,8,0),0)</f>
        <v>6500</v>
      </c>
      <c r="N1498" s="3">
        <f>_xlfn.IFNA(VLOOKUP($A1498,[2]stockregister!$A$2:$H$2000,8,0),0)-$M1498</f>
        <v>0</v>
      </c>
      <c r="O1498" s="3" t="s">
        <v>3485</v>
      </c>
      <c r="P1498" s="3" t="s">
        <v>3485</v>
      </c>
      <c r="Q1498" s="3" t="s">
        <v>628</v>
      </c>
      <c r="R1498" s="3" t="s">
        <v>92</v>
      </c>
      <c r="S1498" s="3" t="s">
        <v>134</v>
      </c>
      <c r="T1498" s="3">
        <v>12</v>
      </c>
    </row>
    <row r="1499" spans="1:20">
      <c r="A1499" s="3">
        <v>1969</v>
      </c>
      <c r="B1499" s="3" t="b">
        <f>ISNUMBER(MATCH(A1499,[1]stockregister!$A$2:$A$2000,0))</f>
        <v>1</v>
      </c>
      <c r="C1499" s="3" t="s">
        <v>3486</v>
      </c>
      <c r="D1499" s="3" t="str">
        <f>VLOOKUP($C1499,[1]stockregister!$B$2:$B$2000,1,0)</f>
        <v>THE GLENLIVET 15 YO 40% 1LT</v>
      </c>
      <c r="E1499" s="3" t="str">
        <f>IF(ISNA($D1499),VLOOKUP($A1499,[2]stockregister!$A$2:$B$2000,2,FALSE),"")</f>
        <v/>
      </c>
      <c r="F1499" s="3" t="s">
        <v>21</v>
      </c>
      <c r="G1499" s="3">
        <f>_xlfn.IFNA(VLOOKUP($A1499,[3]stockregister!$A$2:$L$2000,11,0),0)</f>
        <v>0</v>
      </c>
      <c r="H1499" s="3">
        <f>_xlfn.IFNA(VLOOKUP($A1499,[3]stockregister!$A$2:$L$2000,11,0),0)-$G1499</f>
        <v>0</v>
      </c>
      <c r="I1499" s="3">
        <f>_xlfn.IFNA(VLOOKUP($A1499,[3]stockregister!$A$2:$L$2000,12,0),0)</f>
        <v>11040</v>
      </c>
      <c r="J1499" s="3">
        <f>_xlfn.IFNA(VLOOKUP($A1499,[3]stockregister!$A$1:$M$2000,12,0),0)-$I1499</f>
        <v>0</v>
      </c>
      <c r="K1499" s="3" t="s">
        <v>22</v>
      </c>
      <c r="L1499" s="3" t="s">
        <v>23</v>
      </c>
      <c r="M1499" s="3">
        <f>_xlfn.IFNA(VLOOKUP($A1499,[2]stockregister!$A$2:$H$2000,8,0),0)</f>
        <v>12000</v>
      </c>
      <c r="N1499" s="3">
        <f>_xlfn.IFNA(VLOOKUP($A1499,[2]stockregister!$A$2:$H$2000,8,0),0)-$M1499</f>
        <v>0</v>
      </c>
      <c r="O1499" s="3" t="s">
        <v>3487</v>
      </c>
      <c r="P1499" s="3" t="s">
        <v>3487</v>
      </c>
      <c r="Q1499" s="3" t="s">
        <v>628</v>
      </c>
      <c r="R1499" s="3" t="s">
        <v>92</v>
      </c>
      <c r="S1499" s="3" t="s">
        <v>134</v>
      </c>
      <c r="T1499" s="3">
        <v>15</v>
      </c>
    </row>
    <row r="1500" spans="1:20">
      <c r="A1500" s="3">
        <v>1971</v>
      </c>
      <c r="B1500" s="3" t="b">
        <f>ISNUMBER(MATCH(A1500,[1]stockregister!$A$2:$A$2000,0))</f>
        <v>1</v>
      </c>
      <c r="C1500" s="3" t="s">
        <v>3488</v>
      </c>
      <c r="D1500" s="3" t="str">
        <f>VLOOKUP($C1500,[1]stockregister!$B$2:$B$2000,1,0)</f>
        <v>THE GLENLIVET 18 YO 43% 1LT</v>
      </c>
      <c r="E1500" s="3" t="str">
        <f>IF(ISNA($D1500),VLOOKUP($A1500,[2]stockregister!$A$2:$B$2000,2,FALSE),"")</f>
        <v/>
      </c>
      <c r="F1500" s="3" t="s">
        <v>21</v>
      </c>
      <c r="G1500" s="3">
        <f>_xlfn.IFNA(VLOOKUP($A1500,[3]stockregister!$A$2:$L$2000,11,0),0)</f>
        <v>0</v>
      </c>
      <c r="H1500" s="3">
        <f>_xlfn.IFNA(VLOOKUP($A1500,[3]stockregister!$A$2:$L$2000,11,0),0)-$G1500</f>
        <v>0</v>
      </c>
      <c r="I1500" s="3">
        <f>_xlfn.IFNA(VLOOKUP($A1500,[3]stockregister!$A$2:$L$2000,12,0),0)</f>
        <v>11800</v>
      </c>
      <c r="J1500" s="3">
        <f>_xlfn.IFNA(VLOOKUP($A1500,[3]stockregister!$A$1:$M$2000,12,0),0)-$I1500</f>
        <v>0</v>
      </c>
      <c r="K1500" s="3" t="s">
        <v>22</v>
      </c>
      <c r="L1500" s="3" t="s">
        <v>23</v>
      </c>
      <c r="M1500" s="3">
        <f>_xlfn.IFNA(VLOOKUP($A1500,[2]stockregister!$A$2:$H$2000,8,0),0)</f>
        <v>18000</v>
      </c>
      <c r="N1500" s="3">
        <f>_xlfn.IFNA(VLOOKUP($A1500,[2]stockregister!$A$2:$H$2000,8,0),0)-$M1500</f>
        <v>0</v>
      </c>
      <c r="O1500" s="3" t="s">
        <v>3489</v>
      </c>
      <c r="P1500" s="3" t="s">
        <v>3489</v>
      </c>
      <c r="Q1500" s="3" t="s">
        <v>628</v>
      </c>
      <c r="R1500" s="3" t="s">
        <v>92</v>
      </c>
      <c r="S1500" s="3" t="s">
        <v>134</v>
      </c>
      <c r="T1500" s="3">
        <v>18</v>
      </c>
    </row>
    <row r="1501" spans="1:19">
      <c r="A1501" s="3">
        <v>2035</v>
      </c>
      <c r="B1501" s="3" t="b">
        <f>ISNUMBER(MATCH(A1501,[1]stockregister!$A$2:$A$2000,0))</f>
        <v>1</v>
      </c>
      <c r="C1501" s="3" t="s">
        <v>3490</v>
      </c>
      <c r="D1501" s="3" t="str">
        <f>VLOOKUP($C1501,[1]stockregister!$B$2:$B$2000,1,0)</f>
        <v>TWO KEYS WHISKY 750ML</v>
      </c>
      <c r="E1501" s="3" t="str">
        <f>IF(ISNA($D1501),VLOOKUP($A1501,[2]stockregister!$A$2:$B$2000,2,FALSE),"")</f>
        <v/>
      </c>
      <c r="F1501" s="3" t="s">
        <v>21</v>
      </c>
      <c r="G1501" s="3">
        <f>_xlfn.IFNA(VLOOKUP($A1501,[3]stockregister!$A$2:$L$2000,11,0),0)</f>
        <v>0</v>
      </c>
      <c r="H1501" s="3">
        <f>_xlfn.IFNA(VLOOKUP($A1501,[3]stockregister!$A$2:$L$2000,11,0),0)-$G1501</f>
        <v>0</v>
      </c>
      <c r="I1501" s="3">
        <f>_xlfn.IFNA(VLOOKUP($A1501,[3]stockregister!$A$2:$L$2000,12,0),0)</f>
        <v>782</v>
      </c>
      <c r="J1501" s="3">
        <f>_xlfn.IFNA(VLOOKUP($A1501,[3]stockregister!$A$1:$M$2000,12,0),0)-$I1501</f>
        <v>0</v>
      </c>
      <c r="K1501" s="3" t="s">
        <v>22</v>
      </c>
      <c r="L1501" s="3" t="s">
        <v>23</v>
      </c>
      <c r="M1501" s="3">
        <f>_xlfn.IFNA(VLOOKUP($A1501,[2]stockregister!$A$2:$H$2000,8,0),0)</f>
        <v>850</v>
      </c>
      <c r="N1501" s="3">
        <f>_xlfn.IFNA(VLOOKUP($A1501,[2]stockregister!$A$2:$H$2000,8,0),0)-$M1501</f>
        <v>0</v>
      </c>
      <c r="O1501" s="3" t="s">
        <v>3491</v>
      </c>
      <c r="P1501" s="3" t="s">
        <v>3491</v>
      </c>
      <c r="Q1501" s="3" t="s">
        <v>3492</v>
      </c>
      <c r="R1501" s="3" t="s">
        <v>92</v>
      </c>
      <c r="S1501" s="3" t="s">
        <v>134</v>
      </c>
    </row>
    <row r="1502" spans="1:19">
      <c r="A1502" s="3">
        <v>2335</v>
      </c>
      <c r="B1502" s="3" t="b">
        <f>ISNUMBER(MATCH(A1502,[1]stockregister!$A$2:$A$2000,0))</f>
        <v>1</v>
      </c>
      <c r="C1502" s="3" t="s">
        <v>3493</v>
      </c>
      <c r="D1502" s="3" t="str">
        <f>VLOOKUP($C1502,[1]stockregister!$B$2:$B$2000,1,0)</f>
        <v>WILLIAM LAWSON'S SPICED 750ML</v>
      </c>
      <c r="E1502" s="3" t="str">
        <f>IF(ISNA($D1502),VLOOKUP($A1502,[2]stockregister!$A$2:$B$2000,2,FALSE),"")</f>
        <v/>
      </c>
      <c r="F1502" s="3" t="s">
        <v>21</v>
      </c>
      <c r="G1502" s="3">
        <f>_xlfn.IFNA(VLOOKUP($A1502,[3]stockregister!$A$2:$L$2000,11,0),0)</f>
        <v>0</v>
      </c>
      <c r="H1502" s="3">
        <f>_xlfn.IFNA(VLOOKUP($A1502,[3]stockregister!$A$2:$L$2000,11,0),0)-$G1502</f>
        <v>0</v>
      </c>
      <c r="I1502" s="3">
        <f>_xlfn.IFNA(VLOOKUP($A1502,[3]stockregister!$A$2:$L$2000,12,0),0)</f>
        <v>1600</v>
      </c>
      <c r="J1502" s="3">
        <f>_xlfn.IFNA(VLOOKUP($A1502,[3]stockregister!$A$1:$M$2000,12,0),0)-$I1502</f>
        <v>0</v>
      </c>
      <c r="K1502" s="3" t="s">
        <v>22</v>
      </c>
      <c r="L1502" s="3" t="s">
        <v>23</v>
      </c>
      <c r="M1502" s="3">
        <f>_xlfn.IFNA(VLOOKUP($A1502,[2]stockregister!$A$2:$H$2000,8,0),0)</f>
        <v>1700</v>
      </c>
      <c r="N1502" s="3">
        <f>_xlfn.IFNA(VLOOKUP($A1502,[2]stockregister!$A$2:$H$2000,8,0),0)-$M1502</f>
        <v>0</v>
      </c>
      <c r="O1502" s="3" t="s">
        <v>3494</v>
      </c>
      <c r="P1502" s="3" t="s">
        <v>3494</v>
      </c>
      <c r="Q1502" s="3" t="s">
        <v>471</v>
      </c>
      <c r="R1502" s="3" t="s">
        <v>92</v>
      </c>
      <c r="S1502" s="3" t="s">
        <v>284</v>
      </c>
    </row>
    <row r="1503" spans="1:19">
      <c r="A1503" s="3">
        <v>853</v>
      </c>
      <c r="B1503" s="3" t="b">
        <f>ISNUMBER(MATCH(A1503,[1]stockregister!$A$2:$A$2000,0))</f>
        <v>1</v>
      </c>
      <c r="C1503" s="3" t="s">
        <v>3495</v>
      </c>
      <c r="D1503" s="3" t="str">
        <f>VLOOKUP($C1503,[1]stockregister!$B$2:$B$2000,1,0)</f>
        <v>GLENFIDDICH RESERVE CASK 1LTR</v>
      </c>
      <c r="E1503" s="3" t="str">
        <f>IF(ISNA($D1503),VLOOKUP($A1503,[2]stockregister!$A$2:$B$2000,2,FALSE),"")</f>
        <v/>
      </c>
      <c r="F1503" s="3" t="s">
        <v>21</v>
      </c>
      <c r="G1503" s="3">
        <f>_xlfn.IFNA(VLOOKUP($A1503,[3]stockregister!$A$2:$L$2000,11,0),0)</f>
        <v>0</v>
      </c>
      <c r="H1503" s="3">
        <f>_xlfn.IFNA(VLOOKUP($A1503,[3]stockregister!$A$2:$L$2000,11,0),0)-$G1503</f>
        <v>0</v>
      </c>
      <c r="I1503" s="3">
        <f>_xlfn.IFNA(VLOOKUP($A1503,[3]stockregister!$A$2:$L$2000,12,0),0)</f>
        <v>6900</v>
      </c>
      <c r="J1503" s="3">
        <f>_xlfn.IFNA(VLOOKUP($A1503,[3]stockregister!$A$1:$M$2000,12,0),0)-$I1503</f>
        <v>0</v>
      </c>
      <c r="K1503" s="3" t="s">
        <v>22</v>
      </c>
      <c r="L1503" s="3" t="s">
        <v>23</v>
      </c>
      <c r="M1503" s="3">
        <f>_xlfn.IFNA(VLOOKUP($A1503,[2]stockregister!$A$2:$H$2000,8,0),0)</f>
        <v>7500</v>
      </c>
      <c r="N1503" s="3">
        <f>_xlfn.IFNA(VLOOKUP($A1503,[2]stockregister!$A$2:$H$2000,8,0),0)-$M1503</f>
        <v>0</v>
      </c>
      <c r="O1503" s="3" t="s">
        <v>3496</v>
      </c>
      <c r="P1503" s="3" t="s">
        <v>3496</v>
      </c>
      <c r="Q1503" s="3" t="s">
        <v>1892</v>
      </c>
      <c r="R1503" s="3" t="s">
        <v>92</v>
      </c>
      <c r="S1503" s="3" t="s">
        <v>3497</v>
      </c>
    </row>
    <row r="1504" spans="1:19">
      <c r="A1504" s="3">
        <v>988</v>
      </c>
      <c r="B1504" s="3" t="b">
        <f>ISNUMBER(MATCH(A1504,[1]stockregister!$A$2:$A$2000,0))</f>
        <v>1</v>
      </c>
      <c r="C1504" s="3" t="s">
        <v>3498</v>
      </c>
      <c r="D1504" s="3" t="str">
        <f>VLOOKUP($C1504,[1]stockregister!$B$2:$B$2000,1,0)</f>
        <v>HIGHLAND PARK SINGLE MALT 700ML</v>
      </c>
      <c r="E1504" s="3" t="str">
        <f>IF(ISNA($D1504),VLOOKUP($A1504,[2]stockregister!$A$2:$B$2000,2,FALSE),"")</f>
        <v/>
      </c>
      <c r="F1504" s="3" t="s">
        <v>21</v>
      </c>
      <c r="G1504" s="3">
        <f>_xlfn.IFNA(VLOOKUP($A1504,[3]stockregister!$A$2:$L$2000,11,0),0)</f>
        <v>0</v>
      </c>
      <c r="H1504" s="3">
        <f>_xlfn.IFNA(VLOOKUP($A1504,[3]stockregister!$A$2:$L$2000,11,0),0)-$G1504</f>
        <v>0</v>
      </c>
      <c r="I1504" s="3">
        <f>_xlfn.IFNA(VLOOKUP($A1504,[3]stockregister!$A$2:$L$2000,12,0),0)</f>
        <v>13800</v>
      </c>
      <c r="J1504" s="3">
        <f>_xlfn.IFNA(VLOOKUP($A1504,[3]stockregister!$A$1:$M$2000,12,0),0)-$I1504</f>
        <v>0</v>
      </c>
      <c r="K1504" s="3" t="s">
        <v>22</v>
      </c>
      <c r="L1504" s="3" t="s">
        <v>23</v>
      </c>
      <c r="M1504" s="3">
        <f>_xlfn.IFNA(VLOOKUP($A1504,[2]stockregister!$A$2:$H$2000,8,0),0)</f>
        <v>14000</v>
      </c>
      <c r="N1504" s="3">
        <f>_xlfn.IFNA(VLOOKUP($A1504,[2]stockregister!$A$2:$H$2000,8,0),0)-$M1504</f>
        <v>0</v>
      </c>
      <c r="O1504" s="3" t="s">
        <v>3499</v>
      </c>
      <c r="P1504" s="3" t="s">
        <v>3499</v>
      </c>
      <c r="Q1504" s="3" t="s">
        <v>3500</v>
      </c>
      <c r="R1504" s="3" t="s">
        <v>92</v>
      </c>
      <c r="S1504" s="3" t="s">
        <v>1280</v>
      </c>
    </row>
    <row r="1505" spans="1:19">
      <c r="A1505" s="3">
        <v>1922</v>
      </c>
      <c r="B1505" s="3" t="b">
        <f>ISNUMBER(MATCH(A1505,[1]stockregister!$A$2:$A$2000,0))</f>
        <v>1</v>
      </c>
      <c r="C1505" s="3" t="s">
        <v>3501</v>
      </c>
      <c r="D1505" s="3" t="str">
        <f>VLOOKUP($C1505,[1]stockregister!$B$2:$B$2000,1,0)</f>
        <v>TALISKER SINGLE MALT 700ML</v>
      </c>
      <c r="E1505" s="3" t="str">
        <f>IF(ISNA($D1505),VLOOKUP($A1505,[2]stockregister!$A$2:$B$2000,2,FALSE),"")</f>
        <v/>
      </c>
      <c r="F1505" s="3" t="s">
        <v>21</v>
      </c>
      <c r="G1505" s="3">
        <f>_xlfn.IFNA(VLOOKUP($A1505,[3]stockregister!$A$2:$L$2000,11,0),0)</f>
        <v>0</v>
      </c>
      <c r="H1505" s="3">
        <f>_xlfn.IFNA(VLOOKUP($A1505,[3]stockregister!$A$2:$L$2000,11,0),0)-$G1505</f>
        <v>0</v>
      </c>
      <c r="I1505" s="3">
        <f>_xlfn.IFNA(VLOOKUP($A1505,[3]stockregister!$A$2:$L$2000,12,0),0)</f>
        <v>6800</v>
      </c>
      <c r="J1505" s="3">
        <f>_xlfn.IFNA(VLOOKUP($A1505,[3]stockregister!$A$1:$M$2000,12,0),0)-$I1505</f>
        <v>0</v>
      </c>
      <c r="K1505" s="3" t="s">
        <v>22</v>
      </c>
      <c r="L1505" s="3" t="s">
        <v>23</v>
      </c>
      <c r="M1505" s="3">
        <f>_xlfn.IFNA(VLOOKUP($A1505,[2]stockregister!$A$2:$H$2000,8,0),0)</f>
        <v>7000</v>
      </c>
      <c r="N1505" s="3">
        <f>_xlfn.IFNA(VLOOKUP($A1505,[2]stockregister!$A$2:$H$2000,8,0),0)-$M1505</f>
        <v>0</v>
      </c>
      <c r="O1505" s="3" t="s">
        <v>3502</v>
      </c>
      <c r="P1505" s="3" t="s">
        <v>3502</v>
      </c>
      <c r="Q1505" s="3" t="s">
        <v>1409</v>
      </c>
      <c r="R1505" s="3" t="s">
        <v>92</v>
      </c>
      <c r="S1505" s="3" t="s">
        <v>1280</v>
      </c>
    </row>
    <row r="1506" spans="1:19">
      <c r="A1506" s="3">
        <v>1024</v>
      </c>
      <c r="B1506" s="3" t="b">
        <f>ISNUMBER(MATCH(A1506,[1]stockregister!$A$2:$A$2000,0))</f>
        <v>1</v>
      </c>
      <c r="C1506" s="3" t="s">
        <v>3503</v>
      </c>
      <c r="D1506" s="3" t="str">
        <f>VLOOKUP($C1506,[1]stockregister!$B$2:$B$2000,1,0)</f>
        <v>JACK DANIELS 375 ML</v>
      </c>
      <c r="E1506" s="3" t="str">
        <f>IF(ISNA($D1506),VLOOKUP($A1506,[2]stockregister!$A$2:$B$2000,2,FALSE),"")</f>
        <v/>
      </c>
      <c r="F1506" s="3" t="s">
        <v>21</v>
      </c>
      <c r="G1506" s="3">
        <f>_xlfn.IFNA(VLOOKUP($A1506,[3]stockregister!$A$2:$L$2000,11,0),0)</f>
        <v>0</v>
      </c>
      <c r="H1506" s="3">
        <f>_xlfn.IFNA(VLOOKUP($A1506,[3]stockregister!$A$2:$L$2000,11,0),0)-$G1506</f>
        <v>0</v>
      </c>
      <c r="I1506" s="3">
        <f>_xlfn.IFNA(VLOOKUP($A1506,[3]stockregister!$A$2:$L$2000,12,0),0)</f>
        <v>1240</v>
      </c>
      <c r="J1506" s="3">
        <f>_xlfn.IFNA(VLOOKUP($A1506,[3]stockregister!$A$1:$M$2000,12,0),0)-$I1506</f>
        <v>0</v>
      </c>
      <c r="K1506" s="3" t="s">
        <v>22</v>
      </c>
      <c r="L1506" s="3" t="s">
        <v>23</v>
      </c>
      <c r="M1506" s="3">
        <f>_xlfn.IFNA(VLOOKUP($A1506,[2]stockregister!$A$2:$H$2000,8,0),0)</f>
        <v>1700</v>
      </c>
      <c r="N1506" s="3">
        <f>_xlfn.IFNA(VLOOKUP($A1506,[2]stockregister!$A$2:$H$2000,8,0),0)-$M1506</f>
        <v>0</v>
      </c>
      <c r="O1506" s="3" t="s">
        <v>3504</v>
      </c>
      <c r="P1506" s="3" t="s">
        <v>3504</v>
      </c>
      <c r="Q1506" s="3" t="s">
        <v>236</v>
      </c>
      <c r="R1506" s="3" t="s">
        <v>92</v>
      </c>
      <c r="S1506" s="3" t="s">
        <v>237</v>
      </c>
    </row>
    <row r="1507" spans="1:19">
      <c r="A1507" s="3">
        <v>1039</v>
      </c>
      <c r="B1507" s="3" t="b">
        <f>ISNUMBER(MATCH(A1507,[1]stockregister!$A$2:$A$2000,0))</f>
        <v>1</v>
      </c>
      <c r="C1507" s="3" t="s">
        <v>3505</v>
      </c>
      <c r="D1507" s="3" t="str">
        <f>VLOOKUP($C1507,[1]stockregister!$B$2:$B$2000,1,0)</f>
        <v>JACK DANIELS WHISKY 3LTR</v>
      </c>
      <c r="E1507" s="3" t="str">
        <f>IF(ISNA($D1507),VLOOKUP($A1507,[2]stockregister!$A$2:$B$2000,2,FALSE),"")</f>
        <v/>
      </c>
      <c r="F1507" s="3" t="s">
        <v>21</v>
      </c>
      <c r="G1507" s="3">
        <f>_xlfn.IFNA(VLOOKUP($A1507,[3]stockregister!$A$2:$L$2000,11,0),0)</f>
        <v>0</v>
      </c>
      <c r="H1507" s="3">
        <f>_xlfn.IFNA(VLOOKUP($A1507,[3]stockregister!$A$2:$L$2000,11,0),0)-$G1507</f>
        <v>0</v>
      </c>
      <c r="I1507" s="3">
        <f>_xlfn.IFNA(VLOOKUP($A1507,[3]stockregister!$A$2:$L$2000,12,0),0)</f>
        <v>12880</v>
      </c>
      <c r="J1507" s="3">
        <f>_xlfn.IFNA(VLOOKUP($A1507,[3]stockregister!$A$1:$M$2000,12,0),0)-$I1507</f>
        <v>0</v>
      </c>
      <c r="K1507" s="3" t="s">
        <v>22</v>
      </c>
      <c r="L1507" s="3" t="s">
        <v>23</v>
      </c>
      <c r="M1507" s="3">
        <f>_xlfn.IFNA(VLOOKUP($A1507,[2]stockregister!$A$2:$H$2000,8,0),0)</f>
        <v>13700</v>
      </c>
      <c r="N1507" s="3">
        <f>_xlfn.IFNA(VLOOKUP($A1507,[2]stockregister!$A$2:$H$2000,8,0),0)-$M1507</f>
        <v>0</v>
      </c>
      <c r="O1507" s="3" t="s">
        <v>3506</v>
      </c>
      <c r="P1507" s="3" t="s">
        <v>3506</v>
      </c>
      <c r="Q1507" s="3" t="s">
        <v>236</v>
      </c>
      <c r="R1507" s="3" t="s">
        <v>92</v>
      </c>
      <c r="S1507" s="3" t="s">
        <v>237</v>
      </c>
    </row>
    <row r="1508" spans="1:19">
      <c r="A1508" s="3">
        <v>1031</v>
      </c>
      <c r="B1508" s="3" t="b">
        <f>ISNUMBER(MATCH(A1508,[1]stockregister!$A$2:$A$2000,0))</f>
        <v>1</v>
      </c>
      <c r="C1508" s="3" t="s">
        <v>3507</v>
      </c>
      <c r="D1508" s="3" t="str">
        <f>VLOOKUP($C1508,[1]stockregister!$B$2:$B$2000,1,0)</f>
        <v>JACK DANIELS HONEY WHISKY 700ML</v>
      </c>
      <c r="E1508" s="3" t="str">
        <f>IF(ISNA($D1508),VLOOKUP($A1508,[2]stockregister!$A$2:$B$2000,2,FALSE),"")</f>
        <v/>
      </c>
      <c r="F1508" s="3" t="s">
        <v>21</v>
      </c>
      <c r="G1508" s="3">
        <f>_xlfn.IFNA(VLOOKUP($A1508,[3]stockregister!$A$2:$L$2000,11,0),0)</f>
        <v>0</v>
      </c>
      <c r="H1508" s="3">
        <f>_xlfn.IFNA(VLOOKUP($A1508,[3]stockregister!$A$2:$L$2000,11,0),0)-$G1508</f>
        <v>0</v>
      </c>
      <c r="I1508" s="3">
        <f>_xlfn.IFNA(VLOOKUP($A1508,[3]stockregister!$A$2:$L$2000,12,0),0)</f>
        <v>2100</v>
      </c>
      <c r="J1508" s="3">
        <f>_xlfn.IFNA(VLOOKUP($A1508,[3]stockregister!$A$1:$M$2000,12,0),0)-$I1508</f>
        <v>0</v>
      </c>
      <c r="K1508" s="3" t="s">
        <v>22</v>
      </c>
      <c r="L1508" s="3" t="s">
        <v>23</v>
      </c>
      <c r="M1508" s="3">
        <f>_xlfn.IFNA(VLOOKUP($A1508,[2]stockregister!$A$2:$H$2000,8,0),0)</f>
        <v>3300</v>
      </c>
      <c r="N1508" s="3">
        <f>_xlfn.IFNA(VLOOKUP($A1508,[2]stockregister!$A$2:$H$2000,8,0),0)-$M1508</f>
        <v>0</v>
      </c>
      <c r="O1508" s="3" t="s">
        <v>3508</v>
      </c>
      <c r="P1508" s="3" t="s">
        <v>3508</v>
      </c>
      <c r="Q1508" s="3" t="s">
        <v>236</v>
      </c>
      <c r="R1508" s="3" t="s">
        <v>92</v>
      </c>
      <c r="S1508" s="3" t="s">
        <v>237</v>
      </c>
    </row>
    <row r="1509" spans="1:19">
      <c r="A1509" s="3">
        <v>1020</v>
      </c>
      <c r="B1509" s="3" t="b">
        <f>ISNUMBER(MATCH(A1509,[1]stockregister!$A$2:$A$2000,0))</f>
        <v>1</v>
      </c>
      <c r="C1509" s="3" t="s">
        <v>3509</v>
      </c>
      <c r="D1509" s="3" t="str">
        <f>VLOOKUP($C1509,[1]stockregister!$B$2:$B$2000,1,0)</f>
        <v>JACK DANIEL HONEY WHISKY 1LTR</v>
      </c>
      <c r="E1509" s="3" t="str">
        <f>IF(ISNA($D1509),VLOOKUP($A1509,[2]stockregister!$A$2:$B$2000,2,FALSE),"")</f>
        <v/>
      </c>
      <c r="F1509" s="3" t="s">
        <v>21</v>
      </c>
      <c r="G1509" s="3">
        <f>_xlfn.IFNA(VLOOKUP($A1509,[3]stockregister!$A$2:$L$2000,11,0),0)</f>
        <v>6</v>
      </c>
      <c r="H1509" s="3">
        <f>_xlfn.IFNA(VLOOKUP($A1509,[3]stockregister!$A$2:$L$2000,11,0),0)-$G1509</f>
        <v>0</v>
      </c>
      <c r="I1509" s="3">
        <f>_xlfn.IFNA(VLOOKUP($A1509,[3]stockregister!$A$2:$L$2000,12,0),0)</f>
        <v>2680</v>
      </c>
      <c r="J1509" s="3">
        <f>_xlfn.IFNA(VLOOKUP($A1509,[3]stockregister!$A$1:$M$2000,12,0),0)-$I1509</f>
        <v>0</v>
      </c>
      <c r="K1509" s="3" t="s">
        <v>22</v>
      </c>
      <c r="L1509" s="3" t="s">
        <v>23</v>
      </c>
      <c r="M1509" s="3">
        <f>_xlfn.IFNA(VLOOKUP($A1509,[2]stockregister!$A$2:$H$2000,8,0),0)</f>
        <v>3500</v>
      </c>
      <c r="N1509" s="3">
        <f>_xlfn.IFNA(VLOOKUP($A1509,[2]stockregister!$A$2:$H$2000,8,0),0)-$M1509</f>
        <v>0</v>
      </c>
      <c r="O1509" s="3" t="s">
        <v>3510</v>
      </c>
      <c r="P1509" s="3" t="s">
        <v>3510</v>
      </c>
      <c r="Q1509" s="3" t="s">
        <v>236</v>
      </c>
      <c r="R1509" s="3" t="s">
        <v>92</v>
      </c>
      <c r="S1509" s="3" t="s">
        <v>237</v>
      </c>
    </row>
    <row r="1510" spans="1:19">
      <c r="A1510" s="3">
        <v>817</v>
      </c>
      <c r="B1510" s="3" t="b">
        <f>ISNUMBER(MATCH(A1510,[1]stockregister!$A$2:$A$2000,0))</f>
        <v>1</v>
      </c>
      <c r="C1510" s="3" t="s">
        <v>3511</v>
      </c>
      <c r="D1510" s="3" t="str">
        <f>VLOOKUP($C1510,[1]stockregister!$B$2:$B$2000,1,0)</f>
        <v>GENTLEMAN JACK 750ML</v>
      </c>
      <c r="E1510" s="3" t="str">
        <f>IF(ISNA($D1510),VLOOKUP($A1510,[2]stockregister!$A$2:$B$2000,2,FALSE),"")</f>
        <v/>
      </c>
      <c r="F1510" s="3" t="s">
        <v>21</v>
      </c>
      <c r="G1510" s="3">
        <f>_xlfn.IFNA(VLOOKUP($A1510,[3]stockregister!$A$2:$L$2000,11,0),0)</f>
        <v>0</v>
      </c>
      <c r="H1510" s="3">
        <f>_xlfn.IFNA(VLOOKUP($A1510,[3]stockregister!$A$2:$L$2000,11,0),0)-$G1510</f>
        <v>0</v>
      </c>
      <c r="I1510" s="3">
        <f>_xlfn.IFNA(VLOOKUP($A1510,[3]stockregister!$A$2:$L$2000,12,0),0)</f>
        <v>4056.1</v>
      </c>
      <c r="J1510" s="3">
        <f>_xlfn.IFNA(VLOOKUP($A1510,[3]stockregister!$A$1:$M$2000,12,0),0)-$I1510</f>
        <v>0</v>
      </c>
      <c r="K1510" s="3" t="s">
        <v>22</v>
      </c>
      <c r="L1510" s="3" t="s">
        <v>23</v>
      </c>
      <c r="M1510" s="3">
        <f>_xlfn.IFNA(VLOOKUP($A1510,[2]stockregister!$A$2:$H$2000,8,0),0)</f>
        <v>4600</v>
      </c>
      <c r="N1510" s="3">
        <f>_xlfn.IFNA(VLOOKUP($A1510,[2]stockregister!$A$2:$H$2000,8,0),0)-$M1510</f>
        <v>0</v>
      </c>
      <c r="O1510" s="3" t="s">
        <v>3512</v>
      </c>
      <c r="P1510" s="3" t="s">
        <v>3512</v>
      </c>
      <c r="Q1510" s="3" t="s">
        <v>236</v>
      </c>
      <c r="R1510" s="3" t="s">
        <v>92</v>
      </c>
      <c r="S1510" s="3" t="s">
        <v>237</v>
      </c>
    </row>
    <row r="1511" spans="1:19">
      <c r="A1511" s="3">
        <v>1019</v>
      </c>
      <c r="B1511" s="3" t="b">
        <f>ISNUMBER(MATCH(A1511,[1]stockregister!$A$2:$A$2000,0))</f>
        <v>1</v>
      </c>
      <c r="C1511" s="3" t="s">
        <v>3513</v>
      </c>
      <c r="D1511" s="3" t="str">
        <f>VLOOKUP($C1511,[1]stockregister!$B$2:$B$2000,1,0)</f>
        <v>JACK DANIEL FIRE WHISKY 750ML</v>
      </c>
      <c r="E1511" s="3" t="str">
        <f>IF(ISNA($D1511),VLOOKUP($A1511,[2]stockregister!$A$2:$B$2000,2,FALSE),"")</f>
        <v/>
      </c>
      <c r="F1511" s="3" t="s">
        <v>21</v>
      </c>
      <c r="G1511" s="3">
        <f>_xlfn.IFNA(VLOOKUP($A1511,[3]stockregister!$A$2:$L$2000,11,0),0)</f>
        <v>0</v>
      </c>
      <c r="H1511" s="3">
        <f>_xlfn.IFNA(VLOOKUP($A1511,[3]stockregister!$A$2:$L$2000,11,0),0)-$G1511</f>
        <v>0</v>
      </c>
      <c r="I1511" s="3">
        <f>_xlfn.IFNA(VLOOKUP($A1511,[3]stockregister!$A$2:$L$2000,12,0),0)</f>
        <v>1990</v>
      </c>
      <c r="J1511" s="3">
        <f>_xlfn.IFNA(VLOOKUP($A1511,[3]stockregister!$A$1:$M$2000,12,0),0)-$I1511</f>
        <v>0</v>
      </c>
      <c r="K1511" s="3" t="s">
        <v>22</v>
      </c>
      <c r="L1511" s="3" t="s">
        <v>23</v>
      </c>
      <c r="M1511" s="3">
        <f>_xlfn.IFNA(VLOOKUP($A1511,[2]stockregister!$A$2:$H$2000,8,0),0)</f>
        <v>2850</v>
      </c>
      <c r="N1511" s="3">
        <f>_xlfn.IFNA(VLOOKUP($A1511,[2]stockregister!$A$2:$H$2000,8,0),0)-$M1511</f>
        <v>0</v>
      </c>
      <c r="O1511" s="3" t="s">
        <v>3514</v>
      </c>
      <c r="P1511" s="3" t="s">
        <v>3514</v>
      </c>
      <c r="Q1511" s="3" t="s">
        <v>236</v>
      </c>
      <c r="R1511" s="3" t="s">
        <v>92</v>
      </c>
      <c r="S1511" s="3" t="s">
        <v>237</v>
      </c>
    </row>
    <row r="1512" spans="1:19">
      <c r="A1512" s="3">
        <v>1022</v>
      </c>
      <c r="B1512" s="3" t="b">
        <f>ISNUMBER(MATCH(A1512,[1]stockregister!$A$2:$A$2000,0))</f>
        <v>1</v>
      </c>
      <c r="C1512" s="3" t="s">
        <v>3515</v>
      </c>
      <c r="D1512" s="3" t="str">
        <f>VLOOKUP($C1512,[1]stockregister!$B$2:$B$2000,1,0)</f>
        <v>JACK DANIEL'S MASTER DISTILLER SERIES WHISKY 1LTR</v>
      </c>
      <c r="E1512" s="3" t="str">
        <f>IF(ISNA($D1512),VLOOKUP($A1512,[2]stockregister!$A$2:$B$2000,2,FALSE),"")</f>
        <v/>
      </c>
      <c r="F1512" s="3" t="s">
        <v>21</v>
      </c>
      <c r="G1512" s="3">
        <f>_xlfn.IFNA(VLOOKUP($A1512,[3]stockregister!$A$2:$L$2000,11,0),0)</f>
        <v>0</v>
      </c>
      <c r="H1512" s="3">
        <f>_xlfn.IFNA(VLOOKUP($A1512,[3]stockregister!$A$2:$L$2000,11,0),0)-$G1512</f>
        <v>0</v>
      </c>
      <c r="I1512" s="3">
        <f>_xlfn.IFNA(VLOOKUP($A1512,[3]stockregister!$A$2:$L$2000,12,0),0)</f>
        <v>3220</v>
      </c>
      <c r="J1512" s="3">
        <f>_xlfn.IFNA(VLOOKUP($A1512,[3]stockregister!$A$1:$M$2000,12,0),0)-$I1512</f>
        <v>0</v>
      </c>
      <c r="K1512" s="3" t="s">
        <v>22</v>
      </c>
      <c r="L1512" s="3" t="s">
        <v>23</v>
      </c>
      <c r="M1512" s="3">
        <f>_xlfn.IFNA(VLOOKUP($A1512,[2]stockregister!$A$2:$H$2000,8,0),0)</f>
        <v>3500</v>
      </c>
      <c r="N1512" s="3">
        <f>_xlfn.IFNA(VLOOKUP($A1512,[2]stockregister!$A$2:$H$2000,8,0),0)-$M1512</f>
        <v>0</v>
      </c>
      <c r="O1512" s="3" t="s">
        <v>3516</v>
      </c>
      <c r="P1512" s="3" t="s">
        <v>3516</v>
      </c>
      <c r="Q1512" s="3" t="s">
        <v>236</v>
      </c>
      <c r="R1512" s="3" t="s">
        <v>92</v>
      </c>
      <c r="S1512" s="3" t="s">
        <v>237</v>
      </c>
    </row>
    <row r="1513" spans="1:19">
      <c r="A1513" s="3">
        <v>1026</v>
      </c>
      <c r="B1513" s="3" t="b">
        <f>ISNUMBER(MATCH(A1513,[1]stockregister!$A$2:$A$2000,0))</f>
        <v>1</v>
      </c>
      <c r="C1513" s="3" t="s">
        <v>3517</v>
      </c>
      <c r="D1513" s="3" t="str">
        <f>VLOOKUP($C1513,[1]stockregister!$B$2:$B$2000,1,0)</f>
        <v>JACK DANIELS APPLE 700ML</v>
      </c>
      <c r="E1513" s="3" t="str">
        <f>IF(ISNA($D1513),VLOOKUP($A1513,[2]stockregister!$A$2:$B$2000,2,FALSE),"")</f>
        <v/>
      </c>
      <c r="F1513" s="3" t="s">
        <v>21</v>
      </c>
      <c r="G1513" s="3">
        <f>_xlfn.IFNA(VLOOKUP($A1513,[3]stockregister!$A$2:$L$2000,11,0),0)</f>
        <v>0</v>
      </c>
      <c r="H1513" s="3">
        <f>_xlfn.IFNA(VLOOKUP($A1513,[3]stockregister!$A$2:$L$2000,11,0),0)-$G1513</f>
        <v>0</v>
      </c>
      <c r="I1513" s="3">
        <f>_xlfn.IFNA(VLOOKUP($A1513,[3]stockregister!$A$2:$L$2000,12,0),0)</f>
        <v>1990</v>
      </c>
      <c r="J1513" s="3">
        <f>_xlfn.IFNA(VLOOKUP($A1513,[3]stockregister!$A$1:$M$2000,12,0),0)-$I1513</f>
        <v>0</v>
      </c>
      <c r="K1513" s="3" t="s">
        <v>22</v>
      </c>
      <c r="L1513" s="3" t="s">
        <v>23</v>
      </c>
      <c r="M1513" s="3">
        <f>_xlfn.IFNA(VLOOKUP($A1513,[2]stockregister!$A$2:$H$2000,8,0),0)</f>
        <v>2700</v>
      </c>
      <c r="N1513" s="3">
        <f>_xlfn.IFNA(VLOOKUP($A1513,[2]stockregister!$A$2:$H$2000,8,0),0)-$M1513</f>
        <v>0</v>
      </c>
      <c r="O1513" s="3" t="s">
        <v>3518</v>
      </c>
      <c r="P1513" s="3" t="s">
        <v>3518</v>
      </c>
      <c r="Q1513" s="3" t="s">
        <v>236</v>
      </c>
      <c r="R1513" s="3" t="s">
        <v>92</v>
      </c>
      <c r="S1513" s="3" t="s">
        <v>237</v>
      </c>
    </row>
    <row r="1514" spans="1:19">
      <c r="A1514" s="3">
        <v>1032</v>
      </c>
      <c r="B1514" s="3" t="b">
        <f>ISNUMBER(MATCH(A1514,[1]stockregister!$A$2:$A$2000,0))</f>
        <v>1</v>
      </c>
      <c r="C1514" s="3" t="s">
        <v>3519</v>
      </c>
      <c r="D1514" s="3" t="str">
        <f>VLOOKUP($C1514,[1]stockregister!$B$2:$B$2000,1,0)</f>
        <v>JACK DANIELS LEGACY EDITION 1 1LTR</v>
      </c>
      <c r="E1514" s="3" t="str">
        <f>IF(ISNA($D1514),VLOOKUP($A1514,[2]stockregister!$A$2:$B$2000,2,FALSE),"")</f>
        <v/>
      </c>
      <c r="F1514" s="3" t="s">
        <v>21</v>
      </c>
      <c r="G1514" s="3">
        <f>_xlfn.IFNA(VLOOKUP($A1514,[3]stockregister!$A$2:$L$2000,11,0),0)</f>
        <v>0</v>
      </c>
      <c r="H1514" s="3">
        <f>_xlfn.IFNA(VLOOKUP($A1514,[3]stockregister!$A$2:$L$2000,11,0),0)-$G1514</f>
        <v>0</v>
      </c>
      <c r="I1514" s="3">
        <f>_xlfn.IFNA(VLOOKUP($A1514,[3]stockregister!$A$2:$L$2000,12,0),0)</f>
        <v>4140</v>
      </c>
      <c r="J1514" s="3">
        <f>_xlfn.IFNA(VLOOKUP($A1514,[3]stockregister!$A$1:$M$2000,12,0),0)-$I1514</f>
        <v>0</v>
      </c>
      <c r="K1514" s="3" t="s">
        <v>22</v>
      </c>
      <c r="L1514" s="3" t="s">
        <v>23</v>
      </c>
      <c r="M1514" s="3">
        <f>_xlfn.IFNA(VLOOKUP($A1514,[2]stockregister!$A$2:$H$2000,8,0),0)</f>
        <v>4500</v>
      </c>
      <c r="N1514" s="3">
        <f>_xlfn.IFNA(VLOOKUP($A1514,[2]stockregister!$A$2:$H$2000,8,0),0)-$M1514</f>
        <v>0</v>
      </c>
      <c r="O1514" s="3" t="s">
        <v>3520</v>
      </c>
      <c r="P1514" s="3" t="s">
        <v>3520</v>
      </c>
      <c r="Q1514" s="3" t="s">
        <v>236</v>
      </c>
      <c r="R1514" s="3" t="s">
        <v>92</v>
      </c>
      <c r="S1514" s="3" t="s">
        <v>237</v>
      </c>
    </row>
    <row r="1515" spans="1:19">
      <c r="A1515" s="3">
        <v>2330</v>
      </c>
      <c r="B1515" s="3" t="b">
        <f>ISNUMBER(MATCH(A1515,[1]stockregister!$A$2:$A$2000,0))</f>
        <v>1</v>
      </c>
      <c r="C1515" s="3" t="s">
        <v>3521</v>
      </c>
      <c r="D1515" s="3" t="str">
        <f>VLOOKUP($C1515,[1]stockregister!$B$2:$B$2000,1,0)</f>
        <v>JACK DANIELS RYE 1LTR</v>
      </c>
      <c r="E1515" s="3" t="str">
        <f>IF(ISNA($D1515),VLOOKUP($A1515,[2]stockregister!$A$2:$B$2000,2,FALSE),"")</f>
        <v/>
      </c>
      <c r="F1515" s="3" t="s">
        <v>21</v>
      </c>
      <c r="G1515" s="3">
        <f>_xlfn.IFNA(VLOOKUP($A1515,[3]stockregister!$A$2:$L$2000,11,0),0)</f>
        <v>0</v>
      </c>
      <c r="H1515" s="3">
        <f>_xlfn.IFNA(VLOOKUP($A1515,[3]stockregister!$A$2:$L$2000,11,0),0)-$G1515</f>
        <v>0</v>
      </c>
      <c r="I1515" s="3">
        <f>_xlfn.IFNA(VLOOKUP($A1515,[3]stockregister!$A$2:$L$2000,12,0),0)</f>
        <v>3650</v>
      </c>
      <c r="J1515" s="3">
        <f>_xlfn.IFNA(VLOOKUP($A1515,[3]stockregister!$A$1:$M$2000,12,0),0)-$I1515</f>
        <v>0</v>
      </c>
      <c r="K1515" s="3" t="s">
        <v>22</v>
      </c>
      <c r="L1515" s="3" t="s">
        <v>23</v>
      </c>
      <c r="M1515" s="3">
        <f>_xlfn.IFNA(VLOOKUP($A1515,[2]stockregister!$A$2:$H$2000,8,0),0)</f>
        <v>4000</v>
      </c>
      <c r="N1515" s="3">
        <f>_xlfn.IFNA(VLOOKUP($A1515,[2]stockregister!$A$2:$H$2000,8,0),0)-$M1515</f>
        <v>0</v>
      </c>
      <c r="O1515" s="3" t="s">
        <v>3522</v>
      </c>
      <c r="P1515" s="3" t="s">
        <v>3522</v>
      </c>
      <c r="Q1515" s="3" t="s">
        <v>236</v>
      </c>
      <c r="R1515" s="3" t="s">
        <v>92</v>
      </c>
      <c r="S1515" s="3" t="s">
        <v>3523</v>
      </c>
    </row>
    <row r="1516" spans="1:19">
      <c r="A1516" s="3">
        <v>781</v>
      </c>
      <c r="B1516" s="3" t="b">
        <f>ISNUMBER(MATCH(A1516,[1]stockregister!$A$2:$A$2000,0))</f>
        <v>1</v>
      </c>
      <c r="C1516" s="3" t="s">
        <v>3524</v>
      </c>
      <c r="D1516" s="3" t="str">
        <f>VLOOKUP($C1516,[1]stockregister!$B$2:$B$2000,1,0)</f>
        <v>FRONTERA AFTER MIDNIGHT 750ML</v>
      </c>
      <c r="E1516" s="3" t="str">
        <f>IF(ISNA($D1516),VLOOKUP($A1516,[2]stockregister!$A$2:$B$2000,2,FALSE),"")</f>
        <v/>
      </c>
      <c r="F1516" s="3" t="s">
        <v>21</v>
      </c>
      <c r="G1516" s="3">
        <f>_xlfn.IFNA(VLOOKUP($A1516,[3]stockregister!$A$2:$L$2000,11,0),0)</f>
        <v>0</v>
      </c>
      <c r="H1516" s="3">
        <f>_xlfn.IFNA(VLOOKUP($A1516,[3]stockregister!$A$2:$L$2000,11,0),0)-$G1516</f>
        <v>0</v>
      </c>
      <c r="I1516" s="3">
        <f>_xlfn.IFNA(VLOOKUP($A1516,[3]stockregister!$A$2:$L$2000,12,0),0)</f>
        <v>1000</v>
      </c>
      <c r="J1516" s="3">
        <f>_xlfn.IFNA(VLOOKUP($A1516,[3]stockregister!$A$1:$M$2000,12,0),0)-$I1516</f>
        <v>0</v>
      </c>
      <c r="K1516" s="3" t="s">
        <v>22</v>
      </c>
      <c r="L1516" s="3" t="s">
        <v>23</v>
      </c>
      <c r="M1516" s="3">
        <f>_xlfn.IFNA(VLOOKUP($A1516,[2]stockregister!$A$2:$H$2000,8,0),0)</f>
        <v>1080</v>
      </c>
      <c r="N1516" s="3">
        <f>_xlfn.IFNA(VLOOKUP($A1516,[2]stockregister!$A$2:$H$2000,8,0),0)-$M1516</f>
        <v>0</v>
      </c>
      <c r="O1516" s="3" t="s">
        <v>3525</v>
      </c>
      <c r="P1516" s="3" t="s">
        <v>3525</v>
      </c>
      <c r="Q1516" s="3" t="s">
        <v>1082</v>
      </c>
      <c r="R1516" s="3" t="s">
        <v>68</v>
      </c>
      <c r="S1516" s="3" t="s">
        <v>3526</v>
      </c>
    </row>
    <row r="1517" spans="1:19">
      <c r="A1517" s="3">
        <v>1509</v>
      </c>
      <c r="B1517" s="3" t="b">
        <f>ISNUMBER(MATCH(A1517,[1]stockregister!$A$2:$A$2000,0))</f>
        <v>1</v>
      </c>
      <c r="C1517" s="3" t="s">
        <v>3527</v>
      </c>
      <c r="D1517" s="3" t="str">
        <f>VLOOKUP($C1517,[1]stockregister!$B$2:$B$2000,1,0)</f>
        <v>NEDERBURG - BARONE 750ML</v>
      </c>
      <c r="E1517" s="3" t="str">
        <f>IF(ISNA($D1517),VLOOKUP($A1517,[2]stockregister!$A$2:$B$2000,2,FALSE),"")</f>
        <v/>
      </c>
      <c r="F1517" s="3" t="s">
        <v>21</v>
      </c>
      <c r="G1517" s="3">
        <f>_xlfn.IFNA(VLOOKUP($A1517,[3]stockregister!$A$2:$L$2000,11,0),0)</f>
        <v>0</v>
      </c>
      <c r="H1517" s="3">
        <f>_xlfn.IFNA(VLOOKUP($A1517,[3]stockregister!$A$2:$L$2000,11,0),0)-$G1517</f>
        <v>0</v>
      </c>
      <c r="I1517" s="3">
        <f>_xlfn.IFNA(VLOOKUP($A1517,[3]stockregister!$A$2:$L$2000,12,0),0)</f>
        <v>1334</v>
      </c>
      <c r="J1517" s="3">
        <f>_xlfn.IFNA(VLOOKUP($A1517,[3]stockregister!$A$1:$M$2000,12,0),0)-$I1517</f>
        <v>0</v>
      </c>
      <c r="K1517" s="3" t="s">
        <v>22</v>
      </c>
      <c r="L1517" s="3" t="s">
        <v>23</v>
      </c>
      <c r="M1517" s="3">
        <f>_xlfn.IFNA(VLOOKUP($A1517,[2]stockregister!$A$2:$H$2000,8,0),0)</f>
        <v>1450</v>
      </c>
      <c r="N1517" s="3">
        <f>_xlfn.IFNA(VLOOKUP($A1517,[2]stockregister!$A$2:$H$2000,8,0),0)-$M1517</f>
        <v>0</v>
      </c>
      <c r="O1517" s="3" t="s">
        <v>3528</v>
      </c>
      <c r="P1517" s="3" t="s">
        <v>3528</v>
      </c>
      <c r="Q1517" s="3" t="s">
        <v>368</v>
      </c>
      <c r="R1517" s="3" t="s">
        <v>68</v>
      </c>
      <c r="S1517" s="3" t="s">
        <v>3529</v>
      </c>
    </row>
    <row r="1518" spans="1:19">
      <c r="A1518" s="3">
        <v>443</v>
      </c>
      <c r="B1518" s="3" t="b">
        <f>ISNUMBER(MATCH(A1518,[1]stockregister!$A$2:$A$2000,0))</f>
        <v>1</v>
      </c>
      <c r="C1518" s="3" t="s">
        <v>3530</v>
      </c>
      <c r="D1518" s="3" t="str">
        <f>VLOOKUP($C1518,[1]stockregister!$B$2:$B$2000,1,0)</f>
        <v>CHARLES HEIDSECK BLANC DE BLANC 750ml</v>
      </c>
      <c r="E1518" s="3" t="str">
        <f>IF(ISNA($D1518),VLOOKUP($A1518,[2]stockregister!$A$2:$B$2000,2,FALSE),"")</f>
        <v/>
      </c>
      <c r="F1518" s="3" t="s">
        <v>21</v>
      </c>
      <c r="G1518" s="3">
        <f>_xlfn.IFNA(VLOOKUP($A1518,[3]stockregister!$A$2:$L$2000,11,0),0)</f>
        <v>0</v>
      </c>
      <c r="H1518" s="3">
        <f>_xlfn.IFNA(VLOOKUP($A1518,[3]stockregister!$A$2:$L$2000,11,0),0)-$G1518</f>
        <v>0</v>
      </c>
      <c r="I1518" s="3">
        <f>_xlfn.IFNA(VLOOKUP($A1518,[3]stockregister!$A$2:$L$2000,12,0),0)</f>
        <v>8740</v>
      </c>
      <c r="J1518" s="3">
        <f>_xlfn.IFNA(VLOOKUP($A1518,[3]stockregister!$A$1:$M$2000,12,0),0)-$I1518</f>
        <v>0</v>
      </c>
      <c r="K1518" s="3" t="s">
        <v>22</v>
      </c>
      <c r="L1518" s="3" t="s">
        <v>23</v>
      </c>
      <c r="M1518" s="3">
        <f>_xlfn.IFNA(VLOOKUP($A1518,[2]stockregister!$A$2:$H$2000,8,0),0)</f>
        <v>9500</v>
      </c>
      <c r="N1518" s="3">
        <f>_xlfn.IFNA(VLOOKUP($A1518,[2]stockregister!$A$2:$H$2000,8,0),0)-$M1518</f>
        <v>0</v>
      </c>
      <c r="O1518" s="3" t="s">
        <v>3531</v>
      </c>
      <c r="P1518" s="3" t="s">
        <v>3531</v>
      </c>
      <c r="Q1518" s="3" t="s">
        <v>3532</v>
      </c>
      <c r="R1518" s="3" t="s">
        <v>68</v>
      </c>
      <c r="S1518" s="3" t="s">
        <v>1135</v>
      </c>
    </row>
    <row r="1519" spans="1:19">
      <c r="A1519" s="3">
        <v>115</v>
      </c>
      <c r="B1519" s="3" t="b">
        <f>ISNUMBER(MATCH(A1519,[1]stockregister!$A$2:$A$2000,0))</f>
        <v>1</v>
      </c>
      <c r="C1519" s="3" t="s">
        <v>3533</v>
      </c>
      <c r="D1519" s="3" t="str">
        <f>VLOOKUP($C1519,[1]stockregister!$B$2:$B$2000,1,0)</f>
        <v>ARNEGUI VIURA BLANC 750ML</v>
      </c>
      <c r="E1519" s="3" t="str">
        <f>IF(ISNA($D1519),VLOOKUP($A1519,[2]stockregister!$A$2:$B$2000,2,FALSE),"")</f>
        <v/>
      </c>
      <c r="F1519" s="3" t="s">
        <v>21</v>
      </c>
      <c r="G1519" s="3">
        <f>_xlfn.IFNA(VLOOKUP($A1519,[3]stockregister!$A$2:$L$2000,11,0),0)</f>
        <v>0</v>
      </c>
      <c r="H1519" s="3">
        <f>_xlfn.IFNA(VLOOKUP($A1519,[3]stockregister!$A$2:$L$2000,11,0),0)-$G1519</f>
        <v>0</v>
      </c>
      <c r="I1519" s="3">
        <f>_xlfn.IFNA(VLOOKUP($A1519,[3]stockregister!$A$2:$L$2000,12,0),0)</f>
        <v>700</v>
      </c>
      <c r="J1519" s="3">
        <f>_xlfn.IFNA(VLOOKUP($A1519,[3]stockregister!$A$1:$M$2000,12,0),0)-$I1519</f>
        <v>0</v>
      </c>
      <c r="K1519" s="3" t="s">
        <v>22</v>
      </c>
      <c r="L1519" s="3" t="s">
        <v>23</v>
      </c>
      <c r="M1519" s="3">
        <f>_xlfn.IFNA(VLOOKUP($A1519,[2]stockregister!$A$2:$H$2000,8,0),0)</f>
        <v>800</v>
      </c>
      <c r="N1519" s="3">
        <f>_xlfn.IFNA(VLOOKUP($A1519,[2]stockregister!$A$2:$H$2000,8,0),0)-$M1519</f>
        <v>0</v>
      </c>
      <c r="O1519" s="3" t="s">
        <v>3534</v>
      </c>
      <c r="P1519" s="3" t="s">
        <v>3534</v>
      </c>
      <c r="Q1519" s="3" t="s">
        <v>1959</v>
      </c>
      <c r="R1519" s="3" t="s">
        <v>68</v>
      </c>
      <c r="S1519" s="3" t="s">
        <v>1135</v>
      </c>
    </row>
    <row r="1520" spans="1:19">
      <c r="A1520" s="3">
        <v>2554</v>
      </c>
      <c r="B1520" s="3" t="b">
        <f>ISNUMBER(MATCH(A1520,[1]stockregister!$A$2:$A$2000,0))</f>
        <v>1</v>
      </c>
      <c r="C1520" s="3" t="s">
        <v>3535</v>
      </c>
      <c r="D1520" s="3" t="str">
        <f>VLOOKUP($C1520,[1]stockregister!$B$2:$B$2000,1,0)</f>
        <v>VAN BLANC DE BLANC 750ML</v>
      </c>
      <c r="E1520" s="3" t="str">
        <f>IF(ISNA($D1520),VLOOKUP($A1520,[2]stockregister!$A$2:$B$2000,2,FALSE),"")</f>
        <v/>
      </c>
      <c r="F1520" s="3" t="s">
        <v>21</v>
      </c>
      <c r="G1520" s="3">
        <f>_xlfn.IFNA(VLOOKUP($A1520,[3]stockregister!$A$2:$L$2000,11,0),0)</f>
        <v>0</v>
      </c>
      <c r="H1520" s="3">
        <f>_xlfn.IFNA(VLOOKUP($A1520,[3]stockregister!$A$2:$L$2000,11,0),0)-$G1520</f>
        <v>0</v>
      </c>
      <c r="I1520" s="3">
        <f>_xlfn.IFNA(VLOOKUP($A1520,[3]stockregister!$A$2:$L$2000,12,0),0)</f>
        <v>1040</v>
      </c>
      <c r="J1520" s="3">
        <f>_xlfn.IFNA(VLOOKUP($A1520,[3]stockregister!$A$1:$M$2000,12,0),0)-$I1520</f>
        <v>0</v>
      </c>
      <c r="K1520" s="3" t="s">
        <v>22</v>
      </c>
      <c r="L1520" s="3" t="s">
        <v>23</v>
      </c>
      <c r="M1520" s="3">
        <f>_xlfn.IFNA(VLOOKUP($A1520,[2]stockregister!$A$2:$H$2000,8,0),0)</f>
        <v>1150</v>
      </c>
      <c r="N1520" s="3">
        <f>_xlfn.IFNA(VLOOKUP($A1520,[2]stockregister!$A$2:$H$2000,8,0),0)-$M1520</f>
        <v>0</v>
      </c>
      <c r="O1520" s="3" t="s">
        <v>3536</v>
      </c>
      <c r="P1520" s="3" t="s">
        <v>3536</v>
      </c>
      <c r="Q1520" s="3" t="s">
        <v>3537</v>
      </c>
      <c r="R1520" s="3" t="s">
        <v>537</v>
      </c>
      <c r="S1520" s="3" t="s">
        <v>1135</v>
      </c>
    </row>
    <row r="1521" spans="1:19">
      <c r="A1521" s="3">
        <v>2557</v>
      </c>
      <c r="B1521" s="3" t="b">
        <f>ISNUMBER(MATCH(A1521,[1]stockregister!$A$2:$A$2000,0))</f>
        <v>1</v>
      </c>
      <c r="C1521" s="3" t="s">
        <v>3538</v>
      </c>
      <c r="D1521" s="3" t="str">
        <f>VLOOKUP($C1521,[1]stockregister!$B$2:$B$2000,1,0)</f>
        <v>VAN CHENIN BLANC NO 5 750ML</v>
      </c>
      <c r="E1521" s="3" t="str">
        <f>IF(ISNA($D1521),VLOOKUP($A1521,[2]stockregister!$A$2:$B$2000,2,FALSE),"")</f>
        <v/>
      </c>
      <c r="F1521" s="3" t="s">
        <v>21</v>
      </c>
      <c r="G1521" s="3">
        <f>_xlfn.IFNA(VLOOKUP($A1521,[3]stockregister!$A$2:$L$2000,11,0),0)</f>
        <v>0</v>
      </c>
      <c r="H1521" s="3">
        <f>_xlfn.IFNA(VLOOKUP($A1521,[3]stockregister!$A$2:$L$2000,11,0),0)-$G1521</f>
        <v>0</v>
      </c>
      <c r="I1521" s="3">
        <f>_xlfn.IFNA(VLOOKUP($A1521,[3]stockregister!$A$2:$L$2000,12,0),0)</f>
        <v>1290</v>
      </c>
      <c r="J1521" s="3">
        <f>_xlfn.IFNA(VLOOKUP($A1521,[3]stockregister!$A$1:$M$2000,12,0),0)-$I1521</f>
        <v>0</v>
      </c>
      <c r="K1521" s="3" t="s">
        <v>22</v>
      </c>
      <c r="L1521" s="3" t="s">
        <v>23</v>
      </c>
      <c r="M1521" s="3">
        <f>_xlfn.IFNA(VLOOKUP($A1521,[2]stockregister!$A$2:$H$2000,8,0),0)</f>
        <v>1450</v>
      </c>
      <c r="N1521" s="3">
        <f>_xlfn.IFNA(VLOOKUP($A1521,[2]stockregister!$A$2:$H$2000,8,0),0)-$M1521</f>
        <v>0</v>
      </c>
      <c r="O1521" s="3" t="s">
        <v>3539</v>
      </c>
      <c r="P1521" s="3" t="s">
        <v>3539</v>
      </c>
      <c r="Q1521" s="3" t="s">
        <v>3537</v>
      </c>
      <c r="R1521" s="3" t="s">
        <v>537</v>
      </c>
      <c r="S1521" s="3" t="s">
        <v>1135</v>
      </c>
    </row>
    <row r="1522" spans="1:19">
      <c r="A1522" s="3">
        <v>349</v>
      </c>
      <c r="B1522" s="3" t="b">
        <f>ISNUMBER(MATCH(A1522,[1]stockregister!$A$2:$A$2000,0))</f>
        <v>1</v>
      </c>
      <c r="C1522" s="3" t="s">
        <v>3540</v>
      </c>
      <c r="D1522" s="3" t="str">
        <f>VLOOKUP($C1522,[1]stockregister!$B$2:$B$2000,1,0)</f>
        <v>CALVET SANCERRE BLANC 750ML</v>
      </c>
      <c r="E1522" s="3" t="str">
        <f>IF(ISNA($D1522),VLOOKUP($A1522,[2]stockregister!$A$2:$B$2000,2,FALSE),"")</f>
        <v/>
      </c>
      <c r="F1522" s="3" t="s">
        <v>21</v>
      </c>
      <c r="G1522" s="3">
        <f>_xlfn.IFNA(VLOOKUP($A1522,[3]stockregister!$A$2:$L$2000,11,0),0)</f>
        <v>0</v>
      </c>
      <c r="H1522" s="3">
        <f>_xlfn.IFNA(VLOOKUP($A1522,[3]stockregister!$A$2:$L$2000,11,0),0)-$G1522</f>
        <v>0</v>
      </c>
      <c r="I1522" s="3">
        <f>_xlfn.IFNA(VLOOKUP($A1522,[3]stockregister!$A$2:$L$2000,12,0),0)</f>
        <v>1472</v>
      </c>
      <c r="J1522" s="3">
        <f>_xlfn.IFNA(VLOOKUP($A1522,[3]stockregister!$A$1:$M$2000,12,0),0)-$I1522</f>
        <v>0</v>
      </c>
      <c r="K1522" s="3" t="s">
        <v>22</v>
      </c>
      <c r="L1522" s="3" t="s">
        <v>23</v>
      </c>
      <c r="M1522" s="3">
        <f>_xlfn.IFNA(VLOOKUP($A1522,[2]stockregister!$A$2:$H$2000,8,0),0)</f>
        <v>1600</v>
      </c>
      <c r="N1522" s="3">
        <f>_xlfn.IFNA(VLOOKUP($A1522,[2]stockregister!$A$2:$H$2000,8,0),0)-$M1522</f>
        <v>0</v>
      </c>
      <c r="O1522" s="3" t="s">
        <v>3541</v>
      </c>
      <c r="P1522" s="3" t="s">
        <v>3541</v>
      </c>
      <c r="Q1522" s="3" t="s">
        <v>1480</v>
      </c>
      <c r="R1522" s="3" t="s">
        <v>68</v>
      </c>
      <c r="S1522" s="3" t="s">
        <v>806</v>
      </c>
    </row>
    <row r="1523" spans="1:19">
      <c r="A1523" s="3">
        <v>1236</v>
      </c>
      <c r="B1523" s="3" t="b">
        <f>ISNUMBER(MATCH(A1523,[1]stockregister!$A$2:$A$2000,0))</f>
        <v>1</v>
      </c>
      <c r="C1523" s="3" t="s">
        <v>3542</v>
      </c>
      <c r="D1523" s="3" t="str">
        <f>VLOOKUP($C1523,[1]stockregister!$B$2:$B$2000,1,0)</f>
        <v>KWV 3YRS BRANDY 750 ML</v>
      </c>
      <c r="E1523" s="3" t="str">
        <f>IF(ISNA($D1523),VLOOKUP($A1523,[2]stockregister!$A$2:$B$2000,2,FALSE),"")</f>
        <v/>
      </c>
      <c r="F1523" s="3" t="s">
        <v>21</v>
      </c>
      <c r="G1523" s="3">
        <f>_xlfn.IFNA(VLOOKUP($A1523,[3]stockregister!$A$2:$L$2000,11,0),0)</f>
        <v>0</v>
      </c>
      <c r="H1523" s="3">
        <f>_xlfn.IFNA(VLOOKUP($A1523,[3]stockregister!$A$2:$L$2000,11,0),0)-$G1523</f>
        <v>0</v>
      </c>
      <c r="I1523" s="3">
        <f>_xlfn.IFNA(VLOOKUP($A1523,[3]stockregister!$A$2:$L$2000,12,0),0)</f>
        <v>1330</v>
      </c>
      <c r="J1523" s="3">
        <f>_xlfn.IFNA(VLOOKUP($A1523,[3]stockregister!$A$1:$M$2000,12,0),0)-$I1523</f>
        <v>0</v>
      </c>
      <c r="K1523" s="3" t="s">
        <v>22</v>
      </c>
      <c r="L1523" s="3" t="s">
        <v>23</v>
      </c>
      <c r="M1523" s="3">
        <f>_xlfn.IFNA(VLOOKUP($A1523,[2]stockregister!$A$2:$H$2000,8,0),0)</f>
        <v>1100</v>
      </c>
      <c r="N1523" s="3">
        <f>_xlfn.IFNA(VLOOKUP($A1523,[2]stockregister!$A$2:$H$2000,8,0),0)-$M1523</f>
        <v>0</v>
      </c>
      <c r="O1523" s="3" t="s">
        <v>3543</v>
      </c>
      <c r="P1523" s="3" t="s">
        <v>3543</v>
      </c>
      <c r="Q1523" s="3" t="s">
        <v>872</v>
      </c>
      <c r="R1523" s="3" t="s">
        <v>68</v>
      </c>
      <c r="S1523" s="3" t="s">
        <v>109</v>
      </c>
    </row>
    <row r="1524" spans="1:19">
      <c r="A1524" s="3">
        <v>2227</v>
      </c>
      <c r="B1524" s="3" t="b">
        <f>ISNUMBER(MATCH(A1524,[1]stockregister!$A$2:$A$2000,0))</f>
        <v>1</v>
      </c>
      <c r="C1524" s="3" t="s">
        <v>3544</v>
      </c>
      <c r="D1524" s="3" t="str">
        <f>VLOOKUP($C1524,[1]stockregister!$B$2:$B$2000,1,0)</f>
        <v>KWV CUVEE BRUT 750ML</v>
      </c>
      <c r="E1524" s="3" t="str">
        <f>IF(ISNA($D1524),VLOOKUP($A1524,[2]stockregister!$A$2:$B$2000,2,FALSE),"")</f>
        <v/>
      </c>
      <c r="F1524" s="3" t="s">
        <v>21</v>
      </c>
      <c r="G1524" s="3">
        <f>_xlfn.IFNA(VLOOKUP($A1524,[3]stockregister!$A$2:$L$2000,11,0),0)</f>
        <v>0</v>
      </c>
      <c r="H1524" s="3">
        <f>_xlfn.IFNA(VLOOKUP($A1524,[3]stockregister!$A$2:$L$2000,11,0),0)-$G1524</f>
        <v>0</v>
      </c>
      <c r="I1524" s="3">
        <f>_xlfn.IFNA(VLOOKUP($A1524,[3]stockregister!$A$2:$L$2000,12,0),0)</f>
        <v>1200</v>
      </c>
      <c r="J1524" s="3">
        <f>_xlfn.IFNA(VLOOKUP($A1524,[3]stockregister!$A$1:$M$2000,12,0),0)-$I1524</f>
        <v>0</v>
      </c>
      <c r="K1524" s="3" t="s">
        <v>22</v>
      </c>
      <c r="L1524" s="3" t="s">
        <v>23</v>
      </c>
      <c r="M1524" s="3">
        <f>_xlfn.IFNA(VLOOKUP($A1524,[2]stockregister!$A$2:$H$2000,8,0),0)</f>
        <v>1300</v>
      </c>
      <c r="N1524" s="3">
        <f>_xlfn.IFNA(VLOOKUP($A1524,[2]stockregister!$A$2:$H$2000,8,0),0)-$M1524</f>
        <v>0</v>
      </c>
      <c r="O1524" s="3" t="s">
        <v>3545</v>
      </c>
      <c r="P1524" s="3" t="s">
        <v>3545</v>
      </c>
      <c r="Q1524" s="3" t="s">
        <v>872</v>
      </c>
      <c r="R1524" s="3" t="s">
        <v>68</v>
      </c>
      <c r="S1524" s="3" t="s">
        <v>534</v>
      </c>
    </row>
    <row r="1525" spans="1:19">
      <c r="A1525" s="3">
        <v>612</v>
      </c>
      <c r="B1525" s="3" t="b">
        <f>ISNUMBER(MATCH(A1525,[1]stockregister!$A$2:$A$2000,0))</f>
        <v>1</v>
      </c>
      <c r="C1525" s="3" t="s">
        <v>3546</v>
      </c>
      <c r="D1525" s="3" t="str">
        <f>VLOOKUP($C1525,[1]stockregister!$B$2:$B$2000,1,0)</f>
        <v>DOM PERIGNON BRUT 750ML</v>
      </c>
      <c r="E1525" s="3" t="str">
        <f>IF(ISNA($D1525),VLOOKUP($A1525,[2]stockregister!$A$2:$B$2000,2,FALSE),"")</f>
        <v/>
      </c>
      <c r="F1525" s="3" t="s">
        <v>21</v>
      </c>
      <c r="G1525" s="3">
        <f>_xlfn.IFNA(VLOOKUP($A1525,[3]stockregister!$A$2:$L$2000,11,0),0)</f>
        <v>0</v>
      </c>
      <c r="H1525" s="3">
        <f>_xlfn.IFNA(VLOOKUP($A1525,[3]stockregister!$A$2:$L$2000,11,0),0)-$G1525</f>
        <v>0</v>
      </c>
      <c r="I1525" s="3">
        <f>_xlfn.IFNA(VLOOKUP($A1525,[3]stockregister!$A$2:$L$2000,12,0),0)</f>
        <v>18040</v>
      </c>
      <c r="J1525" s="3">
        <f>_xlfn.IFNA(VLOOKUP($A1525,[3]stockregister!$A$1:$M$2000,12,0),0)-$I1525</f>
        <v>0</v>
      </c>
      <c r="K1525" s="3" t="s">
        <v>22</v>
      </c>
      <c r="L1525" s="3" t="s">
        <v>23</v>
      </c>
      <c r="M1525" s="3">
        <f>_xlfn.IFNA(VLOOKUP($A1525,[2]stockregister!$A$2:$H$2000,8,0),0)</f>
        <v>38000</v>
      </c>
      <c r="N1525" s="3">
        <f>_xlfn.IFNA(VLOOKUP($A1525,[2]stockregister!$A$2:$H$2000,8,0),0)-$M1525</f>
        <v>0</v>
      </c>
      <c r="O1525" s="3" t="s">
        <v>3547</v>
      </c>
      <c r="P1525" s="3" t="s">
        <v>3547</v>
      </c>
      <c r="Q1525" s="3" t="s">
        <v>1769</v>
      </c>
      <c r="R1525" s="3" t="s">
        <v>68</v>
      </c>
      <c r="S1525" s="3" t="s">
        <v>870</v>
      </c>
    </row>
    <row r="1526" spans="1:19">
      <c r="A1526" s="3">
        <v>797</v>
      </c>
      <c r="B1526" s="3" t="b">
        <f>ISNUMBER(MATCH(A1526,[1]stockregister!$A$2:$A$2000,0))</f>
        <v>1</v>
      </c>
      <c r="C1526" s="3" t="s">
        <v>3548</v>
      </c>
      <c r="D1526" s="3" t="str">
        <f>VLOOKUP($C1526,[1]stockregister!$B$2:$B$2000,1,0)</f>
        <v>FRONTERA SPARKLING BRUT 750ML</v>
      </c>
      <c r="E1526" s="3" t="str">
        <f>IF(ISNA($D1526),VLOOKUP($A1526,[2]stockregister!$A$2:$B$2000,2,FALSE),"")</f>
        <v/>
      </c>
      <c r="F1526" s="3" t="s">
        <v>21</v>
      </c>
      <c r="G1526" s="3">
        <f>_xlfn.IFNA(VLOOKUP($A1526,[3]stockregister!$A$2:$L$2000,11,0),0)</f>
        <v>0</v>
      </c>
      <c r="H1526" s="3">
        <f>_xlfn.IFNA(VLOOKUP($A1526,[3]stockregister!$A$2:$L$2000,11,0),0)-$G1526</f>
        <v>0</v>
      </c>
      <c r="I1526" s="3">
        <f>_xlfn.IFNA(VLOOKUP($A1526,[3]stockregister!$A$2:$L$2000,12,0),0)</f>
        <v>1196</v>
      </c>
      <c r="J1526" s="3">
        <f>_xlfn.IFNA(VLOOKUP($A1526,[3]stockregister!$A$1:$M$2000,12,0),0)-$I1526</f>
        <v>0</v>
      </c>
      <c r="K1526" s="3" t="s">
        <v>22</v>
      </c>
      <c r="L1526" s="3" t="s">
        <v>23</v>
      </c>
      <c r="M1526" s="3">
        <f>_xlfn.IFNA(VLOOKUP($A1526,[2]stockregister!$A$2:$H$2000,8,0),0)</f>
        <v>1300</v>
      </c>
      <c r="N1526" s="3">
        <f>_xlfn.IFNA(VLOOKUP($A1526,[2]stockregister!$A$2:$H$2000,8,0),0)-$M1526</f>
        <v>0</v>
      </c>
      <c r="O1526" s="3" t="s">
        <v>3549</v>
      </c>
      <c r="P1526" s="3" t="s">
        <v>3549</v>
      </c>
      <c r="Q1526" s="3" t="s">
        <v>1082</v>
      </c>
      <c r="R1526" s="3" t="s">
        <v>68</v>
      </c>
      <c r="S1526" s="3" t="s">
        <v>870</v>
      </c>
    </row>
    <row r="1527" spans="1:19">
      <c r="A1527" s="3">
        <v>2305</v>
      </c>
      <c r="B1527" s="3" t="b">
        <f>ISNUMBER(MATCH(A1527,[1]stockregister!$A$2:$A$2000,0))</f>
        <v>1</v>
      </c>
      <c r="C1527" s="3" t="s">
        <v>595</v>
      </c>
      <c r="D1527" s="3" t="str">
        <f>VLOOKUP($C1527,[1]stockregister!$B$2:$B$2000,1,0)</f>
        <v>LUC BELAIRE  RARE BRUT 750ML</v>
      </c>
      <c r="E1527" s="3" t="str">
        <f>IF(ISNA($D1527),VLOOKUP($A1527,[2]stockregister!$A$2:$B$2000,2,FALSE),"")</f>
        <v/>
      </c>
      <c r="F1527" s="3" t="s">
        <v>21</v>
      </c>
      <c r="G1527" s="3">
        <f>_xlfn.IFNA(VLOOKUP($A1527,[3]stockregister!$A$2:$L$2000,11,0),0)</f>
        <v>0</v>
      </c>
      <c r="H1527" s="3">
        <f>_xlfn.IFNA(VLOOKUP($A1527,[3]stockregister!$A$2:$L$2000,11,0),0)-$G1527</f>
        <v>0</v>
      </c>
      <c r="I1527" s="3">
        <f>_xlfn.IFNA(VLOOKUP($A1527,[3]stockregister!$A$2:$L$2000,12,0),0)</f>
        <v>4700</v>
      </c>
      <c r="J1527" s="3">
        <f>_xlfn.IFNA(VLOOKUP($A1527,[3]stockregister!$A$1:$M$2000,12,0),0)-$I1527</f>
        <v>0</v>
      </c>
      <c r="K1527" s="3" t="s">
        <v>22</v>
      </c>
      <c r="L1527" s="3" t="s">
        <v>23</v>
      </c>
      <c r="M1527" s="3">
        <f>_xlfn.IFNA(VLOOKUP($A1527,[2]stockregister!$A$2:$H$2000,8,0),0)</f>
        <v>4900</v>
      </c>
      <c r="N1527" s="3">
        <f>_xlfn.IFNA(VLOOKUP($A1527,[2]stockregister!$A$2:$H$2000,8,0),0)-$M1527</f>
        <v>0</v>
      </c>
      <c r="O1527" s="3" t="s">
        <v>3550</v>
      </c>
      <c r="P1527" s="3" t="s">
        <v>3550</v>
      </c>
      <c r="Q1527" s="3" t="s">
        <v>1922</v>
      </c>
      <c r="R1527" s="3" t="s">
        <v>68</v>
      </c>
      <c r="S1527" s="3" t="s">
        <v>534</v>
      </c>
    </row>
    <row r="1528" spans="1:19">
      <c r="A1528" s="3">
        <v>1905</v>
      </c>
      <c r="B1528" s="3" t="b">
        <f>ISNUMBER(MATCH(A1528,[1]stockregister!$A$2:$A$2000,0))</f>
        <v>1</v>
      </c>
      <c r="C1528" s="3" t="s">
        <v>3551</v>
      </c>
      <c r="D1528" s="3" t="str">
        <f>VLOOKUP($C1528,[1]stockregister!$B$2:$B$2000,1,0)</f>
        <v>SWARTLAND WINERY BRUT 750ML</v>
      </c>
      <c r="E1528" s="3" t="str">
        <f>IF(ISNA($D1528),VLOOKUP($A1528,[2]stockregister!$A$2:$B$2000,2,FALSE),"")</f>
        <v/>
      </c>
      <c r="F1528" s="3" t="s">
        <v>21</v>
      </c>
      <c r="G1528" s="3">
        <f>_xlfn.IFNA(VLOOKUP($A1528,[3]stockregister!$A$2:$L$2000,11,0),0)</f>
        <v>0</v>
      </c>
      <c r="H1528" s="3">
        <f>_xlfn.IFNA(VLOOKUP($A1528,[3]stockregister!$A$2:$L$2000,11,0),0)-$G1528</f>
        <v>0</v>
      </c>
      <c r="I1528" s="3">
        <f>_xlfn.IFNA(VLOOKUP($A1528,[3]stockregister!$A$2:$L$2000,12,0),0)</f>
        <v>1196</v>
      </c>
      <c r="J1528" s="3">
        <f>_xlfn.IFNA(VLOOKUP($A1528,[3]stockregister!$A$1:$M$2000,12,0),0)-$I1528</f>
        <v>0</v>
      </c>
      <c r="K1528" s="3" t="s">
        <v>22</v>
      </c>
      <c r="L1528" s="3" t="s">
        <v>23</v>
      </c>
      <c r="M1528" s="3">
        <f>_xlfn.IFNA(VLOOKUP($A1528,[2]stockregister!$A$2:$H$2000,8,0),0)</f>
        <v>1300</v>
      </c>
      <c r="N1528" s="3">
        <f>_xlfn.IFNA(VLOOKUP($A1528,[2]stockregister!$A$2:$H$2000,8,0),0)-$M1528</f>
        <v>0</v>
      </c>
      <c r="O1528" s="3" t="s">
        <v>3552</v>
      </c>
      <c r="P1528" s="3" t="s">
        <v>3552</v>
      </c>
      <c r="Q1528" s="3" t="s">
        <v>3553</v>
      </c>
      <c r="R1528" s="3" t="s">
        <v>68</v>
      </c>
      <c r="S1528" s="3" t="s">
        <v>534</v>
      </c>
    </row>
    <row r="1529" spans="1:19">
      <c r="A1529" s="3">
        <v>2063</v>
      </c>
      <c r="B1529" s="3" t="b">
        <f>ISNUMBER(MATCH(A1529,[1]stockregister!$A$2:$A$2000,0))</f>
        <v>1</v>
      </c>
      <c r="C1529" s="3" t="s">
        <v>3554</v>
      </c>
      <c r="D1529" s="3" t="str">
        <f>VLOOKUP($C1529,[1]stockregister!$B$2:$B$2000,1,0)</f>
        <v>VILAVERARONI PROSECCO BRUT 750ml</v>
      </c>
      <c r="E1529" s="3" t="str">
        <f>IF(ISNA($D1529),VLOOKUP($A1529,[2]stockregister!$A$2:$B$2000,2,FALSE),"")</f>
        <v/>
      </c>
      <c r="F1529" s="3" t="s">
        <v>21</v>
      </c>
      <c r="G1529" s="3">
        <f>_xlfn.IFNA(VLOOKUP($A1529,[3]stockregister!$A$2:$L$2000,11,0),0)</f>
        <v>0</v>
      </c>
      <c r="H1529" s="3">
        <f>_xlfn.IFNA(VLOOKUP($A1529,[3]stockregister!$A$2:$L$2000,11,0),0)-$G1529</f>
        <v>0</v>
      </c>
      <c r="I1529" s="3">
        <f>_xlfn.IFNA(VLOOKUP($A1529,[3]stockregister!$A$2:$L$2000,12,0),0)</f>
        <v>2116</v>
      </c>
      <c r="J1529" s="3">
        <f>_xlfn.IFNA(VLOOKUP($A1529,[3]stockregister!$A$1:$M$2000,12,0),0)-$I1529</f>
        <v>0</v>
      </c>
      <c r="K1529" s="3" t="s">
        <v>22</v>
      </c>
      <c r="L1529" s="3" t="s">
        <v>23</v>
      </c>
      <c r="M1529" s="3">
        <f>_xlfn.IFNA(VLOOKUP($A1529,[2]stockregister!$A$2:$H$2000,8,0),0)</f>
        <v>2300</v>
      </c>
      <c r="N1529" s="3">
        <f>_xlfn.IFNA(VLOOKUP($A1529,[2]stockregister!$A$2:$H$2000,8,0),0)-$M1529</f>
        <v>0</v>
      </c>
      <c r="O1529" s="3" t="s">
        <v>3555</v>
      </c>
      <c r="P1529" s="3" t="s">
        <v>3555</v>
      </c>
      <c r="Q1529" s="3" t="s">
        <v>3556</v>
      </c>
      <c r="R1529" s="3" t="s">
        <v>68</v>
      </c>
      <c r="S1529" s="3" t="s">
        <v>870</v>
      </c>
    </row>
    <row r="1530" spans="1:19">
      <c r="A1530" s="3">
        <v>783</v>
      </c>
      <c r="B1530" s="3" t="b">
        <f>ISNUMBER(MATCH(A1530,[1]stockregister!$A$2:$A$2000,0))</f>
        <v>1</v>
      </c>
      <c r="C1530" s="3" t="s">
        <v>3557</v>
      </c>
      <c r="D1530" s="3" t="str">
        <f>VLOOKUP($C1530,[1]stockregister!$B$2:$B$2000,1,0)</f>
        <v>FRONTERA BRUT 750ML</v>
      </c>
      <c r="E1530" s="3" t="str">
        <f>IF(ISNA($D1530),VLOOKUP($A1530,[2]stockregister!$A$2:$B$2000,2,FALSE),"")</f>
        <v/>
      </c>
      <c r="F1530" s="3" t="s">
        <v>21</v>
      </c>
      <c r="G1530" s="3">
        <f>_xlfn.IFNA(VLOOKUP($A1530,[3]stockregister!$A$2:$L$2000,11,0),0)</f>
        <v>0</v>
      </c>
      <c r="H1530" s="3">
        <f>_xlfn.IFNA(VLOOKUP($A1530,[3]stockregister!$A$2:$L$2000,11,0),0)-$G1530</f>
        <v>0</v>
      </c>
      <c r="I1530" s="3">
        <f>_xlfn.IFNA(VLOOKUP($A1530,[3]stockregister!$A$2:$L$2000,12,0),0)</f>
        <v>1600</v>
      </c>
      <c r="J1530" s="3">
        <f>_xlfn.IFNA(VLOOKUP($A1530,[3]stockregister!$A$1:$M$2000,12,0),0)-$I1530</f>
        <v>0</v>
      </c>
      <c r="K1530" s="3" t="s">
        <v>22</v>
      </c>
      <c r="L1530" s="3" t="s">
        <v>23</v>
      </c>
      <c r="M1530" s="3">
        <f>_xlfn.IFNA(VLOOKUP($A1530,[2]stockregister!$A$2:$H$2000,8,0),0)</f>
        <v>1800</v>
      </c>
      <c r="N1530" s="3">
        <f>_xlfn.IFNA(VLOOKUP($A1530,[2]stockregister!$A$2:$H$2000,8,0),0)-$M1530</f>
        <v>0</v>
      </c>
      <c r="O1530" s="3" t="s">
        <v>3558</v>
      </c>
      <c r="P1530" s="3" t="s">
        <v>3558</v>
      </c>
      <c r="Q1530" s="3" t="s">
        <v>1046</v>
      </c>
      <c r="R1530" s="3" t="s">
        <v>68</v>
      </c>
      <c r="S1530" s="3" t="s">
        <v>870</v>
      </c>
    </row>
    <row r="1531" spans="1:19">
      <c r="A1531" s="3">
        <v>2194</v>
      </c>
      <c r="B1531" s="3" t="b">
        <f>ISNUMBER(MATCH(A1531,[1]stockregister!$A$2:$A$2000,0))</f>
        <v>1</v>
      </c>
      <c r="C1531" s="3" t="s">
        <v>3559</v>
      </c>
      <c r="D1531" s="3" t="str">
        <f>VLOOKUP($C1531,[1]stockregister!$B$2:$B$2000,1,0)</f>
        <v>GRANDE FRANCE BRUT 750ML</v>
      </c>
      <c r="E1531" s="3" t="str">
        <f>IF(ISNA($D1531),VLOOKUP($A1531,[2]stockregister!$A$2:$B$2000,2,FALSE),"")</f>
        <v/>
      </c>
      <c r="F1531" s="3" t="s">
        <v>21</v>
      </c>
      <c r="G1531" s="3">
        <f>_xlfn.IFNA(VLOOKUP($A1531,[3]stockregister!$A$2:$L$2000,11,0),0)</f>
        <v>0</v>
      </c>
      <c r="H1531" s="3">
        <f>_xlfn.IFNA(VLOOKUP($A1531,[3]stockregister!$A$2:$L$2000,11,0),0)-$G1531</f>
        <v>0</v>
      </c>
      <c r="I1531" s="3">
        <f>_xlfn.IFNA(VLOOKUP($A1531,[3]stockregister!$A$2:$L$2000,12,0),0)</f>
        <v>1900</v>
      </c>
      <c r="J1531" s="3">
        <f>_xlfn.IFNA(VLOOKUP($A1531,[3]stockregister!$A$1:$M$2000,12,0),0)-$I1531</f>
        <v>0</v>
      </c>
      <c r="K1531" s="3" t="s">
        <v>22</v>
      </c>
      <c r="L1531" s="3" t="s">
        <v>23</v>
      </c>
      <c r="M1531" s="3">
        <f>_xlfn.IFNA(VLOOKUP($A1531,[2]stockregister!$A$2:$H$2000,8,0),0)</f>
        <v>2000</v>
      </c>
      <c r="N1531" s="3">
        <f>_xlfn.IFNA(VLOOKUP($A1531,[2]stockregister!$A$2:$H$2000,8,0),0)-$M1531</f>
        <v>0</v>
      </c>
      <c r="O1531" s="3" t="s">
        <v>3560</v>
      </c>
      <c r="P1531" s="3" t="s">
        <v>3560</v>
      </c>
      <c r="Q1531" s="3" t="s">
        <v>3561</v>
      </c>
      <c r="R1531" s="3" t="s">
        <v>68</v>
      </c>
      <c r="S1531" s="3" t="s">
        <v>870</v>
      </c>
    </row>
    <row r="1532" spans="1:19">
      <c r="A1532" s="3">
        <v>782</v>
      </c>
      <c r="B1532" s="3" t="b">
        <f>ISNUMBER(MATCH(A1532,[1]stockregister!$A$2:$A$2000,0))</f>
        <v>1</v>
      </c>
      <c r="C1532" s="3" t="s">
        <v>597</v>
      </c>
      <c r="D1532" s="3" t="str">
        <f>VLOOKUP($C1532,[1]stockregister!$B$2:$B$2000,1,0)</f>
        <v>FRONTERA CAB  BLUSH 750ML</v>
      </c>
      <c r="E1532" s="3" t="str">
        <f>IF(ISNA($D1532),VLOOKUP($A1532,[2]stockregister!$A$2:$B$2000,2,FALSE),"")</f>
        <v/>
      </c>
      <c r="F1532" s="3" t="s">
        <v>21</v>
      </c>
      <c r="G1532" s="3">
        <f>_xlfn.IFNA(VLOOKUP($A1532,[3]stockregister!$A$2:$L$2000,11,0),0)</f>
        <v>0</v>
      </c>
      <c r="H1532" s="3">
        <f>_xlfn.IFNA(VLOOKUP($A1532,[3]stockregister!$A$2:$L$2000,11,0),0)-$G1532</f>
        <v>0</v>
      </c>
      <c r="I1532" s="3">
        <f>_xlfn.IFNA(VLOOKUP($A1532,[3]stockregister!$A$2:$L$2000,12,0),0)</f>
        <v>1000</v>
      </c>
      <c r="J1532" s="3">
        <f>_xlfn.IFNA(VLOOKUP($A1532,[3]stockregister!$A$1:$M$2000,12,0),0)-$I1532</f>
        <v>0</v>
      </c>
      <c r="K1532" s="3" t="s">
        <v>22</v>
      </c>
      <c r="L1532" s="3" t="s">
        <v>23</v>
      </c>
      <c r="M1532" s="3">
        <f>_xlfn.IFNA(VLOOKUP($A1532,[2]stockregister!$A$2:$H$2000,8,0),0)</f>
        <v>1080</v>
      </c>
      <c r="N1532" s="3">
        <f>_xlfn.IFNA(VLOOKUP($A1532,[2]stockregister!$A$2:$H$2000,8,0),0)-$M1532</f>
        <v>0</v>
      </c>
      <c r="O1532" s="3" t="s">
        <v>3562</v>
      </c>
      <c r="P1532" s="3" t="s">
        <v>3562</v>
      </c>
      <c r="Q1532" s="3" t="s">
        <v>1046</v>
      </c>
      <c r="R1532" s="3" t="s">
        <v>537</v>
      </c>
      <c r="S1532" s="3" t="s">
        <v>3563</v>
      </c>
    </row>
    <row r="1533" spans="1:19">
      <c r="A1533" s="3">
        <v>2439</v>
      </c>
      <c r="B1533" s="3" t="b">
        <f>ISNUMBER(MATCH(A1533,[1]stockregister!$A$2:$A$2000,0))</f>
        <v>1</v>
      </c>
      <c r="C1533" s="3" t="s">
        <v>3564</v>
      </c>
      <c r="D1533" s="3" t="str">
        <f>VLOOKUP($C1533,[1]stockregister!$B$2:$B$2000,1,0)</f>
        <v>JACOB'S CREEK CABERNET SAUVIGNON 750ML</v>
      </c>
      <c r="E1533" s="3" t="str">
        <f>IF(ISNA($D1533),VLOOKUP($A1533,[2]stockregister!$A$2:$B$2000,2,FALSE),"")</f>
        <v/>
      </c>
      <c r="F1533" s="3" t="s">
        <v>21</v>
      </c>
      <c r="G1533" s="3">
        <f>_xlfn.IFNA(VLOOKUP($A1533,[3]stockregister!$A$2:$L$2000,11,0),0)</f>
        <v>0</v>
      </c>
      <c r="H1533" s="3">
        <f>_xlfn.IFNA(VLOOKUP($A1533,[3]stockregister!$A$2:$L$2000,11,0),0)-$G1533</f>
        <v>0</v>
      </c>
      <c r="I1533" s="3">
        <f>_xlfn.IFNA(VLOOKUP($A1533,[3]stockregister!$A$2:$L$2000,12,0),0)</f>
        <v>1172.08</v>
      </c>
      <c r="J1533" s="3">
        <f>_xlfn.IFNA(VLOOKUP($A1533,[3]stockregister!$A$1:$M$2000,12,0),0)-$I1533</f>
        <v>0</v>
      </c>
      <c r="K1533" s="3" t="s">
        <v>22</v>
      </c>
      <c r="L1533" s="3" t="s">
        <v>23</v>
      </c>
      <c r="M1533" s="3">
        <f>_xlfn.IFNA(VLOOKUP($A1533,[2]stockregister!$A$2:$H$2000,8,0),0)</f>
        <v>1250</v>
      </c>
      <c r="N1533" s="3">
        <f>_xlfn.IFNA(VLOOKUP($A1533,[2]stockregister!$A$2:$H$2000,8,0),0)-$M1533</f>
        <v>0</v>
      </c>
      <c r="O1533" s="3" t="s">
        <v>3565</v>
      </c>
      <c r="P1533" s="3" t="s">
        <v>3565</v>
      </c>
      <c r="Q1533" s="3" t="s">
        <v>3566</v>
      </c>
      <c r="R1533" s="3" t="s">
        <v>537</v>
      </c>
      <c r="S1533" s="3" t="s">
        <v>206</v>
      </c>
    </row>
    <row r="1534" spans="1:19">
      <c r="A1534" s="3">
        <v>2789</v>
      </c>
      <c r="B1534" s="3" t="b">
        <f>ISNUMBER(MATCH(A1534,[1]stockregister!$A$2:$A$2000,0))</f>
        <v>1</v>
      </c>
      <c r="C1534" s="3" t="s">
        <v>3567</v>
      </c>
      <c r="D1534" s="3" t="str">
        <f>VLOOKUP($C1534,[1]stockregister!$B$2:$B$2000,1,0)</f>
        <v>ZAPALLARES CAB SAUV 1500ML</v>
      </c>
      <c r="E1534" s="3" t="str">
        <f>IF(ISNA($D1534),VLOOKUP($A1534,[2]stockregister!$A$2:$B$2000,2,FALSE),"")</f>
        <v/>
      </c>
      <c r="F1534" s="3" t="s">
        <v>21</v>
      </c>
      <c r="G1534" s="3">
        <f>_xlfn.IFNA(VLOOKUP($A1534,[3]stockregister!$A$2:$L$2000,11,0),0)</f>
        <v>0</v>
      </c>
      <c r="H1534" s="3">
        <f>_xlfn.IFNA(VLOOKUP($A1534,[3]stockregister!$A$2:$L$2000,11,0),0)-$G1534</f>
        <v>0</v>
      </c>
      <c r="I1534" s="3">
        <f>_xlfn.IFNA(VLOOKUP($A1534,[3]stockregister!$A$2:$L$2000,12,0),0)</f>
        <v>1767.24</v>
      </c>
      <c r="J1534" s="3">
        <f>_xlfn.IFNA(VLOOKUP($A1534,[3]stockregister!$A$1:$M$2000,12,0),0)-$I1534</f>
        <v>0</v>
      </c>
      <c r="K1534" s="3" t="s">
        <v>22</v>
      </c>
      <c r="L1534" s="3" t="s">
        <v>23</v>
      </c>
      <c r="M1534" s="3">
        <f>_xlfn.IFNA(VLOOKUP($A1534,[2]stockregister!$A$2:$H$2000,8,0),0)</f>
        <v>2300</v>
      </c>
      <c r="N1534" s="3">
        <f>_xlfn.IFNA(VLOOKUP($A1534,[2]stockregister!$A$2:$H$2000,8,0),0)-$M1534</f>
        <v>0</v>
      </c>
      <c r="O1534" s="3" t="s">
        <v>3568</v>
      </c>
      <c r="P1534" s="3" t="s">
        <v>3568</v>
      </c>
      <c r="Q1534" s="3" t="s">
        <v>1944</v>
      </c>
      <c r="R1534" s="3" t="s">
        <v>537</v>
      </c>
      <c r="S1534" s="3" t="s">
        <v>206</v>
      </c>
    </row>
    <row r="1535" spans="1:19">
      <c r="A1535" s="3">
        <v>2441</v>
      </c>
      <c r="B1535" s="3" t="b">
        <f>ISNUMBER(MATCH(A1535,[1]stockregister!$A$2:$A$2000,0))</f>
        <v>1</v>
      </c>
      <c r="C1535" s="3" t="s">
        <v>3569</v>
      </c>
      <c r="D1535" s="3" t="str">
        <f>VLOOKUP($C1535,[1]stockregister!$B$2:$B$2000,1,0)</f>
        <v>GATO NEGRO CAB SAUV MERLOT 750ML</v>
      </c>
      <c r="E1535" s="3" t="str">
        <f>IF(ISNA($D1535),VLOOKUP($A1535,[2]stockregister!$A$2:$B$2000,2,FALSE),"")</f>
        <v/>
      </c>
      <c r="F1535" s="3" t="s">
        <v>21</v>
      </c>
      <c r="G1535" s="3">
        <f>_xlfn.IFNA(VLOOKUP($A1535,[3]stockregister!$A$2:$L$2000,11,0),0)</f>
        <v>0</v>
      </c>
      <c r="H1535" s="3">
        <f>_xlfn.IFNA(VLOOKUP($A1535,[3]stockregister!$A$2:$L$2000,11,0),0)-$G1535</f>
        <v>0</v>
      </c>
      <c r="I1535" s="3">
        <f>_xlfn.IFNA(VLOOKUP($A1535,[3]stockregister!$A$2:$L$2000,12,0),0)</f>
        <v>782</v>
      </c>
      <c r="J1535" s="3">
        <f>_xlfn.IFNA(VLOOKUP($A1535,[3]stockregister!$A$1:$M$2000,12,0),0)-$I1535</f>
        <v>0</v>
      </c>
      <c r="K1535" s="3" t="s">
        <v>22</v>
      </c>
      <c r="L1535" s="3" t="s">
        <v>23</v>
      </c>
      <c r="M1535" s="3">
        <f>_xlfn.IFNA(VLOOKUP($A1535,[2]stockregister!$A$2:$H$2000,8,0),0)</f>
        <v>850</v>
      </c>
      <c r="N1535" s="3">
        <f>_xlfn.IFNA(VLOOKUP($A1535,[2]stockregister!$A$2:$H$2000,8,0),0)-$M1535</f>
        <v>0</v>
      </c>
      <c r="O1535" s="3" t="s">
        <v>3570</v>
      </c>
      <c r="P1535" s="3" t="s">
        <v>3570</v>
      </c>
      <c r="Q1535" s="3" t="s">
        <v>545</v>
      </c>
      <c r="R1535" s="3" t="s">
        <v>537</v>
      </c>
      <c r="S1535" s="3" t="s">
        <v>206</v>
      </c>
    </row>
    <row r="1536" spans="1:19">
      <c r="A1536" s="3">
        <v>2402</v>
      </c>
      <c r="B1536" s="3" t="b">
        <f>ISNUMBER(MATCH(A1536,[1]stockregister!$A$2:$A$2000,0))</f>
        <v>1</v>
      </c>
      <c r="C1536" s="3" t="s">
        <v>3571</v>
      </c>
      <c r="D1536" s="3" t="str">
        <f>VLOOKUP($C1536,[1]stockregister!$B$2:$B$2000,1,0)</f>
        <v>GATO NEGRO CAB SAUV 1.5L</v>
      </c>
      <c r="E1536" s="3" t="str">
        <f>IF(ISNA($D1536),VLOOKUP($A1536,[2]stockregister!$A$2:$B$2000,2,FALSE),"")</f>
        <v/>
      </c>
      <c r="F1536" s="3" t="s">
        <v>21</v>
      </c>
      <c r="G1536" s="3">
        <f>_xlfn.IFNA(VLOOKUP($A1536,[3]stockregister!$A$2:$L$2000,11,0),0)</f>
        <v>0</v>
      </c>
      <c r="H1536" s="3">
        <f>_xlfn.IFNA(VLOOKUP($A1536,[3]stockregister!$A$2:$L$2000,11,0),0)-$G1536</f>
        <v>0</v>
      </c>
      <c r="I1536" s="3">
        <f>_xlfn.IFNA(VLOOKUP($A1536,[3]stockregister!$A$2:$L$2000,12,0),0)</f>
        <v>1000</v>
      </c>
      <c r="J1536" s="3">
        <f>_xlfn.IFNA(VLOOKUP($A1536,[3]stockregister!$A$1:$M$2000,12,0),0)-$I1536</f>
        <v>0</v>
      </c>
      <c r="K1536" s="3" t="s">
        <v>22</v>
      </c>
      <c r="L1536" s="3" t="s">
        <v>23</v>
      </c>
      <c r="M1536" s="3">
        <f>_xlfn.IFNA(VLOOKUP($A1536,[2]stockregister!$A$2:$H$2000,8,0),0)</f>
        <v>1650</v>
      </c>
      <c r="N1536" s="3">
        <f>_xlfn.IFNA(VLOOKUP($A1536,[2]stockregister!$A$2:$H$2000,8,0),0)-$M1536</f>
        <v>0</v>
      </c>
      <c r="O1536" s="3" t="s">
        <v>3572</v>
      </c>
      <c r="P1536" s="3" t="s">
        <v>3572</v>
      </c>
      <c r="Q1536" s="3" t="s">
        <v>545</v>
      </c>
      <c r="R1536" s="3" t="s">
        <v>537</v>
      </c>
      <c r="S1536" s="3" t="s">
        <v>206</v>
      </c>
    </row>
    <row r="1537" spans="1:19">
      <c r="A1537" s="3">
        <v>809</v>
      </c>
      <c r="B1537" s="3" t="b">
        <f>ISNUMBER(MATCH(A1537,[1]stockregister!$A$2:$A$2000,0))</f>
        <v>1</v>
      </c>
      <c r="C1537" s="3" t="s">
        <v>3573</v>
      </c>
      <c r="D1537" s="3" t="str">
        <f>VLOOKUP($C1537,[1]stockregister!$B$2:$B$2000,1,0)</f>
        <v>GATONEGRO CAB SAUV 750ML</v>
      </c>
      <c r="E1537" s="3" t="str">
        <f>IF(ISNA($D1537),VLOOKUP($A1537,[2]stockregister!$A$2:$B$2000,2,FALSE),"")</f>
        <v/>
      </c>
      <c r="F1537" s="3" t="s">
        <v>21</v>
      </c>
      <c r="G1537" s="3">
        <f>_xlfn.IFNA(VLOOKUP($A1537,[3]stockregister!$A$2:$L$2000,11,0),0)</f>
        <v>0</v>
      </c>
      <c r="H1537" s="3">
        <f>_xlfn.IFNA(VLOOKUP($A1537,[3]stockregister!$A$2:$L$2000,11,0),0)-$G1537</f>
        <v>0</v>
      </c>
      <c r="I1537" s="3">
        <f>_xlfn.IFNA(VLOOKUP($A1537,[3]stockregister!$A$2:$L$2000,12,0),0)</f>
        <v>700</v>
      </c>
      <c r="J1537" s="3">
        <f>_xlfn.IFNA(VLOOKUP($A1537,[3]stockregister!$A$1:$M$2000,12,0),0)-$I1537</f>
        <v>0</v>
      </c>
      <c r="K1537" s="3" t="s">
        <v>22</v>
      </c>
      <c r="L1537" s="3" t="s">
        <v>23</v>
      </c>
      <c r="M1537" s="3">
        <f>_xlfn.IFNA(VLOOKUP($A1537,[2]stockregister!$A$2:$H$2000,8,0),0)</f>
        <v>850</v>
      </c>
      <c r="N1537" s="3">
        <f>_xlfn.IFNA(VLOOKUP($A1537,[2]stockregister!$A$2:$H$2000,8,0),0)-$M1537</f>
        <v>0</v>
      </c>
      <c r="O1537" s="3" t="s">
        <v>3574</v>
      </c>
      <c r="P1537" s="3" t="s">
        <v>3574</v>
      </c>
      <c r="Q1537" s="3" t="s">
        <v>545</v>
      </c>
      <c r="R1537" s="3" t="s">
        <v>68</v>
      </c>
      <c r="S1537" s="3" t="s">
        <v>206</v>
      </c>
    </row>
    <row r="1538" spans="1:19">
      <c r="A1538" s="3">
        <v>2013</v>
      </c>
      <c r="B1538" s="3" t="b">
        <f>ISNUMBER(MATCH(A1538,[1]stockregister!$A$2:$A$2000,0))</f>
        <v>1</v>
      </c>
      <c r="C1538" s="3" t="s">
        <v>3575</v>
      </c>
      <c r="D1538" s="3" t="str">
        <f>VLOOKUP($C1538,[1]stockregister!$B$2:$B$2000,1,0)</f>
        <v>TRUMPETER CAB SAUV 750ML</v>
      </c>
      <c r="E1538" s="3" t="str">
        <f>IF(ISNA($D1538),VLOOKUP($A1538,[2]stockregister!$A$2:$B$2000,2,FALSE),"")</f>
        <v/>
      </c>
      <c r="F1538" s="3" t="s">
        <v>21</v>
      </c>
      <c r="G1538" s="3">
        <f>_xlfn.IFNA(VLOOKUP($A1538,[3]stockregister!$A$2:$L$2000,11,0),0)</f>
        <v>0</v>
      </c>
      <c r="H1538" s="3">
        <f>_xlfn.IFNA(VLOOKUP($A1538,[3]stockregister!$A$2:$L$2000,11,0),0)-$G1538</f>
        <v>0</v>
      </c>
      <c r="I1538" s="3">
        <f>_xlfn.IFNA(VLOOKUP($A1538,[3]stockregister!$A$2:$L$2000,12,0),0)</f>
        <v>1679.68</v>
      </c>
      <c r="J1538" s="3">
        <f>_xlfn.IFNA(VLOOKUP($A1538,[3]stockregister!$A$1:$M$2000,12,0),0)-$I1538</f>
        <v>0</v>
      </c>
      <c r="K1538" s="3" t="s">
        <v>22</v>
      </c>
      <c r="L1538" s="3" t="s">
        <v>23</v>
      </c>
      <c r="M1538" s="3">
        <f>_xlfn.IFNA(VLOOKUP($A1538,[2]stockregister!$A$2:$H$2000,8,0),0)</f>
        <v>1850</v>
      </c>
      <c r="N1538" s="3">
        <f>_xlfn.IFNA(VLOOKUP($A1538,[2]stockregister!$A$2:$H$2000,8,0),0)-$M1538</f>
        <v>0</v>
      </c>
      <c r="O1538" s="3" t="s">
        <v>1083</v>
      </c>
      <c r="P1538" s="3" t="s">
        <v>1083</v>
      </c>
      <c r="Q1538" s="3" t="s">
        <v>1077</v>
      </c>
      <c r="R1538" s="3" t="s">
        <v>68</v>
      </c>
      <c r="S1538" s="3" t="s">
        <v>206</v>
      </c>
    </row>
    <row r="1539" spans="1:19">
      <c r="A1539" s="3">
        <v>2075</v>
      </c>
      <c r="B1539" s="3" t="b">
        <f>ISNUMBER(MATCH(A1539,[1]stockregister!$A$2:$A$2000,0))</f>
        <v>1</v>
      </c>
      <c r="C1539" s="3" t="s">
        <v>3576</v>
      </c>
      <c r="D1539" s="3" t="str">
        <f>VLOOKUP($C1539,[1]stockregister!$B$2:$B$2000,1,0)</f>
        <v>WELMOED CAB SAUV 750ML</v>
      </c>
      <c r="E1539" s="3" t="str">
        <f>IF(ISNA($D1539),VLOOKUP($A1539,[2]stockregister!$A$2:$B$2000,2,FALSE),"")</f>
        <v/>
      </c>
      <c r="F1539" s="3" t="s">
        <v>21</v>
      </c>
      <c r="G1539" s="3">
        <f>_xlfn.IFNA(VLOOKUP($A1539,[3]stockregister!$A$2:$L$2000,11,0),0)</f>
        <v>0</v>
      </c>
      <c r="H1539" s="3">
        <f>_xlfn.IFNA(VLOOKUP($A1539,[3]stockregister!$A$2:$L$2000,11,0),0)-$G1539</f>
        <v>0</v>
      </c>
      <c r="I1539" s="3">
        <f>_xlfn.IFNA(VLOOKUP($A1539,[3]stockregister!$A$2:$L$2000,12,0),0)</f>
        <v>1200</v>
      </c>
      <c r="J1539" s="3">
        <f>_xlfn.IFNA(VLOOKUP($A1539,[3]stockregister!$A$1:$M$2000,12,0),0)-$I1539</f>
        <v>0</v>
      </c>
      <c r="K1539" s="3" t="s">
        <v>22</v>
      </c>
      <c r="L1539" s="3" t="s">
        <v>23</v>
      </c>
      <c r="M1539" s="3">
        <f>_xlfn.IFNA(VLOOKUP($A1539,[2]stockregister!$A$2:$H$2000,8,0),0)</f>
        <v>1320</v>
      </c>
      <c r="N1539" s="3">
        <f>_xlfn.IFNA(VLOOKUP($A1539,[2]stockregister!$A$2:$H$2000,8,0),0)-$M1539</f>
        <v>0</v>
      </c>
      <c r="O1539" s="3" t="s">
        <v>3577</v>
      </c>
      <c r="P1539" s="3" t="s">
        <v>3577</v>
      </c>
      <c r="Q1539" s="3" t="s">
        <v>1296</v>
      </c>
      <c r="R1539" s="3" t="s">
        <v>68</v>
      </c>
      <c r="S1539" s="3" t="s">
        <v>206</v>
      </c>
    </row>
    <row r="1540" spans="1:19">
      <c r="A1540" s="3">
        <v>1241</v>
      </c>
      <c r="B1540" s="3" t="b">
        <f>ISNUMBER(MATCH(A1540,[1]stockregister!$A$2:$A$2000,0))</f>
        <v>1</v>
      </c>
      <c r="C1540" s="3" t="s">
        <v>3578</v>
      </c>
      <c r="D1540" s="3" t="str">
        <f>VLOOKUP($C1540,[1]stockregister!$B$2:$B$2000,1,0)</f>
        <v>KWV CLASSIC CAB SAUV 750ML</v>
      </c>
      <c r="E1540" s="3" t="str">
        <f>IF(ISNA($D1540),VLOOKUP($A1540,[2]stockregister!$A$2:$B$2000,2,FALSE),"")</f>
        <v/>
      </c>
      <c r="F1540" s="3" t="s">
        <v>21</v>
      </c>
      <c r="G1540" s="3">
        <f>_xlfn.IFNA(VLOOKUP($A1540,[3]stockregister!$A$2:$L$2000,11,0),0)</f>
        <v>0</v>
      </c>
      <c r="H1540" s="3">
        <f>_xlfn.IFNA(VLOOKUP($A1540,[3]stockregister!$A$2:$L$2000,11,0),0)-$G1540</f>
        <v>0</v>
      </c>
      <c r="I1540" s="3">
        <f>_xlfn.IFNA(VLOOKUP($A1540,[3]stockregister!$A$2:$L$2000,12,0),0)</f>
        <v>1196</v>
      </c>
      <c r="J1540" s="3">
        <f>_xlfn.IFNA(VLOOKUP($A1540,[3]stockregister!$A$1:$M$2000,12,0),0)-$I1540</f>
        <v>0</v>
      </c>
      <c r="K1540" s="3" t="s">
        <v>22</v>
      </c>
      <c r="L1540" s="3" t="s">
        <v>23</v>
      </c>
      <c r="M1540" s="3">
        <f>_xlfn.IFNA(VLOOKUP($A1540,[2]stockregister!$A$2:$H$2000,8,0),0)</f>
        <v>1200</v>
      </c>
      <c r="N1540" s="3">
        <f>_xlfn.IFNA(VLOOKUP($A1540,[2]stockregister!$A$2:$H$2000,8,0),0)-$M1540</f>
        <v>0</v>
      </c>
      <c r="O1540" s="3" t="s">
        <v>3579</v>
      </c>
      <c r="P1540" s="3" t="s">
        <v>3579</v>
      </c>
      <c r="Q1540" s="3" t="s">
        <v>1207</v>
      </c>
      <c r="R1540" s="3" t="s">
        <v>68</v>
      </c>
      <c r="S1540" s="3" t="s">
        <v>206</v>
      </c>
    </row>
    <row r="1541" spans="1:19">
      <c r="A1541" s="3">
        <v>2449</v>
      </c>
      <c r="B1541" s="3" t="b">
        <f>ISNUMBER(MATCH(A1541,[1]stockregister!$A$2:$A$2000,0))</f>
        <v>1</v>
      </c>
      <c r="C1541" s="3" t="s">
        <v>3580</v>
      </c>
      <c r="D1541" s="3" t="str">
        <f>VLOOKUP($C1541,[1]stockregister!$B$2:$B$2000,1,0)</f>
        <v>SIMONSIG CAB SAUV 750ML</v>
      </c>
      <c r="E1541" s="3" t="str">
        <f>IF(ISNA($D1541),VLOOKUP($A1541,[2]stockregister!$A$2:$B$2000,2,FALSE),"")</f>
        <v/>
      </c>
      <c r="F1541" s="3" t="s">
        <v>21</v>
      </c>
      <c r="G1541" s="3">
        <f>_xlfn.IFNA(VLOOKUP($A1541,[3]stockregister!$A$2:$L$2000,11,0),0)</f>
        <v>0</v>
      </c>
      <c r="H1541" s="3">
        <f>_xlfn.IFNA(VLOOKUP($A1541,[3]stockregister!$A$2:$L$2000,11,0),0)-$G1541</f>
        <v>0</v>
      </c>
      <c r="I1541" s="3">
        <f>_xlfn.IFNA(VLOOKUP($A1541,[3]stockregister!$A$2:$L$2000,12,0),0)</f>
        <v>3000</v>
      </c>
      <c r="J1541" s="3">
        <f>_xlfn.IFNA(VLOOKUP($A1541,[3]stockregister!$A$1:$M$2000,12,0),0)-$I1541</f>
        <v>0</v>
      </c>
      <c r="K1541" s="3" t="s">
        <v>22</v>
      </c>
      <c r="L1541" s="3" t="s">
        <v>23</v>
      </c>
      <c r="M1541" s="3">
        <f>_xlfn.IFNA(VLOOKUP($A1541,[2]stockregister!$A$2:$H$2000,8,0),0)</f>
        <v>3500</v>
      </c>
      <c r="N1541" s="3">
        <f>_xlfn.IFNA(VLOOKUP($A1541,[2]stockregister!$A$2:$H$2000,8,0),0)-$M1541</f>
        <v>0</v>
      </c>
      <c r="O1541" s="3" t="s">
        <v>3581</v>
      </c>
      <c r="P1541" s="3" t="s">
        <v>3581</v>
      </c>
      <c r="Q1541" s="3" t="s">
        <v>3582</v>
      </c>
      <c r="R1541" s="3" t="s">
        <v>537</v>
      </c>
      <c r="S1541" s="3" t="s">
        <v>206</v>
      </c>
    </row>
    <row r="1542" spans="1:19">
      <c r="A1542" s="3">
        <v>2208</v>
      </c>
      <c r="B1542" s="3" t="b">
        <f>ISNUMBER(MATCH(A1542,[1]stockregister!$A$2:$A$2000,0))</f>
        <v>1</v>
      </c>
      <c r="C1542" s="3" t="s">
        <v>3583</v>
      </c>
      <c r="D1542" s="3" t="str">
        <f>VLOOKUP($C1542,[1]stockregister!$B$2:$B$2000,1,0)</f>
        <v>ASCONI CAB SAUV MERLOT 750ML</v>
      </c>
      <c r="E1542" s="3" t="str">
        <f>IF(ISNA($D1542),VLOOKUP($A1542,[2]stockregister!$A$2:$B$2000,2,FALSE),"")</f>
        <v/>
      </c>
      <c r="F1542" s="3" t="s">
        <v>21</v>
      </c>
      <c r="G1542" s="3">
        <f>_xlfn.IFNA(VLOOKUP($A1542,[3]stockregister!$A$2:$L$2000,11,0),0)</f>
        <v>0</v>
      </c>
      <c r="H1542" s="3">
        <f>_xlfn.IFNA(VLOOKUP($A1542,[3]stockregister!$A$2:$L$2000,11,0),0)-$G1542</f>
        <v>0</v>
      </c>
      <c r="I1542" s="3">
        <f>_xlfn.IFNA(VLOOKUP($A1542,[3]stockregister!$A$2:$L$2000,12,0),0)</f>
        <v>1050</v>
      </c>
      <c r="J1542" s="3">
        <f>_xlfn.IFNA(VLOOKUP($A1542,[3]stockregister!$A$1:$M$2000,12,0),0)-$I1542</f>
        <v>0</v>
      </c>
      <c r="K1542" s="3" t="s">
        <v>22</v>
      </c>
      <c r="L1542" s="3" t="s">
        <v>23</v>
      </c>
      <c r="M1542" s="3">
        <f>_xlfn.IFNA(VLOOKUP($A1542,[2]stockregister!$A$2:$H$2000,8,0),0)</f>
        <v>1450</v>
      </c>
      <c r="N1542" s="3">
        <f>_xlfn.IFNA(VLOOKUP($A1542,[2]stockregister!$A$2:$H$2000,8,0),0)-$M1542</f>
        <v>0</v>
      </c>
      <c r="O1542" s="3" t="s">
        <v>3584</v>
      </c>
      <c r="P1542" s="3" t="s">
        <v>3584</v>
      </c>
      <c r="Q1542" s="3" t="s">
        <v>966</v>
      </c>
      <c r="R1542" s="3" t="s">
        <v>68</v>
      </c>
      <c r="S1542" s="3" t="s">
        <v>206</v>
      </c>
    </row>
    <row r="1543" spans="1:19">
      <c r="A1543" s="3">
        <v>254</v>
      </c>
      <c r="B1543" s="3" t="b">
        <f>ISNUMBER(MATCH(A1543,[1]stockregister!$A$2:$A$2000,0))</f>
        <v>1</v>
      </c>
      <c r="C1543" s="3" t="s">
        <v>3585</v>
      </c>
      <c r="D1543" s="3" t="str">
        <f>VLOOKUP($C1543,[1]stockregister!$B$2:$B$2000,1,0)</f>
        <v>BOLAND CELLAR CAB SAUV 750ML</v>
      </c>
      <c r="E1543" s="3" t="str">
        <f>IF(ISNA($D1543),VLOOKUP($A1543,[2]stockregister!$A$2:$B$2000,2,FALSE),"")</f>
        <v/>
      </c>
      <c r="F1543" s="3" t="s">
        <v>21</v>
      </c>
      <c r="G1543" s="3">
        <f>_xlfn.IFNA(VLOOKUP($A1543,[3]stockregister!$A$2:$L$2000,11,0),0)</f>
        <v>1</v>
      </c>
      <c r="H1543" s="3">
        <f>_xlfn.IFNA(VLOOKUP($A1543,[3]stockregister!$A$2:$L$2000,11,0),0)-$G1543</f>
        <v>0</v>
      </c>
      <c r="I1543" s="3">
        <f>_xlfn.IFNA(VLOOKUP($A1543,[3]stockregister!$A$2:$L$2000,12,0),0)</f>
        <v>1461</v>
      </c>
      <c r="J1543" s="3">
        <f>_xlfn.IFNA(VLOOKUP($A1543,[3]stockregister!$A$1:$M$2000,12,0),0)-$I1543</f>
        <v>0</v>
      </c>
      <c r="K1543" s="3" t="s">
        <v>22</v>
      </c>
      <c r="L1543" s="3" t="s">
        <v>23</v>
      </c>
      <c r="M1543" s="3">
        <f>_xlfn.IFNA(VLOOKUP($A1543,[2]stockregister!$A$2:$H$2000,8,0),0)</f>
        <v>1800</v>
      </c>
      <c r="N1543" s="3">
        <f>_xlfn.IFNA(VLOOKUP($A1543,[2]stockregister!$A$2:$H$2000,8,0),0)-$M1543</f>
        <v>0</v>
      </c>
      <c r="O1543" s="3" t="s">
        <v>3586</v>
      </c>
      <c r="P1543" s="3" t="s">
        <v>3586</v>
      </c>
      <c r="Q1543" s="3" t="s">
        <v>1426</v>
      </c>
      <c r="R1543" s="3" t="s">
        <v>68</v>
      </c>
      <c r="S1543" s="3" t="s">
        <v>206</v>
      </c>
    </row>
    <row r="1544" spans="1:19">
      <c r="A1544" s="3">
        <v>785</v>
      </c>
      <c r="B1544" s="3" t="b">
        <f>ISNUMBER(MATCH(A1544,[1]stockregister!$A$2:$A$2000,0))</f>
        <v>1</v>
      </c>
      <c r="C1544" s="3" t="s">
        <v>599</v>
      </c>
      <c r="D1544" s="3" t="str">
        <f>VLOOKUP($C1544,[1]stockregister!$B$2:$B$2000,1,0)</f>
        <v>FRONTERA CAB SAUV  1.5LTR</v>
      </c>
      <c r="E1544" s="3" t="str">
        <f>IF(ISNA($D1544),VLOOKUP($A1544,[2]stockregister!$A$2:$B$2000,2,FALSE),"")</f>
        <v/>
      </c>
      <c r="F1544" s="3" t="s">
        <v>21</v>
      </c>
      <c r="G1544" s="3">
        <f>_xlfn.IFNA(VLOOKUP($A1544,[3]stockregister!$A$2:$L$2000,11,0),0)</f>
        <v>0</v>
      </c>
      <c r="H1544" s="3">
        <f>_xlfn.IFNA(VLOOKUP($A1544,[3]stockregister!$A$2:$L$2000,11,0),0)-$G1544</f>
        <v>0</v>
      </c>
      <c r="I1544" s="3">
        <f>_xlfn.IFNA(VLOOKUP($A1544,[3]stockregister!$A$2:$L$2000,12,0),0)</f>
        <v>1660</v>
      </c>
      <c r="J1544" s="3">
        <f>_xlfn.IFNA(VLOOKUP($A1544,[3]stockregister!$A$1:$M$2000,12,0),0)-$I1544</f>
        <v>0</v>
      </c>
      <c r="K1544" s="3" t="s">
        <v>22</v>
      </c>
      <c r="L1544" s="3" t="s">
        <v>23</v>
      </c>
      <c r="M1544" s="3">
        <f>_xlfn.IFNA(VLOOKUP($A1544,[2]stockregister!$A$2:$H$2000,8,0),0)</f>
        <v>1850</v>
      </c>
      <c r="N1544" s="3">
        <f>_xlfn.IFNA(VLOOKUP($A1544,[2]stockregister!$A$2:$H$2000,8,0),0)-$M1544</f>
        <v>0</v>
      </c>
      <c r="O1544" s="3" t="s">
        <v>3587</v>
      </c>
      <c r="P1544" s="3" t="s">
        <v>3587</v>
      </c>
      <c r="Q1544" s="3" t="s">
        <v>1082</v>
      </c>
      <c r="R1544" s="3" t="s">
        <v>68</v>
      </c>
      <c r="S1544" s="3" t="s">
        <v>206</v>
      </c>
    </row>
    <row r="1545" spans="1:19">
      <c r="A1545" s="3">
        <v>1284</v>
      </c>
      <c r="B1545" s="3" t="b">
        <f>ISNUMBER(MATCH(A1545,[1]stockregister!$A$2:$A$2000,0))</f>
        <v>1</v>
      </c>
      <c r="C1545" s="3" t="s">
        <v>3588</v>
      </c>
      <c r="D1545" s="3" t="str">
        <f>VLOOKUP($C1545,[1]stockregister!$B$2:$B$2000,1,0)</f>
        <v>LELESHWA SAUV BLANC 750ml</v>
      </c>
      <c r="E1545" s="3" t="str">
        <f>IF(ISNA($D1545),VLOOKUP($A1545,[2]stockregister!$A$2:$B$2000,2,FALSE),"")</f>
        <v/>
      </c>
      <c r="F1545" s="3" t="s">
        <v>21</v>
      </c>
      <c r="G1545" s="3">
        <f>_xlfn.IFNA(VLOOKUP($A1545,[3]stockregister!$A$2:$L$2000,11,0),0)</f>
        <v>0</v>
      </c>
      <c r="H1545" s="3">
        <f>_xlfn.IFNA(VLOOKUP($A1545,[3]stockregister!$A$2:$L$2000,11,0),0)-$G1545</f>
        <v>0</v>
      </c>
      <c r="I1545" s="3">
        <f>_xlfn.IFNA(VLOOKUP($A1545,[3]stockregister!$A$2:$L$2000,12,0),0)</f>
        <v>1242</v>
      </c>
      <c r="J1545" s="3">
        <f>_xlfn.IFNA(VLOOKUP($A1545,[3]stockregister!$A$1:$M$2000,12,0),0)-$I1545</f>
        <v>0</v>
      </c>
      <c r="K1545" s="3" t="s">
        <v>22</v>
      </c>
      <c r="L1545" s="3" t="s">
        <v>23</v>
      </c>
      <c r="M1545" s="3">
        <f>_xlfn.IFNA(VLOOKUP($A1545,[2]stockregister!$A$2:$H$2000,8,0),0)</f>
        <v>1350</v>
      </c>
      <c r="N1545" s="3">
        <f>_xlfn.IFNA(VLOOKUP($A1545,[2]stockregister!$A$2:$H$2000,8,0),0)-$M1545</f>
        <v>0</v>
      </c>
      <c r="O1545" s="3" t="s">
        <v>3589</v>
      </c>
      <c r="P1545" s="3" t="s">
        <v>3589</v>
      </c>
      <c r="Q1545" s="3" t="s">
        <v>3590</v>
      </c>
      <c r="R1545" s="3" t="s">
        <v>68</v>
      </c>
      <c r="S1545" s="3" t="s">
        <v>206</v>
      </c>
    </row>
    <row r="1546" spans="1:19">
      <c r="A1546" s="3">
        <v>1497</v>
      </c>
      <c r="B1546" s="3" t="b">
        <f>ISNUMBER(MATCH(A1546,[1]stockregister!$A$2:$A$2000,0))</f>
        <v>1</v>
      </c>
      <c r="C1546" s="3" t="s">
        <v>3591</v>
      </c>
      <c r="D1546" s="3" t="str">
        <f>VLOOKUP($C1546,[1]stockregister!$B$2:$B$2000,1,0)</f>
        <v>NAMAQUA CAB SAUV 750ML</v>
      </c>
      <c r="E1546" s="3" t="str">
        <f>IF(ISNA($D1546),VLOOKUP($A1546,[2]stockregister!$A$2:$B$2000,2,FALSE),"")</f>
        <v/>
      </c>
      <c r="F1546" s="3" t="s">
        <v>21</v>
      </c>
      <c r="G1546" s="3">
        <f>_xlfn.IFNA(VLOOKUP($A1546,[3]stockregister!$A$2:$L$2000,11,0),0)</f>
        <v>0</v>
      </c>
      <c r="H1546" s="3">
        <f>_xlfn.IFNA(VLOOKUP($A1546,[3]stockregister!$A$2:$L$2000,11,0),0)-$G1546</f>
        <v>0</v>
      </c>
      <c r="I1546" s="3">
        <f>_xlfn.IFNA(VLOOKUP($A1546,[3]stockregister!$A$2:$L$2000,12,0),0)</f>
        <v>690</v>
      </c>
      <c r="J1546" s="3">
        <f>_xlfn.IFNA(VLOOKUP($A1546,[3]stockregister!$A$1:$M$2000,12,0),0)-$I1546</f>
        <v>0</v>
      </c>
      <c r="K1546" s="3" t="s">
        <v>22</v>
      </c>
      <c r="L1546" s="3" t="s">
        <v>23</v>
      </c>
      <c r="M1546" s="3">
        <f>_xlfn.IFNA(VLOOKUP($A1546,[2]stockregister!$A$2:$H$2000,8,0),0)</f>
        <v>750</v>
      </c>
      <c r="N1546" s="3">
        <f>_xlfn.IFNA(VLOOKUP($A1546,[2]stockregister!$A$2:$H$2000,8,0),0)-$M1546</f>
        <v>0</v>
      </c>
      <c r="O1546" s="3" t="s">
        <v>3592</v>
      </c>
      <c r="P1546" s="3" t="s">
        <v>3592</v>
      </c>
      <c r="Q1546" s="3" t="s">
        <v>1900</v>
      </c>
      <c r="R1546" s="3" t="s">
        <v>68</v>
      </c>
      <c r="S1546" s="3" t="s">
        <v>206</v>
      </c>
    </row>
    <row r="1547" spans="1:19">
      <c r="A1547" s="3">
        <v>1504</v>
      </c>
      <c r="B1547" s="3" t="b">
        <f>ISNUMBER(MATCH(A1547,[1]stockregister!$A$2:$A$2000,0))</f>
        <v>1</v>
      </c>
      <c r="C1547" s="3" t="s">
        <v>3593</v>
      </c>
      <c r="D1547" s="3" t="str">
        <f>VLOOKUP($C1547,[1]stockregister!$B$2:$B$2000,1,0)</f>
        <v>NATURALYS CAB SAUV 750ML</v>
      </c>
      <c r="E1547" s="3" t="str">
        <f>IF(ISNA($D1547),VLOOKUP($A1547,[2]stockregister!$A$2:$B$2000,2,FALSE),"")</f>
        <v/>
      </c>
      <c r="F1547" s="3" t="s">
        <v>21</v>
      </c>
      <c r="G1547" s="3">
        <f>_xlfn.IFNA(VLOOKUP($A1547,[3]stockregister!$A$2:$L$2000,11,0),0)</f>
        <v>0</v>
      </c>
      <c r="H1547" s="3">
        <f>_xlfn.IFNA(VLOOKUP($A1547,[3]stockregister!$A$2:$L$2000,11,0),0)-$G1547</f>
        <v>0</v>
      </c>
      <c r="I1547" s="3">
        <f>_xlfn.IFNA(VLOOKUP($A1547,[3]stockregister!$A$2:$L$2000,12,0),0)</f>
        <v>1104</v>
      </c>
      <c r="J1547" s="3">
        <f>_xlfn.IFNA(VLOOKUP($A1547,[3]stockregister!$A$1:$M$2000,12,0),0)-$I1547</f>
        <v>0</v>
      </c>
      <c r="K1547" s="3" t="s">
        <v>22</v>
      </c>
      <c r="L1547" s="3" t="s">
        <v>23</v>
      </c>
      <c r="M1547" s="3">
        <f>_xlfn.IFNA(VLOOKUP($A1547,[2]stockregister!$A$2:$H$2000,8,0),0)</f>
        <v>1900</v>
      </c>
      <c r="N1547" s="3">
        <f>_xlfn.IFNA(VLOOKUP($A1547,[2]stockregister!$A$2:$H$2000,8,0),0)-$M1547</f>
        <v>0</v>
      </c>
      <c r="O1547" s="3" t="s">
        <v>3594</v>
      </c>
      <c r="P1547" s="3" t="s">
        <v>3594</v>
      </c>
      <c r="Q1547" s="3" t="s">
        <v>3595</v>
      </c>
      <c r="R1547" s="3" t="s">
        <v>68</v>
      </c>
      <c r="S1547" s="3" t="s">
        <v>206</v>
      </c>
    </row>
    <row r="1548" spans="1:19">
      <c r="A1548" s="3">
        <v>1508</v>
      </c>
      <c r="B1548" s="3" t="b">
        <f>ISNUMBER(MATCH(A1548,[1]stockregister!$A$2:$A$2000,0))</f>
        <v>1</v>
      </c>
      <c r="C1548" s="3" t="s">
        <v>3596</v>
      </c>
      <c r="D1548" s="3" t="str">
        <f>VLOOKUP($C1548,[1]stockregister!$B$2:$B$2000,1,0)</f>
        <v>NEDERBERG (5600) CAB SAUV 750ML</v>
      </c>
      <c r="E1548" s="3" t="str">
        <f>IF(ISNA($D1548),VLOOKUP($A1548,[2]stockregister!$A$2:$B$2000,2,FALSE),"")</f>
        <v/>
      </c>
      <c r="F1548" s="3" t="s">
        <v>21</v>
      </c>
      <c r="G1548" s="3">
        <f>_xlfn.IFNA(VLOOKUP($A1548,[3]stockregister!$A$2:$L$2000,11,0),0)</f>
        <v>0</v>
      </c>
      <c r="H1548" s="3">
        <f>_xlfn.IFNA(VLOOKUP($A1548,[3]stockregister!$A$2:$L$2000,11,0),0)-$G1548</f>
        <v>0</v>
      </c>
      <c r="I1548" s="3">
        <f>_xlfn.IFNA(VLOOKUP($A1548,[3]stockregister!$A$2:$L$2000,12,0),0)</f>
        <v>1250</v>
      </c>
      <c r="J1548" s="3">
        <f>_xlfn.IFNA(VLOOKUP($A1548,[3]stockregister!$A$1:$M$2000,12,0),0)-$I1548</f>
        <v>0</v>
      </c>
      <c r="K1548" s="3" t="s">
        <v>22</v>
      </c>
      <c r="L1548" s="3" t="s">
        <v>23</v>
      </c>
      <c r="M1548" s="3">
        <f>_xlfn.IFNA(VLOOKUP($A1548,[2]stockregister!$A$2:$H$2000,8,0),0)</f>
        <v>1450</v>
      </c>
      <c r="N1548" s="3">
        <f>_xlfn.IFNA(VLOOKUP($A1548,[2]stockregister!$A$2:$H$2000,8,0),0)-$M1548</f>
        <v>0</v>
      </c>
      <c r="O1548" s="3" t="s">
        <v>3597</v>
      </c>
      <c r="P1548" s="3" t="s">
        <v>3597</v>
      </c>
      <c r="Q1548" s="3" t="s">
        <v>205</v>
      </c>
      <c r="R1548" s="3" t="s">
        <v>68</v>
      </c>
      <c r="S1548" s="3" t="s">
        <v>206</v>
      </c>
    </row>
    <row r="1549" spans="1:19">
      <c r="A1549" s="3">
        <v>1510</v>
      </c>
      <c r="B1549" s="3" t="b">
        <f>ISNUMBER(MATCH(A1549,[1]stockregister!$A$2:$A$2000,0))</f>
        <v>1</v>
      </c>
      <c r="C1549" s="3" t="s">
        <v>3598</v>
      </c>
      <c r="D1549" s="3" t="str">
        <f>VLOOKUP($C1549,[1]stockregister!$B$2:$B$2000,1,0)</f>
        <v>NEDERBURG - CAB SAUV 250ML</v>
      </c>
      <c r="E1549" s="3" t="str">
        <f>IF(ISNA($D1549),VLOOKUP($A1549,[2]stockregister!$A$2:$B$2000,2,FALSE),"")</f>
        <v/>
      </c>
      <c r="F1549" s="3" t="s">
        <v>21</v>
      </c>
      <c r="G1549" s="3">
        <f>_xlfn.IFNA(VLOOKUP($A1549,[3]stockregister!$A$2:$L$2000,11,0),0)</f>
        <v>0</v>
      </c>
      <c r="H1549" s="3">
        <f>_xlfn.IFNA(VLOOKUP($A1549,[3]stockregister!$A$2:$L$2000,11,0),0)-$G1549</f>
        <v>0</v>
      </c>
      <c r="I1549" s="3">
        <f>_xlfn.IFNA(VLOOKUP($A1549,[3]stockregister!$A$2:$L$2000,12,0),0)</f>
        <v>460</v>
      </c>
      <c r="J1549" s="3">
        <f>_xlfn.IFNA(VLOOKUP($A1549,[3]stockregister!$A$1:$M$2000,12,0),0)-$I1549</f>
        <v>0</v>
      </c>
      <c r="K1549" s="3" t="s">
        <v>22</v>
      </c>
      <c r="L1549" s="3" t="s">
        <v>23</v>
      </c>
      <c r="M1549" s="3">
        <f>_xlfn.IFNA(VLOOKUP($A1549,[2]stockregister!$A$2:$H$2000,8,0),0)</f>
        <v>500</v>
      </c>
      <c r="N1549" s="3">
        <f>_xlfn.IFNA(VLOOKUP($A1549,[2]stockregister!$A$2:$H$2000,8,0),0)-$M1549</f>
        <v>0</v>
      </c>
      <c r="O1549" s="3" t="s">
        <v>3599</v>
      </c>
      <c r="P1549" s="3" t="s">
        <v>3599</v>
      </c>
      <c r="Q1549" s="3" t="s">
        <v>205</v>
      </c>
      <c r="R1549" s="3" t="s">
        <v>68</v>
      </c>
      <c r="S1549" s="3" t="s">
        <v>206</v>
      </c>
    </row>
    <row r="1550" spans="1:19">
      <c r="A1550" s="3">
        <v>1884</v>
      </c>
      <c r="B1550" s="3" t="b">
        <f>ISNUMBER(MATCH(A1550,[1]stockregister!$A$2:$A$2000,0))</f>
        <v>1</v>
      </c>
      <c r="C1550" s="3" t="s">
        <v>3600</v>
      </c>
      <c r="D1550" s="3" t="str">
        <f>VLOOKUP($C1550,[1]stockregister!$B$2:$B$2000,1,0)</f>
        <v>STELLENBOSCH VINEYARDS CAB SAUV 750ML</v>
      </c>
      <c r="E1550" s="3" t="str">
        <f>IF(ISNA($D1550),VLOOKUP($A1550,[2]stockregister!$A$2:$B$2000,2,FALSE),"")</f>
        <v/>
      </c>
      <c r="F1550" s="3" t="s">
        <v>21</v>
      </c>
      <c r="G1550" s="3">
        <f>_xlfn.IFNA(VLOOKUP($A1550,[3]stockregister!$A$2:$L$2000,11,0),0)</f>
        <v>0</v>
      </c>
      <c r="H1550" s="3">
        <f>_xlfn.IFNA(VLOOKUP($A1550,[3]stockregister!$A$2:$L$2000,11,0),0)-$G1550</f>
        <v>0</v>
      </c>
      <c r="I1550" s="3">
        <f>_xlfn.IFNA(VLOOKUP($A1550,[3]stockregister!$A$2:$L$2000,12,0),0)</f>
        <v>1545.6</v>
      </c>
      <c r="J1550" s="3">
        <f>_xlfn.IFNA(VLOOKUP($A1550,[3]stockregister!$A$1:$M$2000,12,0),0)-$I1550</f>
        <v>0</v>
      </c>
      <c r="K1550" s="3" t="s">
        <v>22</v>
      </c>
      <c r="L1550" s="3" t="s">
        <v>23</v>
      </c>
      <c r="M1550" s="3">
        <f>_xlfn.IFNA(VLOOKUP($A1550,[2]stockregister!$A$2:$H$2000,8,0),0)</f>
        <v>1680</v>
      </c>
      <c r="N1550" s="3">
        <f>_xlfn.IFNA(VLOOKUP($A1550,[2]stockregister!$A$2:$H$2000,8,0),0)-$M1550</f>
        <v>0</v>
      </c>
      <c r="O1550" s="3" t="s">
        <v>3601</v>
      </c>
      <c r="P1550" s="3" t="s">
        <v>3601</v>
      </c>
      <c r="Q1550" s="3" t="s">
        <v>3602</v>
      </c>
      <c r="R1550" s="3" t="s">
        <v>68</v>
      </c>
      <c r="S1550" s="3" t="s">
        <v>206</v>
      </c>
    </row>
    <row r="1551" spans="1:19">
      <c r="A1551" s="3">
        <v>125</v>
      </c>
      <c r="B1551" s="3" t="b">
        <f>ISNUMBER(MATCH(A1551,[1]stockregister!$A$2:$A$2000,0))</f>
        <v>1</v>
      </c>
      <c r="C1551" s="3" t="s">
        <v>3603</v>
      </c>
      <c r="D1551" s="3" t="str">
        <f>VLOOKUP($C1551,[1]stockregister!$B$2:$B$2000,1,0)</f>
        <v>ASCONI WINERY CAB SAUV 700ML</v>
      </c>
      <c r="E1551" s="3" t="str">
        <f>IF(ISNA($D1551),VLOOKUP($A1551,[2]stockregister!$A$2:$B$2000,2,FALSE),"")</f>
        <v/>
      </c>
      <c r="F1551" s="3" t="s">
        <v>21</v>
      </c>
      <c r="G1551" s="3">
        <f>_xlfn.IFNA(VLOOKUP($A1551,[3]stockregister!$A$2:$L$2000,11,0),0)</f>
        <v>0</v>
      </c>
      <c r="H1551" s="3">
        <f>_xlfn.IFNA(VLOOKUP($A1551,[3]stockregister!$A$2:$L$2000,11,0),0)-$G1551</f>
        <v>0</v>
      </c>
      <c r="I1551" s="3">
        <f>_xlfn.IFNA(VLOOKUP($A1551,[3]stockregister!$A$2:$L$2000,12,0),0)</f>
        <v>1334</v>
      </c>
      <c r="J1551" s="3">
        <f>_xlfn.IFNA(VLOOKUP($A1551,[3]stockregister!$A$1:$M$2000,12,0),0)-$I1551</f>
        <v>0</v>
      </c>
      <c r="K1551" s="3" t="s">
        <v>22</v>
      </c>
      <c r="L1551" s="3" t="s">
        <v>23</v>
      </c>
      <c r="M1551" s="3">
        <f>_xlfn.IFNA(VLOOKUP($A1551,[2]stockregister!$A$2:$H$2000,8,0),0)</f>
        <v>1450</v>
      </c>
      <c r="N1551" s="3">
        <f>_xlfn.IFNA(VLOOKUP($A1551,[2]stockregister!$A$2:$H$2000,8,0),0)-$M1551</f>
        <v>0</v>
      </c>
      <c r="O1551" s="3" t="s">
        <v>3604</v>
      </c>
      <c r="P1551" s="3" t="s">
        <v>3604</v>
      </c>
      <c r="Q1551" s="3" t="s">
        <v>1029</v>
      </c>
      <c r="R1551" s="3" t="s">
        <v>68</v>
      </c>
      <c r="S1551" s="3" t="s">
        <v>206</v>
      </c>
    </row>
    <row r="1552" spans="1:19">
      <c r="A1552" s="3">
        <v>803</v>
      </c>
      <c r="B1552" s="3" t="b">
        <f>ISNUMBER(MATCH(A1552,[1]stockregister!$A$2:$A$2000,0))</f>
        <v>1</v>
      </c>
      <c r="C1552" s="3" t="s">
        <v>3605</v>
      </c>
      <c r="D1552" s="3" t="str">
        <f>VLOOKUP($C1552,[1]stockregister!$B$2:$B$2000,1,0)</f>
        <v>GALLO FAMILY CAB SAUV 750ML</v>
      </c>
      <c r="E1552" s="3" t="str">
        <f>IF(ISNA($D1552),VLOOKUP($A1552,[2]stockregister!$A$2:$B$2000,2,FALSE),"")</f>
        <v/>
      </c>
      <c r="F1552" s="3" t="s">
        <v>21</v>
      </c>
      <c r="G1552" s="3">
        <f>_xlfn.IFNA(VLOOKUP($A1552,[3]stockregister!$A$2:$L$2000,11,0),0)</f>
        <v>0</v>
      </c>
      <c r="H1552" s="3">
        <f>_xlfn.IFNA(VLOOKUP($A1552,[3]stockregister!$A$2:$L$2000,11,0),0)-$G1552</f>
        <v>0</v>
      </c>
      <c r="I1552" s="3">
        <f>_xlfn.IFNA(VLOOKUP($A1552,[3]stockregister!$A$2:$L$2000,12,0),0)</f>
        <v>1104</v>
      </c>
      <c r="J1552" s="3">
        <f>_xlfn.IFNA(VLOOKUP($A1552,[3]stockregister!$A$1:$M$2000,12,0),0)-$I1552</f>
        <v>0</v>
      </c>
      <c r="K1552" s="3" t="s">
        <v>22</v>
      </c>
      <c r="L1552" s="3" t="s">
        <v>23</v>
      </c>
      <c r="M1552" s="3">
        <f>_xlfn.IFNA(VLOOKUP($A1552,[2]stockregister!$A$2:$H$2000,8,0),0)</f>
        <v>1200</v>
      </c>
      <c r="N1552" s="3">
        <f>_xlfn.IFNA(VLOOKUP($A1552,[2]stockregister!$A$2:$H$2000,8,0),0)-$M1552</f>
        <v>0</v>
      </c>
      <c r="O1552" s="3" t="s">
        <v>3606</v>
      </c>
      <c r="P1552" s="3" t="s">
        <v>3606</v>
      </c>
      <c r="Q1552" s="3" t="s">
        <v>3607</v>
      </c>
      <c r="R1552" s="3" t="s">
        <v>68</v>
      </c>
      <c r="S1552" s="3" t="s">
        <v>206</v>
      </c>
    </row>
    <row r="1553" spans="1:19">
      <c r="A1553" s="3">
        <v>1794</v>
      </c>
      <c r="B1553" s="3" t="b">
        <f>ISNUMBER(MATCH(A1553,[1]stockregister!$A$2:$A$2000,0))</f>
        <v>1</v>
      </c>
      <c r="C1553" s="3" t="s">
        <v>3608</v>
      </c>
      <c r="D1553" s="3" t="str">
        <f>VLOOKUP($C1553,[1]stockregister!$B$2:$B$2000,1,0)</f>
        <v>SIMONSIG CAB SAUV SHIRAZ 750ml</v>
      </c>
      <c r="E1553" s="3" t="str">
        <f>IF(ISNA($D1553),VLOOKUP($A1553,[2]stockregister!$A$2:$B$2000,2,FALSE),"")</f>
        <v/>
      </c>
      <c r="F1553" s="3" t="s">
        <v>21</v>
      </c>
      <c r="G1553" s="3">
        <f>_xlfn.IFNA(VLOOKUP($A1553,[3]stockregister!$A$2:$L$2000,11,0),0)</f>
        <v>0</v>
      </c>
      <c r="H1553" s="3">
        <f>_xlfn.IFNA(VLOOKUP($A1553,[3]stockregister!$A$2:$L$2000,11,0),0)-$G1553</f>
        <v>0</v>
      </c>
      <c r="I1553" s="3">
        <f>_xlfn.IFNA(VLOOKUP($A1553,[3]stockregister!$A$2:$L$2000,12,0),0)</f>
        <v>1840</v>
      </c>
      <c r="J1553" s="3">
        <f>_xlfn.IFNA(VLOOKUP($A1553,[3]stockregister!$A$1:$M$2000,12,0),0)-$I1553</f>
        <v>0</v>
      </c>
      <c r="K1553" s="3" t="s">
        <v>22</v>
      </c>
      <c r="L1553" s="3" t="s">
        <v>23</v>
      </c>
      <c r="M1553" s="3">
        <f>_xlfn.IFNA(VLOOKUP($A1553,[2]stockregister!$A$2:$H$2000,8,0),0)</f>
        <v>2000</v>
      </c>
      <c r="N1553" s="3">
        <f>_xlfn.IFNA(VLOOKUP($A1553,[2]stockregister!$A$2:$H$2000,8,0),0)-$M1553</f>
        <v>0</v>
      </c>
      <c r="O1553" s="3" t="s">
        <v>3609</v>
      </c>
      <c r="P1553" s="3" t="s">
        <v>3609</v>
      </c>
      <c r="Q1553" s="3" t="s">
        <v>3582</v>
      </c>
      <c r="R1553" s="3" t="s">
        <v>68</v>
      </c>
      <c r="S1553" s="3" t="s">
        <v>206</v>
      </c>
    </row>
    <row r="1554" spans="1:19">
      <c r="A1554" s="3">
        <v>2287</v>
      </c>
      <c r="B1554" s="3" t="b">
        <f>ISNUMBER(MATCH(A1554,[1]stockregister!$A$2:$A$2000,0))</f>
        <v>1</v>
      </c>
      <c r="C1554" s="3" t="s">
        <v>3610</v>
      </c>
      <c r="D1554" s="3" t="str">
        <f>VLOOKUP($C1554,[1]stockregister!$B$2:$B$2000,1,0)</f>
        <v>TWIGA HILL CAB SAUV 700ML</v>
      </c>
      <c r="E1554" s="3" t="str">
        <f>IF(ISNA($D1554),VLOOKUP($A1554,[2]stockregister!$A$2:$B$2000,2,FALSE),"")</f>
        <v/>
      </c>
      <c r="F1554" s="3" t="s">
        <v>21</v>
      </c>
      <c r="G1554" s="3">
        <f>_xlfn.IFNA(VLOOKUP($A1554,[3]stockregister!$A$2:$L$2000,11,0),0)</f>
        <v>0</v>
      </c>
      <c r="H1554" s="3">
        <f>_xlfn.IFNA(VLOOKUP($A1554,[3]stockregister!$A$2:$L$2000,11,0),0)-$G1554</f>
        <v>0</v>
      </c>
      <c r="I1554" s="3">
        <f>_xlfn.IFNA(VLOOKUP($A1554,[3]stockregister!$A$2:$L$2000,12,0),0)</f>
        <v>800</v>
      </c>
      <c r="J1554" s="3">
        <f>_xlfn.IFNA(VLOOKUP($A1554,[3]stockregister!$A$1:$M$2000,12,0),0)-$I1554</f>
        <v>0</v>
      </c>
      <c r="K1554" s="3" t="s">
        <v>22</v>
      </c>
      <c r="L1554" s="3" t="s">
        <v>23</v>
      </c>
      <c r="M1554" s="3">
        <f>_xlfn.IFNA(VLOOKUP($A1554,[2]stockregister!$A$2:$H$2000,8,0),0)</f>
        <v>1000</v>
      </c>
      <c r="N1554" s="3">
        <f>_xlfn.IFNA(VLOOKUP($A1554,[2]stockregister!$A$2:$H$2000,8,0),0)-$M1554</f>
        <v>0</v>
      </c>
      <c r="O1554" s="3" t="s">
        <v>3611</v>
      </c>
      <c r="P1554" s="3" t="s">
        <v>3611</v>
      </c>
      <c r="Q1554" s="3" t="s">
        <v>2111</v>
      </c>
      <c r="R1554" s="3" t="s">
        <v>68</v>
      </c>
      <c r="S1554" s="3" t="s">
        <v>206</v>
      </c>
    </row>
    <row r="1555" spans="1:19">
      <c r="A1555" s="3">
        <v>2483</v>
      </c>
      <c r="B1555" s="3" t="b">
        <f>ISNUMBER(MATCH(A1555,[1]stockregister!$A$2:$A$2000,0))</f>
        <v>1</v>
      </c>
      <c r="C1555" s="3" t="s">
        <v>3612</v>
      </c>
      <c r="D1555" s="3" t="str">
        <f>VLOOKUP($C1555,[1]stockregister!$B$2:$B$2000,1,0)</f>
        <v>BARON DE RUBI CAB SAV SWEET RED 750ML</v>
      </c>
      <c r="E1555" s="3" t="str">
        <f>IF(ISNA($D1555),VLOOKUP($A1555,[2]stockregister!$A$2:$B$2000,2,FALSE),"")</f>
        <v/>
      </c>
      <c r="F1555" s="3" t="s">
        <v>21</v>
      </c>
      <c r="G1555" s="3">
        <f>_xlfn.IFNA(VLOOKUP($A1555,[3]stockregister!$A$2:$L$2000,11,0),0)</f>
        <v>0</v>
      </c>
      <c r="H1555" s="3">
        <f>_xlfn.IFNA(VLOOKUP($A1555,[3]stockregister!$A$2:$L$2000,11,0),0)-$G1555</f>
        <v>0</v>
      </c>
      <c r="I1555" s="3">
        <f>_xlfn.IFNA(VLOOKUP($A1555,[3]stockregister!$A$2:$L$2000,12,0),0)</f>
        <v>773</v>
      </c>
      <c r="J1555" s="3">
        <f>_xlfn.IFNA(VLOOKUP($A1555,[3]stockregister!$A$1:$M$2000,12,0),0)-$I1555</f>
        <v>0</v>
      </c>
      <c r="K1555" s="3" t="s">
        <v>22</v>
      </c>
      <c r="L1555" s="3" t="s">
        <v>23</v>
      </c>
      <c r="M1555" s="3">
        <f>_xlfn.IFNA(VLOOKUP($A1555,[2]stockregister!$A$2:$H$2000,8,0),0)</f>
        <v>830</v>
      </c>
      <c r="N1555" s="3">
        <f>_xlfn.IFNA(VLOOKUP($A1555,[2]stockregister!$A$2:$H$2000,8,0),0)-$M1555</f>
        <v>0</v>
      </c>
      <c r="O1555" s="3" t="s">
        <v>3613</v>
      </c>
      <c r="P1555" s="3" t="s">
        <v>3613</v>
      </c>
      <c r="Q1555" s="3" t="s">
        <v>1713</v>
      </c>
      <c r="R1555" s="3" t="s">
        <v>537</v>
      </c>
      <c r="S1555" s="3" t="s">
        <v>206</v>
      </c>
    </row>
    <row r="1556" spans="1:19">
      <c r="A1556" s="3">
        <v>2372</v>
      </c>
      <c r="B1556" s="3" t="b">
        <f>ISNUMBER(MATCH(A1556,[1]stockregister!$A$2:$A$2000,0))</f>
        <v>1</v>
      </c>
      <c r="C1556" s="3" t="s">
        <v>3614</v>
      </c>
      <c r="D1556" s="3" t="str">
        <f>VLOOKUP($C1556,[1]stockregister!$B$2:$B$2000,1,0)</f>
        <v>FOUR COUSINS CAB SAUV 750ML</v>
      </c>
      <c r="E1556" s="3" t="str">
        <f>IF(ISNA($D1556),VLOOKUP($A1556,[2]stockregister!$A$2:$B$2000,2,FALSE),"")</f>
        <v/>
      </c>
      <c r="F1556" s="3" t="s">
        <v>21</v>
      </c>
      <c r="G1556" s="3">
        <f>_xlfn.IFNA(VLOOKUP($A1556,[3]stockregister!$A$2:$L$2000,11,0),0)</f>
        <v>0</v>
      </c>
      <c r="H1556" s="3">
        <f>_xlfn.IFNA(VLOOKUP($A1556,[3]stockregister!$A$2:$L$2000,11,0),0)-$G1556</f>
        <v>0</v>
      </c>
      <c r="I1556" s="3">
        <f>_xlfn.IFNA(VLOOKUP($A1556,[3]stockregister!$A$2:$L$2000,12,0),0)</f>
        <v>800</v>
      </c>
      <c r="J1556" s="3">
        <f>_xlfn.IFNA(VLOOKUP($A1556,[3]stockregister!$A$1:$M$2000,12,0),0)-$I1556</f>
        <v>0</v>
      </c>
      <c r="K1556" s="3" t="s">
        <v>22</v>
      </c>
      <c r="L1556" s="3" t="s">
        <v>23</v>
      </c>
      <c r="M1556" s="3">
        <f>_xlfn.IFNA(VLOOKUP($A1556,[2]stockregister!$A$2:$H$2000,8,0),0)</f>
        <v>1000</v>
      </c>
      <c r="N1556" s="3">
        <f>_xlfn.IFNA(VLOOKUP($A1556,[2]stockregister!$A$2:$H$2000,8,0),0)-$M1556</f>
        <v>0</v>
      </c>
      <c r="O1556" s="3" t="s">
        <v>3615</v>
      </c>
      <c r="P1556" s="3" t="s">
        <v>3615</v>
      </c>
      <c r="Q1556" s="3" t="s">
        <v>952</v>
      </c>
      <c r="R1556" s="3" t="s">
        <v>537</v>
      </c>
      <c r="S1556" s="3" t="s">
        <v>206</v>
      </c>
    </row>
    <row r="1557" spans="1:19">
      <c r="A1557" s="3">
        <v>1680</v>
      </c>
      <c r="B1557" s="3" t="b">
        <f>ISNUMBER(MATCH(A1557,[1]stockregister!$A$2:$A$2000,0))</f>
        <v>1</v>
      </c>
      <c r="C1557" s="3" t="s">
        <v>602</v>
      </c>
      <c r="D1557" s="3" t="str">
        <f>VLOOKUP($C1557,[1]stockregister!$B$2:$B$2000,1,0)</f>
        <v>ROCHE MAZET CAB SAUV  750ml </v>
      </c>
      <c r="E1557" s="3" t="str">
        <f>IF(ISNA($D1557),VLOOKUP($A1557,[2]stockregister!$A$2:$B$2000,2,FALSE),"")</f>
        <v/>
      </c>
      <c r="F1557" s="3" t="s">
        <v>21</v>
      </c>
      <c r="G1557" s="3">
        <f>_xlfn.IFNA(VLOOKUP($A1557,[3]stockregister!$A$2:$L$2000,11,0),0)</f>
        <v>0</v>
      </c>
      <c r="H1557" s="3">
        <f>_xlfn.IFNA(VLOOKUP($A1557,[3]stockregister!$A$2:$L$2000,11,0),0)-$G1557</f>
        <v>0</v>
      </c>
      <c r="I1557" s="3">
        <f>_xlfn.IFNA(VLOOKUP($A1557,[3]stockregister!$A$2:$L$2000,12,0),0)</f>
        <v>1104</v>
      </c>
      <c r="J1557" s="3">
        <f>_xlfn.IFNA(VLOOKUP($A1557,[3]stockregister!$A$1:$M$2000,12,0),0)-$I1557</f>
        <v>0</v>
      </c>
      <c r="K1557" s="3" t="s">
        <v>22</v>
      </c>
      <c r="L1557" s="3" t="s">
        <v>23</v>
      </c>
      <c r="M1557" s="3">
        <f>_xlfn.IFNA(VLOOKUP($A1557,[2]stockregister!$A$2:$H$2000,8,0),0)</f>
        <v>1200</v>
      </c>
      <c r="N1557" s="3">
        <f>_xlfn.IFNA(VLOOKUP($A1557,[2]stockregister!$A$2:$H$2000,8,0),0)-$M1557</f>
        <v>0</v>
      </c>
      <c r="O1557" s="3" t="s">
        <v>3616</v>
      </c>
      <c r="P1557" s="3" t="s">
        <v>3616</v>
      </c>
      <c r="Q1557" s="3" t="s">
        <v>874</v>
      </c>
      <c r="R1557" s="3" t="s">
        <v>537</v>
      </c>
      <c r="S1557" s="3" t="s">
        <v>206</v>
      </c>
    </row>
    <row r="1558" spans="1:19">
      <c r="A1558" s="3">
        <v>1452</v>
      </c>
      <c r="B1558" s="3" t="b">
        <f>ISNUMBER(MATCH(A1558,[1]stockregister!$A$2:$A$2000,0))</f>
        <v>1</v>
      </c>
      <c r="C1558" s="3" t="s">
        <v>3617</v>
      </c>
      <c r="D1558" s="3" t="str">
        <f>VLOOKUP($C1558,[1]stockregister!$B$2:$B$2000,1,0)</f>
        <v>MOET &amp; CHARNDON - ROSE 750ML</v>
      </c>
      <c r="E1558" s="3" t="str">
        <f>IF(ISNA($D1558),VLOOKUP($A1558,[2]stockregister!$A$2:$B$2000,2,FALSE),"")</f>
        <v/>
      </c>
      <c r="F1558" s="3" t="s">
        <v>21</v>
      </c>
      <c r="G1558" s="3">
        <f>_xlfn.IFNA(VLOOKUP($A1558,[3]stockregister!$A$2:$L$2000,11,0),0)</f>
        <v>0</v>
      </c>
      <c r="H1558" s="3">
        <f>_xlfn.IFNA(VLOOKUP($A1558,[3]stockregister!$A$2:$L$2000,11,0),0)-$G1558</f>
        <v>0</v>
      </c>
      <c r="I1558" s="3">
        <f>_xlfn.IFNA(VLOOKUP($A1558,[3]stockregister!$A$2:$L$2000,12,0),0)</f>
        <v>9660</v>
      </c>
      <c r="J1558" s="3">
        <f>_xlfn.IFNA(VLOOKUP($A1558,[3]stockregister!$A$1:$M$2000,12,0),0)-$I1558</f>
        <v>0</v>
      </c>
      <c r="K1558" s="3" t="s">
        <v>22</v>
      </c>
      <c r="L1558" s="3" t="s">
        <v>23</v>
      </c>
      <c r="M1558" s="3">
        <f>_xlfn.IFNA(VLOOKUP($A1558,[2]stockregister!$A$2:$H$2000,8,0),0)</f>
        <v>10500</v>
      </c>
      <c r="N1558" s="3">
        <f>_xlfn.IFNA(VLOOKUP($A1558,[2]stockregister!$A$2:$H$2000,8,0),0)-$M1558</f>
        <v>0</v>
      </c>
      <c r="O1558" s="3" t="s">
        <v>1824</v>
      </c>
      <c r="P1558" s="3" t="s">
        <v>1824</v>
      </c>
      <c r="Q1558" s="3" t="s">
        <v>420</v>
      </c>
      <c r="R1558" s="3" t="s">
        <v>68</v>
      </c>
      <c r="S1558" s="3" t="s">
        <v>750</v>
      </c>
    </row>
    <row r="1559" spans="1:19">
      <c r="A1559" s="3">
        <v>2056</v>
      </c>
      <c r="B1559" s="3" t="b">
        <f>ISNUMBER(MATCH(A1559,[1]stockregister!$A$2:$A$2000,0))</f>
        <v>1</v>
      </c>
      <c r="C1559" s="3" t="s">
        <v>3618</v>
      </c>
      <c r="D1559" s="3" t="str">
        <f>VLOOKUP($C1559,[1]stockregister!$B$2:$B$2000,1,0)</f>
        <v>VEUVE CLICQUOT - BRUT 750ML</v>
      </c>
      <c r="E1559" s="3" t="str">
        <f>IF(ISNA($D1559),VLOOKUP($A1559,[2]stockregister!$A$2:$B$2000,2,FALSE),"")</f>
        <v/>
      </c>
      <c r="F1559" s="3" t="s">
        <v>21</v>
      </c>
      <c r="G1559" s="3">
        <f>_xlfn.IFNA(VLOOKUP($A1559,[3]stockregister!$A$2:$L$2000,11,0),0)</f>
        <v>0</v>
      </c>
      <c r="H1559" s="3">
        <f>_xlfn.IFNA(VLOOKUP($A1559,[3]stockregister!$A$2:$L$2000,11,0),0)-$G1559</f>
        <v>0</v>
      </c>
      <c r="I1559" s="3">
        <f>_xlfn.IFNA(VLOOKUP($A1559,[3]stockregister!$A$2:$L$2000,12,0),0)</f>
        <v>10000</v>
      </c>
      <c r="J1559" s="3">
        <f>_xlfn.IFNA(VLOOKUP($A1559,[3]stockregister!$A$1:$M$2000,12,0),0)-$I1559</f>
        <v>0</v>
      </c>
      <c r="K1559" s="3" t="s">
        <v>22</v>
      </c>
      <c r="L1559" s="3" t="s">
        <v>23</v>
      </c>
      <c r="M1559" s="3">
        <f>_xlfn.IFNA(VLOOKUP($A1559,[2]stockregister!$A$2:$H$2000,8,0),0)</f>
        <v>10200</v>
      </c>
      <c r="N1559" s="3">
        <f>_xlfn.IFNA(VLOOKUP($A1559,[2]stockregister!$A$2:$H$2000,8,0),0)-$M1559</f>
        <v>0</v>
      </c>
      <c r="O1559" s="3" t="s">
        <v>3619</v>
      </c>
      <c r="P1559" s="3" t="s">
        <v>3619</v>
      </c>
      <c r="Q1559" s="3" t="s">
        <v>1342</v>
      </c>
      <c r="R1559" s="3" t="s">
        <v>68</v>
      </c>
      <c r="S1559" s="3" t="s">
        <v>750</v>
      </c>
    </row>
    <row r="1560" spans="1:19">
      <c r="A1560" s="3">
        <v>1319</v>
      </c>
      <c r="B1560" s="3" t="b">
        <f>ISNUMBER(MATCH(A1560,[1]stockregister!$A$2:$A$2000,0))</f>
        <v>1</v>
      </c>
      <c r="C1560" s="3" t="s">
        <v>3620</v>
      </c>
      <c r="D1560" s="3" t="str">
        <f>VLOOKUP($C1560,[1]stockregister!$B$2:$B$2000,1,0)</f>
        <v>LUC BELAIRE FANTOME ROSE 750ML</v>
      </c>
      <c r="E1560" s="3" t="str">
        <f>IF(ISNA($D1560),VLOOKUP($A1560,[2]stockregister!$A$2:$B$2000,2,FALSE),"")</f>
        <v/>
      </c>
      <c r="F1560" s="3" t="s">
        <v>21</v>
      </c>
      <c r="G1560" s="3">
        <f>_xlfn.IFNA(VLOOKUP($A1560,[3]stockregister!$A$2:$L$2000,11,0),0)</f>
        <v>0</v>
      </c>
      <c r="H1560" s="3">
        <f>_xlfn.IFNA(VLOOKUP($A1560,[3]stockregister!$A$2:$L$2000,11,0),0)-$G1560</f>
        <v>0</v>
      </c>
      <c r="I1560" s="3">
        <f>_xlfn.IFNA(VLOOKUP($A1560,[3]stockregister!$A$2:$L$2000,12,0),0)</f>
        <v>3270</v>
      </c>
      <c r="J1560" s="3">
        <f>_xlfn.IFNA(VLOOKUP($A1560,[3]stockregister!$A$1:$M$2000,12,0),0)-$I1560</f>
        <v>0</v>
      </c>
      <c r="K1560" s="3" t="s">
        <v>22</v>
      </c>
      <c r="L1560" s="3" t="s">
        <v>23</v>
      </c>
      <c r="M1560" s="3">
        <f>_xlfn.IFNA(VLOOKUP($A1560,[2]stockregister!$A$2:$H$2000,8,0),0)</f>
        <v>4900</v>
      </c>
      <c r="N1560" s="3">
        <f>_xlfn.IFNA(VLOOKUP($A1560,[2]stockregister!$A$2:$H$2000,8,0),0)-$M1560</f>
        <v>0</v>
      </c>
      <c r="O1560" s="3" t="s">
        <v>3621</v>
      </c>
      <c r="P1560" s="3" t="s">
        <v>3621</v>
      </c>
      <c r="Q1560" s="3" t="s">
        <v>749</v>
      </c>
      <c r="R1560" s="3" t="s">
        <v>68</v>
      </c>
      <c r="S1560" s="3" t="s">
        <v>750</v>
      </c>
    </row>
    <row r="1561" spans="1:19">
      <c r="A1561" s="3">
        <v>2304</v>
      </c>
      <c r="B1561" s="3" t="b">
        <f>ISNUMBER(MATCH(A1561,[1]stockregister!$A$2:$A$2000,0))</f>
        <v>1</v>
      </c>
      <c r="C1561" s="3" t="s">
        <v>3622</v>
      </c>
      <c r="D1561" s="3" t="str">
        <f>VLOOKUP($C1561,[1]stockregister!$B$2:$B$2000,1,0)</f>
        <v>LUC BELAIRE LUXE RARE FANTOM 750ML</v>
      </c>
      <c r="E1561" s="3" t="str">
        <f>IF(ISNA($D1561),VLOOKUP($A1561,[2]stockregister!$A$2:$B$2000,2,FALSE),"")</f>
        <v/>
      </c>
      <c r="F1561" s="3" t="s">
        <v>21</v>
      </c>
      <c r="G1561" s="3">
        <f>_xlfn.IFNA(VLOOKUP($A1561,[3]stockregister!$A$2:$L$2000,11,0),0)</f>
        <v>0</v>
      </c>
      <c r="H1561" s="3">
        <f>_xlfn.IFNA(VLOOKUP($A1561,[3]stockregister!$A$2:$L$2000,11,0),0)-$G1561</f>
        <v>0</v>
      </c>
      <c r="I1561" s="3">
        <f>_xlfn.IFNA(VLOOKUP($A1561,[3]stockregister!$A$2:$L$2000,12,0),0)</f>
        <v>4800</v>
      </c>
      <c r="J1561" s="3">
        <f>_xlfn.IFNA(VLOOKUP($A1561,[3]stockregister!$A$1:$M$2000,12,0),0)-$I1561</f>
        <v>0</v>
      </c>
      <c r="K1561" s="3" t="s">
        <v>22</v>
      </c>
      <c r="L1561" s="3" t="s">
        <v>23</v>
      </c>
      <c r="M1561" s="3">
        <f>_xlfn.IFNA(VLOOKUP($A1561,[2]stockregister!$A$2:$H$2000,8,0),0)</f>
        <v>4900</v>
      </c>
      <c r="N1561" s="3">
        <f>_xlfn.IFNA(VLOOKUP($A1561,[2]stockregister!$A$2:$H$2000,8,0),0)-$M1561</f>
        <v>0</v>
      </c>
      <c r="O1561" s="3" t="s">
        <v>3623</v>
      </c>
      <c r="P1561" s="3" t="s">
        <v>3623</v>
      </c>
      <c r="Q1561" s="3" t="s">
        <v>554</v>
      </c>
      <c r="R1561" s="3" t="s">
        <v>68</v>
      </c>
      <c r="S1561" s="3" t="s">
        <v>750</v>
      </c>
    </row>
    <row r="1562" spans="1:19">
      <c r="A1562" s="3">
        <v>818</v>
      </c>
      <c r="B1562" s="3" t="b">
        <f>ISNUMBER(MATCH(A1562,[1]stockregister!$A$2:$A$2000,0))</f>
        <v>1</v>
      </c>
      <c r="C1562" s="3" t="s">
        <v>3624</v>
      </c>
      <c r="D1562" s="3" t="str">
        <f>VLOOKUP($C1562,[1]stockregister!$B$2:$B$2000,1,0)</f>
        <v>GH MUMM 750ML</v>
      </c>
      <c r="E1562" s="3" t="str">
        <f>IF(ISNA($D1562),VLOOKUP($A1562,[2]stockregister!$A$2:$B$2000,2,FALSE),"")</f>
        <v/>
      </c>
      <c r="F1562" s="3" t="s">
        <v>21</v>
      </c>
      <c r="G1562" s="3">
        <f>_xlfn.IFNA(VLOOKUP($A1562,[3]stockregister!$A$2:$L$2000,11,0),0)</f>
        <v>0</v>
      </c>
      <c r="H1562" s="3">
        <f>_xlfn.IFNA(VLOOKUP($A1562,[3]stockregister!$A$2:$L$2000,11,0),0)-$G1562</f>
        <v>0</v>
      </c>
      <c r="I1562" s="3">
        <f>_xlfn.IFNA(VLOOKUP($A1562,[3]stockregister!$A$2:$L$2000,12,0),0)</f>
        <v>7800</v>
      </c>
      <c r="J1562" s="3">
        <f>_xlfn.IFNA(VLOOKUP($A1562,[3]stockregister!$A$1:$M$2000,12,0),0)-$I1562</f>
        <v>0</v>
      </c>
      <c r="K1562" s="3" t="s">
        <v>22</v>
      </c>
      <c r="L1562" s="3" t="s">
        <v>23</v>
      </c>
      <c r="M1562" s="3">
        <f>_xlfn.IFNA(VLOOKUP($A1562,[2]stockregister!$A$2:$H$2000,8,0),0)</f>
        <v>8000</v>
      </c>
      <c r="N1562" s="3">
        <f>_xlfn.IFNA(VLOOKUP($A1562,[2]stockregister!$A$2:$H$2000,8,0),0)-$M1562</f>
        <v>0</v>
      </c>
      <c r="O1562" s="3" t="s">
        <v>3625</v>
      </c>
      <c r="P1562" s="3" t="s">
        <v>3625</v>
      </c>
      <c r="Q1562" s="3" t="s">
        <v>1448</v>
      </c>
      <c r="R1562" s="3" t="s">
        <v>68</v>
      </c>
      <c r="S1562" s="3" t="s">
        <v>555</v>
      </c>
    </row>
    <row r="1563" spans="1:19">
      <c r="A1563" s="3">
        <v>2193</v>
      </c>
      <c r="B1563" s="3" t="b">
        <f>ISNUMBER(MATCH(A1563,[1]stockregister!$A$2:$A$2000,0))</f>
        <v>1</v>
      </c>
      <c r="C1563" s="3" t="s">
        <v>3626</v>
      </c>
      <c r="D1563" s="3" t="str">
        <f>VLOOKUP($C1563,[1]stockregister!$B$2:$B$2000,1,0)</f>
        <v>GRAHAM BECK NECTAR ROSE 750ML</v>
      </c>
      <c r="E1563" s="3" t="str">
        <f>IF(ISNA($D1563),VLOOKUP($A1563,[2]stockregister!$A$2:$B$2000,2,FALSE),"")</f>
        <v/>
      </c>
      <c r="F1563" s="3" t="s">
        <v>21</v>
      </c>
      <c r="G1563" s="3">
        <f>_xlfn.IFNA(VLOOKUP($A1563,[3]stockregister!$A$2:$L$2000,11,0),0)</f>
        <v>0</v>
      </c>
      <c r="H1563" s="3">
        <f>_xlfn.IFNA(VLOOKUP($A1563,[3]stockregister!$A$2:$L$2000,11,0),0)-$G1563</f>
        <v>0</v>
      </c>
      <c r="I1563" s="3">
        <f>_xlfn.IFNA(VLOOKUP($A1563,[3]stockregister!$A$2:$L$2000,12,0),0)</f>
        <v>2700</v>
      </c>
      <c r="J1563" s="3">
        <f>_xlfn.IFNA(VLOOKUP($A1563,[3]stockregister!$A$1:$M$2000,12,0),0)-$I1563</f>
        <v>0</v>
      </c>
      <c r="K1563" s="3" t="s">
        <v>22</v>
      </c>
      <c r="L1563" s="3" t="s">
        <v>23</v>
      </c>
      <c r="M1563" s="3">
        <f>_xlfn.IFNA(VLOOKUP($A1563,[2]stockregister!$A$2:$H$2000,8,0),0)</f>
        <v>2800</v>
      </c>
      <c r="N1563" s="3">
        <f>_xlfn.IFNA(VLOOKUP($A1563,[2]stockregister!$A$2:$H$2000,8,0),0)-$M1563</f>
        <v>0</v>
      </c>
      <c r="O1563" s="3" t="s">
        <v>3627</v>
      </c>
      <c r="P1563" s="3" t="s">
        <v>3627</v>
      </c>
      <c r="Q1563" s="3" t="s">
        <v>3628</v>
      </c>
      <c r="R1563" s="3" t="s">
        <v>68</v>
      </c>
      <c r="S1563" s="3" t="s">
        <v>750</v>
      </c>
    </row>
    <row r="1564" spans="1:19">
      <c r="A1564" s="3">
        <v>1322</v>
      </c>
      <c r="B1564" s="3" t="b">
        <f>ISNUMBER(MATCH(A1564,[1]stockregister!$A$2:$A$2000,0))</f>
        <v>1</v>
      </c>
      <c r="C1564" s="3" t="s">
        <v>3629</v>
      </c>
      <c r="D1564" s="3" t="str">
        <f>VLOOKUP($C1564,[1]stockregister!$B$2:$B$2000,1,0)</f>
        <v>LUC BELAIRE RARE LUXE 750ML</v>
      </c>
      <c r="E1564" s="3" t="str">
        <f>IF(ISNA($D1564),VLOOKUP($A1564,[2]stockregister!$A$2:$B$2000,2,FALSE),"")</f>
        <v/>
      </c>
      <c r="F1564" s="3" t="s">
        <v>21</v>
      </c>
      <c r="G1564" s="3">
        <f>_xlfn.IFNA(VLOOKUP($A1564,[3]stockregister!$A$2:$L$2000,11,0),0)</f>
        <v>0</v>
      </c>
      <c r="H1564" s="3">
        <f>_xlfn.IFNA(VLOOKUP($A1564,[3]stockregister!$A$2:$L$2000,11,0),0)-$G1564</f>
        <v>0</v>
      </c>
      <c r="I1564" s="3">
        <f>_xlfn.IFNA(VLOOKUP($A1564,[3]stockregister!$A$2:$L$2000,12,0),0)</f>
        <v>3700</v>
      </c>
      <c r="J1564" s="3">
        <f>_xlfn.IFNA(VLOOKUP($A1564,[3]stockregister!$A$1:$M$2000,12,0),0)-$I1564</f>
        <v>0</v>
      </c>
      <c r="K1564" s="3" t="s">
        <v>22</v>
      </c>
      <c r="L1564" s="3" t="s">
        <v>23</v>
      </c>
      <c r="M1564" s="3">
        <f>_xlfn.IFNA(VLOOKUP($A1564,[2]stockregister!$A$2:$H$2000,8,0),0)</f>
        <v>4200</v>
      </c>
      <c r="N1564" s="3">
        <f>_xlfn.IFNA(VLOOKUP($A1564,[2]stockregister!$A$2:$H$2000,8,0),0)-$M1564</f>
        <v>0</v>
      </c>
      <c r="O1564" s="3" t="s">
        <v>3630</v>
      </c>
      <c r="P1564" s="3" t="s">
        <v>3630</v>
      </c>
      <c r="Q1564" s="3" t="s">
        <v>749</v>
      </c>
      <c r="R1564" s="3" t="s">
        <v>68</v>
      </c>
      <c r="S1564" s="3" t="s">
        <v>750</v>
      </c>
    </row>
    <row r="1565" spans="1:19">
      <c r="A1565" s="3">
        <v>1445</v>
      </c>
      <c r="B1565" s="3" t="b">
        <f>ISNUMBER(MATCH(A1565,[1]stockregister!$A$2:$A$2000,0))</f>
        <v>1</v>
      </c>
      <c r="C1565" s="3" t="s">
        <v>3631</v>
      </c>
      <c r="D1565" s="3" t="str">
        <f>VLOOKUP($C1565,[1]stockregister!$B$2:$B$2000,1,0)</f>
        <v>MOET &amp; CHANDON ICE IMPERIAL ROSE 750ML</v>
      </c>
      <c r="E1565" s="3" t="str">
        <f>IF(ISNA($D1565),VLOOKUP($A1565,[2]stockregister!$A$2:$B$2000,2,FALSE),"")</f>
        <v/>
      </c>
      <c r="F1565" s="3" t="s">
        <v>21</v>
      </c>
      <c r="G1565" s="3">
        <f>_xlfn.IFNA(VLOOKUP($A1565,[3]stockregister!$A$2:$L$2000,11,0),0)</f>
        <v>0</v>
      </c>
      <c r="H1565" s="3">
        <f>_xlfn.IFNA(VLOOKUP($A1565,[3]stockregister!$A$2:$L$2000,11,0),0)-$G1565</f>
        <v>0</v>
      </c>
      <c r="I1565" s="3">
        <f>_xlfn.IFNA(VLOOKUP($A1565,[3]stockregister!$A$2:$L$2000,12,0),0)</f>
        <v>11000</v>
      </c>
      <c r="J1565" s="3">
        <f>_xlfn.IFNA(VLOOKUP($A1565,[3]stockregister!$A$1:$M$2000,12,0),0)-$I1565</f>
        <v>0</v>
      </c>
      <c r="K1565" s="3" t="s">
        <v>22</v>
      </c>
      <c r="L1565" s="3" t="s">
        <v>23</v>
      </c>
      <c r="M1565" s="3">
        <f>_xlfn.IFNA(VLOOKUP($A1565,[2]stockregister!$A$2:$H$2000,8,0),0)</f>
        <v>11500</v>
      </c>
      <c r="N1565" s="3">
        <f>_xlfn.IFNA(VLOOKUP($A1565,[2]stockregister!$A$2:$H$2000,8,0),0)-$M1565</f>
        <v>0</v>
      </c>
      <c r="O1565" s="3" t="s">
        <v>3632</v>
      </c>
      <c r="P1565" s="3" t="s">
        <v>3632</v>
      </c>
      <c r="Q1565" s="3" t="s">
        <v>420</v>
      </c>
      <c r="R1565" s="3" t="s">
        <v>68</v>
      </c>
      <c r="S1565" s="3" t="s">
        <v>555</v>
      </c>
    </row>
    <row r="1566" spans="1:19">
      <c r="A1566" s="3">
        <v>1451</v>
      </c>
      <c r="B1566" s="3" t="b">
        <f>ISNUMBER(MATCH(A1566,[1]stockregister!$A$2:$A$2000,0))</f>
        <v>1</v>
      </c>
      <c r="C1566" s="3" t="s">
        <v>3633</v>
      </c>
      <c r="D1566" s="3" t="str">
        <f>VLOOKUP($C1566,[1]stockregister!$B$2:$B$2000,1,0)</f>
        <v>MOET &amp; CHARNDON - NECTOR 750ML</v>
      </c>
      <c r="E1566" s="3" t="str">
        <f>IF(ISNA($D1566),VLOOKUP($A1566,[2]stockregister!$A$2:$B$2000,2,FALSE),"")</f>
        <v/>
      </c>
      <c r="F1566" s="3" t="s">
        <v>21</v>
      </c>
      <c r="G1566" s="3">
        <f>_xlfn.IFNA(VLOOKUP($A1566,[3]stockregister!$A$2:$L$2000,11,0),0)</f>
        <v>0</v>
      </c>
      <c r="H1566" s="3">
        <f>_xlfn.IFNA(VLOOKUP($A1566,[3]stockregister!$A$2:$L$2000,11,0),0)-$G1566</f>
        <v>0</v>
      </c>
      <c r="I1566" s="3">
        <f>_xlfn.IFNA(VLOOKUP($A1566,[3]stockregister!$A$2:$L$2000,12,0),0)</f>
        <v>11500</v>
      </c>
      <c r="J1566" s="3">
        <f>_xlfn.IFNA(VLOOKUP($A1566,[3]stockregister!$A$1:$M$2000,12,0),0)-$I1566</f>
        <v>0</v>
      </c>
      <c r="K1566" s="3" t="s">
        <v>22</v>
      </c>
      <c r="L1566" s="3" t="s">
        <v>23</v>
      </c>
      <c r="M1566" s="3">
        <f>_xlfn.IFNA(VLOOKUP($A1566,[2]stockregister!$A$2:$H$2000,8,0),0)</f>
        <v>12500</v>
      </c>
      <c r="N1566" s="3">
        <f>_xlfn.IFNA(VLOOKUP($A1566,[2]stockregister!$A$2:$H$2000,8,0),0)-$M1566</f>
        <v>0</v>
      </c>
      <c r="O1566" s="3">
        <v>0</v>
      </c>
      <c r="P1566" s="3">
        <v>0</v>
      </c>
      <c r="Q1566" s="3" t="s">
        <v>420</v>
      </c>
      <c r="R1566" s="3" t="s">
        <v>68</v>
      </c>
      <c r="S1566" s="3" t="s">
        <v>750</v>
      </c>
    </row>
    <row r="1567" spans="1:19">
      <c r="A1567" s="3">
        <v>1915</v>
      </c>
      <c r="B1567" s="3" t="b">
        <f>ISNUMBER(MATCH(A1567,[1]stockregister!$A$2:$A$2000,0))</f>
        <v>1</v>
      </c>
      <c r="C1567" s="3" t="s">
        <v>3634</v>
      </c>
      <c r="D1567" s="3" t="str">
        <f>VLOOKUP($C1567,[1]stockregister!$B$2:$B$2000,1,0)</f>
        <v>TAITTINGER PRESTIGE ROSÉ 750ML</v>
      </c>
      <c r="E1567" s="3" t="str">
        <f>IF(ISNA($D1567),VLOOKUP($A1567,[2]stockregister!$A$2:$B$2000,2,FALSE),"")</f>
        <v/>
      </c>
      <c r="F1567" s="3" t="s">
        <v>21</v>
      </c>
      <c r="G1567" s="3">
        <f>_xlfn.IFNA(VLOOKUP($A1567,[3]stockregister!$A$2:$L$2000,11,0),0)</f>
        <v>0</v>
      </c>
      <c r="H1567" s="3">
        <f>_xlfn.IFNA(VLOOKUP($A1567,[3]stockregister!$A$2:$L$2000,11,0),0)-$G1567</f>
        <v>0</v>
      </c>
      <c r="I1567" s="3">
        <f>_xlfn.IFNA(VLOOKUP($A1567,[3]stockregister!$A$2:$L$2000,12,0),0)</f>
        <v>8740</v>
      </c>
      <c r="J1567" s="3">
        <f>_xlfn.IFNA(VLOOKUP($A1567,[3]stockregister!$A$1:$M$2000,12,0),0)-$I1567</f>
        <v>0</v>
      </c>
      <c r="K1567" s="3" t="s">
        <v>22</v>
      </c>
      <c r="L1567" s="3" t="s">
        <v>23</v>
      </c>
      <c r="M1567" s="3">
        <f>_xlfn.IFNA(VLOOKUP($A1567,[2]stockregister!$A$2:$H$2000,8,0),0)</f>
        <v>9500</v>
      </c>
      <c r="N1567" s="3">
        <f>_xlfn.IFNA(VLOOKUP($A1567,[2]stockregister!$A$2:$H$2000,8,0),0)-$M1567</f>
        <v>0</v>
      </c>
      <c r="O1567" s="3" t="s">
        <v>3635</v>
      </c>
      <c r="P1567" s="3" t="s">
        <v>3635</v>
      </c>
      <c r="Q1567" s="3" t="s">
        <v>2223</v>
      </c>
      <c r="R1567" s="3" t="s">
        <v>68</v>
      </c>
      <c r="S1567" s="3" t="s">
        <v>750</v>
      </c>
    </row>
    <row r="1568" spans="1:19">
      <c r="A1568" s="3">
        <v>1321</v>
      </c>
      <c r="B1568" s="3" t="b">
        <f>ISNUMBER(MATCH(A1568,[1]stockregister!$A$2:$A$2000,0))</f>
        <v>1</v>
      </c>
      <c r="C1568" s="3" t="s">
        <v>3636</v>
      </c>
      <c r="D1568" s="3" t="str">
        <f>VLOOKUP($C1568,[1]stockregister!$B$2:$B$2000,1,0)</f>
        <v>LUC BELAIRE LUXE ROSE 750ML</v>
      </c>
      <c r="E1568" s="3" t="str">
        <f>IF(ISNA($D1568),VLOOKUP($A1568,[2]stockregister!$A$2:$B$2000,2,FALSE),"")</f>
        <v/>
      </c>
      <c r="F1568" s="3" t="s">
        <v>21</v>
      </c>
      <c r="G1568" s="3">
        <f>_xlfn.IFNA(VLOOKUP($A1568,[3]stockregister!$A$2:$L$2000,11,0),0)</f>
        <v>0</v>
      </c>
      <c r="H1568" s="3">
        <f>_xlfn.IFNA(VLOOKUP($A1568,[3]stockregister!$A$2:$L$2000,11,0),0)-$G1568</f>
        <v>0</v>
      </c>
      <c r="I1568" s="3">
        <f>_xlfn.IFNA(VLOOKUP($A1568,[3]stockregister!$A$2:$L$2000,12,0),0)</f>
        <v>3800</v>
      </c>
      <c r="J1568" s="3">
        <f>_xlfn.IFNA(VLOOKUP($A1568,[3]stockregister!$A$1:$M$2000,12,0),0)-$I1568</f>
        <v>0</v>
      </c>
      <c r="K1568" s="3" t="s">
        <v>22</v>
      </c>
      <c r="L1568" s="3" t="s">
        <v>23</v>
      </c>
      <c r="M1568" s="3">
        <f>_xlfn.IFNA(VLOOKUP($A1568,[2]stockregister!$A$2:$H$2000,8,0),0)</f>
        <v>4500</v>
      </c>
      <c r="N1568" s="3">
        <f>_xlfn.IFNA(VLOOKUP($A1568,[2]stockregister!$A$2:$H$2000,8,0),0)-$M1568</f>
        <v>0</v>
      </c>
      <c r="O1568" s="3" t="s">
        <v>3637</v>
      </c>
      <c r="P1568" s="3" t="s">
        <v>3637</v>
      </c>
      <c r="Q1568" s="3" t="s">
        <v>749</v>
      </c>
      <c r="R1568" s="3" t="s">
        <v>68</v>
      </c>
      <c r="S1568" s="3" t="s">
        <v>750</v>
      </c>
    </row>
    <row r="1569" spans="1:19">
      <c r="A1569" s="3">
        <v>1323</v>
      </c>
      <c r="B1569" s="3" t="b">
        <f>ISNUMBER(MATCH(A1569,[1]stockregister!$A$2:$A$2000,0))</f>
        <v>1</v>
      </c>
      <c r="C1569" s="3" t="s">
        <v>3638</v>
      </c>
      <c r="D1569" s="3" t="str">
        <f>VLOOKUP($C1569,[1]stockregister!$B$2:$B$2000,1,0)</f>
        <v>LUC BELAIRE RARE ROSE 750ML</v>
      </c>
      <c r="E1569" s="3" t="str">
        <f>IF(ISNA($D1569),VLOOKUP($A1569,[2]stockregister!$A$2:$B$2000,2,FALSE),"")</f>
        <v/>
      </c>
      <c r="F1569" s="3" t="s">
        <v>21</v>
      </c>
      <c r="G1569" s="3">
        <f>_xlfn.IFNA(VLOOKUP($A1569,[3]stockregister!$A$2:$L$2000,11,0),0)</f>
        <v>0</v>
      </c>
      <c r="H1569" s="3">
        <f>_xlfn.IFNA(VLOOKUP($A1569,[3]stockregister!$A$2:$L$2000,11,0),0)-$G1569</f>
        <v>0</v>
      </c>
      <c r="I1569" s="3">
        <f>_xlfn.IFNA(VLOOKUP($A1569,[3]stockregister!$A$2:$L$2000,12,0),0)</f>
        <v>2545</v>
      </c>
      <c r="J1569" s="3">
        <f>_xlfn.IFNA(VLOOKUP($A1569,[3]stockregister!$A$1:$M$2000,12,0),0)-$I1569</f>
        <v>0</v>
      </c>
      <c r="K1569" s="3" t="s">
        <v>22</v>
      </c>
      <c r="L1569" s="3" t="s">
        <v>23</v>
      </c>
      <c r="M1569" s="3">
        <f>_xlfn.IFNA(VLOOKUP($A1569,[2]stockregister!$A$2:$H$2000,8,0),0)</f>
        <v>4600</v>
      </c>
      <c r="N1569" s="3">
        <f>_xlfn.IFNA(VLOOKUP($A1569,[2]stockregister!$A$2:$H$2000,8,0),0)-$M1569</f>
        <v>0</v>
      </c>
      <c r="O1569" s="3" t="s">
        <v>3639</v>
      </c>
      <c r="P1569" s="3" t="s">
        <v>3639</v>
      </c>
      <c r="Q1569" s="3" t="s">
        <v>1922</v>
      </c>
      <c r="R1569" s="3" t="s">
        <v>68</v>
      </c>
      <c r="S1569" s="3" t="s">
        <v>750</v>
      </c>
    </row>
    <row r="1570" spans="1:19">
      <c r="A1570" s="3">
        <v>1993</v>
      </c>
      <c r="B1570" s="3" t="b">
        <f>ISNUMBER(MATCH(A1570,[1]stockregister!$A$2:$A$2000,0))</f>
        <v>1</v>
      </c>
      <c r="C1570" s="3" t="s">
        <v>3640</v>
      </c>
      <c r="D1570" s="3" t="str">
        <f>VLOOKUP($C1570,[1]stockregister!$B$2:$B$2000,1,0)</f>
        <v>TILIA CHARDONNAY 750ML</v>
      </c>
      <c r="E1570" s="3" t="str">
        <f>IF(ISNA($D1570),VLOOKUP($A1570,[2]stockregister!$A$2:$B$2000,2,FALSE),"")</f>
        <v/>
      </c>
      <c r="F1570" s="3" t="s">
        <v>21</v>
      </c>
      <c r="G1570" s="3">
        <f>_xlfn.IFNA(VLOOKUP($A1570,[3]stockregister!$A$2:$L$2000,11,0),0)</f>
        <v>0</v>
      </c>
      <c r="H1570" s="3">
        <f>_xlfn.IFNA(VLOOKUP($A1570,[3]stockregister!$A$2:$L$2000,11,0),0)-$G1570</f>
        <v>0</v>
      </c>
      <c r="I1570" s="3">
        <f>_xlfn.IFNA(VLOOKUP($A1570,[3]stockregister!$A$2:$L$2000,12,0),0)</f>
        <v>1288</v>
      </c>
      <c r="J1570" s="3">
        <f>_xlfn.IFNA(VLOOKUP($A1570,[3]stockregister!$A$1:$M$2000,12,0),0)-$I1570</f>
        <v>0</v>
      </c>
      <c r="K1570" s="3" t="s">
        <v>22</v>
      </c>
      <c r="L1570" s="3" t="s">
        <v>23</v>
      </c>
      <c r="M1570" s="3">
        <f>_xlfn.IFNA(VLOOKUP($A1570,[2]stockregister!$A$2:$H$2000,8,0),0)</f>
        <v>1400</v>
      </c>
      <c r="N1570" s="3">
        <f>_xlfn.IFNA(VLOOKUP($A1570,[2]stockregister!$A$2:$H$2000,8,0),0)-$M1570</f>
        <v>0</v>
      </c>
      <c r="O1570" s="3" t="s">
        <v>3641</v>
      </c>
      <c r="P1570" s="3" t="s">
        <v>3641</v>
      </c>
      <c r="Q1570" s="3" t="s">
        <v>831</v>
      </c>
      <c r="R1570" s="3" t="s">
        <v>68</v>
      </c>
      <c r="S1570" s="3" t="s">
        <v>940</v>
      </c>
    </row>
    <row r="1571" spans="1:19">
      <c r="A1571" s="3">
        <v>1681</v>
      </c>
      <c r="B1571" s="3" t="b">
        <f>ISNUMBER(MATCH(A1571,[1]stockregister!$A$2:$A$2000,0))</f>
        <v>1</v>
      </c>
      <c r="C1571" s="3" t="s">
        <v>604</v>
      </c>
      <c r="D1571" s="3" t="str">
        <f>VLOOKUP($C1571,[1]stockregister!$B$2:$B$2000,1,0)</f>
        <v>ROCHE MAZET CHARDONNAY 750ML </v>
      </c>
      <c r="E1571" s="3" t="str">
        <f>IF(ISNA($D1571),VLOOKUP($A1571,[2]stockregister!$A$2:$B$2000,2,FALSE),"")</f>
        <v/>
      </c>
      <c r="F1571" s="3" t="s">
        <v>21</v>
      </c>
      <c r="G1571" s="3">
        <f>_xlfn.IFNA(VLOOKUP($A1571,[3]stockregister!$A$2:$L$2000,11,0),0)</f>
        <v>0</v>
      </c>
      <c r="H1571" s="3">
        <f>_xlfn.IFNA(VLOOKUP($A1571,[3]stockregister!$A$2:$L$2000,11,0),0)-$G1571</f>
        <v>0</v>
      </c>
      <c r="I1571" s="3">
        <f>_xlfn.IFNA(VLOOKUP($A1571,[3]stockregister!$A$2:$L$2000,12,0),0)</f>
        <v>1104</v>
      </c>
      <c r="J1571" s="3">
        <f>_xlfn.IFNA(VLOOKUP($A1571,[3]stockregister!$A$1:$M$2000,12,0),0)-$I1571</f>
        <v>0</v>
      </c>
      <c r="K1571" s="3" t="s">
        <v>22</v>
      </c>
      <c r="L1571" s="3" t="s">
        <v>23</v>
      </c>
      <c r="M1571" s="3">
        <f>_xlfn.IFNA(VLOOKUP($A1571,[2]stockregister!$A$2:$H$2000,8,0),0)</f>
        <v>1200</v>
      </c>
      <c r="N1571" s="3">
        <f>_xlfn.IFNA(VLOOKUP($A1571,[2]stockregister!$A$2:$H$2000,8,0),0)-$M1571</f>
        <v>0</v>
      </c>
      <c r="O1571" s="3" t="s">
        <v>3642</v>
      </c>
      <c r="P1571" s="3" t="s">
        <v>3642</v>
      </c>
      <c r="Q1571" s="3" t="s">
        <v>874</v>
      </c>
      <c r="R1571" s="3" t="s">
        <v>537</v>
      </c>
      <c r="S1571" s="3" t="s">
        <v>940</v>
      </c>
    </row>
    <row r="1572" spans="1:19">
      <c r="A1572" s="3">
        <v>810</v>
      </c>
      <c r="B1572" s="3" t="b">
        <f>ISNUMBER(MATCH(A1572,[1]stockregister!$A$2:$A$2000,0))</f>
        <v>1</v>
      </c>
      <c r="C1572" s="3" t="s">
        <v>3643</v>
      </c>
      <c r="D1572" s="3" t="str">
        <f>VLOOKUP($C1572,[1]stockregister!$B$2:$B$2000,1,0)</f>
        <v>GATONEGRO CHARDONNAY 1.5LTR</v>
      </c>
      <c r="E1572" s="3" t="str">
        <f>IF(ISNA($D1572),VLOOKUP($A1572,[2]stockregister!$A$2:$B$2000,2,FALSE),"")</f>
        <v/>
      </c>
      <c r="F1572" s="3" t="s">
        <v>21</v>
      </c>
      <c r="G1572" s="3">
        <f>_xlfn.IFNA(VLOOKUP($A1572,[3]stockregister!$A$2:$L$2000,11,0),0)</f>
        <v>0</v>
      </c>
      <c r="H1572" s="3">
        <f>_xlfn.IFNA(VLOOKUP($A1572,[3]stockregister!$A$2:$L$2000,11,0),0)-$G1572</f>
        <v>0</v>
      </c>
      <c r="I1572" s="3">
        <f>_xlfn.IFNA(VLOOKUP($A1572,[3]stockregister!$A$2:$L$2000,12,0),0)</f>
        <v>1000</v>
      </c>
      <c r="J1572" s="3">
        <f>_xlfn.IFNA(VLOOKUP($A1572,[3]stockregister!$A$1:$M$2000,12,0),0)-$I1572</f>
        <v>0</v>
      </c>
      <c r="K1572" s="3" t="s">
        <v>22</v>
      </c>
      <c r="L1572" s="3" t="s">
        <v>23</v>
      </c>
      <c r="M1572" s="3">
        <f>_xlfn.IFNA(VLOOKUP($A1572,[2]stockregister!$A$2:$H$2000,8,0),0)</f>
        <v>1500</v>
      </c>
      <c r="N1572" s="3">
        <f>_xlfn.IFNA(VLOOKUP($A1572,[2]stockregister!$A$2:$H$2000,8,0),0)-$M1572</f>
        <v>0</v>
      </c>
      <c r="O1572" s="3" t="s">
        <v>3644</v>
      </c>
      <c r="P1572" s="3" t="s">
        <v>3644</v>
      </c>
      <c r="Q1572" s="3" t="s">
        <v>545</v>
      </c>
      <c r="R1572" s="3" t="s">
        <v>68</v>
      </c>
      <c r="S1572" s="3" t="s">
        <v>940</v>
      </c>
    </row>
    <row r="1573" spans="1:19">
      <c r="A1573" s="3">
        <v>288</v>
      </c>
      <c r="B1573" s="3" t="b">
        <f>ISNUMBER(MATCH(A1573,[1]stockregister!$A$2:$A$2000,0))</f>
        <v>1</v>
      </c>
      <c r="C1573" s="3" t="s">
        <v>3645</v>
      </c>
      <c r="D1573" s="3" t="str">
        <f>VLOOKUP($C1573,[1]stockregister!$B$2:$B$2000,1,0)</f>
        <v>BRUCE JACK CHARDONNAY 2020 750ML</v>
      </c>
      <c r="E1573" s="3" t="str">
        <f>IF(ISNA($D1573),VLOOKUP($A1573,[2]stockregister!$A$2:$B$2000,2,FALSE),"")</f>
        <v/>
      </c>
      <c r="F1573" s="3" t="s">
        <v>21</v>
      </c>
      <c r="G1573" s="3">
        <f>_xlfn.IFNA(VLOOKUP($A1573,[3]stockregister!$A$2:$L$2000,11,0),0)</f>
        <v>0</v>
      </c>
      <c r="H1573" s="3">
        <f>_xlfn.IFNA(VLOOKUP($A1573,[3]stockregister!$A$2:$L$2000,11,0),0)-$G1573</f>
        <v>0</v>
      </c>
      <c r="I1573" s="3">
        <f>_xlfn.IFNA(VLOOKUP($A1573,[3]stockregister!$A$2:$L$2000,12,0),0)</f>
        <v>1380</v>
      </c>
      <c r="J1573" s="3">
        <f>_xlfn.IFNA(VLOOKUP($A1573,[3]stockregister!$A$1:$M$2000,12,0),0)-$I1573</f>
        <v>0</v>
      </c>
      <c r="K1573" s="3" t="s">
        <v>22</v>
      </c>
      <c r="L1573" s="3" t="s">
        <v>23</v>
      </c>
      <c r="M1573" s="3">
        <f>_xlfn.IFNA(VLOOKUP($A1573,[2]stockregister!$A$2:$H$2000,8,0),0)</f>
        <v>1500</v>
      </c>
      <c r="N1573" s="3">
        <f>_xlfn.IFNA(VLOOKUP($A1573,[2]stockregister!$A$2:$H$2000,8,0),0)-$M1573</f>
        <v>0</v>
      </c>
      <c r="O1573" s="3" t="s">
        <v>3646</v>
      </c>
      <c r="P1573" s="3" t="s">
        <v>3646</v>
      </c>
      <c r="Q1573" s="3" t="s">
        <v>939</v>
      </c>
      <c r="R1573" s="3" t="s">
        <v>68</v>
      </c>
      <c r="S1573" s="3" t="s">
        <v>940</v>
      </c>
    </row>
    <row r="1574" spans="1:19">
      <c r="A1574" s="3">
        <v>326</v>
      </c>
      <c r="B1574" s="3" t="b">
        <f>ISNUMBER(MATCH(A1574,[1]stockregister!$A$2:$A$2000,0))</f>
        <v>1</v>
      </c>
      <c r="C1574" s="3" t="s">
        <v>3647</v>
      </c>
      <c r="D1574" s="3" t="str">
        <f>VLOOKUP($C1574,[1]stockregister!$B$2:$B$2000,1,0)</f>
        <v>BUTTERFLY RIDGE CHARDONNAY 750ml</v>
      </c>
      <c r="E1574" s="3" t="str">
        <f>IF(ISNA($D1574),VLOOKUP($A1574,[2]stockregister!$A$2:$B$2000,2,FALSE),"")</f>
        <v/>
      </c>
      <c r="F1574" s="3" t="s">
        <v>21</v>
      </c>
      <c r="G1574" s="3">
        <f>_xlfn.IFNA(VLOOKUP($A1574,[3]stockregister!$A$2:$L$2000,11,0),0)</f>
        <v>0</v>
      </c>
      <c r="H1574" s="3">
        <f>_xlfn.IFNA(VLOOKUP($A1574,[3]stockregister!$A$2:$L$2000,11,0),0)-$G1574</f>
        <v>0</v>
      </c>
      <c r="I1574" s="3">
        <f>_xlfn.IFNA(VLOOKUP($A1574,[3]stockregister!$A$2:$L$2000,12,0),0)</f>
        <v>1150</v>
      </c>
      <c r="J1574" s="3">
        <f>_xlfn.IFNA(VLOOKUP($A1574,[3]stockregister!$A$1:$M$2000,12,0),0)-$I1574</f>
        <v>0</v>
      </c>
      <c r="K1574" s="3" t="s">
        <v>22</v>
      </c>
      <c r="L1574" s="3" t="s">
        <v>23</v>
      </c>
      <c r="M1574" s="3">
        <f>_xlfn.IFNA(VLOOKUP($A1574,[2]stockregister!$A$2:$H$2000,8,0),0)</f>
        <v>1250</v>
      </c>
      <c r="N1574" s="3">
        <f>_xlfn.IFNA(VLOOKUP($A1574,[2]stockregister!$A$2:$H$2000,8,0),0)-$M1574</f>
        <v>0</v>
      </c>
      <c r="O1574" s="3" t="s">
        <v>3648</v>
      </c>
      <c r="P1574" s="3" t="s">
        <v>3648</v>
      </c>
      <c r="Q1574" s="3" t="s">
        <v>3649</v>
      </c>
      <c r="R1574" s="3" t="s">
        <v>68</v>
      </c>
      <c r="S1574" s="3" t="s">
        <v>940</v>
      </c>
    </row>
    <row r="1575" spans="1:19">
      <c r="A1575" s="3">
        <v>335</v>
      </c>
      <c r="B1575" s="3" t="b">
        <f>ISNUMBER(MATCH(A1575,[1]stockregister!$A$2:$A$2000,0))</f>
        <v>1</v>
      </c>
      <c r="C1575" s="3" t="s">
        <v>3650</v>
      </c>
      <c r="D1575" s="3" t="str">
        <f>VLOOKUP($C1575,[1]stockregister!$B$2:$B$2000,1,0)</f>
        <v>CALVET BOURGOGNE CHARDONNAY 750ML</v>
      </c>
      <c r="E1575" s="3" t="str">
        <f>IF(ISNA($D1575),VLOOKUP($A1575,[2]stockregister!$A$2:$B$2000,2,FALSE),"")</f>
        <v/>
      </c>
      <c r="F1575" s="3" t="s">
        <v>21</v>
      </c>
      <c r="G1575" s="3">
        <f>_xlfn.IFNA(VLOOKUP($A1575,[3]stockregister!$A$2:$L$2000,11,0),0)</f>
        <v>0</v>
      </c>
      <c r="H1575" s="3">
        <f>_xlfn.IFNA(VLOOKUP($A1575,[3]stockregister!$A$2:$L$2000,11,0),0)-$G1575</f>
        <v>0</v>
      </c>
      <c r="I1575" s="3">
        <f>_xlfn.IFNA(VLOOKUP($A1575,[3]stockregister!$A$2:$L$2000,12,0),0)</f>
        <v>1242</v>
      </c>
      <c r="J1575" s="3">
        <f>_xlfn.IFNA(VLOOKUP($A1575,[3]stockregister!$A$1:$M$2000,12,0),0)-$I1575</f>
        <v>0</v>
      </c>
      <c r="K1575" s="3" t="s">
        <v>22</v>
      </c>
      <c r="L1575" s="3" t="s">
        <v>23</v>
      </c>
      <c r="M1575" s="3">
        <f>_xlfn.IFNA(VLOOKUP($A1575,[2]stockregister!$A$2:$H$2000,8,0),0)</f>
        <v>1350</v>
      </c>
      <c r="N1575" s="3">
        <f>_xlfn.IFNA(VLOOKUP($A1575,[2]stockregister!$A$2:$H$2000,8,0),0)-$M1575</f>
        <v>0</v>
      </c>
      <c r="O1575" s="3" t="s">
        <v>3651</v>
      </c>
      <c r="P1575" s="3" t="s">
        <v>3651</v>
      </c>
      <c r="Q1575" s="3" t="s">
        <v>1480</v>
      </c>
      <c r="R1575" s="3" t="s">
        <v>68</v>
      </c>
      <c r="S1575" s="3" t="s">
        <v>940</v>
      </c>
    </row>
    <row r="1576" spans="1:19">
      <c r="A1576" s="3">
        <v>351</v>
      </c>
      <c r="B1576" s="3" t="b">
        <f>ISNUMBER(MATCH(A1576,[1]stockregister!$A$2:$A$2000,0))</f>
        <v>1</v>
      </c>
      <c r="C1576" s="3" t="s">
        <v>3652</v>
      </c>
      <c r="D1576" s="3" t="str">
        <f>VLOOKUP($C1576,[1]stockregister!$B$2:$B$2000,1,0)</f>
        <v>CALVET VARIETALS CHARDONNAY 750ML</v>
      </c>
      <c r="E1576" s="3" t="str">
        <f>IF(ISNA($D1576),VLOOKUP($A1576,[2]stockregister!$A$2:$B$2000,2,FALSE),"")</f>
        <v/>
      </c>
      <c r="F1576" s="3" t="s">
        <v>21</v>
      </c>
      <c r="G1576" s="3">
        <f>_xlfn.IFNA(VLOOKUP($A1576,[3]stockregister!$A$2:$L$2000,11,0),0)</f>
        <v>0</v>
      </c>
      <c r="H1576" s="3">
        <f>_xlfn.IFNA(VLOOKUP($A1576,[3]stockregister!$A$2:$L$2000,11,0),0)-$G1576</f>
        <v>0</v>
      </c>
      <c r="I1576" s="3">
        <f>_xlfn.IFNA(VLOOKUP($A1576,[3]stockregister!$A$2:$L$2000,12,0),0)</f>
        <v>1196</v>
      </c>
      <c r="J1576" s="3">
        <f>_xlfn.IFNA(VLOOKUP($A1576,[3]stockregister!$A$1:$M$2000,12,0),0)-$I1576</f>
        <v>0</v>
      </c>
      <c r="K1576" s="3" t="s">
        <v>22</v>
      </c>
      <c r="L1576" s="3" t="s">
        <v>23</v>
      </c>
      <c r="M1576" s="3">
        <f>_xlfn.IFNA(VLOOKUP($A1576,[2]stockregister!$A$2:$H$2000,8,0),0)</f>
        <v>1300</v>
      </c>
      <c r="N1576" s="3">
        <f>_xlfn.IFNA(VLOOKUP($A1576,[2]stockregister!$A$2:$H$2000,8,0),0)-$M1576</f>
        <v>0</v>
      </c>
      <c r="O1576" s="3" t="s">
        <v>3653</v>
      </c>
      <c r="P1576" s="3" t="s">
        <v>3653</v>
      </c>
      <c r="Q1576" s="3" t="s">
        <v>1480</v>
      </c>
      <c r="R1576" s="3" t="s">
        <v>68</v>
      </c>
      <c r="S1576" s="3" t="s">
        <v>940</v>
      </c>
    </row>
    <row r="1577" spans="1:19">
      <c r="A1577" s="3">
        <v>788</v>
      </c>
      <c r="B1577" s="3" t="b">
        <f>ISNUMBER(MATCH(A1577,[1]stockregister!$A$2:$A$2000,0))</f>
        <v>1</v>
      </c>
      <c r="C1577" s="3" t="s">
        <v>3654</v>
      </c>
      <c r="D1577" s="3" t="str">
        <f>VLOOKUP($C1577,[1]stockregister!$B$2:$B$2000,1,0)</f>
        <v>FRONTERA CHARDONNAY 750ML</v>
      </c>
      <c r="E1577" s="3" t="str">
        <f>IF(ISNA($D1577),VLOOKUP($A1577,[2]stockregister!$A$2:$B$2000,2,FALSE),"")</f>
        <v/>
      </c>
      <c r="F1577" s="3" t="s">
        <v>21</v>
      </c>
      <c r="G1577" s="3">
        <f>_xlfn.IFNA(VLOOKUP($A1577,[3]stockregister!$A$2:$L$2000,11,0),0)</f>
        <v>0</v>
      </c>
      <c r="H1577" s="3">
        <f>_xlfn.IFNA(VLOOKUP($A1577,[3]stockregister!$A$2:$L$2000,11,0),0)-$G1577</f>
        <v>0</v>
      </c>
      <c r="I1577" s="3">
        <f>_xlfn.IFNA(VLOOKUP($A1577,[3]stockregister!$A$2:$L$2000,12,0),0)</f>
        <v>978.4</v>
      </c>
      <c r="J1577" s="3">
        <f>_xlfn.IFNA(VLOOKUP($A1577,[3]stockregister!$A$1:$M$2000,12,0),0)-$I1577</f>
        <v>0</v>
      </c>
      <c r="K1577" s="3" t="s">
        <v>22</v>
      </c>
      <c r="L1577" s="3" t="s">
        <v>23</v>
      </c>
      <c r="M1577" s="3">
        <f>_xlfn.IFNA(VLOOKUP($A1577,[2]stockregister!$A$2:$H$2000,8,0),0)</f>
        <v>1080</v>
      </c>
      <c r="N1577" s="3">
        <f>_xlfn.IFNA(VLOOKUP($A1577,[2]stockregister!$A$2:$H$2000,8,0),0)-$M1577</f>
        <v>0</v>
      </c>
      <c r="O1577" s="3" t="s">
        <v>3655</v>
      </c>
      <c r="P1577" s="3" t="s">
        <v>3655</v>
      </c>
      <c r="Q1577" s="3" t="s">
        <v>1082</v>
      </c>
      <c r="R1577" s="3" t="s">
        <v>68</v>
      </c>
      <c r="S1577" s="3" t="s">
        <v>940</v>
      </c>
    </row>
    <row r="1578" spans="1:19">
      <c r="A1578" s="3">
        <v>1293</v>
      </c>
      <c r="B1578" s="3" t="b">
        <f>ISNUMBER(MATCH(A1578,[1]stockregister!$A$2:$A$2000,0))</f>
        <v>1</v>
      </c>
      <c r="C1578" s="3" t="s">
        <v>3656</v>
      </c>
      <c r="D1578" s="3" t="str">
        <f>VLOOKUP($C1578,[1]stockregister!$B$2:$B$2000,1,0)</f>
        <v>LODEZ CHARDONNAY 750ML</v>
      </c>
      <c r="E1578" s="3" t="str">
        <f>IF(ISNA($D1578),VLOOKUP($A1578,[2]stockregister!$A$2:$B$2000,2,FALSE),"")</f>
        <v/>
      </c>
      <c r="F1578" s="3" t="s">
        <v>21</v>
      </c>
      <c r="G1578" s="3">
        <f>_xlfn.IFNA(VLOOKUP($A1578,[3]stockregister!$A$2:$L$2000,11,0),0)</f>
        <v>0</v>
      </c>
      <c r="H1578" s="3">
        <f>_xlfn.IFNA(VLOOKUP($A1578,[3]stockregister!$A$2:$L$2000,11,0),0)-$G1578</f>
        <v>0</v>
      </c>
      <c r="I1578" s="3">
        <f>_xlfn.IFNA(VLOOKUP($A1578,[3]stockregister!$A$2:$L$2000,12,0),0)</f>
        <v>1104</v>
      </c>
      <c r="J1578" s="3">
        <f>_xlfn.IFNA(VLOOKUP($A1578,[3]stockregister!$A$1:$M$2000,12,0),0)-$I1578</f>
        <v>0</v>
      </c>
      <c r="K1578" s="3" t="s">
        <v>22</v>
      </c>
      <c r="L1578" s="3" t="s">
        <v>23</v>
      </c>
      <c r="M1578" s="3">
        <f>_xlfn.IFNA(VLOOKUP($A1578,[2]stockregister!$A$2:$H$2000,8,0),0)</f>
        <v>1200</v>
      </c>
      <c r="N1578" s="3">
        <f>_xlfn.IFNA(VLOOKUP($A1578,[2]stockregister!$A$2:$H$2000,8,0),0)-$M1578</f>
        <v>0</v>
      </c>
      <c r="O1578" s="3" t="s">
        <v>3657</v>
      </c>
      <c r="P1578" s="3" t="s">
        <v>3657</v>
      </c>
      <c r="Q1578" s="3" t="s">
        <v>1456</v>
      </c>
      <c r="R1578" s="3" t="s">
        <v>68</v>
      </c>
      <c r="S1578" s="3" t="s">
        <v>940</v>
      </c>
    </row>
    <row r="1579" spans="1:19">
      <c r="A1579" s="3">
        <v>1568</v>
      </c>
      <c r="B1579" s="3" t="b">
        <f>ISNUMBER(MATCH(A1579,[1]stockregister!$A$2:$A$2000,0))</f>
        <v>1</v>
      </c>
      <c r="C1579" s="3" t="s">
        <v>3658</v>
      </c>
      <c r="D1579" s="3" t="str">
        <f>VLOOKUP($C1579,[1]stockregister!$B$2:$B$2000,1,0)</f>
        <v>OREANDA CHARDONNAY 750ML</v>
      </c>
      <c r="E1579" s="3" t="str">
        <f>IF(ISNA($D1579),VLOOKUP($A1579,[2]stockregister!$A$2:$B$2000,2,FALSE),"")</f>
        <v/>
      </c>
      <c r="F1579" s="3" t="s">
        <v>21</v>
      </c>
      <c r="G1579" s="3">
        <f>_xlfn.IFNA(VLOOKUP($A1579,[3]stockregister!$A$2:$L$2000,11,0),0)</f>
        <v>0</v>
      </c>
      <c r="H1579" s="3">
        <f>_xlfn.IFNA(VLOOKUP($A1579,[3]stockregister!$A$2:$L$2000,11,0),0)-$G1579</f>
        <v>0</v>
      </c>
      <c r="I1579" s="3">
        <f>_xlfn.IFNA(VLOOKUP($A1579,[3]stockregister!$A$2:$L$2000,12,0),0)</f>
        <v>920</v>
      </c>
      <c r="J1579" s="3">
        <f>_xlfn.IFNA(VLOOKUP($A1579,[3]stockregister!$A$1:$M$2000,12,0),0)-$I1579</f>
        <v>0</v>
      </c>
      <c r="K1579" s="3" t="s">
        <v>22</v>
      </c>
      <c r="L1579" s="3" t="s">
        <v>23</v>
      </c>
      <c r="M1579" s="3">
        <f>_xlfn.IFNA(VLOOKUP($A1579,[2]stockregister!$A$2:$H$2000,8,0),0)</f>
        <v>1000</v>
      </c>
      <c r="N1579" s="3">
        <f>_xlfn.IFNA(VLOOKUP($A1579,[2]stockregister!$A$2:$H$2000,8,0),0)-$M1579</f>
        <v>0</v>
      </c>
      <c r="O1579" s="3" t="s">
        <v>3659</v>
      </c>
      <c r="P1579" s="3" t="s">
        <v>3659</v>
      </c>
      <c r="Q1579" s="3" t="s">
        <v>3660</v>
      </c>
      <c r="R1579" s="3" t="s">
        <v>68</v>
      </c>
      <c r="S1579" s="3" t="s">
        <v>940</v>
      </c>
    </row>
    <row r="1580" spans="1:19">
      <c r="A1580" s="3">
        <v>1044</v>
      </c>
      <c r="B1580" s="3" t="b">
        <f>ISNUMBER(MATCH(A1580,[1]stockregister!$A$2:$A$2000,0))</f>
        <v>1</v>
      </c>
      <c r="C1580" s="3" t="s">
        <v>3661</v>
      </c>
      <c r="D1580" s="3" t="str">
        <f>VLOOKUP($C1580,[1]stockregister!$B$2:$B$2000,1,0)</f>
        <v>JACOBS CREEK CHARDONNAY</v>
      </c>
      <c r="E1580" s="3" t="str">
        <f>IF(ISNA($D1580),VLOOKUP($A1580,[2]stockregister!$A$2:$B$2000,2,FALSE),"")</f>
        <v/>
      </c>
      <c r="F1580" s="3" t="s">
        <v>21</v>
      </c>
      <c r="G1580" s="3">
        <f>_xlfn.IFNA(VLOOKUP($A1580,[3]stockregister!$A$2:$L$2000,11,0),0)</f>
        <v>0</v>
      </c>
      <c r="H1580" s="3">
        <f>_xlfn.IFNA(VLOOKUP($A1580,[3]stockregister!$A$2:$L$2000,11,0),0)-$G1580</f>
        <v>0</v>
      </c>
      <c r="I1580" s="3">
        <f>_xlfn.IFNA(VLOOKUP($A1580,[3]stockregister!$A$2:$L$2000,12,0),0)</f>
        <v>1150</v>
      </c>
      <c r="J1580" s="3">
        <f>_xlfn.IFNA(VLOOKUP($A1580,[3]stockregister!$A$1:$M$2000,12,0),0)-$I1580</f>
        <v>0</v>
      </c>
      <c r="K1580" s="3" t="s">
        <v>22</v>
      </c>
      <c r="L1580" s="3" t="s">
        <v>23</v>
      </c>
      <c r="M1580" s="3">
        <f>_xlfn.IFNA(VLOOKUP($A1580,[2]stockregister!$A$2:$H$2000,8,0),0)</f>
        <v>1250</v>
      </c>
      <c r="N1580" s="3">
        <f>_xlfn.IFNA(VLOOKUP($A1580,[2]stockregister!$A$2:$H$2000,8,0),0)-$M1580</f>
        <v>0</v>
      </c>
      <c r="O1580" s="3" t="s">
        <v>3662</v>
      </c>
      <c r="P1580" s="3" t="s">
        <v>3662</v>
      </c>
      <c r="Q1580" s="3" t="s">
        <v>3566</v>
      </c>
      <c r="R1580" s="3" t="s">
        <v>68</v>
      </c>
      <c r="S1580" s="3" t="s">
        <v>940</v>
      </c>
    </row>
    <row r="1581" spans="1:19">
      <c r="A1581" s="3">
        <v>2174</v>
      </c>
      <c r="B1581" s="3" t="b">
        <f>ISNUMBER(MATCH(A1581,[1]stockregister!$A$2:$A$2000,0))</f>
        <v>1</v>
      </c>
      <c r="C1581" s="3" t="s">
        <v>3663</v>
      </c>
      <c r="D1581" s="3" t="str">
        <f>VLOOKUP($C1581,[1]stockregister!$B$2:$B$2000,1,0)</f>
        <v>ALAMOS CHARDONNAY 750ML</v>
      </c>
      <c r="E1581" s="3" t="str">
        <f>IF(ISNA($D1581),VLOOKUP($A1581,[2]stockregister!$A$2:$B$2000,2,FALSE),"")</f>
        <v/>
      </c>
      <c r="F1581" s="3" t="s">
        <v>21</v>
      </c>
      <c r="G1581" s="3">
        <f>_xlfn.IFNA(VLOOKUP($A1581,[3]stockregister!$A$2:$L$2000,11,0),0)</f>
        <v>0</v>
      </c>
      <c r="H1581" s="3">
        <f>_xlfn.IFNA(VLOOKUP($A1581,[3]stockregister!$A$2:$L$2000,11,0),0)-$G1581</f>
        <v>0</v>
      </c>
      <c r="I1581" s="3">
        <f>_xlfn.IFNA(VLOOKUP($A1581,[3]stockregister!$A$2:$L$2000,12,0),0)</f>
        <v>1300</v>
      </c>
      <c r="J1581" s="3">
        <f>_xlfn.IFNA(VLOOKUP($A1581,[3]stockregister!$A$1:$M$2000,12,0),0)-$I1581</f>
        <v>0</v>
      </c>
      <c r="K1581" s="3" t="s">
        <v>22</v>
      </c>
      <c r="L1581" s="3" t="s">
        <v>23</v>
      </c>
      <c r="M1581" s="3">
        <f>_xlfn.IFNA(VLOOKUP($A1581,[2]stockregister!$A$2:$H$2000,8,0),0)</f>
        <v>1400</v>
      </c>
      <c r="N1581" s="3">
        <f>_xlfn.IFNA(VLOOKUP($A1581,[2]stockregister!$A$2:$H$2000,8,0),0)-$M1581</f>
        <v>0</v>
      </c>
      <c r="O1581" s="3" t="s">
        <v>3664</v>
      </c>
      <c r="P1581" s="3" t="s">
        <v>3664</v>
      </c>
      <c r="Q1581" s="3" t="s">
        <v>3665</v>
      </c>
      <c r="R1581" s="3" t="s">
        <v>68</v>
      </c>
      <c r="S1581" s="3" t="s">
        <v>940</v>
      </c>
    </row>
    <row r="1582" spans="1:19">
      <c r="A1582" s="3">
        <v>2181</v>
      </c>
      <c r="B1582" s="3" t="b">
        <f>ISNUMBER(MATCH(A1582,[1]stockregister!$A$2:$A$2000,0))</f>
        <v>1</v>
      </c>
      <c r="C1582" s="3" t="s">
        <v>3666</v>
      </c>
      <c r="D1582" s="3" t="str">
        <f>VLOOKUP($C1582,[1]stockregister!$B$2:$B$2000,1,0)</f>
        <v>CASTILLO DEL CHARDONNAY 750ML</v>
      </c>
      <c r="E1582" s="3" t="str">
        <f>IF(ISNA($D1582),VLOOKUP($A1582,[2]stockregister!$A$2:$B$2000,2,FALSE),"")</f>
        <v/>
      </c>
      <c r="F1582" s="3" t="s">
        <v>21</v>
      </c>
      <c r="G1582" s="3">
        <f>_xlfn.IFNA(VLOOKUP($A1582,[3]stockregister!$A$2:$L$2000,11,0),0)</f>
        <v>0</v>
      </c>
      <c r="H1582" s="3">
        <f>_xlfn.IFNA(VLOOKUP($A1582,[3]stockregister!$A$2:$L$2000,11,0),0)-$G1582</f>
        <v>0</v>
      </c>
      <c r="I1582" s="3">
        <f>_xlfn.IFNA(VLOOKUP($A1582,[3]stockregister!$A$2:$L$2000,12,0),0)</f>
        <v>1400</v>
      </c>
      <c r="J1582" s="3">
        <f>_xlfn.IFNA(VLOOKUP($A1582,[3]stockregister!$A$1:$M$2000,12,0),0)-$I1582</f>
        <v>0</v>
      </c>
      <c r="K1582" s="3" t="s">
        <v>22</v>
      </c>
      <c r="L1582" s="3" t="s">
        <v>23</v>
      </c>
      <c r="M1582" s="3">
        <f>_xlfn.IFNA(VLOOKUP($A1582,[2]stockregister!$A$2:$H$2000,8,0),0)</f>
        <v>1500</v>
      </c>
      <c r="N1582" s="3">
        <f>_xlfn.IFNA(VLOOKUP($A1582,[2]stockregister!$A$2:$H$2000,8,0),0)-$M1582</f>
        <v>0</v>
      </c>
      <c r="O1582" s="3" t="s">
        <v>3667</v>
      </c>
      <c r="P1582" s="3" t="s">
        <v>3667</v>
      </c>
      <c r="Q1582" s="3" t="s">
        <v>3668</v>
      </c>
      <c r="R1582" s="3" t="s">
        <v>537</v>
      </c>
      <c r="S1582" s="3" t="s">
        <v>940</v>
      </c>
    </row>
    <row r="1583" spans="1:19">
      <c r="A1583" s="3">
        <v>2521</v>
      </c>
      <c r="B1583" s="3" t="b">
        <f>ISNUMBER(MATCH(A1583,[1]stockregister!$A$2:$A$2000,0))</f>
        <v>1</v>
      </c>
      <c r="C1583" s="3" t="s">
        <v>3669</v>
      </c>
      <c r="D1583" s="3" t="str">
        <f>VLOOKUP($C1583,[1]stockregister!$B$2:$B$2000,1,0)</f>
        <v>CHALK ROAD CHARDONAY 750ML</v>
      </c>
      <c r="E1583" s="3" t="str">
        <f>IF(ISNA($D1583),VLOOKUP($A1583,[2]stockregister!$A$2:$B$2000,2,FALSE),"")</f>
        <v/>
      </c>
      <c r="F1583" s="3" t="s">
        <v>21</v>
      </c>
      <c r="G1583" s="3">
        <f>_xlfn.IFNA(VLOOKUP($A1583,[3]stockregister!$A$2:$L$2000,11,0),0)</f>
        <v>0</v>
      </c>
      <c r="H1583" s="3">
        <f>_xlfn.IFNA(VLOOKUP($A1583,[3]stockregister!$A$2:$L$2000,11,0),0)-$G1583</f>
        <v>0</v>
      </c>
      <c r="I1583" s="3">
        <f>_xlfn.IFNA(VLOOKUP($A1583,[3]stockregister!$A$2:$L$2000,12,0),0)</f>
        <v>1470</v>
      </c>
      <c r="J1583" s="3">
        <f>_xlfn.IFNA(VLOOKUP($A1583,[3]stockregister!$A$1:$M$2000,12,0),0)-$I1583</f>
        <v>0</v>
      </c>
      <c r="K1583" s="3" t="s">
        <v>22</v>
      </c>
      <c r="L1583" s="3" t="s">
        <v>23</v>
      </c>
      <c r="M1583" s="3">
        <f>_xlfn.IFNA(VLOOKUP($A1583,[2]stockregister!$A$2:$H$2000,8,0),0)</f>
        <v>1650</v>
      </c>
      <c r="N1583" s="3">
        <f>_xlfn.IFNA(VLOOKUP($A1583,[2]stockregister!$A$2:$H$2000,8,0),0)-$M1583</f>
        <v>0</v>
      </c>
      <c r="O1583" s="3" t="s">
        <v>3670</v>
      </c>
      <c r="P1583" s="3" t="s">
        <v>3670</v>
      </c>
      <c r="Q1583" s="3" t="s">
        <v>3671</v>
      </c>
      <c r="R1583" s="3" t="s">
        <v>537</v>
      </c>
      <c r="S1583" s="3" t="s">
        <v>940</v>
      </c>
    </row>
    <row r="1584" spans="1:19">
      <c r="A1584" s="3">
        <v>1243</v>
      </c>
      <c r="B1584" s="3" t="b">
        <f>ISNUMBER(MATCH(A1584,[1]stockregister!$A$2:$A$2000,0))</f>
        <v>1</v>
      </c>
      <c r="C1584" s="3" t="s">
        <v>3672</v>
      </c>
      <c r="D1584" s="3" t="str">
        <f>VLOOKUP($C1584,[1]stockregister!$B$2:$B$2000,1,0)</f>
        <v>KWV CLASSIC CHENIN BLANC 750ML</v>
      </c>
      <c r="E1584" s="3" t="str">
        <f>IF(ISNA($D1584),VLOOKUP($A1584,[2]stockregister!$A$2:$B$2000,2,FALSE),"")</f>
        <v/>
      </c>
      <c r="F1584" s="3" t="s">
        <v>21</v>
      </c>
      <c r="G1584" s="3">
        <f>_xlfn.IFNA(VLOOKUP($A1584,[3]stockregister!$A$2:$L$2000,11,0),0)</f>
        <v>0</v>
      </c>
      <c r="H1584" s="3">
        <f>_xlfn.IFNA(VLOOKUP($A1584,[3]stockregister!$A$2:$L$2000,11,0),0)-$G1584</f>
        <v>0</v>
      </c>
      <c r="I1584" s="3">
        <f>_xlfn.IFNA(VLOOKUP($A1584,[3]stockregister!$A$2:$L$2000,12,0),0)</f>
        <v>1000</v>
      </c>
      <c r="J1584" s="3">
        <f>_xlfn.IFNA(VLOOKUP($A1584,[3]stockregister!$A$1:$M$2000,12,0),0)-$I1584</f>
        <v>0</v>
      </c>
      <c r="K1584" s="3" t="s">
        <v>22</v>
      </c>
      <c r="L1584" s="3" t="s">
        <v>23</v>
      </c>
      <c r="M1584" s="3">
        <f>_xlfn.IFNA(VLOOKUP($A1584,[2]stockregister!$A$2:$H$2000,8,0),0)</f>
        <v>1100</v>
      </c>
      <c r="N1584" s="3">
        <f>_xlfn.IFNA(VLOOKUP($A1584,[2]stockregister!$A$2:$H$2000,8,0),0)-$M1584</f>
        <v>0</v>
      </c>
      <c r="O1584" s="3" t="s">
        <v>3673</v>
      </c>
      <c r="P1584" s="3" t="s">
        <v>3673</v>
      </c>
      <c r="Q1584" s="3" t="s">
        <v>1207</v>
      </c>
      <c r="R1584" s="3" t="s">
        <v>68</v>
      </c>
      <c r="S1584" s="3" t="s">
        <v>1303</v>
      </c>
    </row>
    <row r="1585" spans="1:19">
      <c r="A1585" s="3">
        <v>1577</v>
      </c>
      <c r="B1585" s="3" t="b">
        <f>ISNUMBER(MATCH(A1585,[1]stockregister!$A$2:$A$2000,0))</f>
        <v>1</v>
      </c>
      <c r="C1585" s="3" t="s">
        <v>3674</v>
      </c>
      <c r="D1585" s="3" t="str">
        <f>VLOOKUP($C1585,[1]stockregister!$B$2:$B$2000,1,0)</f>
        <v>PAINTED WOLF CHENIN BLANC 750ML</v>
      </c>
      <c r="E1585" s="3" t="str">
        <f>IF(ISNA($D1585),VLOOKUP($A1585,[2]stockregister!$A$2:$B$2000,2,FALSE),"")</f>
        <v/>
      </c>
      <c r="F1585" s="3" t="s">
        <v>21</v>
      </c>
      <c r="G1585" s="3">
        <f>_xlfn.IFNA(VLOOKUP($A1585,[3]stockregister!$A$2:$L$2000,11,0),0)</f>
        <v>0</v>
      </c>
      <c r="H1585" s="3">
        <f>_xlfn.IFNA(VLOOKUP($A1585,[3]stockregister!$A$2:$L$2000,11,0),0)-$G1585</f>
        <v>0</v>
      </c>
      <c r="I1585" s="3">
        <f>_xlfn.IFNA(VLOOKUP($A1585,[3]stockregister!$A$2:$L$2000,12,0),0)</f>
        <v>1104</v>
      </c>
      <c r="J1585" s="3">
        <f>_xlfn.IFNA(VLOOKUP($A1585,[3]stockregister!$A$1:$M$2000,12,0),0)-$I1585</f>
        <v>0</v>
      </c>
      <c r="K1585" s="3" t="s">
        <v>22</v>
      </c>
      <c r="L1585" s="3" t="s">
        <v>23</v>
      </c>
      <c r="M1585" s="3">
        <f>_xlfn.IFNA(VLOOKUP($A1585,[2]stockregister!$A$2:$H$2000,8,0),0)</f>
        <v>1200</v>
      </c>
      <c r="N1585" s="3">
        <f>_xlfn.IFNA(VLOOKUP($A1585,[2]stockregister!$A$2:$H$2000,8,0),0)-$M1585</f>
        <v>0</v>
      </c>
      <c r="O1585" s="3" t="s">
        <v>3675</v>
      </c>
      <c r="P1585" s="3" t="s">
        <v>3675</v>
      </c>
      <c r="Q1585" s="3" t="s">
        <v>3676</v>
      </c>
      <c r="R1585" s="3" t="s">
        <v>68</v>
      </c>
      <c r="S1585" s="3" t="s">
        <v>1303</v>
      </c>
    </row>
    <row r="1586" spans="1:19">
      <c r="A1586" s="3">
        <v>2342</v>
      </c>
      <c r="B1586" s="3" t="b">
        <f>ISNUMBER(MATCH(A1586,[1]stockregister!$A$2:$A$2000,0))</f>
        <v>1</v>
      </c>
      <c r="C1586" s="3" t="s">
        <v>3677</v>
      </c>
      <c r="D1586" s="3" t="str">
        <f>VLOOKUP($C1586,[1]stockregister!$B$2:$B$2000,1,0)</f>
        <v>LELESHWA CHENIN BLANC 750ML</v>
      </c>
      <c r="E1586" s="3" t="str">
        <f>IF(ISNA($D1586),VLOOKUP($A1586,[2]stockregister!$A$2:$B$2000,2,FALSE),"")</f>
        <v/>
      </c>
      <c r="F1586" s="3" t="s">
        <v>21</v>
      </c>
      <c r="G1586" s="3">
        <f>_xlfn.IFNA(VLOOKUP($A1586,[3]stockregister!$A$2:$L$2000,11,0),0)</f>
        <v>0</v>
      </c>
      <c r="H1586" s="3">
        <f>_xlfn.IFNA(VLOOKUP($A1586,[3]stockregister!$A$2:$L$2000,11,0),0)-$G1586</f>
        <v>0</v>
      </c>
      <c r="I1586" s="3">
        <f>_xlfn.IFNA(VLOOKUP($A1586,[3]stockregister!$A$2:$L$2000,12,0),0)</f>
        <v>820</v>
      </c>
      <c r="J1586" s="3">
        <f>_xlfn.IFNA(VLOOKUP($A1586,[3]stockregister!$A$1:$M$2000,12,0),0)-$I1586</f>
        <v>0</v>
      </c>
      <c r="K1586" s="3" t="s">
        <v>22</v>
      </c>
      <c r="L1586" s="3" t="s">
        <v>23</v>
      </c>
      <c r="M1586" s="3">
        <f>_xlfn.IFNA(VLOOKUP($A1586,[2]stockregister!$A$2:$H$2000,8,0),0)</f>
        <v>950</v>
      </c>
      <c r="N1586" s="3">
        <f>_xlfn.IFNA(VLOOKUP($A1586,[2]stockregister!$A$2:$H$2000,8,0),0)-$M1586</f>
        <v>0</v>
      </c>
      <c r="O1586" s="3" t="s">
        <v>3678</v>
      </c>
      <c r="P1586" s="3" t="s">
        <v>3678</v>
      </c>
      <c r="Q1586" s="3" t="s">
        <v>3106</v>
      </c>
      <c r="R1586" s="3" t="s">
        <v>68</v>
      </c>
      <c r="S1586" s="3" t="s">
        <v>1303</v>
      </c>
    </row>
    <row r="1587" spans="1:19">
      <c r="A1587" s="3">
        <v>2257</v>
      </c>
      <c r="B1587" s="3" t="b">
        <f>ISNUMBER(MATCH(A1587,[1]stockregister!$A$2:$A$2000,0))</f>
        <v>1</v>
      </c>
      <c r="C1587" s="3" t="s">
        <v>3679</v>
      </c>
      <c r="D1587" s="3" t="str">
        <f>VLOOKUP($C1587,[1]stockregister!$B$2:$B$2000,1,0)</f>
        <v>VAN LOVEREN CHENIN BLANC 750ML</v>
      </c>
      <c r="E1587" s="3" t="str">
        <f>IF(ISNA($D1587),VLOOKUP($A1587,[2]stockregister!$A$2:$B$2000,2,FALSE),"")</f>
        <v/>
      </c>
      <c r="F1587" s="3" t="s">
        <v>21</v>
      </c>
      <c r="G1587" s="3">
        <f>_xlfn.IFNA(VLOOKUP($A1587,[3]stockregister!$A$2:$L$2000,11,0),0)</f>
        <v>0</v>
      </c>
      <c r="H1587" s="3">
        <f>_xlfn.IFNA(VLOOKUP($A1587,[3]stockregister!$A$2:$L$2000,11,0),0)-$G1587</f>
        <v>0</v>
      </c>
      <c r="I1587" s="3">
        <f>_xlfn.IFNA(VLOOKUP($A1587,[3]stockregister!$A$2:$L$2000,12,0),0)</f>
        <v>3100</v>
      </c>
      <c r="J1587" s="3">
        <f>_xlfn.IFNA(VLOOKUP($A1587,[3]stockregister!$A$1:$M$2000,12,0),0)-$I1587</f>
        <v>0</v>
      </c>
      <c r="K1587" s="3" t="s">
        <v>22</v>
      </c>
      <c r="L1587" s="3" t="s">
        <v>23</v>
      </c>
      <c r="M1587" s="3">
        <f>_xlfn.IFNA(VLOOKUP($A1587,[2]stockregister!$A$2:$H$2000,8,0),0)</f>
        <v>3200</v>
      </c>
      <c r="N1587" s="3">
        <f>_xlfn.IFNA(VLOOKUP($A1587,[2]stockregister!$A$2:$H$2000,8,0),0)-$M1587</f>
        <v>0</v>
      </c>
      <c r="O1587" s="3" t="s">
        <v>3680</v>
      </c>
      <c r="P1587" s="3" t="s">
        <v>3680</v>
      </c>
      <c r="Q1587" s="3" t="s">
        <v>1909</v>
      </c>
      <c r="R1587" s="3" t="s">
        <v>68</v>
      </c>
      <c r="S1587" s="3" t="s">
        <v>1303</v>
      </c>
    </row>
    <row r="1588" spans="1:19">
      <c r="A1588" s="3">
        <v>2357</v>
      </c>
      <c r="B1588" s="3" t="b">
        <f>ISNUMBER(MATCH(A1588,[1]stockregister!$A$2:$A$2000,0))</f>
        <v>1</v>
      </c>
      <c r="C1588" s="3" t="s">
        <v>3681</v>
      </c>
      <c r="D1588" s="3" t="str">
        <f>VLOOKUP($C1588,[1]stockregister!$B$2:$B$2000,1,0)</f>
        <v>PEARLY BAY CHENIN BLANC 750ML</v>
      </c>
      <c r="E1588" s="3" t="str">
        <f>IF(ISNA($D1588),VLOOKUP($A1588,[2]stockregister!$A$2:$B$2000,2,FALSE),"")</f>
        <v/>
      </c>
      <c r="F1588" s="3" t="s">
        <v>21</v>
      </c>
      <c r="G1588" s="3">
        <f>_xlfn.IFNA(VLOOKUP($A1588,[3]stockregister!$A$2:$L$2000,11,0),0)</f>
        <v>0</v>
      </c>
      <c r="H1588" s="3">
        <f>_xlfn.IFNA(VLOOKUP($A1588,[3]stockregister!$A$2:$L$2000,11,0),0)-$G1588</f>
        <v>0</v>
      </c>
      <c r="I1588" s="3">
        <f>_xlfn.IFNA(VLOOKUP($A1588,[3]stockregister!$A$2:$L$2000,12,0),0)</f>
        <v>1000</v>
      </c>
      <c r="J1588" s="3">
        <f>_xlfn.IFNA(VLOOKUP($A1588,[3]stockregister!$A$1:$M$2000,12,0),0)-$I1588</f>
        <v>0</v>
      </c>
      <c r="K1588" s="3" t="s">
        <v>22</v>
      </c>
      <c r="L1588" s="3" t="s">
        <v>23</v>
      </c>
      <c r="M1588" s="3">
        <f>_xlfn.IFNA(VLOOKUP($A1588,[2]stockregister!$A$2:$H$2000,8,0),0)</f>
        <v>1100</v>
      </c>
      <c r="N1588" s="3">
        <f>_xlfn.IFNA(VLOOKUP($A1588,[2]stockregister!$A$2:$H$2000,8,0),0)-$M1588</f>
        <v>0</v>
      </c>
      <c r="O1588" s="3" t="s">
        <v>3682</v>
      </c>
      <c r="P1588" s="3" t="s">
        <v>3682</v>
      </c>
      <c r="Q1588" s="3" t="s">
        <v>3683</v>
      </c>
      <c r="R1588" s="3" t="s">
        <v>537</v>
      </c>
      <c r="S1588" s="3" t="s">
        <v>1303</v>
      </c>
    </row>
    <row r="1589" spans="1:19">
      <c r="A1589" s="3">
        <v>2487</v>
      </c>
      <c r="B1589" s="3" t="b">
        <f>ISNUMBER(MATCH(A1589,[1]stockregister!$A$2:$A$2000,0))</f>
        <v>1</v>
      </c>
      <c r="C1589" s="3" t="s">
        <v>608</v>
      </c>
      <c r="D1589" s="3" t="str">
        <f>VLOOKUP($C1589,[1]stockregister!$B$2:$B$2000,1,0)</f>
        <v>ROBERTSON  WINERY CHENIN BLANC 750ML</v>
      </c>
      <c r="E1589" s="3" t="str">
        <f>IF(ISNA($D1589),VLOOKUP($A1589,[2]stockregister!$A$2:$B$2000,2,FALSE),"")</f>
        <v/>
      </c>
      <c r="F1589" s="3" t="s">
        <v>21</v>
      </c>
      <c r="G1589" s="3">
        <f>_xlfn.IFNA(VLOOKUP($A1589,[3]stockregister!$A$2:$L$2000,11,0),0)</f>
        <v>0</v>
      </c>
      <c r="H1589" s="3">
        <f>_xlfn.IFNA(VLOOKUP($A1589,[3]stockregister!$A$2:$L$2000,11,0),0)-$G1589</f>
        <v>0</v>
      </c>
      <c r="I1589" s="3">
        <f>_xlfn.IFNA(VLOOKUP($A1589,[3]stockregister!$A$2:$L$2000,12,0),0)</f>
        <v>1000</v>
      </c>
      <c r="J1589" s="3">
        <f>_xlfn.IFNA(VLOOKUP($A1589,[3]stockregister!$A$1:$M$2000,12,0),0)-$I1589</f>
        <v>0</v>
      </c>
      <c r="K1589" s="3" t="s">
        <v>22</v>
      </c>
      <c r="L1589" s="3" t="s">
        <v>23</v>
      </c>
      <c r="M1589" s="3">
        <f>_xlfn.IFNA(VLOOKUP($A1589,[2]stockregister!$A$2:$H$2000,8,0),0)</f>
        <v>1200</v>
      </c>
      <c r="N1589" s="3">
        <f>_xlfn.IFNA(VLOOKUP($A1589,[2]stockregister!$A$2:$H$2000,8,0),0)-$M1589</f>
        <v>0</v>
      </c>
      <c r="O1589" s="3" t="s">
        <v>3684</v>
      </c>
      <c r="P1589" s="3" t="s">
        <v>3684</v>
      </c>
      <c r="Q1589" s="3" t="s">
        <v>954</v>
      </c>
      <c r="R1589" s="3" t="s">
        <v>537</v>
      </c>
      <c r="S1589" s="3" t="s">
        <v>1303</v>
      </c>
    </row>
    <row r="1590" spans="1:19">
      <c r="A1590" s="3">
        <v>2895</v>
      </c>
      <c r="B1590" s="3" t="b">
        <f>ISNUMBER(MATCH(A1590,[1]stockregister!$A$2:$A$2000,0))</f>
        <v>1</v>
      </c>
      <c r="C1590" s="3" t="s">
        <v>3685</v>
      </c>
      <c r="D1590" s="3" t="str">
        <f>VLOOKUP($C1590,[1]stockregister!$B$2:$B$2000,1,0)</f>
        <v>Asconi Sweet Flavored Chocolate Red Wine</v>
      </c>
      <c r="E1590" s="3" t="str">
        <f>IF(ISNA($D1590),VLOOKUP($A1590,[2]stockregister!$A$2:$B$2000,2,FALSE),"")</f>
        <v/>
      </c>
      <c r="F1590" s="3" t="s">
        <v>21</v>
      </c>
      <c r="G1590" s="3">
        <f>_xlfn.IFNA(VLOOKUP($A1590,[3]stockregister!$A$2:$L$2000,11,0),0)</f>
        <v>0</v>
      </c>
      <c r="H1590" s="3">
        <f>_xlfn.IFNA(VLOOKUP($A1590,[3]stockregister!$A$2:$L$2000,11,0),0)-$G1590</f>
        <v>0</v>
      </c>
      <c r="I1590" s="3">
        <f>_xlfn.IFNA(VLOOKUP($A1590,[3]stockregister!$A$2:$L$2000,12,0),0)</f>
        <v>1530</v>
      </c>
      <c r="J1590" s="3">
        <f>_xlfn.IFNA(VLOOKUP($A1590,[3]stockregister!$A$1:$M$2000,12,0),0)-$I1590</f>
        <v>0</v>
      </c>
      <c r="K1590" s="3" t="s">
        <v>22</v>
      </c>
      <c r="L1590" s="3" t="s">
        <v>23</v>
      </c>
      <c r="M1590" s="3">
        <f>_xlfn.IFNA(VLOOKUP($A1590,[2]stockregister!$A$2:$H$2000,8,0),0)</f>
        <v>1630</v>
      </c>
      <c r="N1590" s="3">
        <f>_xlfn.IFNA(VLOOKUP($A1590,[2]stockregister!$A$2:$H$2000,8,0),0)-$M1590</f>
        <v>0</v>
      </c>
      <c r="O1590" s="3" t="s">
        <v>3686</v>
      </c>
      <c r="P1590" s="3" t="s">
        <v>3686</v>
      </c>
      <c r="Q1590" s="3" t="s">
        <v>966</v>
      </c>
      <c r="R1590" s="3" t="s">
        <v>537</v>
      </c>
      <c r="S1590" s="3" t="s">
        <v>322</v>
      </c>
    </row>
    <row r="1591" spans="1:19">
      <c r="A1591" s="3">
        <v>547</v>
      </c>
      <c r="B1591" s="3" t="b">
        <f>ISNUMBER(MATCH(A1591,[1]stockregister!$A$2:$A$2000,0))</f>
        <v>1</v>
      </c>
      <c r="C1591" s="3" t="s">
        <v>3687</v>
      </c>
      <c r="D1591" s="3" t="str">
        <f>VLOOKUP($C1591,[1]stockregister!$B$2:$B$2000,1,0)</f>
        <v>CREMA NOBILE AL CIOCCOLATA 750ML</v>
      </c>
      <c r="E1591" s="3" t="str">
        <f>IF(ISNA($D1591),VLOOKUP($A1591,[2]stockregister!$A$2:$B$2000,2,FALSE),"")</f>
        <v/>
      </c>
      <c r="F1591" s="3" t="s">
        <v>21</v>
      </c>
      <c r="G1591" s="3">
        <f>_xlfn.IFNA(VLOOKUP($A1591,[3]stockregister!$A$2:$L$2000,11,0),0)</f>
        <v>0</v>
      </c>
      <c r="H1591" s="3">
        <f>_xlfn.IFNA(VLOOKUP($A1591,[3]stockregister!$A$2:$L$2000,11,0),0)-$G1591</f>
        <v>0</v>
      </c>
      <c r="I1591" s="3">
        <f>_xlfn.IFNA(VLOOKUP($A1591,[3]stockregister!$A$2:$L$2000,12,0),0)</f>
        <v>1288</v>
      </c>
      <c r="J1591" s="3">
        <f>_xlfn.IFNA(VLOOKUP($A1591,[3]stockregister!$A$1:$M$2000,12,0),0)-$I1591</f>
        <v>0</v>
      </c>
      <c r="K1591" s="3" t="s">
        <v>22</v>
      </c>
      <c r="L1591" s="3" t="s">
        <v>23</v>
      </c>
      <c r="M1591" s="3">
        <f>_xlfn.IFNA(VLOOKUP($A1591,[2]stockregister!$A$2:$H$2000,8,0),0)</f>
        <v>1400</v>
      </c>
      <c r="N1591" s="3">
        <f>_xlfn.IFNA(VLOOKUP($A1591,[2]stockregister!$A$2:$H$2000,8,0),0)-$M1591</f>
        <v>0</v>
      </c>
      <c r="O1591" s="3" t="s">
        <v>3688</v>
      </c>
      <c r="P1591" s="3" t="s">
        <v>3688</v>
      </c>
      <c r="Q1591" s="3" t="s">
        <v>3689</v>
      </c>
      <c r="R1591" s="3" t="s">
        <v>68</v>
      </c>
      <c r="S1591" s="3" t="s">
        <v>322</v>
      </c>
    </row>
    <row r="1592" spans="1:19">
      <c r="A1592" s="3">
        <v>2532</v>
      </c>
      <c r="B1592" s="3" t="b">
        <f>ISNUMBER(MATCH(A1592,[1]stockregister!$A$2:$A$2000,0))</f>
        <v>1</v>
      </c>
      <c r="C1592" s="3" t="s">
        <v>3690</v>
      </c>
      <c r="D1592" s="3" t="str">
        <f>VLOOKUP($C1592,[1]stockregister!$B$2:$B$2000,1,0)</f>
        <v>OLEPASU ROSSO AL CIOCCOLATO 750ML</v>
      </c>
      <c r="E1592" s="3" t="str">
        <f>IF(ISNA($D1592),VLOOKUP($A1592,[2]stockregister!$A$2:$B$2000,2,FALSE),"")</f>
        <v/>
      </c>
      <c r="F1592" s="3" t="s">
        <v>21</v>
      </c>
      <c r="G1592" s="3">
        <f>_xlfn.IFNA(VLOOKUP($A1592,[3]stockregister!$A$2:$L$2000,11,0),0)</f>
        <v>0</v>
      </c>
      <c r="H1592" s="3">
        <f>_xlfn.IFNA(VLOOKUP($A1592,[3]stockregister!$A$2:$L$2000,11,0),0)-$G1592</f>
        <v>0</v>
      </c>
      <c r="I1592" s="3">
        <f>_xlfn.IFNA(VLOOKUP($A1592,[3]stockregister!$A$2:$L$2000,12,0),0)</f>
        <v>1158</v>
      </c>
      <c r="J1592" s="3">
        <f>_xlfn.IFNA(VLOOKUP($A1592,[3]stockregister!$A$1:$M$2000,12,0),0)-$I1592</f>
        <v>0</v>
      </c>
      <c r="K1592" s="3" t="s">
        <v>22</v>
      </c>
      <c r="L1592" s="3" t="s">
        <v>23</v>
      </c>
      <c r="M1592" s="3">
        <f>_xlfn.IFNA(VLOOKUP($A1592,[2]stockregister!$A$2:$H$2000,8,0),0)</f>
        <v>1300</v>
      </c>
      <c r="N1592" s="3">
        <f>_xlfn.IFNA(VLOOKUP($A1592,[2]stockregister!$A$2:$H$2000,8,0),0)-$M1592</f>
        <v>0</v>
      </c>
      <c r="O1592" s="3" t="s">
        <v>3691</v>
      </c>
      <c r="P1592" s="3" t="s">
        <v>3691</v>
      </c>
      <c r="Q1592" s="3" t="s">
        <v>3692</v>
      </c>
      <c r="R1592" s="3" t="s">
        <v>537</v>
      </c>
      <c r="S1592" s="3" t="s">
        <v>322</v>
      </c>
    </row>
    <row r="1593" spans="1:19">
      <c r="A1593" s="3">
        <v>2583</v>
      </c>
      <c r="B1593" s="3" t="b">
        <f>ISNUMBER(MATCH(A1593,[1]stockregister!$A$2:$A$2000,0))</f>
        <v>1</v>
      </c>
      <c r="C1593" s="3" t="s">
        <v>3693</v>
      </c>
      <c r="D1593" s="3" t="str">
        <f>VLOOKUP($C1593,[1]stockregister!$B$2:$B$2000,1,0)</f>
        <v>ROSSO NOBILE DARK CHOCOLATE 750ML</v>
      </c>
      <c r="E1593" s="3" t="str">
        <f>IF(ISNA($D1593),VLOOKUP($A1593,[2]stockregister!$A$2:$B$2000,2,FALSE),"")</f>
        <v/>
      </c>
      <c r="F1593" s="3" t="s">
        <v>21</v>
      </c>
      <c r="G1593" s="3">
        <f>_xlfn.IFNA(VLOOKUP($A1593,[3]stockregister!$A$2:$L$2000,11,0),0)</f>
        <v>0</v>
      </c>
      <c r="H1593" s="3">
        <f>_xlfn.IFNA(VLOOKUP($A1593,[3]stockregister!$A$2:$L$2000,11,0),0)-$G1593</f>
        <v>0</v>
      </c>
      <c r="I1593" s="3">
        <f>_xlfn.IFNA(VLOOKUP($A1593,[3]stockregister!$A$2:$L$2000,12,0),0)</f>
        <v>1200</v>
      </c>
      <c r="J1593" s="3">
        <f>_xlfn.IFNA(VLOOKUP($A1593,[3]stockregister!$A$1:$M$2000,12,0),0)-$I1593</f>
        <v>0</v>
      </c>
      <c r="K1593" s="3" t="s">
        <v>22</v>
      </c>
      <c r="L1593" s="3" t="s">
        <v>23</v>
      </c>
      <c r="M1593" s="3">
        <f>_xlfn.IFNA(VLOOKUP($A1593,[2]stockregister!$A$2:$H$2000,8,0),0)</f>
        <v>1300</v>
      </c>
      <c r="N1593" s="3">
        <f>_xlfn.IFNA(VLOOKUP($A1593,[2]stockregister!$A$2:$H$2000,8,0),0)-$M1593</f>
        <v>0</v>
      </c>
      <c r="O1593" s="3" t="s">
        <v>3694</v>
      </c>
      <c r="P1593" s="3" t="s">
        <v>3694</v>
      </c>
      <c r="Q1593" s="3" t="s">
        <v>3695</v>
      </c>
      <c r="R1593" s="3" t="s">
        <v>537</v>
      </c>
      <c r="S1593" s="3" t="s">
        <v>322</v>
      </c>
    </row>
    <row r="1594" spans="1:19">
      <c r="A1594" s="3">
        <v>2582</v>
      </c>
      <c r="B1594" s="3" t="b">
        <f>ISNUMBER(MATCH(A1594,[1]stockregister!$A$2:$A$2000,0))</f>
        <v>1</v>
      </c>
      <c r="C1594" s="3" t="s">
        <v>3696</v>
      </c>
      <c r="D1594" s="3" t="str">
        <f>VLOOKUP($C1594,[1]stockregister!$B$2:$B$2000,1,0)</f>
        <v>ROSSO NOBILE DUBAI CHOCOLATE 750ML</v>
      </c>
      <c r="E1594" s="3" t="str">
        <f>IF(ISNA($D1594),VLOOKUP($A1594,[2]stockregister!$A$2:$B$2000,2,FALSE),"")</f>
        <v/>
      </c>
      <c r="F1594" s="3" t="s">
        <v>21</v>
      </c>
      <c r="G1594" s="3">
        <f>_xlfn.IFNA(VLOOKUP($A1594,[3]stockregister!$A$2:$L$2000,11,0),0)</f>
        <v>0</v>
      </c>
      <c r="H1594" s="3">
        <f>_xlfn.IFNA(VLOOKUP($A1594,[3]stockregister!$A$2:$L$2000,11,0),0)-$G1594</f>
        <v>0</v>
      </c>
      <c r="I1594" s="3">
        <f>_xlfn.IFNA(VLOOKUP($A1594,[3]stockregister!$A$2:$L$2000,12,0),0)</f>
        <v>1100</v>
      </c>
      <c r="J1594" s="3">
        <f>_xlfn.IFNA(VLOOKUP($A1594,[3]stockregister!$A$1:$M$2000,12,0),0)-$I1594</f>
        <v>0</v>
      </c>
      <c r="K1594" s="3" t="s">
        <v>22</v>
      </c>
      <c r="L1594" s="3" t="s">
        <v>23</v>
      </c>
      <c r="M1594" s="3">
        <f>_xlfn.IFNA(VLOOKUP($A1594,[2]stockregister!$A$2:$H$2000,8,0),0)</f>
        <v>1200</v>
      </c>
      <c r="N1594" s="3">
        <f>_xlfn.IFNA(VLOOKUP($A1594,[2]stockregister!$A$2:$H$2000,8,0),0)-$M1594</f>
        <v>0</v>
      </c>
      <c r="O1594" s="3" t="s">
        <v>3697</v>
      </c>
      <c r="P1594" s="3" t="s">
        <v>3697</v>
      </c>
      <c r="Q1594" s="3" t="s">
        <v>3695</v>
      </c>
      <c r="R1594" s="3" t="s">
        <v>537</v>
      </c>
      <c r="S1594" s="3" t="s">
        <v>322</v>
      </c>
    </row>
    <row r="1595" spans="1:19">
      <c r="A1595" s="3">
        <v>1459</v>
      </c>
      <c r="B1595" s="3" t="b">
        <f>ISNUMBER(MATCH(A1595,[1]stockregister!$A$2:$A$2000,0))</f>
        <v>1</v>
      </c>
      <c r="C1595" s="3" t="s">
        <v>3698</v>
      </c>
      <c r="D1595" s="3" t="str">
        <f>VLOOKUP($C1595,[1]stockregister!$B$2:$B$2000,1,0)</f>
        <v>MOILLARD CHABLIS COQUILLAGE 750ML</v>
      </c>
      <c r="E1595" s="3" t="str">
        <f>IF(ISNA($D1595),VLOOKUP($A1595,[2]stockregister!$A$2:$B$2000,2,FALSE),"")</f>
        <v/>
      </c>
      <c r="F1595" s="3" t="s">
        <v>21</v>
      </c>
      <c r="G1595" s="3">
        <f>_xlfn.IFNA(VLOOKUP($A1595,[3]stockregister!$A$2:$L$2000,11,0),0)</f>
        <v>0</v>
      </c>
      <c r="H1595" s="3">
        <f>_xlfn.IFNA(VLOOKUP($A1595,[3]stockregister!$A$2:$L$2000,11,0),0)-$G1595</f>
        <v>0</v>
      </c>
      <c r="I1595" s="3">
        <f>_xlfn.IFNA(VLOOKUP($A1595,[3]stockregister!$A$2:$L$2000,12,0),0)</f>
        <v>3404</v>
      </c>
      <c r="J1595" s="3">
        <f>_xlfn.IFNA(VLOOKUP($A1595,[3]stockregister!$A$1:$M$2000,12,0),0)-$I1595</f>
        <v>0</v>
      </c>
      <c r="K1595" s="3" t="s">
        <v>22</v>
      </c>
      <c r="L1595" s="3" t="s">
        <v>23</v>
      </c>
      <c r="M1595" s="3">
        <f>_xlfn.IFNA(VLOOKUP($A1595,[2]stockregister!$A$2:$H$2000,8,0),0)</f>
        <v>3700</v>
      </c>
      <c r="N1595" s="3">
        <f>_xlfn.IFNA(VLOOKUP($A1595,[2]stockregister!$A$2:$H$2000,8,0),0)-$M1595</f>
        <v>0</v>
      </c>
      <c r="O1595" s="3" t="s">
        <v>3699</v>
      </c>
      <c r="P1595" s="3" t="s">
        <v>3699</v>
      </c>
      <c r="Q1595" s="3" t="s">
        <v>3700</v>
      </c>
      <c r="R1595" s="3" t="s">
        <v>68</v>
      </c>
      <c r="S1595" s="3" t="s">
        <v>3701</v>
      </c>
    </row>
    <row r="1596" spans="1:19">
      <c r="A1596" s="3">
        <v>1360</v>
      </c>
      <c r="B1596" s="3" t="b">
        <f>ISNUMBER(MATCH(A1596,[1]stockregister!$A$2:$A$2000,0))</f>
        <v>1</v>
      </c>
      <c r="C1596" s="3" t="s">
        <v>3702</v>
      </c>
      <c r="D1596" s="3" t="str">
        <f>VLOOKUP($C1596,[1]stockregister!$B$2:$B$2000,1,0)</f>
        <v>MAISON CASTEL CUVEE BRUT 750ML</v>
      </c>
      <c r="E1596" s="3" t="str">
        <f>IF(ISNA($D1596),VLOOKUP($A1596,[2]stockregister!$A$2:$B$2000,2,FALSE),"")</f>
        <v/>
      </c>
      <c r="F1596" s="3" t="s">
        <v>21</v>
      </c>
      <c r="G1596" s="3">
        <f>_xlfn.IFNA(VLOOKUP($A1596,[3]stockregister!$A$2:$L$2000,11,0),0)</f>
        <v>0</v>
      </c>
      <c r="H1596" s="3">
        <f>_xlfn.IFNA(VLOOKUP($A1596,[3]stockregister!$A$2:$L$2000,11,0),0)-$G1596</f>
        <v>0</v>
      </c>
      <c r="I1596" s="3">
        <f>_xlfn.IFNA(VLOOKUP($A1596,[3]stockregister!$A$2:$L$2000,12,0),0)</f>
        <v>1196</v>
      </c>
      <c r="J1596" s="3">
        <f>_xlfn.IFNA(VLOOKUP($A1596,[3]stockregister!$A$1:$M$2000,12,0),0)-$I1596</f>
        <v>0</v>
      </c>
      <c r="K1596" s="3" t="s">
        <v>22</v>
      </c>
      <c r="L1596" s="3" t="s">
        <v>23</v>
      </c>
      <c r="M1596" s="3">
        <f>_xlfn.IFNA(VLOOKUP($A1596,[2]stockregister!$A$2:$H$2000,8,0),0)</f>
        <v>1300</v>
      </c>
      <c r="N1596" s="3">
        <f>_xlfn.IFNA(VLOOKUP($A1596,[2]stockregister!$A$2:$H$2000,8,0),0)-$M1596</f>
        <v>0</v>
      </c>
      <c r="O1596" s="3" t="s">
        <v>3703</v>
      </c>
      <c r="P1596" s="3" t="s">
        <v>3703</v>
      </c>
      <c r="Q1596" s="3" t="s">
        <v>1137</v>
      </c>
      <c r="R1596" s="3" t="s">
        <v>68</v>
      </c>
      <c r="S1596" s="3" t="s">
        <v>3704</v>
      </c>
    </row>
    <row r="1597" spans="1:19">
      <c r="A1597" s="3">
        <v>1573</v>
      </c>
      <c r="B1597" s="3" t="b">
        <f>ISNUMBER(MATCH(A1597,[1]stockregister!$A$2:$A$2000,0))</f>
        <v>1</v>
      </c>
      <c r="C1597" s="3" t="s">
        <v>3705</v>
      </c>
      <c r="D1597" s="3" t="str">
        <f>VLOOKUP($C1597,[1]stockregister!$B$2:$B$2000,1,0)</f>
        <v>OVERMEER 5LTR</v>
      </c>
      <c r="E1597" s="3" t="str">
        <f>IF(ISNA($D1597),VLOOKUP($A1597,[2]stockregister!$A$2:$B$2000,2,FALSE),"")</f>
        <v/>
      </c>
      <c r="F1597" s="3" t="s">
        <v>21</v>
      </c>
      <c r="G1597" s="3">
        <f>_xlfn.IFNA(VLOOKUP($A1597,[3]stockregister!$A$2:$L$2000,11,0),0)</f>
        <v>0</v>
      </c>
      <c r="H1597" s="3">
        <f>_xlfn.IFNA(VLOOKUP($A1597,[3]stockregister!$A$2:$L$2000,11,0),0)-$G1597</f>
        <v>0</v>
      </c>
      <c r="I1597" s="3">
        <f>_xlfn.IFNA(VLOOKUP($A1597,[3]stockregister!$A$2:$L$2000,12,0),0)</f>
        <v>2300</v>
      </c>
      <c r="J1597" s="3">
        <f>_xlfn.IFNA(VLOOKUP($A1597,[3]stockregister!$A$1:$M$2000,12,0),0)-$I1597</f>
        <v>0</v>
      </c>
      <c r="K1597" s="3" t="s">
        <v>22</v>
      </c>
      <c r="L1597" s="3" t="s">
        <v>23</v>
      </c>
      <c r="M1597" s="3">
        <f>_xlfn.IFNA(VLOOKUP($A1597,[2]stockregister!$A$2:$H$2000,8,0),0)</f>
        <v>2500</v>
      </c>
      <c r="N1597" s="3">
        <f>_xlfn.IFNA(VLOOKUP($A1597,[2]stockregister!$A$2:$H$2000,8,0),0)-$M1597</f>
        <v>0</v>
      </c>
      <c r="O1597" s="3" t="s">
        <v>3706</v>
      </c>
      <c r="P1597" s="3" t="s">
        <v>3706</v>
      </c>
      <c r="Q1597" s="3" t="s">
        <v>1182</v>
      </c>
      <c r="R1597" s="3" t="s">
        <v>68</v>
      </c>
      <c r="S1597" s="3" t="s">
        <v>2319</v>
      </c>
    </row>
    <row r="1598" spans="1:19">
      <c r="A1598" s="3">
        <v>2545</v>
      </c>
      <c r="B1598" s="3" t="b">
        <f>ISNUMBER(MATCH(A1598,[1]stockregister!$A$2:$A$2000,0))</f>
        <v>1</v>
      </c>
      <c r="C1598" s="3" t="s">
        <v>3707</v>
      </c>
      <c r="D1598" s="3" t="str">
        <f>VLOOKUP($C1598,[1]stockregister!$B$2:$B$2000,1,0)</f>
        <v>OLENAISHU RED DRY 750ML</v>
      </c>
      <c r="E1598" s="3" t="str">
        <f>IF(ISNA($D1598),VLOOKUP($A1598,[2]stockregister!$A$2:$B$2000,2,FALSE),"")</f>
        <v/>
      </c>
      <c r="F1598" s="3" t="s">
        <v>21</v>
      </c>
      <c r="G1598" s="3">
        <f>_xlfn.IFNA(VLOOKUP($A1598,[3]stockregister!$A$2:$L$2000,11,0),0)</f>
        <v>0</v>
      </c>
      <c r="H1598" s="3">
        <f>_xlfn.IFNA(VLOOKUP($A1598,[3]stockregister!$A$2:$L$2000,11,0),0)-$G1598</f>
        <v>0</v>
      </c>
      <c r="I1598" s="3">
        <f>_xlfn.IFNA(VLOOKUP($A1598,[3]stockregister!$A$2:$L$2000,12,0),0)</f>
        <v>1192</v>
      </c>
      <c r="J1598" s="3">
        <f>_xlfn.IFNA(VLOOKUP($A1598,[3]stockregister!$A$1:$M$2000,12,0),0)-$I1598</f>
        <v>0</v>
      </c>
      <c r="K1598" s="3" t="s">
        <v>22</v>
      </c>
      <c r="L1598" s="3" t="s">
        <v>23</v>
      </c>
      <c r="M1598" s="3">
        <f>_xlfn.IFNA(VLOOKUP($A1598,[2]stockregister!$A$2:$H$2000,8,0),0)</f>
        <v>1300</v>
      </c>
      <c r="N1598" s="3">
        <f>_xlfn.IFNA(VLOOKUP($A1598,[2]stockregister!$A$2:$H$2000,8,0),0)-$M1598</f>
        <v>0</v>
      </c>
      <c r="O1598" s="3" t="s">
        <v>3708</v>
      </c>
      <c r="P1598" s="3" t="s">
        <v>3708</v>
      </c>
      <c r="Q1598" s="3" t="s">
        <v>3709</v>
      </c>
      <c r="R1598" s="3" t="s">
        <v>537</v>
      </c>
      <c r="S1598" s="3" t="s">
        <v>82</v>
      </c>
    </row>
    <row r="1599" spans="1:19">
      <c r="A1599" s="3">
        <v>1498</v>
      </c>
      <c r="B1599" s="3" t="b">
        <f>ISNUMBER(MATCH(A1599,[1]stockregister!$A$2:$A$2000,0))</f>
        <v>1</v>
      </c>
      <c r="C1599" s="3" t="s">
        <v>610</v>
      </c>
      <c r="D1599" s="3" t="str">
        <f>VLOOKUP($C1599,[1]stockregister!$B$2:$B$2000,1,0)</f>
        <v>NAMAQUA DRY RED  5LTR </v>
      </c>
      <c r="E1599" s="3" t="str">
        <f>IF(ISNA($D1599),VLOOKUP($A1599,[2]stockregister!$A$2:$B$2000,2,FALSE),"")</f>
        <v/>
      </c>
      <c r="F1599" s="3" t="s">
        <v>21</v>
      </c>
      <c r="G1599" s="3">
        <f>_xlfn.IFNA(VLOOKUP($A1599,[3]stockregister!$A$2:$L$2000,11,0),0)</f>
        <v>0</v>
      </c>
      <c r="H1599" s="3">
        <f>_xlfn.IFNA(VLOOKUP($A1599,[3]stockregister!$A$2:$L$2000,11,0),0)-$G1599</f>
        <v>0</v>
      </c>
      <c r="I1599" s="3">
        <f>_xlfn.IFNA(VLOOKUP($A1599,[3]stockregister!$A$2:$L$2000,12,0),0)</f>
        <v>2500</v>
      </c>
      <c r="J1599" s="3">
        <f>_xlfn.IFNA(VLOOKUP($A1599,[3]stockregister!$A$1:$M$2000,12,0),0)-$I1599</f>
        <v>0</v>
      </c>
      <c r="K1599" s="3" t="s">
        <v>22</v>
      </c>
      <c r="L1599" s="3" t="s">
        <v>23</v>
      </c>
      <c r="M1599" s="3">
        <f>_xlfn.IFNA(VLOOKUP($A1599,[2]stockregister!$A$2:$H$2000,8,0),0)</f>
        <v>3300</v>
      </c>
      <c r="N1599" s="3">
        <f>_xlfn.IFNA(VLOOKUP($A1599,[2]stockregister!$A$2:$H$2000,8,0),0)-$M1599</f>
        <v>0</v>
      </c>
      <c r="O1599" s="3" t="s">
        <v>3710</v>
      </c>
      <c r="P1599" s="3" t="s">
        <v>3710</v>
      </c>
      <c r="Q1599" s="3" t="s">
        <v>1900</v>
      </c>
      <c r="R1599" s="3" t="s">
        <v>68</v>
      </c>
      <c r="S1599" s="3" t="s">
        <v>82</v>
      </c>
    </row>
    <row r="1600" spans="1:19">
      <c r="A1600" s="3">
        <v>641</v>
      </c>
      <c r="B1600" s="3" t="b">
        <f>ISNUMBER(MATCH(A1600,[1]stockregister!$A$2:$A$2000,0))</f>
        <v>1</v>
      </c>
      <c r="C1600" s="3" t="s">
        <v>3711</v>
      </c>
      <c r="D1600" s="3" t="str">
        <f>VLOOKUP($C1600,[1]stockregister!$B$2:$B$2000,1,0)</f>
        <v>DROSTDY RED CLARET 5LTR</v>
      </c>
      <c r="E1600" s="3" t="str">
        <f>IF(ISNA($D1600),VLOOKUP($A1600,[2]stockregister!$A$2:$B$2000,2,FALSE),"")</f>
        <v/>
      </c>
      <c r="F1600" s="3" t="s">
        <v>21</v>
      </c>
      <c r="G1600" s="3">
        <f>_xlfn.IFNA(VLOOKUP($A1600,[3]stockregister!$A$2:$L$2000,11,0),0)</f>
        <v>0</v>
      </c>
      <c r="H1600" s="3">
        <f>_xlfn.IFNA(VLOOKUP($A1600,[3]stockregister!$A$2:$L$2000,11,0),0)-$G1600</f>
        <v>0</v>
      </c>
      <c r="I1600" s="3">
        <f>_xlfn.IFNA(VLOOKUP($A1600,[3]stockregister!$A$2:$L$2000,12,0),0)</f>
        <v>3500</v>
      </c>
      <c r="J1600" s="3">
        <f>_xlfn.IFNA(VLOOKUP($A1600,[3]stockregister!$A$1:$M$2000,12,0),0)-$I1600</f>
        <v>0</v>
      </c>
      <c r="K1600" s="3" t="s">
        <v>22</v>
      </c>
      <c r="L1600" s="3" t="s">
        <v>23</v>
      </c>
      <c r="M1600" s="3">
        <f>_xlfn.IFNA(VLOOKUP($A1600,[2]stockregister!$A$2:$H$2000,8,0),0)</f>
        <v>4000</v>
      </c>
      <c r="N1600" s="3">
        <f>_xlfn.IFNA(VLOOKUP($A1600,[2]stockregister!$A$2:$H$2000,8,0),0)-$M1600</f>
        <v>0</v>
      </c>
      <c r="O1600" s="3" t="s">
        <v>3712</v>
      </c>
      <c r="P1600" s="3" t="s">
        <v>3712</v>
      </c>
      <c r="Q1600" s="3" t="s">
        <v>676</v>
      </c>
      <c r="R1600" s="3" t="s">
        <v>68</v>
      </c>
      <c r="S1600" s="3" t="s">
        <v>82</v>
      </c>
    </row>
    <row r="1601" spans="1:19">
      <c r="A1601" s="3">
        <v>751</v>
      </c>
      <c r="B1601" s="3" t="b">
        <f>ISNUMBER(MATCH(A1601,[1]stockregister!$A$2:$A$2000,0))</f>
        <v>1</v>
      </c>
      <c r="C1601" s="3" t="s">
        <v>3713</v>
      </c>
      <c r="D1601" s="3" t="str">
        <f>VLOOKUP($C1601,[1]stockregister!$B$2:$B$2000,1,0)</f>
        <v>FOUR COUSINS RED DRY 1.5LTR</v>
      </c>
      <c r="E1601" s="3" t="str">
        <f>IF(ISNA($D1601),VLOOKUP($A1601,[2]stockregister!$A$2:$B$2000,2,FALSE),"")</f>
        <v/>
      </c>
      <c r="F1601" s="3" t="s">
        <v>21</v>
      </c>
      <c r="G1601" s="3">
        <f>_xlfn.IFNA(VLOOKUP($A1601,[3]stockregister!$A$2:$L$2000,11,0),0)</f>
        <v>0</v>
      </c>
      <c r="H1601" s="3">
        <f>_xlfn.IFNA(VLOOKUP($A1601,[3]stockregister!$A$2:$L$2000,11,0),0)-$G1601</f>
        <v>0</v>
      </c>
      <c r="I1601" s="3">
        <f>_xlfn.IFNA(VLOOKUP($A1601,[3]stockregister!$A$2:$L$2000,12,0),0)</f>
        <v>1350</v>
      </c>
      <c r="J1601" s="3">
        <f>_xlfn.IFNA(VLOOKUP($A1601,[3]stockregister!$A$1:$M$2000,12,0),0)-$I1601</f>
        <v>0</v>
      </c>
      <c r="K1601" s="3" t="s">
        <v>22</v>
      </c>
      <c r="L1601" s="3" t="s">
        <v>23</v>
      </c>
      <c r="M1601" s="3">
        <f>_xlfn.IFNA(VLOOKUP($A1601,[2]stockregister!$A$2:$H$2000,8,0),0)</f>
        <v>1550</v>
      </c>
      <c r="N1601" s="3">
        <f>_xlfn.IFNA(VLOOKUP($A1601,[2]stockregister!$A$2:$H$2000,8,0),0)-$M1601</f>
        <v>0</v>
      </c>
      <c r="O1601" s="3" t="s">
        <v>3714</v>
      </c>
      <c r="P1601" s="3" t="s">
        <v>3714</v>
      </c>
      <c r="Q1601" s="3" t="s">
        <v>137</v>
      </c>
      <c r="R1601" s="3" t="s">
        <v>68</v>
      </c>
      <c r="S1601" s="3" t="s">
        <v>82</v>
      </c>
    </row>
    <row r="1602" spans="1:19">
      <c r="A1602" s="3">
        <v>1499</v>
      </c>
      <c r="B1602" s="3" t="b">
        <f>ISNUMBER(MATCH(A1602,[1]stockregister!$A$2:$A$2000,0))</f>
        <v>1</v>
      </c>
      <c r="C1602" s="3" t="s">
        <v>3715</v>
      </c>
      <c r="D1602" s="3" t="str">
        <f>VLOOKUP($C1602,[1]stockregister!$B$2:$B$2000,1,0)</f>
        <v>NAMAQUA DRY RED 750ML</v>
      </c>
      <c r="E1602" s="3" t="str">
        <f>IF(ISNA($D1602),VLOOKUP($A1602,[2]stockregister!$A$2:$B$2000,2,FALSE),"")</f>
        <v/>
      </c>
      <c r="F1602" s="3" t="s">
        <v>21</v>
      </c>
      <c r="G1602" s="3">
        <f>_xlfn.IFNA(VLOOKUP($A1602,[3]stockregister!$A$2:$L$2000,11,0),0)</f>
        <v>0</v>
      </c>
      <c r="H1602" s="3">
        <f>_xlfn.IFNA(VLOOKUP($A1602,[3]stockregister!$A$2:$L$2000,11,0),0)-$G1602</f>
        <v>0</v>
      </c>
      <c r="I1602" s="3">
        <f>_xlfn.IFNA(VLOOKUP($A1602,[3]stockregister!$A$2:$L$2000,12,0),0)</f>
        <v>690</v>
      </c>
      <c r="J1602" s="3">
        <f>_xlfn.IFNA(VLOOKUP($A1602,[3]stockregister!$A$1:$M$2000,12,0),0)-$I1602</f>
        <v>0</v>
      </c>
      <c r="K1602" s="3" t="s">
        <v>22</v>
      </c>
      <c r="L1602" s="3" t="s">
        <v>23</v>
      </c>
      <c r="M1602" s="3">
        <f>_xlfn.IFNA(VLOOKUP($A1602,[2]stockregister!$A$2:$H$2000,8,0),0)</f>
        <v>750</v>
      </c>
      <c r="N1602" s="3">
        <f>_xlfn.IFNA(VLOOKUP($A1602,[2]stockregister!$A$2:$H$2000,8,0),0)-$M1602</f>
        <v>0</v>
      </c>
      <c r="O1602" s="3" t="s">
        <v>3716</v>
      </c>
      <c r="P1602" s="3" t="s">
        <v>3716</v>
      </c>
      <c r="Q1602" s="3" t="s">
        <v>1900</v>
      </c>
      <c r="R1602" s="3" t="s">
        <v>68</v>
      </c>
      <c r="S1602" s="3" t="s">
        <v>82</v>
      </c>
    </row>
    <row r="1603" spans="1:19">
      <c r="A1603" s="3">
        <v>2037</v>
      </c>
      <c r="B1603" s="3" t="b">
        <f>ISNUMBER(MATCH(A1603,[1]stockregister!$A$2:$A$2000,0))</f>
        <v>1</v>
      </c>
      <c r="C1603" s="3" t="s">
        <v>3717</v>
      </c>
      <c r="D1603" s="3" t="str">
        <f>VLOOKUP($C1603,[1]stockregister!$B$2:$B$2000,1,0)</f>
        <v>UPPER VALLEY DRY RED 1.5ltr</v>
      </c>
      <c r="E1603" s="3" t="str">
        <f>IF(ISNA($D1603),VLOOKUP($A1603,[2]stockregister!$A$2:$B$2000,2,FALSE),"")</f>
        <v/>
      </c>
      <c r="F1603" s="3" t="s">
        <v>21</v>
      </c>
      <c r="G1603" s="3">
        <f>_xlfn.IFNA(VLOOKUP($A1603,[3]stockregister!$A$2:$L$2000,11,0),0)</f>
        <v>0</v>
      </c>
      <c r="H1603" s="3">
        <f>_xlfn.IFNA(VLOOKUP($A1603,[3]stockregister!$A$2:$L$2000,11,0),0)-$G1603</f>
        <v>0</v>
      </c>
      <c r="I1603" s="3">
        <f>_xlfn.IFNA(VLOOKUP($A1603,[3]stockregister!$A$2:$L$2000,12,0),0)</f>
        <v>2116</v>
      </c>
      <c r="J1603" s="3">
        <f>_xlfn.IFNA(VLOOKUP($A1603,[3]stockregister!$A$1:$M$2000,12,0),0)-$I1603</f>
        <v>0</v>
      </c>
      <c r="K1603" s="3" t="s">
        <v>22</v>
      </c>
      <c r="L1603" s="3" t="s">
        <v>23</v>
      </c>
      <c r="M1603" s="3">
        <f>_xlfn.IFNA(VLOOKUP($A1603,[2]stockregister!$A$2:$H$2000,8,0),0)</f>
        <v>2300</v>
      </c>
      <c r="N1603" s="3">
        <f>_xlfn.IFNA(VLOOKUP($A1603,[2]stockregister!$A$2:$H$2000,8,0),0)-$M1603</f>
        <v>0</v>
      </c>
      <c r="O1603" s="3" t="s">
        <v>3718</v>
      </c>
      <c r="P1603" s="3" t="s">
        <v>3718</v>
      </c>
      <c r="Q1603" s="3" t="s">
        <v>3719</v>
      </c>
      <c r="R1603" s="3" t="s">
        <v>68</v>
      </c>
      <c r="S1603" s="3" t="s">
        <v>82</v>
      </c>
    </row>
    <row r="1604" spans="1:19">
      <c r="A1604" s="3">
        <v>2542</v>
      </c>
      <c r="B1604" s="3" t="b">
        <f>ISNUMBER(MATCH(A1604,[1]stockregister!$A$2:$A$2000,0))</f>
        <v>1</v>
      </c>
      <c r="C1604" s="3" t="s">
        <v>3720</v>
      </c>
      <c r="D1604" s="3" t="str">
        <f>VLOOKUP($C1604,[1]stockregister!$B$2:$B$2000,1,0)</f>
        <v>CASTILLO DE FERRER RED DRY 750ML</v>
      </c>
      <c r="E1604" s="3" t="str">
        <f>IF(ISNA($D1604),VLOOKUP($A1604,[2]stockregister!$A$2:$B$2000,2,FALSE),"")</f>
        <v/>
      </c>
      <c r="F1604" s="3" t="s">
        <v>21</v>
      </c>
      <c r="G1604" s="3">
        <f>_xlfn.IFNA(VLOOKUP($A1604,[3]stockregister!$A$2:$L$2000,11,0),0)</f>
        <v>0</v>
      </c>
      <c r="H1604" s="3">
        <f>_xlfn.IFNA(VLOOKUP($A1604,[3]stockregister!$A$2:$L$2000,11,0),0)-$G1604</f>
        <v>0</v>
      </c>
      <c r="I1604" s="3">
        <f>_xlfn.IFNA(VLOOKUP($A1604,[3]stockregister!$A$2:$L$2000,12,0),0)</f>
        <v>960</v>
      </c>
      <c r="J1604" s="3">
        <f>_xlfn.IFNA(VLOOKUP($A1604,[3]stockregister!$A$1:$M$2000,12,0),0)-$I1604</f>
        <v>0</v>
      </c>
      <c r="K1604" s="3" t="s">
        <v>22</v>
      </c>
      <c r="L1604" s="3" t="s">
        <v>23</v>
      </c>
      <c r="M1604" s="3">
        <f>_xlfn.IFNA(VLOOKUP($A1604,[2]stockregister!$A$2:$H$2000,8,0),0)</f>
        <v>1100</v>
      </c>
      <c r="N1604" s="3">
        <f>_xlfn.IFNA(VLOOKUP($A1604,[2]stockregister!$A$2:$H$2000,8,0),0)-$M1604</f>
        <v>0</v>
      </c>
      <c r="O1604" s="3" t="s">
        <v>3721</v>
      </c>
      <c r="P1604" s="3" t="s">
        <v>3721</v>
      </c>
      <c r="Q1604" s="3" t="s">
        <v>3668</v>
      </c>
      <c r="R1604" s="3" t="s">
        <v>537</v>
      </c>
      <c r="S1604" s="3" t="s">
        <v>82</v>
      </c>
    </row>
    <row r="1605" spans="1:19">
      <c r="A1605" s="3">
        <v>2550</v>
      </c>
      <c r="B1605" s="3" t="b">
        <f>ISNUMBER(MATCH(A1605,[1]stockregister!$A$2:$A$2000,0))</f>
        <v>1</v>
      </c>
      <c r="C1605" s="3" t="s">
        <v>3722</v>
      </c>
      <c r="D1605" s="3" t="str">
        <f>VLOOKUP($C1605,[1]stockregister!$B$2:$B$2000,1,0)</f>
        <v>OLEPASU DRY RED 750ML</v>
      </c>
      <c r="E1605" s="3" t="str">
        <f>IF(ISNA($D1605),VLOOKUP($A1605,[2]stockregister!$A$2:$B$2000,2,FALSE),"")</f>
        <v/>
      </c>
      <c r="F1605" s="3" t="s">
        <v>21</v>
      </c>
      <c r="G1605" s="3">
        <f>_xlfn.IFNA(VLOOKUP($A1605,[3]stockregister!$A$2:$L$2000,11,0),0)</f>
        <v>0</v>
      </c>
      <c r="H1605" s="3">
        <f>_xlfn.IFNA(VLOOKUP($A1605,[3]stockregister!$A$2:$L$2000,11,0),0)-$G1605</f>
        <v>0</v>
      </c>
      <c r="I1605" s="3">
        <f>_xlfn.IFNA(VLOOKUP($A1605,[3]stockregister!$A$2:$L$2000,12,0),0)</f>
        <v>904</v>
      </c>
      <c r="J1605" s="3">
        <f>_xlfn.IFNA(VLOOKUP($A1605,[3]stockregister!$A$1:$M$2000,12,0),0)-$I1605</f>
        <v>0</v>
      </c>
      <c r="K1605" s="3" t="s">
        <v>22</v>
      </c>
      <c r="L1605" s="3" t="s">
        <v>23</v>
      </c>
      <c r="M1605" s="3">
        <f>_xlfn.IFNA(VLOOKUP($A1605,[2]stockregister!$A$2:$H$2000,8,0),0)</f>
        <v>1100</v>
      </c>
      <c r="N1605" s="3">
        <f>_xlfn.IFNA(VLOOKUP($A1605,[2]stockregister!$A$2:$H$2000,8,0),0)-$M1605</f>
        <v>0</v>
      </c>
      <c r="O1605" s="3" t="s">
        <v>3723</v>
      </c>
      <c r="P1605" s="3" t="s">
        <v>3723</v>
      </c>
      <c r="Q1605" s="3" t="s">
        <v>3692</v>
      </c>
      <c r="R1605" s="3" t="s">
        <v>537</v>
      </c>
      <c r="S1605" s="3" t="s">
        <v>82</v>
      </c>
    </row>
    <row r="1606" spans="1:19">
      <c r="A1606" s="3">
        <v>2371</v>
      </c>
      <c r="B1606" s="3" t="b">
        <f>ISNUMBER(MATCH(A1606,[1]stockregister!$A$2:$A$2000,0))</f>
        <v>1</v>
      </c>
      <c r="C1606" s="3" t="s">
        <v>3724</v>
      </c>
      <c r="D1606" s="3" t="str">
        <f>VLOOKUP($C1606,[1]stockregister!$B$2:$B$2000,1,0)</f>
        <v>UPPER VALLEY DRY RED 750ML</v>
      </c>
      <c r="E1606" s="3" t="str">
        <f>IF(ISNA($D1606),VLOOKUP($A1606,[2]stockregister!$A$2:$B$2000,2,FALSE),"")</f>
        <v/>
      </c>
      <c r="F1606" s="3" t="s">
        <v>21</v>
      </c>
      <c r="G1606" s="3">
        <f>_xlfn.IFNA(VLOOKUP($A1606,[3]stockregister!$A$2:$L$2000,11,0),0)</f>
        <v>0</v>
      </c>
      <c r="H1606" s="3">
        <f>_xlfn.IFNA(VLOOKUP($A1606,[3]stockregister!$A$2:$L$2000,11,0),0)-$G1606</f>
        <v>0</v>
      </c>
      <c r="I1606" s="3">
        <f>_xlfn.IFNA(VLOOKUP($A1606,[3]stockregister!$A$2:$L$2000,12,0),0)</f>
        <v>1000</v>
      </c>
      <c r="J1606" s="3">
        <f>_xlfn.IFNA(VLOOKUP($A1606,[3]stockregister!$A$1:$M$2000,12,0),0)-$I1606</f>
        <v>0</v>
      </c>
      <c r="K1606" s="3" t="s">
        <v>22</v>
      </c>
      <c r="L1606" s="3" t="s">
        <v>23</v>
      </c>
      <c r="M1606" s="3">
        <f>_xlfn.IFNA(VLOOKUP($A1606,[2]stockregister!$A$2:$H$2000,8,0),0)</f>
        <v>1200</v>
      </c>
      <c r="N1606" s="3">
        <f>_xlfn.IFNA(VLOOKUP($A1606,[2]stockregister!$A$2:$H$2000,8,0),0)-$M1606</f>
        <v>0</v>
      </c>
      <c r="O1606" s="3" t="s">
        <v>3725</v>
      </c>
      <c r="P1606" s="3" t="s">
        <v>3725</v>
      </c>
      <c r="Q1606" s="3" t="s">
        <v>3726</v>
      </c>
      <c r="R1606" s="3" t="s">
        <v>537</v>
      </c>
      <c r="S1606" s="3" t="s">
        <v>82</v>
      </c>
    </row>
    <row r="1607" spans="1:19">
      <c r="A1607" s="3">
        <v>645</v>
      </c>
      <c r="B1607" s="3" t="b">
        <f>ISNUMBER(MATCH(A1607,[1]stockregister!$A$2:$A$2000,0))</f>
        <v>1</v>
      </c>
      <c r="C1607" s="3" t="s">
        <v>3727</v>
      </c>
      <c r="D1607" s="3" t="str">
        <f>VLOOKUP($C1607,[1]stockregister!$B$2:$B$2000,1,0)</f>
        <v>DROSTDY-HOF G/CRU 750ML</v>
      </c>
      <c r="E1607" s="3" t="str">
        <f>IF(ISNA($D1607),VLOOKUP($A1607,[2]stockregister!$A$2:$B$2000,2,FALSE),"")</f>
        <v/>
      </c>
      <c r="F1607" s="3" t="s">
        <v>21</v>
      </c>
      <c r="G1607" s="3">
        <f>_xlfn.IFNA(VLOOKUP($A1607,[3]stockregister!$A$2:$L$2000,11,0),0)</f>
        <v>0</v>
      </c>
      <c r="H1607" s="3">
        <f>_xlfn.IFNA(VLOOKUP($A1607,[3]stockregister!$A$2:$L$2000,11,0),0)-$G1607</f>
        <v>0</v>
      </c>
      <c r="I1607" s="3">
        <f>_xlfn.IFNA(VLOOKUP($A1607,[3]stockregister!$A$2:$L$2000,12,0),0)</f>
        <v>780</v>
      </c>
      <c r="J1607" s="3">
        <f>_xlfn.IFNA(VLOOKUP($A1607,[3]stockregister!$A$1:$M$2000,12,0),0)-$I1607</f>
        <v>0</v>
      </c>
      <c r="K1607" s="3" t="s">
        <v>22</v>
      </c>
      <c r="L1607" s="3" t="s">
        <v>23</v>
      </c>
      <c r="M1607" s="3">
        <f>_xlfn.IFNA(VLOOKUP($A1607,[2]stockregister!$A$2:$H$2000,8,0),0)</f>
        <v>850</v>
      </c>
      <c r="N1607" s="3">
        <f>_xlfn.IFNA(VLOOKUP($A1607,[2]stockregister!$A$2:$H$2000,8,0),0)-$M1607</f>
        <v>0</v>
      </c>
      <c r="O1607" s="3" t="s">
        <v>3728</v>
      </c>
      <c r="P1607" s="3" t="s">
        <v>3728</v>
      </c>
      <c r="Q1607" s="3" t="s">
        <v>676</v>
      </c>
      <c r="R1607" s="3" t="s">
        <v>68</v>
      </c>
      <c r="S1607" s="3" t="s">
        <v>549</v>
      </c>
    </row>
    <row r="1608" spans="1:19">
      <c r="A1608" s="3">
        <v>640</v>
      </c>
      <c r="B1608" s="3" t="b">
        <f>ISNUMBER(MATCH(A1608,[1]stockregister!$A$2:$A$2000,0))</f>
        <v>1</v>
      </c>
      <c r="C1608" s="3" t="s">
        <v>3729</v>
      </c>
      <c r="D1608" s="3" t="str">
        <f>VLOOKUP($C1608,[1]stockregister!$B$2:$B$2000,1,0)</f>
        <v>DROSTDY HOF WHITE 375ML</v>
      </c>
      <c r="E1608" s="3" t="str">
        <f>IF(ISNA($D1608),VLOOKUP($A1608,[2]stockregister!$A$2:$B$2000,2,FALSE),"")</f>
        <v/>
      </c>
      <c r="F1608" s="3" t="s">
        <v>21</v>
      </c>
      <c r="G1608" s="3">
        <f>_xlfn.IFNA(VLOOKUP($A1608,[3]stockregister!$A$2:$L$2000,11,0),0)</f>
        <v>0</v>
      </c>
      <c r="H1608" s="3">
        <f>_xlfn.IFNA(VLOOKUP($A1608,[3]stockregister!$A$2:$L$2000,11,0),0)-$G1608</f>
        <v>0</v>
      </c>
      <c r="I1608" s="3">
        <f>_xlfn.IFNA(VLOOKUP($A1608,[3]stockregister!$A$2:$L$2000,12,0),0)</f>
        <v>360</v>
      </c>
      <c r="J1608" s="3">
        <f>_xlfn.IFNA(VLOOKUP($A1608,[3]stockregister!$A$1:$M$2000,12,0),0)-$I1608</f>
        <v>0</v>
      </c>
      <c r="K1608" s="3" t="s">
        <v>22</v>
      </c>
      <c r="L1608" s="3" t="s">
        <v>23</v>
      </c>
      <c r="M1608" s="3">
        <f>_xlfn.IFNA(VLOOKUP($A1608,[2]stockregister!$A$2:$H$2000,8,0),0)</f>
        <v>460</v>
      </c>
      <c r="N1608" s="3">
        <f>_xlfn.IFNA(VLOOKUP($A1608,[2]stockregister!$A$2:$H$2000,8,0),0)-$M1608</f>
        <v>0</v>
      </c>
      <c r="O1608" s="3" t="s">
        <v>3730</v>
      </c>
      <c r="P1608" s="3" t="s">
        <v>3730</v>
      </c>
      <c r="Q1608" s="3" t="s">
        <v>676</v>
      </c>
      <c r="R1608" s="3" t="s">
        <v>68</v>
      </c>
      <c r="S1608" s="3" t="s">
        <v>549</v>
      </c>
    </row>
    <row r="1609" spans="1:19">
      <c r="A1609" s="3">
        <v>644</v>
      </c>
      <c r="B1609" s="3" t="b">
        <f>ISNUMBER(MATCH(A1609,[1]stockregister!$A$2:$A$2000,0))</f>
        <v>1</v>
      </c>
      <c r="C1609" s="3" t="s">
        <v>3731</v>
      </c>
      <c r="D1609" s="3" t="str">
        <f>VLOOKUP($C1609,[1]stockregister!$B$2:$B$2000,1,0)</f>
        <v>DROSTDY-HOF G/CRU 5LTR</v>
      </c>
      <c r="E1609" s="3" t="str">
        <f>IF(ISNA($D1609),VLOOKUP($A1609,[2]stockregister!$A$2:$B$2000,2,FALSE),"")</f>
        <v/>
      </c>
      <c r="F1609" s="3" t="s">
        <v>21</v>
      </c>
      <c r="G1609" s="3">
        <f>_xlfn.IFNA(VLOOKUP($A1609,[3]stockregister!$A$2:$L$2000,11,0),0)</f>
        <v>0</v>
      </c>
      <c r="H1609" s="3">
        <f>_xlfn.IFNA(VLOOKUP($A1609,[3]stockregister!$A$2:$L$2000,11,0),0)-$G1609</f>
        <v>0</v>
      </c>
      <c r="I1609" s="3">
        <f>_xlfn.IFNA(VLOOKUP($A1609,[3]stockregister!$A$2:$L$2000,12,0),0)</f>
        <v>3200</v>
      </c>
      <c r="J1609" s="3">
        <f>_xlfn.IFNA(VLOOKUP($A1609,[3]stockregister!$A$1:$M$2000,12,0),0)-$I1609</f>
        <v>0</v>
      </c>
      <c r="K1609" s="3" t="s">
        <v>22</v>
      </c>
      <c r="L1609" s="3" t="s">
        <v>23</v>
      </c>
      <c r="M1609" s="3">
        <f>_xlfn.IFNA(VLOOKUP($A1609,[2]stockregister!$A$2:$H$2000,8,0),0)</f>
        <v>3500</v>
      </c>
      <c r="N1609" s="3">
        <f>_xlfn.IFNA(VLOOKUP($A1609,[2]stockregister!$A$2:$H$2000,8,0),0)-$M1609</f>
        <v>0</v>
      </c>
      <c r="O1609" s="3" t="s">
        <v>3732</v>
      </c>
      <c r="P1609" s="3" t="s">
        <v>3732</v>
      </c>
      <c r="Q1609" s="3" t="s">
        <v>676</v>
      </c>
      <c r="R1609" s="3" t="s">
        <v>68</v>
      </c>
      <c r="S1609" s="3" t="s">
        <v>549</v>
      </c>
    </row>
    <row r="1610" spans="1:19">
      <c r="A1610" s="3">
        <v>1514</v>
      </c>
      <c r="B1610" s="3" t="b">
        <f>ISNUMBER(MATCH(A1610,[1]stockregister!$A$2:$A$2000,0))</f>
        <v>1</v>
      </c>
      <c r="C1610" s="3" t="s">
        <v>3733</v>
      </c>
      <c r="D1610" s="3" t="str">
        <f>VLOOKUP($C1610,[1]stockregister!$B$2:$B$2000,1,0)</f>
        <v>NEDERBURG - EDELROOD 750ML</v>
      </c>
      <c r="E1610" s="3" t="str">
        <f>IF(ISNA($D1610),VLOOKUP($A1610,[2]stockregister!$A$2:$B$2000,2,FALSE),"")</f>
        <v/>
      </c>
      <c r="F1610" s="3" t="s">
        <v>21</v>
      </c>
      <c r="G1610" s="3">
        <f>_xlfn.IFNA(VLOOKUP($A1610,[3]stockregister!$A$2:$L$2000,11,0),0)</f>
        <v>0</v>
      </c>
      <c r="H1610" s="3">
        <f>_xlfn.IFNA(VLOOKUP($A1610,[3]stockregister!$A$2:$L$2000,11,0),0)-$G1610</f>
        <v>0</v>
      </c>
      <c r="I1610" s="3">
        <f>_xlfn.IFNA(VLOOKUP($A1610,[3]stockregister!$A$2:$L$2000,12,0),0)</f>
        <v>1334</v>
      </c>
      <c r="J1610" s="3">
        <f>_xlfn.IFNA(VLOOKUP($A1610,[3]stockregister!$A$1:$M$2000,12,0),0)-$I1610</f>
        <v>0</v>
      </c>
      <c r="K1610" s="3" t="s">
        <v>22</v>
      </c>
      <c r="L1610" s="3" t="s">
        <v>23</v>
      </c>
      <c r="M1610" s="3">
        <f>_xlfn.IFNA(VLOOKUP($A1610,[2]stockregister!$A$2:$H$2000,8,0),0)</f>
        <v>1450</v>
      </c>
      <c r="N1610" s="3">
        <f>_xlfn.IFNA(VLOOKUP($A1610,[2]stockregister!$A$2:$H$2000,8,0),0)-$M1610</f>
        <v>0</v>
      </c>
      <c r="O1610" s="3" t="s">
        <v>3734</v>
      </c>
      <c r="P1610" s="3" t="s">
        <v>3734</v>
      </c>
      <c r="Q1610" s="3" t="s">
        <v>205</v>
      </c>
      <c r="R1610" s="3" t="s">
        <v>68</v>
      </c>
      <c r="S1610" s="3" t="s">
        <v>3735</v>
      </c>
    </row>
    <row r="1611" spans="1:19">
      <c r="A1611" s="3">
        <v>1695</v>
      </c>
      <c r="B1611" s="3" t="b">
        <f>ISNUMBER(MATCH(A1611,[1]stockregister!$A$2:$A$2000,0))</f>
        <v>1</v>
      </c>
      <c r="C1611" s="3" t="s">
        <v>3736</v>
      </c>
      <c r="D1611" s="3" t="str">
        <f>VLOOKUP($C1611,[1]stockregister!$B$2:$B$2000,1,0)</f>
        <v>ROSSO NOBILE EXPRESSO 750ML</v>
      </c>
      <c r="E1611" s="3" t="str">
        <f>IF(ISNA($D1611),VLOOKUP($A1611,[2]stockregister!$A$2:$B$2000,2,FALSE),"")</f>
        <v/>
      </c>
      <c r="F1611" s="3" t="s">
        <v>21</v>
      </c>
      <c r="G1611" s="3">
        <f>_xlfn.IFNA(VLOOKUP($A1611,[3]stockregister!$A$2:$L$2000,11,0),0)</f>
        <v>0</v>
      </c>
      <c r="H1611" s="3">
        <f>_xlfn.IFNA(VLOOKUP($A1611,[3]stockregister!$A$2:$L$2000,11,0),0)-$G1611</f>
        <v>0</v>
      </c>
      <c r="I1611" s="3">
        <f>_xlfn.IFNA(VLOOKUP($A1611,[3]stockregister!$A$2:$L$2000,12,0),0)</f>
        <v>1100</v>
      </c>
      <c r="J1611" s="3">
        <f>_xlfn.IFNA(VLOOKUP($A1611,[3]stockregister!$A$1:$M$2000,12,0),0)-$I1611</f>
        <v>0</v>
      </c>
      <c r="K1611" s="3" t="s">
        <v>22</v>
      </c>
      <c r="L1611" s="3" t="s">
        <v>23</v>
      </c>
      <c r="M1611" s="3">
        <f>_xlfn.IFNA(VLOOKUP($A1611,[2]stockregister!$A$2:$H$2000,8,0),0)</f>
        <v>1200</v>
      </c>
      <c r="N1611" s="3">
        <f>_xlfn.IFNA(VLOOKUP($A1611,[2]stockregister!$A$2:$H$2000,8,0),0)-$M1611</f>
        <v>0</v>
      </c>
      <c r="O1611" s="3" t="s">
        <v>3737</v>
      </c>
      <c r="P1611" s="3" t="s">
        <v>3737</v>
      </c>
      <c r="Q1611" s="3" t="s">
        <v>67</v>
      </c>
      <c r="R1611" s="3" t="s">
        <v>68</v>
      </c>
      <c r="S1611" s="3" t="s">
        <v>2569</v>
      </c>
    </row>
    <row r="1612" spans="1:19">
      <c r="A1612" s="3">
        <v>1994</v>
      </c>
      <c r="B1612" s="3" t="b">
        <f>ISNUMBER(MATCH(A1612,[1]stockregister!$A$2:$A$2000,0))</f>
        <v>1</v>
      </c>
      <c r="C1612" s="3" t="s">
        <v>3738</v>
      </c>
      <c r="D1612" s="3" t="str">
        <f>VLOOKUP($C1612,[1]stockregister!$B$2:$B$2000,1,0)</f>
        <v>TILIA MALBEC 750ML</v>
      </c>
      <c r="E1612" s="3" t="str">
        <f>IF(ISNA($D1612),VLOOKUP($A1612,[2]stockregister!$A$2:$B$2000,2,FALSE),"")</f>
        <v/>
      </c>
      <c r="F1612" s="3" t="s">
        <v>21</v>
      </c>
      <c r="G1612" s="3">
        <f>_xlfn.IFNA(VLOOKUP($A1612,[3]stockregister!$A$2:$L$2000,11,0),0)</f>
        <v>0</v>
      </c>
      <c r="H1612" s="3">
        <f>_xlfn.IFNA(VLOOKUP($A1612,[3]stockregister!$A$2:$L$2000,11,0),0)-$G1612</f>
        <v>0</v>
      </c>
      <c r="I1612" s="3">
        <f>_xlfn.IFNA(VLOOKUP($A1612,[3]stockregister!$A$2:$L$2000,12,0),0)</f>
        <v>1300</v>
      </c>
      <c r="J1612" s="3">
        <f>_xlfn.IFNA(VLOOKUP($A1612,[3]stockregister!$A$1:$M$2000,12,0),0)-$I1612</f>
        <v>0</v>
      </c>
      <c r="K1612" s="3" t="s">
        <v>22</v>
      </c>
      <c r="L1612" s="3" t="s">
        <v>23</v>
      </c>
      <c r="M1612" s="3">
        <f>_xlfn.IFNA(VLOOKUP($A1612,[2]stockregister!$A$2:$H$2000,8,0),0)</f>
        <v>1400</v>
      </c>
      <c r="N1612" s="3">
        <f>_xlfn.IFNA(VLOOKUP($A1612,[2]stockregister!$A$2:$H$2000,8,0),0)-$M1612</f>
        <v>0</v>
      </c>
      <c r="O1612" s="3" t="s">
        <v>3739</v>
      </c>
      <c r="P1612" s="3" t="s">
        <v>3739</v>
      </c>
      <c r="Q1612" s="3" t="s">
        <v>831</v>
      </c>
      <c r="R1612" s="3" t="s">
        <v>68</v>
      </c>
      <c r="S1612" s="3" t="s">
        <v>1310</v>
      </c>
    </row>
    <row r="1613" spans="1:19">
      <c r="A1613" s="3">
        <v>415</v>
      </c>
      <c r="B1613" s="3" t="b">
        <f>ISNUMBER(MATCH(A1613,[1]stockregister!$A$2:$A$2000,0))</f>
        <v>1</v>
      </c>
      <c r="C1613" s="3" t="s">
        <v>3740</v>
      </c>
      <c r="D1613" s="3" t="str">
        <f>VLOOKUP($C1613,[1]stockregister!$B$2:$B$2000,1,0)</f>
        <v>CATENA MALBEC 750ML</v>
      </c>
      <c r="E1613" s="3" t="str">
        <f>IF(ISNA($D1613),VLOOKUP($A1613,[2]stockregister!$A$2:$B$2000,2,FALSE),"")</f>
        <v/>
      </c>
      <c r="F1613" s="3" t="s">
        <v>21</v>
      </c>
      <c r="G1613" s="3">
        <f>_xlfn.IFNA(VLOOKUP($A1613,[3]stockregister!$A$2:$L$2000,11,0),0)</f>
        <v>0</v>
      </c>
      <c r="H1613" s="3">
        <f>_xlfn.IFNA(VLOOKUP($A1613,[3]stockregister!$A$2:$L$2000,11,0),0)-$G1613</f>
        <v>0</v>
      </c>
      <c r="I1613" s="3">
        <f>_xlfn.IFNA(VLOOKUP($A1613,[3]stockregister!$A$2:$L$2000,12,0),0)</f>
        <v>1000</v>
      </c>
      <c r="J1613" s="3">
        <f>_xlfn.IFNA(VLOOKUP($A1613,[3]stockregister!$A$1:$M$2000,12,0),0)-$I1613</f>
        <v>0</v>
      </c>
      <c r="K1613" s="3" t="s">
        <v>22</v>
      </c>
      <c r="L1613" s="3" t="s">
        <v>23</v>
      </c>
      <c r="M1613" s="3">
        <f>_xlfn.IFNA(VLOOKUP($A1613,[2]stockregister!$A$2:$H$2000,8,0),0)</f>
        <v>2600</v>
      </c>
      <c r="N1613" s="3">
        <f>_xlfn.IFNA(VLOOKUP($A1613,[2]stockregister!$A$2:$H$2000,8,0),0)-$M1613</f>
        <v>0</v>
      </c>
      <c r="O1613" s="3" t="s">
        <v>3741</v>
      </c>
      <c r="P1613" s="3" t="s">
        <v>3741</v>
      </c>
      <c r="Q1613" s="3" t="s">
        <v>853</v>
      </c>
      <c r="R1613" s="3" t="s">
        <v>68</v>
      </c>
      <c r="S1613" s="3" t="s">
        <v>1310</v>
      </c>
    </row>
    <row r="1614" spans="1:19">
      <c r="A1614" s="3">
        <v>2017</v>
      </c>
      <c r="B1614" s="3" t="b">
        <f>ISNUMBER(MATCH(A1614,[1]stockregister!$A$2:$A$2000,0))</f>
        <v>1</v>
      </c>
      <c r="C1614" s="3" t="s">
        <v>3742</v>
      </c>
      <c r="D1614" s="3" t="str">
        <f>VLOOKUP($C1614,[1]stockregister!$B$2:$B$2000,1,0)</f>
        <v>TRUMPETER ROSE DE MALBEC 750ml</v>
      </c>
      <c r="E1614" s="3" t="str">
        <f>IF(ISNA($D1614),VLOOKUP($A1614,[2]stockregister!$A$2:$B$2000,2,FALSE),"")</f>
        <v/>
      </c>
      <c r="F1614" s="3" t="s">
        <v>21</v>
      </c>
      <c r="G1614" s="3">
        <f>_xlfn.IFNA(VLOOKUP($A1614,[3]stockregister!$A$2:$L$2000,11,0),0)</f>
        <v>0</v>
      </c>
      <c r="H1614" s="3">
        <f>_xlfn.IFNA(VLOOKUP($A1614,[3]stockregister!$A$2:$L$2000,11,0),0)-$G1614</f>
        <v>0</v>
      </c>
      <c r="I1614" s="3">
        <f>_xlfn.IFNA(VLOOKUP($A1614,[3]stockregister!$A$2:$L$2000,12,0),0)</f>
        <v>1679.68</v>
      </c>
      <c r="J1614" s="3">
        <f>_xlfn.IFNA(VLOOKUP($A1614,[3]stockregister!$A$1:$M$2000,12,0),0)-$I1614</f>
        <v>0</v>
      </c>
      <c r="K1614" s="3" t="s">
        <v>22</v>
      </c>
      <c r="L1614" s="3" t="s">
        <v>23</v>
      </c>
      <c r="M1614" s="3">
        <f>_xlfn.IFNA(VLOOKUP($A1614,[2]stockregister!$A$2:$H$2000,8,0),0)</f>
        <v>1850</v>
      </c>
      <c r="N1614" s="3">
        <f>_xlfn.IFNA(VLOOKUP($A1614,[2]stockregister!$A$2:$H$2000,8,0),0)-$M1614</f>
        <v>0</v>
      </c>
      <c r="O1614" s="3" t="s">
        <v>3743</v>
      </c>
      <c r="P1614" s="3" t="s">
        <v>3743</v>
      </c>
      <c r="Q1614" s="3" t="s">
        <v>1077</v>
      </c>
      <c r="R1614" s="3" t="s">
        <v>68</v>
      </c>
      <c r="S1614" s="3" t="s">
        <v>1310</v>
      </c>
    </row>
    <row r="1615" spans="1:19">
      <c r="A1615" s="3">
        <v>1726</v>
      </c>
      <c r="B1615" s="3" t="b">
        <f>ISNUMBER(MATCH(A1615,[1]stockregister!$A$2:$A$2000,0))</f>
        <v>1</v>
      </c>
      <c r="C1615" s="3" t="s">
        <v>3744</v>
      </c>
      <c r="D1615" s="3" t="str">
        <f>VLOOKUP($C1615,[1]stockregister!$B$2:$B$2000,1,0)</f>
        <v>RUTINI MALBEC 750ML</v>
      </c>
      <c r="E1615" s="3" t="str">
        <f>IF(ISNA($D1615),VLOOKUP($A1615,[2]stockregister!$A$2:$B$2000,2,FALSE),"")</f>
        <v/>
      </c>
      <c r="F1615" s="3" t="s">
        <v>21</v>
      </c>
      <c r="G1615" s="3">
        <f>_xlfn.IFNA(VLOOKUP($A1615,[3]stockregister!$A$2:$L$2000,11,0),0)</f>
        <v>0</v>
      </c>
      <c r="H1615" s="3">
        <f>_xlfn.IFNA(VLOOKUP($A1615,[3]stockregister!$A$2:$L$2000,11,0),0)-$G1615</f>
        <v>0</v>
      </c>
      <c r="I1615" s="3">
        <f>_xlfn.IFNA(VLOOKUP($A1615,[3]stockregister!$A$2:$L$2000,12,0),0)</f>
        <v>2300</v>
      </c>
      <c r="J1615" s="3">
        <f>_xlfn.IFNA(VLOOKUP($A1615,[3]stockregister!$A$1:$M$2000,12,0),0)-$I1615</f>
        <v>0</v>
      </c>
      <c r="K1615" s="3" t="s">
        <v>22</v>
      </c>
      <c r="L1615" s="3" t="s">
        <v>23</v>
      </c>
      <c r="M1615" s="3">
        <f>_xlfn.IFNA(VLOOKUP($A1615,[2]stockregister!$A$2:$H$2000,8,0),0)</f>
        <v>2500</v>
      </c>
      <c r="N1615" s="3">
        <f>_xlfn.IFNA(VLOOKUP($A1615,[2]stockregister!$A$2:$H$2000,8,0),0)-$M1615</f>
        <v>0</v>
      </c>
      <c r="O1615" s="3" t="s">
        <v>3745</v>
      </c>
      <c r="P1615" s="3" t="s">
        <v>3745</v>
      </c>
      <c r="Q1615" s="3" t="s">
        <v>3746</v>
      </c>
      <c r="R1615" s="3" t="s">
        <v>68</v>
      </c>
      <c r="S1615" s="3" t="s">
        <v>1310</v>
      </c>
    </row>
    <row r="1616" spans="1:19">
      <c r="A1616" s="3">
        <v>1431</v>
      </c>
      <c r="B1616" s="3" t="b">
        <f>ISNUMBER(MATCH(A1616,[1]stockregister!$A$2:$A$2000,0))</f>
        <v>1</v>
      </c>
      <c r="C1616" s="3" t="s">
        <v>3747</v>
      </c>
      <c r="D1616" s="3" t="str">
        <f>VLOOKUP($C1616,[1]stockregister!$B$2:$B$2000,1,0)</f>
        <v>MICHEL TORINO TRADITIONAL MALBEC 750ML</v>
      </c>
      <c r="E1616" s="3" t="str">
        <f>IF(ISNA($D1616),VLOOKUP($A1616,[2]stockregister!$A$2:$B$2000,2,FALSE),"")</f>
        <v/>
      </c>
      <c r="F1616" s="3" t="s">
        <v>21</v>
      </c>
      <c r="G1616" s="3">
        <f>_xlfn.IFNA(VLOOKUP($A1616,[3]stockregister!$A$2:$L$2000,11,0),0)</f>
        <v>0</v>
      </c>
      <c r="H1616" s="3">
        <f>_xlfn.IFNA(VLOOKUP($A1616,[3]stockregister!$A$2:$L$2000,11,0),0)-$G1616</f>
        <v>0</v>
      </c>
      <c r="I1616" s="3">
        <f>_xlfn.IFNA(VLOOKUP($A1616,[3]stockregister!$A$2:$L$2000,12,0),0)</f>
        <v>800.4</v>
      </c>
      <c r="J1616" s="3">
        <f>_xlfn.IFNA(VLOOKUP($A1616,[3]stockregister!$A$1:$M$2000,12,0),0)-$I1616</f>
        <v>0</v>
      </c>
      <c r="K1616" s="3" t="s">
        <v>22</v>
      </c>
      <c r="L1616" s="3" t="s">
        <v>23</v>
      </c>
      <c r="M1616" s="3">
        <f>_xlfn.IFNA(VLOOKUP($A1616,[2]stockregister!$A$2:$H$2000,8,0),0)</f>
        <v>870</v>
      </c>
      <c r="N1616" s="3">
        <f>_xlfn.IFNA(VLOOKUP($A1616,[2]stockregister!$A$2:$H$2000,8,0),0)-$M1616</f>
        <v>0</v>
      </c>
      <c r="O1616" s="3" t="s">
        <v>3748</v>
      </c>
      <c r="P1616" s="3" t="s">
        <v>3748</v>
      </c>
      <c r="Q1616" s="3" t="s">
        <v>2006</v>
      </c>
      <c r="R1616" s="3" t="s">
        <v>68</v>
      </c>
      <c r="S1616" s="3" t="s">
        <v>1310</v>
      </c>
    </row>
    <row r="1617" spans="1:19">
      <c r="A1617" s="3">
        <v>668</v>
      </c>
      <c r="B1617" s="3" t="b">
        <f>ISNUMBER(MATCH(A1617,[1]stockregister!$A$2:$A$2000,0))</f>
        <v>1</v>
      </c>
      <c r="C1617" s="3" t="s">
        <v>3749</v>
      </c>
      <c r="D1617" s="3" t="str">
        <f>VLOOKUP($C1617,[1]stockregister!$B$2:$B$2000,1,0)</f>
        <v>ESTANCIA MENDOZA MALBEC 750ml</v>
      </c>
      <c r="E1617" s="3" t="str">
        <f>IF(ISNA($D1617),VLOOKUP($A1617,[2]stockregister!$A$2:$B$2000,2,FALSE),"")</f>
        <v/>
      </c>
      <c r="F1617" s="3" t="s">
        <v>21</v>
      </c>
      <c r="G1617" s="3">
        <f>_xlfn.IFNA(VLOOKUP($A1617,[3]stockregister!$A$2:$L$2000,11,0),0)</f>
        <v>0</v>
      </c>
      <c r="H1617" s="3">
        <f>_xlfn.IFNA(VLOOKUP($A1617,[3]stockregister!$A$2:$L$2000,11,0),0)-$G1617</f>
        <v>0</v>
      </c>
      <c r="I1617" s="3">
        <f>_xlfn.IFNA(VLOOKUP($A1617,[3]stockregister!$A$2:$L$2000,12,0),0)</f>
        <v>1518</v>
      </c>
      <c r="J1617" s="3">
        <f>_xlfn.IFNA(VLOOKUP($A1617,[3]stockregister!$A$1:$M$2000,12,0),0)-$I1617</f>
        <v>0</v>
      </c>
      <c r="K1617" s="3" t="s">
        <v>22</v>
      </c>
      <c r="L1617" s="3" t="s">
        <v>23</v>
      </c>
      <c r="M1617" s="3">
        <f>_xlfn.IFNA(VLOOKUP($A1617,[2]stockregister!$A$2:$H$2000,8,0),0)</f>
        <v>1650</v>
      </c>
      <c r="N1617" s="3">
        <f>_xlfn.IFNA(VLOOKUP($A1617,[2]stockregister!$A$2:$H$2000,8,0),0)-$M1617</f>
        <v>0</v>
      </c>
      <c r="O1617" s="3" t="s">
        <v>3750</v>
      </c>
      <c r="P1617" s="3" t="s">
        <v>3750</v>
      </c>
      <c r="Q1617" s="3" t="s">
        <v>3751</v>
      </c>
      <c r="R1617" s="3" t="s">
        <v>68</v>
      </c>
      <c r="S1617" s="3" t="s">
        <v>1310</v>
      </c>
    </row>
    <row r="1618" spans="1:19">
      <c r="A1618" s="3">
        <v>1630</v>
      </c>
      <c r="B1618" s="3" t="b">
        <f>ISNUMBER(MATCH(A1618,[1]stockregister!$A$2:$A$2000,0))</f>
        <v>1</v>
      </c>
      <c r="C1618" s="3" t="s">
        <v>3752</v>
      </c>
      <c r="D1618" s="3" t="str">
        <f>VLOOKUP($C1618,[1]stockregister!$B$2:$B$2000,1,0)</f>
        <v>PLAYA DEL SOL MALBEC 75Oml</v>
      </c>
      <c r="E1618" s="3" t="str">
        <f>IF(ISNA($D1618),VLOOKUP($A1618,[2]stockregister!$A$2:$B$2000,2,FALSE),"")</f>
        <v/>
      </c>
      <c r="F1618" s="3" t="s">
        <v>21</v>
      </c>
      <c r="G1618" s="3">
        <f>_xlfn.IFNA(VLOOKUP($A1618,[3]stockregister!$A$2:$L$2000,11,0),0)</f>
        <v>0</v>
      </c>
      <c r="H1618" s="3">
        <f>_xlfn.IFNA(VLOOKUP($A1618,[3]stockregister!$A$2:$L$2000,11,0),0)-$G1618</f>
        <v>0</v>
      </c>
      <c r="I1618" s="3">
        <f>_xlfn.IFNA(VLOOKUP($A1618,[3]stockregister!$A$2:$L$2000,12,0),0)</f>
        <v>1012</v>
      </c>
      <c r="J1618" s="3">
        <f>_xlfn.IFNA(VLOOKUP($A1618,[3]stockregister!$A$1:$M$2000,12,0),0)-$I1618</f>
        <v>0</v>
      </c>
      <c r="K1618" s="3" t="s">
        <v>22</v>
      </c>
      <c r="L1618" s="3" t="s">
        <v>23</v>
      </c>
      <c r="M1618" s="3">
        <f>_xlfn.IFNA(VLOOKUP($A1618,[2]stockregister!$A$2:$H$2000,8,0),0)</f>
        <v>1100</v>
      </c>
      <c r="N1618" s="3">
        <f>_xlfn.IFNA(VLOOKUP($A1618,[2]stockregister!$A$2:$H$2000,8,0),0)-$M1618</f>
        <v>0</v>
      </c>
      <c r="O1618" s="3" t="s">
        <v>3753</v>
      </c>
      <c r="P1618" s="3" t="s">
        <v>3753</v>
      </c>
      <c r="Q1618" s="3" t="s">
        <v>3754</v>
      </c>
      <c r="R1618" s="3" t="s">
        <v>68</v>
      </c>
      <c r="S1618" s="3" t="s">
        <v>1310</v>
      </c>
    </row>
    <row r="1619" spans="1:19">
      <c r="A1619" s="3">
        <v>1725</v>
      </c>
      <c r="B1619" s="3" t="b">
        <f>ISNUMBER(MATCH(A1619,[1]stockregister!$A$2:$A$2000,0))</f>
        <v>1</v>
      </c>
      <c r="C1619" s="3" t="s">
        <v>3755</v>
      </c>
      <c r="D1619" s="3" t="str">
        <f>VLOOKUP($C1619,[1]stockregister!$B$2:$B$2000,1,0)</f>
        <v>RUTINI ENCUENTRO MALBEC 750ML</v>
      </c>
      <c r="E1619" s="3" t="str">
        <f>IF(ISNA($D1619),VLOOKUP($A1619,[2]stockregister!$A$2:$B$2000,2,FALSE),"")</f>
        <v/>
      </c>
      <c r="F1619" s="3" t="s">
        <v>21</v>
      </c>
      <c r="G1619" s="3">
        <f>_xlfn.IFNA(VLOOKUP($A1619,[3]stockregister!$A$2:$L$2000,11,0),0)</f>
        <v>0</v>
      </c>
      <c r="H1619" s="3">
        <f>_xlfn.IFNA(VLOOKUP($A1619,[3]stockregister!$A$2:$L$2000,11,0),0)-$G1619</f>
        <v>0</v>
      </c>
      <c r="I1619" s="3">
        <f>_xlfn.IFNA(VLOOKUP($A1619,[3]stockregister!$A$2:$L$2000,12,0),0)</f>
        <v>2300</v>
      </c>
      <c r="J1619" s="3">
        <f>_xlfn.IFNA(VLOOKUP($A1619,[3]stockregister!$A$1:$M$2000,12,0),0)-$I1619</f>
        <v>0</v>
      </c>
      <c r="K1619" s="3" t="s">
        <v>22</v>
      </c>
      <c r="L1619" s="3" t="s">
        <v>23</v>
      </c>
      <c r="M1619" s="3">
        <f>_xlfn.IFNA(VLOOKUP($A1619,[2]stockregister!$A$2:$H$2000,8,0),0)</f>
        <v>2500</v>
      </c>
      <c r="N1619" s="3">
        <f>_xlfn.IFNA(VLOOKUP($A1619,[2]stockregister!$A$2:$H$2000,8,0),0)-$M1619</f>
        <v>0</v>
      </c>
      <c r="O1619" s="3" t="s">
        <v>3756</v>
      </c>
      <c r="P1619" s="3" t="s">
        <v>3756</v>
      </c>
      <c r="Q1619" s="3" t="s">
        <v>3746</v>
      </c>
      <c r="R1619" s="3" t="s">
        <v>68</v>
      </c>
      <c r="S1619" s="3" t="s">
        <v>1310</v>
      </c>
    </row>
    <row r="1620" spans="1:19">
      <c r="A1620" s="3">
        <v>72</v>
      </c>
      <c r="B1620" s="3" t="b">
        <f>ISNUMBER(MATCH(A1620,[1]stockregister!$A$2:$A$2000,0))</f>
        <v>1</v>
      </c>
      <c r="C1620" s="3" t="s">
        <v>3757</v>
      </c>
      <c r="D1620" s="3" t="str">
        <f>VLOOKUP($C1620,[1]stockregister!$B$2:$B$2000,1,0)</f>
        <v>ALAMOS MALBEC 750ML</v>
      </c>
      <c r="E1620" s="3" t="str">
        <f>IF(ISNA($D1620),VLOOKUP($A1620,[2]stockregister!$A$2:$B$2000,2,FALSE),"")</f>
        <v/>
      </c>
      <c r="F1620" s="3" t="s">
        <v>21</v>
      </c>
      <c r="G1620" s="3">
        <f>_xlfn.IFNA(VLOOKUP($A1620,[3]stockregister!$A$2:$L$2000,11,0),0)</f>
        <v>0</v>
      </c>
      <c r="H1620" s="3">
        <f>_xlfn.IFNA(VLOOKUP($A1620,[3]stockregister!$A$2:$L$2000,11,0),0)-$G1620</f>
        <v>0</v>
      </c>
      <c r="I1620" s="3">
        <f>_xlfn.IFNA(VLOOKUP($A1620,[3]stockregister!$A$2:$L$2000,12,0),0)</f>
        <v>1288</v>
      </c>
      <c r="J1620" s="3">
        <f>_xlfn.IFNA(VLOOKUP($A1620,[3]stockregister!$A$1:$M$2000,12,0),0)-$I1620</f>
        <v>0</v>
      </c>
      <c r="K1620" s="3" t="s">
        <v>22</v>
      </c>
      <c r="L1620" s="3" t="s">
        <v>23</v>
      </c>
      <c r="M1620" s="3">
        <f>_xlfn.IFNA(VLOOKUP($A1620,[2]stockregister!$A$2:$H$2000,8,0),0)</f>
        <v>1400</v>
      </c>
      <c r="N1620" s="3">
        <f>_xlfn.IFNA(VLOOKUP($A1620,[2]stockregister!$A$2:$H$2000,8,0),0)-$M1620</f>
        <v>0</v>
      </c>
      <c r="O1620" s="3" t="s">
        <v>1434</v>
      </c>
      <c r="P1620" s="3" t="s">
        <v>1434</v>
      </c>
      <c r="Q1620" s="3" t="s">
        <v>1903</v>
      </c>
      <c r="R1620" s="3" t="s">
        <v>68</v>
      </c>
      <c r="S1620" s="3" t="s">
        <v>1310</v>
      </c>
    </row>
    <row r="1621" spans="1:19">
      <c r="A1621" s="3">
        <v>2445</v>
      </c>
      <c r="B1621" s="3" t="b">
        <f>ISNUMBER(MATCH(A1621,[1]stockregister!$A$2:$A$2000,0))</f>
        <v>1</v>
      </c>
      <c r="C1621" s="3" t="s">
        <v>3758</v>
      </c>
      <c r="D1621" s="3" t="str">
        <f>VLOOKUP($C1621,[1]stockregister!$B$2:$B$2000,1,0)</f>
        <v>TRUMPETER RESERVE MALBEC 750ML</v>
      </c>
      <c r="E1621" s="3" t="str">
        <f>IF(ISNA($D1621),VLOOKUP($A1621,[2]stockregister!$A$2:$B$2000,2,FALSE),"")</f>
        <v/>
      </c>
      <c r="F1621" s="3" t="s">
        <v>21</v>
      </c>
      <c r="G1621" s="3">
        <f>_xlfn.IFNA(VLOOKUP($A1621,[3]stockregister!$A$2:$L$2000,11,0),0)</f>
        <v>0</v>
      </c>
      <c r="H1621" s="3">
        <f>_xlfn.IFNA(VLOOKUP($A1621,[3]stockregister!$A$2:$L$2000,11,0),0)-$G1621</f>
        <v>0</v>
      </c>
      <c r="I1621" s="3">
        <f>_xlfn.IFNA(VLOOKUP($A1621,[3]stockregister!$A$2:$L$2000,12,0),0)</f>
        <v>2000</v>
      </c>
      <c r="J1621" s="3">
        <f>_xlfn.IFNA(VLOOKUP($A1621,[3]stockregister!$A$1:$M$2000,12,0),0)-$I1621</f>
        <v>0</v>
      </c>
      <c r="K1621" s="3" t="s">
        <v>22</v>
      </c>
      <c r="L1621" s="3" t="s">
        <v>23</v>
      </c>
      <c r="M1621" s="3">
        <f>_xlfn.IFNA(VLOOKUP($A1621,[2]stockregister!$A$2:$H$2000,8,0),0)</f>
        <v>2200</v>
      </c>
      <c r="N1621" s="3">
        <f>_xlfn.IFNA(VLOOKUP($A1621,[2]stockregister!$A$2:$H$2000,8,0),0)-$M1621</f>
        <v>0</v>
      </c>
      <c r="O1621" s="3" t="s">
        <v>3759</v>
      </c>
      <c r="P1621" s="3" t="s">
        <v>3759</v>
      </c>
      <c r="Q1621" s="3" t="s">
        <v>1040</v>
      </c>
      <c r="R1621" s="3" t="s">
        <v>537</v>
      </c>
      <c r="S1621" s="3" t="s">
        <v>1310</v>
      </c>
    </row>
    <row r="1622" spans="1:19">
      <c r="A1622" s="3">
        <v>2032</v>
      </c>
      <c r="B1622" s="3" t="b">
        <f>ISNUMBER(MATCH(A1622,[1]stockregister!$A$2:$A$2000,0))</f>
        <v>1</v>
      </c>
      <c r="C1622" s="3" t="s">
        <v>3760</v>
      </c>
      <c r="D1622" s="3" t="str">
        <f>VLOOKUP($C1622,[1]stockregister!$B$2:$B$2000,1,0)</f>
        <v>TUSSOCK JUMPER MALBEC 750ml</v>
      </c>
      <c r="E1622" s="3" t="str">
        <f>IF(ISNA($D1622),VLOOKUP($A1622,[2]stockregister!$A$2:$B$2000,2,FALSE),"")</f>
        <v/>
      </c>
      <c r="F1622" s="3" t="s">
        <v>21</v>
      </c>
      <c r="G1622" s="3">
        <f>_xlfn.IFNA(VLOOKUP($A1622,[3]stockregister!$A$2:$L$2000,11,0),0)</f>
        <v>0</v>
      </c>
      <c r="H1622" s="3">
        <f>_xlfn.IFNA(VLOOKUP($A1622,[3]stockregister!$A$2:$L$2000,11,0),0)-$G1622</f>
        <v>0</v>
      </c>
      <c r="I1622" s="3">
        <f>_xlfn.IFNA(VLOOKUP($A1622,[3]stockregister!$A$2:$L$2000,12,0),0)</f>
        <v>1610</v>
      </c>
      <c r="J1622" s="3">
        <f>_xlfn.IFNA(VLOOKUP($A1622,[3]stockregister!$A$1:$M$2000,12,0),0)-$I1622</f>
        <v>0</v>
      </c>
      <c r="K1622" s="3" t="s">
        <v>22</v>
      </c>
      <c r="L1622" s="3" t="s">
        <v>23</v>
      </c>
      <c r="M1622" s="3">
        <f>_xlfn.IFNA(VLOOKUP($A1622,[2]stockregister!$A$2:$H$2000,8,0),0)</f>
        <v>1750</v>
      </c>
      <c r="N1622" s="3">
        <f>_xlfn.IFNA(VLOOKUP($A1622,[2]stockregister!$A$2:$H$2000,8,0),0)-$M1622</f>
        <v>0</v>
      </c>
      <c r="O1622" s="3" t="s">
        <v>3761</v>
      </c>
      <c r="P1622" s="3" t="s">
        <v>3761</v>
      </c>
      <c r="Q1622" s="3" t="s">
        <v>3762</v>
      </c>
      <c r="R1622" s="3" t="s">
        <v>537</v>
      </c>
      <c r="S1622" s="3" t="s">
        <v>1310</v>
      </c>
    </row>
    <row r="1623" spans="1:19">
      <c r="A1623" s="3">
        <v>1430</v>
      </c>
      <c r="B1623" s="3" t="b">
        <f>ISNUMBER(MATCH(A1623,[1]stockregister!$A$2:$A$2000,0))</f>
        <v>1</v>
      </c>
      <c r="C1623" s="3" t="s">
        <v>3763</v>
      </c>
      <c r="D1623" s="3" t="str">
        <f>VLOOKUP($C1623,[1]stockregister!$B$2:$B$2000,1,0)</f>
        <v>MICHEL TORINO MALBEC 750ML</v>
      </c>
      <c r="E1623" s="3" t="str">
        <f>IF(ISNA($D1623),VLOOKUP($A1623,[2]stockregister!$A$2:$B$2000,2,FALSE),"")</f>
        <v/>
      </c>
      <c r="F1623" s="3" t="s">
        <v>21</v>
      </c>
      <c r="G1623" s="3">
        <f>_xlfn.IFNA(VLOOKUP($A1623,[3]stockregister!$A$2:$L$2000,11,0),0)</f>
        <v>0</v>
      </c>
      <c r="H1623" s="3">
        <f>_xlfn.IFNA(VLOOKUP($A1623,[3]stockregister!$A$2:$L$2000,11,0),0)-$G1623</f>
        <v>0</v>
      </c>
      <c r="I1623" s="3">
        <f>_xlfn.IFNA(VLOOKUP($A1623,[3]stockregister!$A$2:$L$2000,12,0),0)</f>
        <v>1600</v>
      </c>
      <c r="J1623" s="3">
        <f>_xlfn.IFNA(VLOOKUP($A1623,[3]stockregister!$A$1:$M$2000,12,0),0)-$I1623</f>
        <v>0</v>
      </c>
      <c r="K1623" s="3" t="s">
        <v>22</v>
      </c>
      <c r="L1623" s="3" t="s">
        <v>23</v>
      </c>
      <c r="M1623" s="3">
        <f>_xlfn.IFNA(VLOOKUP($A1623,[2]stockregister!$A$2:$H$2000,8,0),0)</f>
        <v>1800</v>
      </c>
      <c r="N1623" s="3">
        <f>_xlfn.IFNA(VLOOKUP($A1623,[2]stockregister!$A$2:$H$2000,8,0),0)-$M1623</f>
        <v>0</v>
      </c>
      <c r="O1623" s="3" t="s">
        <v>3764</v>
      </c>
      <c r="P1623" s="3" t="s">
        <v>3764</v>
      </c>
      <c r="Q1623" s="3" t="s">
        <v>3765</v>
      </c>
      <c r="R1623" s="3" t="s">
        <v>68</v>
      </c>
      <c r="S1623" s="3" t="s">
        <v>1310</v>
      </c>
    </row>
    <row r="1624" spans="1:19">
      <c r="A1624" s="3">
        <v>2893</v>
      </c>
      <c r="B1624" s="3" t="b">
        <f>ISNUMBER(MATCH(A1624,[1]stockregister!$A$2:$A$2000,0))</f>
        <v>1</v>
      </c>
      <c r="C1624" s="3" t="s">
        <v>3766</v>
      </c>
      <c r="D1624" s="3" t="str">
        <f>VLOOKUP($C1624,[1]stockregister!$B$2:$B$2000,1,0)</f>
        <v>Asconi Prestige White Semisweet Wine</v>
      </c>
      <c r="E1624" s="3" t="str">
        <f>IF(ISNA($D1624),VLOOKUP($A1624,[2]stockregister!$A$2:$B$2000,2,FALSE),"")</f>
        <v/>
      </c>
      <c r="F1624" s="3" t="s">
        <v>21</v>
      </c>
      <c r="G1624" s="3">
        <f>_xlfn.IFNA(VLOOKUP($A1624,[3]stockregister!$A$2:$L$2000,11,0),0)</f>
        <v>0</v>
      </c>
      <c r="H1624" s="3">
        <f>_xlfn.IFNA(VLOOKUP($A1624,[3]stockregister!$A$2:$L$2000,11,0),0)-$G1624</f>
        <v>0</v>
      </c>
      <c r="I1624" s="3">
        <f>_xlfn.IFNA(VLOOKUP($A1624,[3]stockregister!$A$2:$L$2000,12,0),0)</f>
        <v>1275</v>
      </c>
      <c r="J1624" s="3">
        <f>_xlfn.IFNA(VLOOKUP($A1624,[3]stockregister!$A$1:$M$2000,12,0),0)-$I1624</f>
        <v>0</v>
      </c>
      <c r="K1624" s="3" t="s">
        <v>22</v>
      </c>
      <c r="L1624" s="3" t="s">
        <v>23</v>
      </c>
      <c r="M1624" s="3">
        <f>_xlfn.IFNA(VLOOKUP($A1624,[2]stockregister!$A$2:$H$2000,8,0),0)</f>
        <v>1375</v>
      </c>
      <c r="N1624" s="3">
        <f>_xlfn.IFNA(VLOOKUP($A1624,[2]stockregister!$A$2:$H$2000,8,0),0)-$M1624</f>
        <v>0</v>
      </c>
      <c r="O1624" s="3" t="s">
        <v>3767</v>
      </c>
      <c r="P1624" s="3" t="s">
        <v>3767</v>
      </c>
      <c r="Q1624" s="3" t="s">
        <v>966</v>
      </c>
      <c r="R1624" s="3" t="s">
        <v>537</v>
      </c>
      <c r="S1624" s="3" t="s">
        <v>1941</v>
      </c>
    </row>
    <row r="1625" spans="1:19">
      <c r="A1625" s="3">
        <v>2894</v>
      </c>
      <c r="B1625" s="3" t="b">
        <f>ISNUMBER(MATCH(A1625,[1]stockregister!$A$2:$A$2000,0))</f>
        <v>1</v>
      </c>
      <c r="C1625" s="3" t="s">
        <v>3768</v>
      </c>
      <c r="D1625" s="3" t="str">
        <f>VLOOKUP($C1625,[1]stockregister!$B$2:$B$2000,1,0)</f>
        <v>Asconi Prestige Red Semisweet Wine</v>
      </c>
      <c r="E1625" s="3" t="str">
        <f>IF(ISNA($D1625),VLOOKUP($A1625,[2]stockregister!$A$2:$B$2000,2,FALSE),"")</f>
        <v/>
      </c>
      <c r="F1625" s="3" t="s">
        <v>21</v>
      </c>
      <c r="G1625" s="3">
        <f>_xlfn.IFNA(VLOOKUP($A1625,[3]stockregister!$A$2:$L$2000,11,0),0)</f>
        <v>0</v>
      </c>
      <c r="H1625" s="3">
        <f>_xlfn.IFNA(VLOOKUP($A1625,[3]stockregister!$A$2:$L$2000,11,0),0)-$G1625</f>
        <v>0</v>
      </c>
      <c r="I1625" s="3">
        <f>_xlfn.IFNA(VLOOKUP($A1625,[3]stockregister!$A$2:$L$2000,12,0),0)</f>
        <v>1275</v>
      </c>
      <c r="J1625" s="3">
        <f>_xlfn.IFNA(VLOOKUP($A1625,[3]stockregister!$A$1:$M$2000,12,0),0)-$I1625</f>
        <v>0</v>
      </c>
      <c r="K1625" s="3" t="s">
        <v>22</v>
      </c>
      <c r="L1625" s="3" t="s">
        <v>23</v>
      </c>
      <c r="M1625" s="3">
        <f>_xlfn.IFNA(VLOOKUP($A1625,[2]stockregister!$A$2:$H$2000,8,0),0)</f>
        <v>1375</v>
      </c>
      <c r="N1625" s="3">
        <f>_xlfn.IFNA(VLOOKUP($A1625,[2]stockregister!$A$2:$H$2000,8,0),0)-$M1625</f>
        <v>0</v>
      </c>
      <c r="O1625" s="3" t="s">
        <v>3769</v>
      </c>
      <c r="P1625" s="3" t="s">
        <v>3769</v>
      </c>
      <c r="Q1625" s="3" t="s">
        <v>966</v>
      </c>
      <c r="R1625" s="3" t="s">
        <v>537</v>
      </c>
      <c r="S1625" s="3" t="s">
        <v>1941</v>
      </c>
    </row>
    <row r="1626" spans="1:19">
      <c r="A1626" s="3">
        <v>905</v>
      </c>
      <c r="B1626" s="3" t="b">
        <f>ISNUMBER(MATCH(A1626,[1]stockregister!$A$2:$A$2000,0))</f>
        <v>1</v>
      </c>
      <c r="C1626" s="3" t="s">
        <v>3770</v>
      </c>
      <c r="D1626" s="3" t="str">
        <f>VLOOKUP($C1626,[1]stockregister!$B$2:$B$2000,1,0)</f>
        <v>GRANDE FRANCE SEMI SWEET WHITE 750ML</v>
      </c>
      <c r="E1626" s="3" t="str">
        <f>IF(ISNA($D1626),VLOOKUP($A1626,[2]stockregister!$A$2:$B$2000,2,FALSE),"")</f>
        <v/>
      </c>
      <c r="F1626" s="3" t="s">
        <v>21</v>
      </c>
      <c r="G1626" s="3">
        <f>_xlfn.IFNA(VLOOKUP($A1626,[3]stockregister!$A$2:$L$2000,11,0),0)</f>
        <v>0</v>
      </c>
      <c r="H1626" s="3">
        <f>_xlfn.IFNA(VLOOKUP($A1626,[3]stockregister!$A$2:$L$2000,11,0),0)-$G1626</f>
        <v>0</v>
      </c>
      <c r="I1626" s="3">
        <f>_xlfn.IFNA(VLOOKUP($A1626,[3]stockregister!$A$2:$L$2000,12,0),0)</f>
        <v>2800</v>
      </c>
      <c r="J1626" s="3">
        <f>_xlfn.IFNA(VLOOKUP($A1626,[3]stockregister!$A$1:$M$2000,12,0),0)-$I1626</f>
        <v>0</v>
      </c>
      <c r="K1626" s="3" t="s">
        <v>22</v>
      </c>
      <c r="L1626" s="3" t="s">
        <v>23</v>
      </c>
      <c r="M1626" s="3">
        <f>_xlfn.IFNA(VLOOKUP($A1626,[2]stockregister!$A$2:$H$2000,8,0),0)</f>
        <v>3000</v>
      </c>
      <c r="N1626" s="3">
        <f>_xlfn.IFNA(VLOOKUP($A1626,[2]stockregister!$A$2:$H$2000,8,0),0)-$M1626</f>
        <v>0</v>
      </c>
      <c r="O1626" s="3" t="s">
        <v>3771</v>
      </c>
      <c r="P1626" s="3" t="s">
        <v>3771</v>
      </c>
      <c r="Q1626" s="3" t="s">
        <v>3561</v>
      </c>
      <c r="R1626" s="3" t="s">
        <v>537</v>
      </c>
      <c r="S1626" s="3" t="s">
        <v>1941</v>
      </c>
    </row>
    <row r="1627" spans="1:19">
      <c r="A1627" s="3">
        <v>1407</v>
      </c>
      <c r="B1627" s="3" t="b">
        <f>ISNUMBER(MATCH(A1627,[1]stockregister!$A$2:$A$2000,0))</f>
        <v>1</v>
      </c>
      <c r="C1627" s="3" t="s">
        <v>3772</v>
      </c>
      <c r="D1627" s="3" t="str">
        <f>VLOOKUP($C1627,[1]stockregister!$B$2:$B$2000,1,0)</f>
        <v>MARTINI ROSATO 1ltr</v>
      </c>
      <c r="E1627" s="3" t="str">
        <f>IF(ISNA($D1627),VLOOKUP($A1627,[2]stockregister!$A$2:$B$2000,2,FALSE),"")</f>
        <v/>
      </c>
      <c r="F1627" s="3" t="s">
        <v>21</v>
      </c>
      <c r="G1627" s="3">
        <f>_xlfn.IFNA(VLOOKUP($A1627,[3]stockregister!$A$2:$L$2000,11,0),0)</f>
        <v>0</v>
      </c>
      <c r="H1627" s="3">
        <f>_xlfn.IFNA(VLOOKUP($A1627,[3]stockregister!$A$2:$L$2000,11,0),0)-$G1627</f>
        <v>0</v>
      </c>
      <c r="I1627" s="3">
        <f>_xlfn.IFNA(VLOOKUP($A1627,[3]stockregister!$A$2:$L$2000,12,0),0)</f>
        <v>1334</v>
      </c>
      <c r="J1627" s="3">
        <f>_xlfn.IFNA(VLOOKUP($A1627,[3]stockregister!$A$1:$M$2000,12,0),0)-$I1627</f>
        <v>0</v>
      </c>
      <c r="K1627" s="3" t="s">
        <v>22</v>
      </c>
      <c r="L1627" s="3" t="s">
        <v>23</v>
      </c>
      <c r="M1627" s="3">
        <f>_xlfn.IFNA(VLOOKUP($A1627,[2]stockregister!$A$2:$H$2000,8,0),0)</f>
        <v>1450</v>
      </c>
      <c r="N1627" s="3">
        <f>_xlfn.IFNA(VLOOKUP($A1627,[2]stockregister!$A$2:$H$2000,8,0),0)-$M1627</f>
        <v>0</v>
      </c>
      <c r="O1627" s="3" t="s">
        <v>3773</v>
      </c>
      <c r="P1627" s="3" t="s">
        <v>3773</v>
      </c>
      <c r="Q1627" s="3" t="s">
        <v>2100</v>
      </c>
      <c r="R1627" s="3" t="s">
        <v>68</v>
      </c>
      <c r="S1627" s="3" t="s">
        <v>1941</v>
      </c>
    </row>
    <row r="1628" spans="1:19">
      <c r="A1628" s="3">
        <v>2528</v>
      </c>
      <c r="B1628" s="3" t="b">
        <f>ISNUMBER(MATCH(A1628,[1]stockregister!$A$2:$A$2000,0))</f>
        <v>1</v>
      </c>
      <c r="C1628" s="3" t="s">
        <v>3774</v>
      </c>
      <c r="D1628" s="3" t="str">
        <f>VLOOKUP($C1628,[1]stockregister!$B$2:$B$2000,1,0)</f>
        <v>THREE MONKEYS SEMI SWEET RED 750ML</v>
      </c>
      <c r="E1628" s="3" t="str">
        <f>IF(ISNA($D1628),VLOOKUP($A1628,[2]stockregister!$A$2:$B$2000,2,FALSE),"")</f>
        <v/>
      </c>
      <c r="F1628" s="3" t="s">
        <v>21</v>
      </c>
      <c r="G1628" s="3">
        <f>_xlfn.IFNA(VLOOKUP($A1628,[3]stockregister!$A$2:$L$2000,11,0),0)</f>
        <v>0</v>
      </c>
      <c r="H1628" s="3">
        <f>_xlfn.IFNA(VLOOKUP($A1628,[3]stockregister!$A$2:$L$2000,11,0),0)-$G1628</f>
        <v>0</v>
      </c>
      <c r="I1628" s="3">
        <f>_xlfn.IFNA(VLOOKUP($A1628,[3]stockregister!$A$2:$L$2000,12,0),0)</f>
        <v>1117</v>
      </c>
      <c r="J1628" s="3">
        <f>_xlfn.IFNA(VLOOKUP($A1628,[3]stockregister!$A$1:$M$2000,12,0),0)-$I1628</f>
        <v>0</v>
      </c>
      <c r="K1628" s="3" t="s">
        <v>22</v>
      </c>
      <c r="L1628" s="3" t="s">
        <v>23</v>
      </c>
      <c r="M1628" s="3">
        <f>_xlfn.IFNA(VLOOKUP($A1628,[2]stockregister!$A$2:$H$2000,8,0),0)</f>
        <v>1250</v>
      </c>
      <c r="N1628" s="3">
        <f>_xlfn.IFNA(VLOOKUP($A1628,[2]stockregister!$A$2:$H$2000,8,0),0)-$M1628</f>
        <v>0</v>
      </c>
      <c r="O1628" s="3" t="s">
        <v>3775</v>
      </c>
      <c r="P1628" s="3" t="s">
        <v>3775</v>
      </c>
      <c r="Q1628" s="3" t="s">
        <v>2766</v>
      </c>
      <c r="R1628" s="3" t="s">
        <v>537</v>
      </c>
      <c r="S1628" s="3" t="s">
        <v>1180</v>
      </c>
    </row>
    <row r="1629" spans="1:19">
      <c r="A1629" s="3">
        <v>815</v>
      </c>
      <c r="B1629" s="3" t="b">
        <f>ISNUMBER(MATCH(A1629,[1]stockregister!$A$2:$A$2000,0))</f>
        <v>1</v>
      </c>
      <c r="C1629" s="3" t="s">
        <v>3776</v>
      </c>
      <c r="D1629" s="3" t="str">
        <f>VLOOKUP($C1629,[1]stockregister!$B$2:$B$2000,1,0)</f>
        <v>GATONEGRO SEMI SWEET RED 750ML</v>
      </c>
      <c r="E1629" s="3" t="str">
        <f>IF(ISNA($D1629),VLOOKUP($A1629,[2]stockregister!$A$2:$B$2000,2,FALSE),"")</f>
        <v/>
      </c>
      <c r="F1629" s="3" t="s">
        <v>21</v>
      </c>
      <c r="G1629" s="3">
        <f>_xlfn.IFNA(VLOOKUP($A1629,[3]stockregister!$A$2:$L$2000,11,0),0)</f>
        <v>0</v>
      </c>
      <c r="H1629" s="3">
        <f>_xlfn.IFNA(VLOOKUP($A1629,[3]stockregister!$A$2:$L$2000,11,0),0)-$G1629</f>
        <v>0</v>
      </c>
      <c r="I1629" s="3">
        <f>_xlfn.IFNA(VLOOKUP($A1629,[3]stockregister!$A$2:$L$2000,12,0),0)</f>
        <v>782</v>
      </c>
      <c r="J1629" s="3">
        <f>_xlfn.IFNA(VLOOKUP($A1629,[3]stockregister!$A$1:$M$2000,12,0),0)-$I1629</f>
        <v>0</v>
      </c>
      <c r="K1629" s="3" t="s">
        <v>22</v>
      </c>
      <c r="L1629" s="3" t="s">
        <v>23</v>
      </c>
      <c r="M1629" s="3">
        <f>_xlfn.IFNA(VLOOKUP($A1629,[2]stockregister!$A$2:$H$2000,8,0),0)</f>
        <v>850</v>
      </c>
      <c r="N1629" s="3">
        <f>_xlfn.IFNA(VLOOKUP($A1629,[2]stockregister!$A$2:$H$2000,8,0),0)-$M1629</f>
        <v>0</v>
      </c>
      <c r="O1629" s="3" t="s">
        <v>3777</v>
      </c>
      <c r="P1629" s="3" t="s">
        <v>3777</v>
      </c>
      <c r="Q1629" s="3" t="s">
        <v>545</v>
      </c>
      <c r="R1629" s="3" t="s">
        <v>68</v>
      </c>
      <c r="S1629" s="3" t="s">
        <v>1180</v>
      </c>
    </row>
    <row r="1630" spans="1:19">
      <c r="A1630" s="3">
        <v>1282</v>
      </c>
      <c r="B1630" s="3" t="b">
        <f>ISNUMBER(MATCH(A1630,[1]stockregister!$A$2:$A$2000,0))</f>
        <v>1</v>
      </c>
      <c r="C1630" s="3" t="s">
        <v>3778</v>
      </c>
      <c r="D1630" s="3" t="str">
        <f>VLOOKUP($C1630,[1]stockregister!$B$2:$B$2000,1,0)</f>
        <v>LEGENDE MEDOC 750ML</v>
      </c>
      <c r="E1630" s="3" t="str">
        <f>IF(ISNA($D1630),VLOOKUP($A1630,[2]stockregister!$A$2:$B$2000,2,FALSE),"")</f>
        <v/>
      </c>
      <c r="F1630" s="3" t="s">
        <v>21</v>
      </c>
      <c r="G1630" s="3">
        <f>_xlfn.IFNA(VLOOKUP($A1630,[3]stockregister!$A$2:$L$2000,11,0),0)</f>
        <v>0</v>
      </c>
      <c r="H1630" s="3">
        <f>_xlfn.IFNA(VLOOKUP($A1630,[3]stockregister!$A$2:$L$2000,11,0),0)-$G1630</f>
        <v>0</v>
      </c>
      <c r="I1630" s="3">
        <f>_xlfn.IFNA(VLOOKUP($A1630,[3]stockregister!$A$2:$L$2000,12,0),0)</f>
        <v>2392</v>
      </c>
      <c r="J1630" s="3">
        <f>_xlfn.IFNA(VLOOKUP($A1630,[3]stockregister!$A$1:$M$2000,12,0),0)-$I1630</f>
        <v>0</v>
      </c>
      <c r="K1630" s="3" t="s">
        <v>22</v>
      </c>
      <c r="L1630" s="3" t="s">
        <v>23</v>
      </c>
      <c r="M1630" s="3">
        <f>_xlfn.IFNA(VLOOKUP($A1630,[2]stockregister!$A$2:$H$2000,8,0),0)</f>
        <v>2600</v>
      </c>
      <c r="N1630" s="3">
        <f>_xlfn.IFNA(VLOOKUP($A1630,[2]stockregister!$A$2:$H$2000,8,0),0)-$M1630</f>
        <v>0</v>
      </c>
      <c r="O1630" s="3" t="s">
        <v>3779</v>
      </c>
      <c r="P1630" s="3" t="s">
        <v>3779</v>
      </c>
      <c r="Q1630" s="3" t="s">
        <v>1764</v>
      </c>
      <c r="R1630" s="3" t="s">
        <v>68</v>
      </c>
      <c r="S1630" s="3" t="s">
        <v>1138</v>
      </c>
    </row>
    <row r="1631" spans="1:19">
      <c r="A1631" s="3">
        <v>667</v>
      </c>
      <c r="B1631" s="3" t="b">
        <f>ISNUMBER(MATCH(A1631,[1]stockregister!$A$2:$A$2000,0))</f>
        <v>1</v>
      </c>
      <c r="C1631" s="3" t="s">
        <v>3780</v>
      </c>
      <c r="D1631" s="3" t="str">
        <f>VLOOKUP($C1631,[1]stockregister!$B$2:$B$2000,1,0)</f>
        <v>ESTANCIA MENDOZA 750ML</v>
      </c>
      <c r="E1631" s="3" t="str">
        <f>IF(ISNA($D1631),VLOOKUP($A1631,[2]stockregister!$A$2:$B$2000,2,FALSE),"")</f>
        <v/>
      </c>
      <c r="F1631" s="3" t="s">
        <v>21</v>
      </c>
      <c r="G1631" s="3">
        <f>_xlfn.IFNA(VLOOKUP($A1631,[3]stockregister!$A$2:$L$2000,11,0),0)</f>
        <v>0</v>
      </c>
      <c r="H1631" s="3">
        <f>_xlfn.IFNA(VLOOKUP($A1631,[3]stockregister!$A$2:$L$2000,11,0),0)-$G1631</f>
        <v>0</v>
      </c>
      <c r="I1631" s="3">
        <f>_xlfn.IFNA(VLOOKUP($A1631,[3]stockregister!$A$2:$L$2000,12,0),0)</f>
        <v>1550</v>
      </c>
      <c r="J1631" s="3">
        <f>_xlfn.IFNA(VLOOKUP($A1631,[3]stockregister!$A$1:$M$2000,12,0),0)-$I1631</f>
        <v>0</v>
      </c>
      <c r="K1631" s="3" t="s">
        <v>22</v>
      </c>
      <c r="L1631" s="3" t="s">
        <v>23</v>
      </c>
      <c r="M1631" s="3">
        <f>_xlfn.IFNA(VLOOKUP($A1631,[2]stockregister!$A$2:$H$2000,8,0),0)</f>
        <v>1750</v>
      </c>
      <c r="N1631" s="3">
        <f>_xlfn.IFNA(VLOOKUP($A1631,[2]stockregister!$A$2:$H$2000,8,0),0)-$M1631</f>
        <v>0</v>
      </c>
      <c r="O1631" s="3" t="s">
        <v>3781</v>
      </c>
      <c r="P1631" s="3" t="s">
        <v>3781</v>
      </c>
      <c r="Q1631" s="3" t="s">
        <v>3751</v>
      </c>
      <c r="R1631" s="3" t="s">
        <v>68</v>
      </c>
      <c r="S1631" s="3" t="s">
        <v>2237</v>
      </c>
    </row>
    <row r="1632" spans="1:19">
      <c r="A1632" s="3">
        <v>2235</v>
      </c>
      <c r="B1632" s="3" t="b">
        <f>ISNUMBER(MATCH(A1632,[1]stockregister!$A$2:$A$2000,0))</f>
        <v>1</v>
      </c>
      <c r="C1632" s="3" t="s">
        <v>3782</v>
      </c>
      <c r="D1632" s="3" t="str">
        <f>VLOOKUP($C1632,[1]stockregister!$B$2:$B$2000,1,0)</f>
        <v>MAISON CASTEL MENDOZA 750ML</v>
      </c>
      <c r="E1632" s="3" t="str">
        <f>IF(ISNA($D1632),VLOOKUP($A1632,[2]stockregister!$A$2:$B$2000,2,FALSE),"")</f>
        <v/>
      </c>
      <c r="F1632" s="3" t="s">
        <v>21</v>
      </c>
      <c r="G1632" s="3">
        <f>_xlfn.IFNA(VLOOKUP($A1632,[3]stockregister!$A$2:$L$2000,11,0),0)</f>
        <v>0</v>
      </c>
      <c r="H1632" s="3">
        <f>_xlfn.IFNA(VLOOKUP($A1632,[3]stockregister!$A$2:$L$2000,11,0),0)-$G1632</f>
        <v>0</v>
      </c>
      <c r="I1632" s="3">
        <f>_xlfn.IFNA(VLOOKUP($A1632,[3]stockregister!$A$2:$L$2000,12,0),0)</f>
        <v>1200</v>
      </c>
      <c r="J1632" s="3">
        <f>_xlfn.IFNA(VLOOKUP($A1632,[3]stockregister!$A$1:$M$2000,12,0),0)-$I1632</f>
        <v>0</v>
      </c>
      <c r="K1632" s="3" t="s">
        <v>22</v>
      </c>
      <c r="L1632" s="3" t="s">
        <v>23</v>
      </c>
      <c r="M1632" s="3">
        <f>_xlfn.IFNA(VLOOKUP($A1632,[2]stockregister!$A$2:$H$2000,8,0),0)</f>
        <v>1300</v>
      </c>
      <c r="N1632" s="3">
        <f>_xlfn.IFNA(VLOOKUP($A1632,[2]stockregister!$A$2:$H$2000,8,0),0)-$M1632</f>
        <v>0</v>
      </c>
      <c r="O1632" s="3" t="s">
        <v>3783</v>
      </c>
      <c r="P1632" s="3" t="s">
        <v>3783</v>
      </c>
      <c r="Q1632" s="3" t="s">
        <v>1137</v>
      </c>
      <c r="R1632" s="3" t="s">
        <v>537</v>
      </c>
      <c r="S1632" s="3" t="s">
        <v>2237</v>
      </c>
    </row>
    <row r="1633" spans="1:19">
      <c r="A1633" s="3">
        <v>669</v>
      </c>
      <c r="B1633" s="3" t="b">
        <f>ISNUMBER(MATCH(A1633,[1]stockregister!$A$2:$A$2000,0))</f>
        <v>1</v>
      </c>
      <c r="C1633" s="3" t="s">
        <v>3784</v>
      </c>
      <c r="D1633" s="3" t="str">
        <f>VLOOKUP($C1633,[1]stockregister!$B$2:$B$2000,1,0)</f>
        <v>ESTANCIA MENDOZA MERLOT 750ml</v>
      </c>
      <c r="E1633" s="3" t="str">
        <f>IF(ISNA($D1633),VLOOKUP($A1633,[2]stockregister!$A$2:$B$2000,2,FALSE),"")</f>
        <v/>
      </c>
      <c r="F1633" s="3" t="s">
        <v>21</v>
      </c>
      <c r="G1633" s="3">
        <f>_xlfn.IFNA(VLOOKUP($A1633,[3]stockregister!$A$2:$L$2000,11,0),0)</f>
        <v>0</v>
      </c>
      <c r="H1633" s="3">
        <f>_xlfn.IFNA(VLOOKUP($A1633,[3]stockregister!$A$2:$L$2000,11,0),0)-$G1633</f>
        <v>0</v>
      </c>
      <c r="I1633" s="3">
        <f>_xlfn.IFNA(VLOOKUP($A1633,[3]stockregister!$A$2:$L$2000,12,0),0)</f>
        <v>1518</v>
      </c>
      <c r="J1633" s="3">
        <f>_xlfn.IFNA(VLOOKUP($A1633,[3]stockregister!$A$1:$M$2000,12,0),0)-$I1633</f>
        <v>0</v>
      </c>
      <c r="K1633" s="3" t="s">
        <v>22</v>
      </c>
      <c r="L1633" s="3" t="s">
        <v>23</v>
      </c>
      <c r="M1633" s="3">
        <f>_xlfn.IFNA(VLOOKUP($A1633,[2]stockregister!$A$2:$H$2000,8,0),0)</f>
        <v>1650</v>
      </c>
      <c r="N1633" s="3">
        <f>_xlfn.IFNA(VLOOKUP($A1633,[2]stockregister!$A$2:$H$2000,8,0),0)-$M1633</f>
        <v>0</v>
      </c>
      <c r="O1633" s="3" t="s">
        <v>3785</v>
      </c>
      <c r="P1633" s="3" t="s">
        <v>3785</v>
      </c>
      <c r="Q1633" s="3" t="s">
        <v>3751</v>
      </c>
      <c r="R1633" s="3" t="s">
        <v>68</v>
      </c>
      <c r="S1633" s="3" t="s">
        <v>3786</v>
      </c>
    </row>
    <row r="1634" spans="1:19">
      <c r="A1634" s="3">
        <v>791</v>
      </c>
      <c r="B1634" s="3" t="b">
        <f>ISNUMBER(MATCH(A1634,[1]stockregister!$A$2:$A$2000,0))</f>
        <v>1</v>
      </c>
      <c r="C1634" s="3" t="s">
        <v>3787</v>
      </c>
      <c r="D1634" s="3" t="str">
        <f>VLOOKUP($C1634,[1]stockregister!$B$2:$B$2000,1,0)</f>
        <v>FRONTERA MERLOT 750ML</v>
      </c>
      <c r="E1634" s="3" t="str">
        <f>IF(ISNA($D1634),VLOOKUP($A1634,[2]stockregister!$A$2:$B$2000,2,FALSE),"")</f>
        <v/>
      </c>
      <c r="F1634" s="3" t="s">
        <v>21</v>
      </c>
      <c r="G1634" s="3">
        <f>_xlfn.IFNA(VLOOKUP($A1634,[3]stockregister!$A$2:$L$2000,11,0),0)</f>
        <v>0</v>
      </c>
      <c r="H1634" s="3">
        <f>_xlfn.IFNA(VLOOKUP($A1634,[3]stockregister!$A$2:$L$2000,11,0),0)-$G1634</f>
        <v>0</v>
      </c>
      <c r="I1634" s="3">
        <f>_xlfn.IFNA(VLOOKUP($A1634,[3]stockregister!$A$2:$L$2000,12,0),0)</f>
        <v>978.4</v>
      </c>
      <c r="J1634" s="3">
        <f>_xlfn.IFNA(VLOOKUP($A1634,[3]stockregister!$A$1:$M$2000,12,0),0)-$I1634</f>
        <v>0</v>
      </c>
      <c r="K1634" s="3" t="s">
        <v>22</v>
      </c>
      <c r="L1634" s="3" t="s">
        <v>23</v>
      </c>
      <c r="M1634" s="3">
        <f>_xlfn.IFNA(VLOOKUP($A1634,[2]stockregister!$A$2:$H$2000,8,0),0)</f>
        <v>1080</v>
      </c>
      <c r="N1634" s="3">
        <f>_xlfn.IFNA(VLOOKUP($A1634,[2]stockregister!$A$2:$H$2000,8,0),0)-$M1634</f>
        <v>0</v>
      </c>
      <c r="O1634" s="3" t="s">
        <v>3788</v>
      </c>
      <c r="P1634" s="3" t="s">
        <v>3788</v>
      </c>
      <c r="Q1634" s="3" t="s">
        <v>1082</v>
      </c>
      <c r="R1634" s="3" t="s">
        <v>68</v>
      </c>
      <c r="S1634" s="3" t="s">
        <v>369</v>
      </c>
    </row>
    <row r="1635" spans="1:19">
      <c r="A1635" s="3">
        <v>812</v>
      </c>
      <c r="B1635" s="3" t="b">
        <f>ISNUMBER(MATCH(A1635,[1]stockregister!$A$2:$A$2000,0))</f>
        <v>1</v>
      </c>
      <c r="C1635" s="3" t="s">
        <v>3789</v>
      </c>
      <c r="D1635" s="3" t="str">
        <f>VLOOKUP($C1635,[1]stockregister!$B$2:$B$2000,1,0)</f>
        <v>GATONEGRO MERLOT 1.5LTR</v>
      </c>
      <c r="E1635" s="3" t="str">
        <f>IF(ISNA($D1635),VLOOKUP($A1635,[2]stockregister!$A$2:$B$2000,2,FALSE),"")</f>
        <v/>
      </c>
      <c r="F1635" s="3" t="s">
        <v>21</v>
      </c>
      <c r="G1635" s="3">
        <f>_xlfn.IFNA(VLOOKUP($A1635,[3]stockregister!$A$2:$L$2000,11,0),0)</f>
        <v>0</v>
      </c>
      <c r="H1635" s="3">
        <f>_xlfn.IFNA(VLOOKUP($A1635,[3]stockregister!$A$2:$L$2000,11,0),0)-$G1635</f>
        <v>0</v>
      </c>
      <c r="I1635" s="3">
        <f>_xlfn.IFNA(VLOOKUP($A1635,[3]stockregister!$A$2:$L$2000,12,0),0)</f>
        <v>1726</v>
      </c>
      <c r="J1635" s="3">
        <f>_xlfn.IFNA(VLOOKUP($A1635,[3]stockregister!$A$1:$M$2000,12,0),0)-$I1635</f>
        <v>0</v>
      </c>
      <c r="K1635" s="3" t="s">
        <v>22</v>
      </c>
      <c r="L1635" s="3" t="s">
        <v>23</v>
      </c>
      <c r="M1635" s="3">
        <f>_xlfn.IFNA(VLOOKUP($A1635,[2]stockregister!$A$2:$H$2000,8,0),0)</f>
        <v>1500</v>
      </c>
      <c r="N1635" s="3">
        <f>_xlfn.IFNA(VLOOKUP($A1635,[2]stockregister!$A$2:$H$2000,8,0),0)-$M1635</f>
        <v>0</v>
      </c>
      <c r="O1635" s="3" t="s">
        <v>3790</v>
      </c>
      <c r="P1635" s="3" t="s">
        <v>3790</v>
      </c>
      <c r="Q1635" s="3" t="s">
        <v>545</v>
      </c>
      <c r="R1635" s="3" t="s">
        <v>68</v>
      </c>
      <c r="S1635" s="3" t="s">
        <v>369</v>
      </c>
    </row>
    <row r="1636" spans="1:19">
      <c r="A1636" s="3">
        <v>2078</v>
      </c>
      <c r="B1636" s="3" t="b">
        <f>ISNUMBER(MATCH(A1636,[1]stockregister!$A$2:$A$2000,0))</f>
        <v>1</v>
      </c>
      <c r="C1636" s="3" t="s">
        <v>3791</v>
      </c>
      <c r="D1636" s="3" t="str">
        <f>VLOOKUP($C1636,[1]stockregister!$B$2:$B$2000,1,0)</f>
        <v>WELMOED MERLOT 750ML</v>
      </c>
      <c r="E1636" s="3" t="str">
        <f>IF(ISNA($D1636),VLOOKUP($A1636,[2]stockregister!$A$2:$B$2000,2,FALSE),"")</f>
        <v/>
      </c>
      <c r="F1636" s="3" t="s">
        <v>21</v>
      </c>
      <c r="G1636" s="3">
        <f>_xlfn.IFNA(VLOOKUP($A1636,[3]stockregister!$A$2:$L$2000,11,0),0)</f>
        <v>0</v>
      </c>
      <c r="H1636" s="3">
        <f>_xlfn.IFNA(VLOOKUP($A1636,[3]stockregister!$A$2:$L$2000,11,0),0)-$G1636</f>
        <v>0</v>
      </c>
      <c r="I1636" s="3">
        <f>_xlfn.IFNA(VLOOKUP($A1636,[3]stockregister!$A$2:$L$2000,12,0),0)</f>
        <v>1200</v>
      </c>
      <c r="J1636" s="3">
        <f>_xlfn.IFNA(VLOOKUP($A1636,[3]stockregister!$A$1:$M$2000,12,0),0)-$I1636</f>
        <v>0</v>
      </c>
      <c r="K1636" s="3" t="s">
        <v>22</v>
      </c>
      <c r="L1636" s="3" t="s">
        <v>23</v>
      </c>
      <c r="M1636" s="3">
        <f>_xlfn.IFNA(VLOOKUP($A1636,[2]stockregister!$A$2:$H$2000,8,0),0)</f>
        <v>1320</v>
      </c>
      <c r="N1636" s="3">
        <f>_xlfn.IFNA(VLOOKUP($A1636,[2]stockregister!$A$2:$H$2000,8,0),0)-$M1636</f>
        <v>0</v>
      </c>
      <c r="O1636" s="3" t="s">
        <v>3792</v>
      </c>
      <c r="P1636" s="3" t="s">
        <v>3792</v>
      </c>
      <c r="Q1636" s="3" t="s">
        <v>1296</v>
      </c>
      <c r="R1636" s="3" t="s">
        <v>68</v>
      </c>
      <c r="S1636" s="3" t="s">
        <v>369</v>
      </c>
    </row>
    <row r="1637" spans="1:19">
      <c r="A1637" s="3">
        <v>2273</v>
      </c>
      <c r="B1637" s="3" t="b">
        <f>ISNUMBER(MATCH(A1637,[1]stockregister!$A$2:$A$2000,0))</f>
        <v>1</v>
      </c>
      <c r="C1637" s="3" t="s">
        <v>3793</v>
      </c>
      <c r="D1637" s="3" t="str">
        <f>VLOOKUP($C1637,[1]stockregister!$B$2:$B$2000,1,0)</f>
        <v>FIVE'S RESERVE MERLOT ROSE 750ML</v>
      </c>
      <c r="E1637" s="3" t="str">
        <f>IF(ISNA($D1637),VLOOKUP($A1637,[2]stockregister!$A$2:$B$2000,2,FALSE),"")</f>
        <v/>
      </c>
      <c r="F1637" s="3" t="s">
        <v>21</v>
      </c>
      <c r="G1637" s="3">
        <f>_xlfn.IFNA(VLOOKUP($A1637,[3]stockregister!$A$2:$L$2000,11,0),0)</f>
        <v>0</v>
      </c>
      <c r="H1637" s="3">
        <f>_xlfn.IFNA(VLOOKUP($A1637,[3]stockregister!$A$2:$L$2000,11,0),0)-$G1637</f>
        <v>0</v>
      </c>
      <c r="I1637" s="3">
        <f>_xlfn.IFNA(VLOOKUP($A1637,[3]stockregister!$A$2:$L$2000,12,0),0)</f>
        <v>900</v>
      </c>
      <c r="J1637" s="3">
        <f>_xlfn.IFNA(VLOOKUP($A1637,[3]stockregister!$A$1:$M$2000,12,0),0)-$I1637</f>
        <v>0</v>
      </c>
      <c r="K1637" s="3" t="s">
        <v>22</v>
      </c>
      <c r="L1637" s="3" t="s">
        <v>23</v>
      </c>
      <c r="M1637" s="3">
        <f>_xlfn.IFNA(VLOOKUP($A1637,[2]stockregister!$A$2:$H$2000,8,0),0)</f>
        <v>1000</v>
      </c>
      <c r="N1637" s="3">
        <f>_xlfn.IFNA(VLOOKUP($A1637,[2]stockregister!$A$2:$H$2000,8,0),0)-$M1637</f>
        <v>0</v>
      </c>
      <c r="O1637" s="3" t="s">
        <v>3794</v>
      </c>
      <c r="P1637" s="3" t="s">
        <v>3794</v>
      </c>
      <c r="Q1637" s="3" t="s">
        <v>3795</v>
      </c>
      <c r="R1637" s="3" t="s">
        <v>68</v>
      </c>
      <c r="S1637" s="3" t="s">
        <v>369</v>
      </c>
    </row>
    <row r="1638" spans="1:19">
      <c r="A1638" s="3">
        <v>352</v>
      </c>
      <c r="B1638" s="3" t="b">
        <f>ISNUMBER(MATCH(A1638,[1]stockregister!$A$2:$A$2000,0))</f>
        <v>1</v>
      </c>
      <c r="C1638" s="3" t="s">
        <v>3796</v>
      </c>
      <c r="D1638" s="3" t="str">
        <f>VLOOKUP($C1638,[1]stockregister!$B$2:$B$2000,1,0)</f>
        <v>CALVET VARIETALS MERLOT 750ML</v>
      </c>
      <c r="E1638" s="3" t="str">
        <f>IF(ISNA($D1638),VLOOKUP($A1638,[2]stockregister!$A$2:$B$2000,2,FALSE),"")</f>
        <v/>
      </c>
      <c r="F1638" s="3" t="s">
        <v>21</v>
      </c>
      <c r="G1638" s="3">
        <f>_xlfn.IFNA(VLOOKUP($A1638,[3]stockregister!$A$2:$L$2000,11,0),0)</f>
        <v>0</v>
      </c>
      <c r="H1638" s="3">
        <f>_xlfn.IFNA(VLOOKUP($A1638,[3]stockregister!$A$2:$L$2000,11,0),0)-$G1638</f>
        <v>0</v>
      </c>
      <c r="I1638" s="3">
        <f>_xlfn.IFNA(VLOOKUP($A1638,[3]stockregister!$A$2:$L$2000,12,0),0)</f>
        <v>1196</v>
      </c>
      <c r="J1638" s="3">
        <f>_xlfn.IFNA(VLOOKUP($A1638,[3]stockregister!$A$1:$M$2000,12,0),0)-$I1638</f>
        <v>0</v>
      </c>
      <c r="K1638" s="3" t="s">
        <v>22</v>
      </c>
      <c r="L1638" s="3" t="s">
        <v>23</v>
      </c>
      <c r="M1638" s="3">
        <f>_xlfn.IFNA(VLOOKUP($A1638,[2]stockregister!$A$2:$H$2000,8,0),0)</f>
        <v>1300</v>
      </c>
      <c r="N1638" s="3">
        <f>_xlfn.IFNA(VLOOKUP($A1638,[2]stockregister!$A$2:$H$2000,8,0),0)-$M1638</f>
        <v>0</v>
      </c>
      <c r="O1638" s="3" t="s">
        <v>3797</v>
      </c>
      <c r="P1638" s="3" t="s">
        <v>3797</v>
      </c>
      <c r="Q1638" s="3" t="s">
        <v>1480</v>
      </c>
      <c r="R1638" s="3" t="s">
        <v>68</v>
      </c>
      <c r="S1638" s="3" t="s">
        <v>369</v>
      </c>
    </row>
    <row r="1639" spans="1:19">
      <c r="A1639" s="3">
        <v>552</v>
      </c>
      <c r="B1639" s="3" t="b">
        <f>ISNUMBER(MATCH(A1639,[1]stockregister!$A$2:$A$2000,0))</f>
        <v>1</v>
      </c>
      <c r="C1639" s="3" t="s">
        <v>3798</v>
      </c>
      <c r="D1639" s="3" t="str">
        <f>VLOOKUP($C1639,[1]stockregister!$B$2:$B$2000,1,0)</f>
        <v>CULEMBORG MERLOT 750ML</v>
      </c>
      <c r="E1639" s="3" t="str">
        <f>IF(ISNA($D1639),VLOOKUP($A1639,[2]stockregister!$A$2:$B$2000,2,FALSE),"")</f>
        <v/>
      </c>
      <c r="F1639" s="3" t="s">
        <v>21</v>
      </c>
      <c r="G1639" s="3">
        <f>_xlfn.IFNA(VLOOKUP($A1639,[3]stockregister!$A$2:$L$2000,11,0),0)</f>
        <v>0</v>
      </c>
      <c r="H1639" s="3">
        <f>_xlfn.IFNA(VLOOKUP($A1639,[3]stockregister!$A$2:$L$2000,11,0),0)-$G1639</f>
        <v>0</v>
      </c>
      <c r="I1639" s="3">
        <f>_xlfn.IFNA(VLOOKUP($A1639,[3]stockregister!$A$2:$L$2000,12,0),0)</f>
        <v>782</v>
      </c>
      <c r="J1639" s="3">
        <f>_xlfn.IFNA(VLOOKUP($A1639,[3]stockregister!$A$1:$M$2000,12,0),0)-$I1639</f>
        <v>0</v>
      </c>
      <c r="K1639" s="3" t="s">
        <v>22</v>
      </c>
      <c r="L1639" s="3" t="s">
        <v>23</v>
      </c>
      <c r="M1639" s="3">
        <f>_xlfn.IFNA(VLOOKUP($A1639,[2]stockregister!$A$2:$H$2000,8,0),0)</f>
        <v>850</v>
      </c>
      <c r="N1639" s="3">
        <f>_xlfn.IFNA(VLOOKUP($A1639,[2]stockregister!$A$2:$H$2000,8,0),0)-$M1639</f>
        <v>0</v>
      </c>
      <c r="O1639" s="3" t="s">
        <v>3799</v>
      </c>
      <c r="P1639" s="3" t="s">
        <v>3799</v>
      </c>
      <c r="Q1639" s="3" t="s">
        <v>1790</v>
      </c>
      <c r="R1639" s="3" t="s">
        <v>68</v>
      </c>
      <c r="S1639" s="3" t="s">
        <v>369</v>
      </c>
    </row>
    <row r="1640" spans="1:19">
      <c r="A1640" s="3">
        <v>1045</v>
      </c>
      <c r="B1640" s="3" t="b">
        <f>ISNUMBER(MATCH(A1640,[1]stockregister!$A$2:$A$2000,0))</f>
        <v>1</v>
      </c>
      <c r="C1640" s="3" t="s">
        <v>3800</v>
      </c>
      <c r="D1640" s="3" t="str">
        <f>VLOOKUP($C1640,[1]stockregister!$B$2:$B$2000,1,0)</f>
        <v>JACOBS CREEK MERLOT 750ML</v>
      </c>
      <c r="E1640" s="3" t="str">
        <f>IF(ISNA($D1640),VLOOKUP($A1640,[2]stockregister!$A$2:$B$2000,2,FALSE),"")</f>
        <v/>
      </c>
      <c r="F1640" s="3" t="s">
        <v>21</v>
      </c>
      <c r="G1640" s="3">
        <f>_xlfn.IFNA(VLOOKUP($A1640,[3]stockregister!$A$2:$L$2000,11,0),0)</f>
        <v>0</v>
      </c>
      <c r="H1640" s="3">
        <f>_xlfn.IFNA(VLOOKUP($A1640,[3]stockregister!$A$2:$L$2000,11,0),0)-$G1640</f>
        <v>0</v>
      </c>
      <c r="I1640" s="3">
        <f>_xlfn.IFNA(VLOOKUP($A1640,[3]stockregister!$A$2:$L$2000,12,0),0)</f>
        <v>1172.08</v>
      </c>
      <c r="J1640" s="3">
        <f>_xlfn.IFNA(VLOOKUP($A1640,[3]stockregister!$A$1:$M$2000,12,0),0)-$I1640</f>
        <v>0</v>
      </c>
      <c r="K1640" s="3" t="s">
        <v>22</v>
      </c>
      <c r="L1640" s="3" t="s">
        <v>23</v>
      </c>
      <c r="M1640" s="3">
        <f>_xlfn.IFNA(VLOOKUP($A1640,[2]stockregister!$A$2:$H$2000,8,0),0)</f>
        <v>1250</v>
      </c>
      <c r="N1640" s="3">
        <f>_xlfn.IFNA(VLOOKUP($A1640,[2]stockregister!$A$2:$H$2000,8,0),0)-$M1640</f>
        <v>0</v>
      </c>
      <c r="O1640" s="3" t="s">
        <v>3801</v>
      </c>
      <c r="P1640" s="3" t="s">
        <v>3801</v>
      </c>
      <c r="Q1640" s="3" t="s">
        <v>3566</v>
      </c>
      <c r="R1640" s="3" t="s">
        <v>68</v>
      </c>
      <c r="S1640" s="3" t="s">
        <v>369</v>
      </c>
    </row>
    <row r="1641" spans="1:19">
      <c r="A1641" s="3">
        <v>2239</v>
      </c>
      <c r="B1641" s="3" t="b">
        <f>ISNUMBER(MATCH(A1641,[1]stockregister!$A$2:$A$2000,0))</f>
        <v>1</v>
      </c>
      <c r="C1641" s="3" t="s">
        <v>3802</v>
      </c>
      <c r="D1641" s="3" t="str">
        <f>VLOOKUP($C1641,[1]stockregister!$B$2:$B$2000,1,0)</f>
        <v>NATURALYS MERLOT 750ML</v>
      </c>
      <c r="E1641" s="3" t="str">
        <f>IF(ISNA($D1641),VLOOKUP($A1641,[2]stockregister!$A$2:$B$2000,2,FALSE),"")</f>
        <v/>
      </c>
      <c r="F1641" s="3" t="s">
        <v>21</v>
      </c>
      <c r="G1641" s="3">
        <f>_xlfn.IFNA(VLOOKUP($A1641,[3]stockregister!$A$2:$L$2000,11,0),0)</f>
        <v>0</v>
      </c>
      <c r="H1641" s="3">
        <f>_xlfn.IFNA(VLOOKUP($A1641,[3]stockregister!$A$2:$L$2000,11,0),0)-$G1641</f>
        <v>0</v>
      </c>
      <c r="I1641" s="3">
        <f>_xlfn.IFNA(VLOOKUP($A1641,[3]stockregister!$A$2:$L$2000,12,0),0)</f>
        <v>1700</v>
      </c>
      <c r="J1641" s="3">
        <f>_xlfn.IFNA(VLOOKUP($A1641,[3]stockregister!$A$1:$M$2000,12,0),0)-$I1641</f>
        <v>0</v>
      </c>
      <c r="K1641" s="3" t="s">
        <v>22</v>
      </c>
      <c r="L1641" s="3" t="s">
        <v>23</v>
      </c>
      <c r="M1641" s="3">
        <f>_xlfn.IFNA(VLOOKUP($A1641,[2]stockregister!$A$2:$H$2000,8,0),0)</f>
        <v>1900</v>
      </c>
      <c r="N1641" s="3">
        <f>_xlfn.IFNA(VLOOKUP($A1641,[2]stockregister!$A$2:$H$2000,8,0),0)-$M1641</f>
        <v>0</v>
      </c>
      <c r="O1641" s="3" t="s">
        <v>367</v>
      </c>
      <c r="P1641" s="3" t="s">
        <v>367</v>
      </c>
      <c r="Q1641" s="3" t="s">
        <v>205</v>
      </c>
      <c r="R1641" s="3" t="s">
        <v>68</v>
      </c>
      <c r="S1641" s="3" t="s">
        <v>369</v>
      </c>
    </row>
    <row r="1642" spans="1:19">
      <c r="A1642" s="3">
        <v>1639</v>
      </c>
      <c r="B1642" s="3" t="b">
        <f>ISNUMBER(MATCH(A1642,[1]stockregister!$A$2:$A$2000,0))</f>
        <v>1</v>
      </c>
      <c r="C1642" s="3" t="s">
        <v>3803</v>
      </c>
      <c r="D1642" s="3" t="str">
        <f>VLOOKUP($C1642,[1]stockregister!$B$2:$B$2000,1,0)</f>
        <v>PROTEA MERLOT 750ML</v>
      </c>
      <c r="E1642" s="3" t="str">
        <f>IF(ISNA($D1642),VLOOKUP($A1642,[2]stockregister!$A$2:$B$2000,2,FALSE),"")</f>
        <v/>
      </c>
      <c r="F1642" s="3" t="s">
        <v>21</v>
      </c>
      <c r="G1642" s="3">
        <f>_xlfn.IFNA(VLOOKUP($A1642,[3]stockregister!$A$2:$L$2000,11,0),0)</f>
        <v>0</v>
      </c>
      <c r="H1642" s="3">
        <f>_xlfn.IFNA(VLOOKUP($A1642,[3]stockregister!$A$2:$L$2000,11,0),0)-$G1642</f>
        <v>0</v>
      </c>
      <c r="I1642" s="3">
        <f>_xlfn.IFNA(VLOOKUP($A1642,[3]stockregister!$A$2:$L$2000,12,0),0)</f>
        <v>920</v>
      </c>
      <c r="J1642" s="3">
        <f>_xlfn.IFNA(VLOOKUP($A1642,[3]stockregister!$A$1:$M$2000,12,0),0)-$I1642</f>
        <v>0</v>
      </c>
      <c r="K1642" s="3" t="s">
        <v>22</v>
      </c>
      <c r="L1642" s="3" t="s">
        <v>23</v>
      </c>
      <c r="M1642" s="3">
        <f>_xlfn.IFNA(VLOOKUP($A1642,[2]stockregister!$A$2:$H$2000,8,0),0)</f>
        <v>1000</v>
      </c>
      <c r="N1642" s="3">
        <f>_xlfn.IFNA(VLOOKUP($A1642,[2]stockregister!$A$2:$H$2000,8,0),0)-$M1642</f>
        <v>0</v>
      </c>
      <c r="O1642" s="3" t="s">
        <v>3804</v>
      </c>
      <c r="P1642" s="3" t="s">
        <v>3804</v>
      </c>
      <c r="Q1642" s="3" t="s">
        <v>3805</v>
      </c>
      <c r="R1642" s="3" t="s">
        <v>68</v>
      </c>
      <c r="S1642" s="3" t="s">
        <v>369</v>
      </c>
    </row>
    <row r="1643" spans="1:19">
      <c r="A1643" s="3">
        <v>1793</v>
      </c>
      <c r="B1643" s="3" t="b">
        <f>ISNUMBER(MATCH(A1643,[1]stockregister!$A$2:$A$2000,0))</f>
        <v>1</v>
      </c>
      <c r="C1643" s="3" t="s">
        <v>3806</v>
      </c>
      <c r="D1643" s="3" t="str">
        <f>VLOOKUP($C1643,[1]stockregister!$B$2:$B$2000,1,0)</f>
        <v>SIMONSIG CAB SAUV MERLOT 750ml</v>
      </c>
      <c r="E1643" s="3" t="str">
        <f>IF(ISNA($D1643),VLOOKUP($A1643,[2]stockregister!$A$2:$B$2000,2,FALSE),"")</f>
        <v/>
      </c>
      <c r="F1643" s="3" t="s">
        <v>21</v>
      </c>
      <c r="G1643" s="3">
        <f>_xlfn.IFNA(VLOOKUP($A1643,[3]stockregister!$A$2:$L$2000,11,0),0)</f>
        <v>0</v>
      </c>
      <c r="H1643" s="3">
        <f>_xlfn.IFNA(VLOOKUP($A1643,[3]stockregister!$A$2:$L$2000,11,0),0)-$G1643</f>
        <v>0</v>
      </c>
      <c r="I1643" s="3">
        <f>_xlfn.IFNA(VLOOKUP($A1643,[3]stockregister!$A$2:$L$2000,12,0),0)</f>
        <v>1610</v>
      </c>
      <c r="J1643" s="3">
        <f>_xlfn.IFNA(VLOOKUP($A1643,[3]stockregister!$A$1:$M$2000,12,0),0)-$I1643</f>
        <v>0</v>
      </c>
      <c r="K1643" s="3" t="s">
        <v>22</v>
      </c>
      <c r="L1643" s="3" t="s">
        <v>23</v>
      </c>
      <c r="M1643" s="3">
        <f>_xlfn.IFNA(VLOOKUP($A1643,[2]stockregister!$A$2:$H$2000,8,0),0)</f>
        <v>1750</v>
      </c>
      <c r="N1643" s="3">
        <f>_xlfn.IFNA(VLOOKUP($A1643,[2]stockregister!$A$2:$H$2000,8,0),0)-$M1643</f>
        <v>0</v>
      </c>
      <c r="O1643" s="3" t="s">
        <v>3807</v>
      </c>
      <c r="P1643" s="3" t="s">
        <v>3807</v>
      </c>
      <c r="Q1643" s="3" t="s">
        <v>3582</v>
      </c>
      <c r="R1643" s="3" t="s">
        <v>68</v>
      </c>
      <c r="S1643" s="3" t="s">
        <v>369</v>
      </c>
    </row>
    <row r="1644" spans="1:19">
      <c r="A1644" s="3">
        <v>2070</v>
      </c>
      <c r="B1644" s="3" t="b">
        <f>ISNUMBER(MATCH(A1644,[1]stockregister!$A$2:$A$2000,0))</f>
        <v>1</v>
      </c>
      <c r="C1644" s="3" t="s">
        <v>3808</v>
      </c>
      <c r="D1644" s="3" t="str">
        <f>VLOOKUP($C1644,[1]stockregister!$B$2:$B$2000,1,0)</f>
        <v>WARWICK 750ML</v>
      </c>
      <c r="E1644" s="3" t="str">
        <f>IF(ISNA($D1644),VLOOKUP($A1644,[2]stockregister!$A$2:$B$2000,2,FALSE),"")</f>
        <v/>
      </c>
      <c r="F1644" s="3" t="s">
        <v>21</v>
      </c>
      <c r="G1644" s="3">
        <f>_xlfn.IFNA(VLOOKUP($A1644,[3]stockregister!$A$2:$L$2000,11,0),0)</f>
        <v>0</v>
      </c>
      <c r="H1644" s="3">
        <f>_xlfn.IFNA(VLOOKUP($A1644,[3]stockregister!$A$2:$L$2000,11,0),0)-$G1644</f>
        <v>0</v>
      </c>
      <c r="I1644" s="3">
        <f>_xlfn.IFNA(VLOOKUP($A1644,[3]stockregister!$A$2:$L$2000,12,0),0)</f>
        <v>1104</v>
      </c>
      <c r="J1644" s="3">
        <f>_xlfn.IFNA(VLOOKUP($A1644,[3]stockregister!$A$1:$M$2000,12,0),0)-$I1644</f>
        <v>0</v>
      </c>
      <c r="K1644" s="3" t="s">
        <v>22</v>
      </c>
      <c r="L1644" s="3" t="s">
        <v>23</v>
      </c>
      <c r="M1644" s="3">
        <f>_xlfn.IFNA(VLOOKUP($A1644,[2]stockregister!$A$2:$H$2000,8,0),0)</f>
        <v>1200</v>
      </c>
      <c r="N1644" s="3">
        <f>_xlfn.IFNA(VLOOKUP($A1644,[2]stockregister!$A$2:$H$2000,8,0),0)-$M1644</f>
        <v>0</v>
      </c>
      <c r="O1644" s="3" t="s">
        <v>3809</v>
      </c>
      <c r="P1644" s="3" t="s">
        <v>3809</v>
      </c>
      <c r="Q1644" s="3" t="s">
        <v>3810</v>
      </c>
      <c r="R1644" s="3" t="s">
        <v>68</v>
      </c>
      <c r="S1644" s="3" t="s">
        <v>369</v>
      </c>
    </row>
    <row r="1645" spans="1:19">
      <c r="A1645" s="3">
        <v>126</v>
      </c>
      <c r="B1645" s="3" t="b">
        <f>ISNUMBER(MATCH(A1645,[1]stockregister!$A$2:$A$2000,0))</f>
        <v>1</v>
      </c>
      <c r="C1645" s="3" t="s">
        <v>3811</v>
      </c>
      <c r="D1645" s="3" t="str">
        <f>VLOOKUP($C1645,[1]stockregister!$B$2:$B$2000,1,0)</f>
        <v>ASCONI WINERY MERLOT 700ML</v>
      </c>
      <c r="E1645" s="3" t="str">
        <f>IF(ISNA($D1645),VLOOKUP($A1645,[2]stockregister!$A$2:$B$2000,2,FALSE),"")</f>
        <v/>
      </c>
      <c r="F1645" s="3" t="s">
        <v>21</v>
      </c>
      <c r="G1645" s="3">
        <f>_xlfn.IFNA(VLOOKUP($A1645,[3]stockregister!$A$2:$L$2000,11,0),0)</f>
        <v>0</v>
      </c>
      <c r="H1645" s="3">
        <f>_xlfn.IFNA(VLOOKUP($A1645,[3]stockregister!$A$2:$L$2000,11,0),0)-$G1645</f>
        <v>0</v>
      </c>
      <c r="I1645" s="3">
        <f>_xlfn.IFNA(VLOOKUP($A1645,[3]stockregister!$A$2:$L$2000,12,0),0)</f>
        <v>1334</v>
      </c>
      <c r="J1645" s="3">
        <f>_xlfn.IFNA(VLOOKUP($A1645,[3]stockregister!$A$1:$M$2000,12,0),0)-$I1645</f>
        <v>0</v>
      </c>
      <c r="K1645" s="3" t="s">
        <v>22</v>
      </c>
      <c r="L1645" s="3" t="s">
        <v>23</v>
      </c>
      <c r="M1645" s="3">
        <f>_xlfn.IFNA(VLOOKUP($A1645,[2]stockregister!$A$2:$H$2000,8,0),0)</f>
        <v>1450</v>
      </c>
      <c r="N1645" s="3">
        <f>_xlfn.IFNA(VLOOKUP($A1645,[2]stockregister!$A$2:$H$2000,8,0),0)-$M1645</f>
        <v>0</v>
      </c>
      <c r="O1645" s="3" t="s">
        <v>3812</v>
      </c>
      <c r="P1645" s="3" t="s">
        <v>3812</v>
      </c>
      <c r="Q1645" s="3" t="s">
        <v>966</v>
      </c>
      <c r="R1645" s="3" t="s">
        <v>68</v>
      </c>
      <c r="S1645" s="3" t="s">
        <v>369</v>
      </c>
    </row>
    <row r="1646" spans="1:19">
      <c r="A1646" s="3">
        <v>775</v>
      </c>
      <c r="B1646" s="3" t="b">
        <f>ISNUMBER(MATCH(A1646,[1]stockregister!$A$2:$A$2000,0))</f>
        <v>1</v>
      </c>
      <c r="C1646" s="3" t="s">
        <v>3813</v>
      </c>
      <c r="D1646" s="3" t="str">
        <f>VLOOKUP($C1646,[1]stockregister!$B$2:$B$2000,1,0)</f>
        <v>FRANSCHHOEK CELLAR MERLOT 750ML</v>
      </c>
      <c r="E1646" s="3" t="str">
        <f>IF(ISNA($D1646),VLOOKUP($A1646,[2]stockregister!$A$2:$B$2000,2,FALSE),"")</f>
        <v/>
      </c>
      <c r="F1646" s="3" t="s">
        <v>21</v>
      </c>
      <c r="G1646" s="3">
        <f>_xlfn.IFNA(VLOOKUP($A1646,[3]stockregister!$A$2:$L$2000,11,0),0)</f>
        <v>0</v>
      </c>
      <c r="H1646" s="3">
        <f>_xlfn.IFNA(VLOOKUP($A1646,[3]stockregister!$A$2:$L$2000,11,0),0)-$G1646</f>
        <v>0</v>
      </c>
      <c r="I1646" s="3">
        <f>_xlfn.IFNA(VLOOKUP($A1646,[3]stockregister!$A$2:$L$2000,12,0),0)</f>
        <v>1104</v>
      </c>
      <c r="J1646" s="3">
        <f>_xlfn.IFNA(VLOOKUP($A1646,[3]stockregister!$A$1:$M$2000,12,0),0)-$I1646</f>
        <v>0</v>
      </c>
      <c r="K1646" s="3" t="s">
        <v>22</v>
      </c>
      <c r="L1646" s="3" t="s">
        <v>23</v>
      </c>
      <c r="M1646" s="3">
        <f>_xlfn.IFNA(VLOOKUP($A1646,[2]stockregister!$A$2:$H$2000,8,0),0)</f>
        <v>1200</v>
      </c>
      <c r="N1646" s="3">
        <f>_xlfn.IFNA(VLOOKUP($A1646,[2]stockregister!$A$2:$H$2000,8,0),0)-$M1646</f>
        <v>0</v>
      </c>
      <c r="O1646" s="3" t="s">
        <v>3814</v>
      </c>
      <c r="P1646" s="3" t="s">
        <v>3814</v>
      </c>
      <c r="Q1646" s="3" t="s">
        <v>3815</v>
      </c>
      <c r="R1646" s="3" t="s">
        <v>68</v>
      </c>
      <c r="S1646" s="3" t="s">
        <v>369</v>
      </c>
    </row>
    <row r="1647" spans="1:19">
      <c r="A1647" s="3">
        <v>1683</v>
      </c>
      <c r="B1647" s="3" t="b">
        <f>ISNUMBER(MATCH(A1647,[1]stockregister!$A$2:$A$2000,0))</f>
        <v>1</v>
      </c>
      <c r="C1647" s="3" t="s">
        <v>3816</v>
      </c>
      <c r="D1647" s="3" t="str">
        <f>VLOOKUP($C1647,[1]stockregister!$B$2:$B$2000,1,0)</f>
        <v>ROCHE MAZET MERLOT</v>
      </c>
      <c r="E1647" s="3" t="str">
        <f>IF(ISNA($D1647),VLOOKUP($A1647,[2]stockregister!$A$2:$B$2000,2,FALSE),"")</f>
        <v/>
      </c>
      <c r="F1647" s="3" t="s">
        <v>21</v>
      </c>
      <c r="G1647" s="3">
        <f>_xlfn.IFNA(VLOOKUP($A1647,[3]stockregister!$A$2:$L$2000,11,0),0)</f>
        <v>0</v>
      </c>
      <c r="H1647" s="3">
        <f>_xlfn.IFNA(VLOOKUP($A1647,[3]stockregister!$A$2:$L$2000,11,0),0)-$G1647</f>
        <v>0</v>
      </c>
      <c r="I1647" s="3">
        <f>_xlfn.IFNA(VLOOKUP($A1647,[3]stockregister!$A$2:$L$2000,12,0),0)</f>
        <v>1104</v>
      </c>
      <c r="J1647" s="3">
        <f>_xlfn.IFNA(VLOOKUP($A1647,[3]stockregister!$A$1:$M$2000,12,0),0)-$I1647</f>
        <v>0</v>
      </c>
      <c r="K1647" s="3" t="s">
        <v>22</v>
      </c>
      <c r="L1647" s="3" t="s">
        <v>23</v>
      </c>
      <c r="M1647" s="3">
        <f>_xlfn.IFNA(VLOOKUP($A1647,[2]stockregister!$A$2:$H$2000,8,0),0)</f>
        <v>1200</v>
      </c>
      <c r="N1647" s="3">
        <f>_xlfn.IFNA(VLOOKUP($A1647,[2]stockregister!$A$2:$H$2000,8,0),0)-$M1647</f>
        <v>0</v>
      </c>
      <c r="O1647" s="3" t="s">
        <v>3817</v>
      </c>
      <c r="P1647" s="3" t="s">
        <v>3817</v>
      </c>
      <c r="Q1647" s="3" t="s">
        <v>874</v>
      </c>
      <c r="R1647" s="3" t="s">
        <v>68</v>
      </c>
      <c r="S1647" s="3" t="s">
        <v>369</v>
      </c>
    </row>
    <row r="1648" spans="1:19">
      <c r="A1648" s="3">
        <v>2254</v>
      </c>
      <c r="B1648" s="3" t="b">
        <f>ISNUMBER(MATCH(A1648,[1]stockregister!$A$2:$A$2000,0))</f>
        <v>1</v>
      </c>
      <c r="C1648" s="3" t="s">
        <v>3818</v>
      </c>
      <c r="D1648" s="3" t="str">
        <f>VLOOKUP($C1648,[1]stockregister!$B$2:$B$2000,1,0)</f>
        <v>TOMMASI MERLOT 750ML</v>
      </c>
      <c r="E1648" s="3" t="str">
        <f>IF(ISNA($D1648),VLOOKUP($A1648,[2]stockregister!$A$2:$B$2000,2,FALSE),"")</f>
        <v/>
      </c>
      <c r="F1648" s="3" t="s">
        <v>21</v>
      </c>
      <c r="G1648" s="3">
        <f>_xlfn.IFNA(VLOOKUP($A1648,[3]stockregister!$A$2:$L$2000,11,0),0)</f>
        <v>0</v>
      </c>
      <c r="H1648" s="3">
        <f>_xlfn.IFNA(VLOOKUP($A1648,[3]stockregister!$A$2:$L$2000,11,0),0)-$G1648</f>
        <v>0</v>
      </c>
      <c r="I1648" s="3">
        <f>_xlfn.IFNA(VLOOKUP($A1648,[3]stockregister!$A$2:$L$2000,12,0),0)</f>
        <v>1700</v>
      </c>
      <c r="J1648" s="3">
        <f>_xlfn.IFNA(VLOOKUP($A1648,[3]stockregister!$A$1:$M$2000,12,0),0)-$I1648</f>
        <v>0</v>
      </c>
      <c r="K1648" s="3" t="s">
        <v>22</v>
      </c>
      <c r="L1648" s="3" t="s">
        <v>23</v>
      </c>
      <c r="M1648" s="3">
        <f>_xlfn.IFNA(VLOOKUP($A1648,[2]stockregister!$A$2:$H$2000,8,0),0)</f>
        <v>1800</v>
      </c>
      <c r="N1648" s="3">
        <f>_xlfn.IFNA(VLOOKUP($A1648,[2]stockregister!$A$2:$H$2000,8,0),0)-$M1648</f>
        <v>0</v>
      </c>
      <c r="O1648" s="3" t="s">
        <v>3819</v>
      </c>
      <c r="P1648" s="3" t="s">
        <v>3819</v>
      </c>
      <c r="Q1648" s="3" t="s">
        <v>1415</v>
      </c>
      <c r="R1648" s="3" t="s">
        <v>68</v>
      </c>
      <c r="S1648" s="3" t="s">
        <v>369</v>
      </c>
    </row>
    <row r="1649" spans="1:19">
      <c r="A1649" s="3">
        <v>177</v>
      </c>
      <c r="B1649" s="3" t="b">
        <f>ISNUMBER(MATCH(A1649,[1]stockregister!$A$2:$A$2000,0))</f>
        <v>1</v>
      </c>
      <c r="C1649" s="3" t="s">
        <v>3820</v>
      </c>
      <c r="D1649" s="3" t="str">
        <f>VLOOKUP($C1649,[1]stockregister!$B$2:$B$2000,1,0)</f>
        <v>BAREFOOT MERLOT 750ML</v>
      </c>
      <c r="E1649" s="3" t="str">
        <f>IF(ISNA($D1649),VLOOKUP($A1649,[2]stockregister!$A$2:$B$2000,2,FALSE),"")</f>
        <v/>
      </c>
      <c r="F1649" s="3" t="s">
        <v>21</v>
      </c>
      <c r="G1649" s="3">
        <f>_xlfn.IFNA(VLOOKUP($A1649,[3]stockregister!$A$2:$L$2000,11,0),0)</f>
        <v>0</v>
      </c>
      <c r="H1649" s="3">
        <f>_xlfn.IFNA(VLOOKUP($A1649,[3]stockregister!$A$2:$L$2000,11,0),0)-$G1649</f>
        <v>0</v>
      </c>
      <c r="I1649" s="3">
        <f>_xlfn.IFNA(VLOOKUP($A1649,[3]stockregister!$A$2:$L$2000,12,0),0)</f>
        <v>1104</v>
      </c>
      <c r="J1649" s="3">
        <f>_xlfn.IFNA(VLOOKUP($A1649,[3]stockregister!$A$1:$M$2000,12,0),0)-$I1649</f>
        <v>0</v>
      </c>
      <c r="K1649" s="3" t="s">
        <v>22</v>
      </c>
      <c r="L1649" s="3" t="s">
        <v>23</v>
      </c>
      <c r="M1649" s="3">
        <f>_xlfn.IFNA(VLOOKUP($A1649,[2]stockregister!$A$2:$H$2000,8,0),0)</f>
        <v>1200</v>
      </c>
      <c r="N1649" s="3">
        <f>_xlfn.IFNA(VLOOKUP($A1649,[2]stockregister!$A$2:$H$2000,8,0),0)-$M1649</f>
        <v>0</v>
      </c>
      <c r="O1649" s="3" t="s">
        <v>3821</v>
      </c>
      <c r="P1649" s="3" t="s">
        <v>3821</v>
      </c>
      <c r="Q1649" s="3" t="s">
        <v>1787</v>
      </c>
      <c r="R1649" s="3" t="s">
        <v>537</v>
      </c>
      <c r="S1649" s="3" t="s">
        <v>369</v>
      </c>
    </row>
    <row r="1650" spans="1:19">
      <c r="A1650" s="3">
        <v>2182</v>
      </c>
      <c r="B1650" s="3" t="b">
        <f>ISNUMBER(MATCH(A1650,[1]stockregister!$A$2:$A$2000,0))</f>
        <v>1</v>
      </c>
      <c r="C1650" s="3" t="s">
        <v>3822</v>
      </c>
      <c r="D1650" s="3" t="str">
        <f>VLOOKUP($C1650,[1]stockregister!$B$2:$B$2000,1,0)</f>
        <v>CASTILLO DEL DIABLO MERLOT 750ML</v>
      </c>
      <c r="E1650" s="3" t="str">
        <f>IF(ISNA($D1650),VLOOKUP($A1650,[2]stockregister!$A$2:$B$2000,2,FALSE),"")</f>
        <v/>
      </c>
      <c r="F1650" s="3" t="s">
        <v>21</v>
      </c>
      <c r="G1650" s="3">
        <f>_xlfn.IFNA(VLOOKUP($A1650,[3]stockregister!$A$2:$L$2000,11,0),0)</f>
        <v>0</v>
      </c>
      <c r="H1650" s="3">
        <f>_xlfn.IFNA(VLOOKUP($A1650,[3]stockregister!$A$2:$L$2000,11,0),0)-$G1650</f>
        <v>0</v>
      </c>
      <c r="I1650" s="3">
        <f>_xlfn.IFNA(VLOOKUP($A1650,[3]stockregister!$A$2:$L$2000,12,0),0)</f>
        <v>1400</v>
      </c>
      <c r="J1650" s="3">
        <f>_xlfn.IFNA(VLOOKUP($A1650,[3]stockregister!$A$1:$M$2000,12,0),0)-$I1650</f>
        <v>0</v>
      </c>
      <c r="K1650" s="3" t="s">
        <v>22</v>
      </c>
      <c r="L1650" s="3" t="s">
        <v>23</v>
      </c>
      <c r="M1650" s="3">
        <f>_xlfn.IFNA(VLOOKUP($A1650,[2]stockregister!$A$2:$H$2000,8,0),0)</f>
        <v>1500</v>
      </c>
      <c r="N1650" s="3">
        <f>_xlfn.IFNA(VLOOKUP($A1650,[2]stockregister!$A$2:$H$2000,8,0),0)-$M1650</f>
        <v>0</v>
      </c>
      <c r="O1650" s="3" t="s">
        <v>3823</v>
      </c>
      <c r="P1650" s="3" t="s">
        <v>3823</v>
      </c>
      <c r="Q1650" s="3" t="s">
        <v>3668</v>
      </c>
      <c r="R1650" s="3" t="s">
        <v>537</v>
      </c>
      <c r="S1650" s="3" t="s">
        <v>369</v>
      </c>
    </row>
    <row r="1651" spans="1:19">
      <c r="A1651" s="3">
        <v>2601</v>
      </c>
      <c r="B1651" s="3" t="b">
        <f>ISNUMBER(MATCH(A1651,[1]stockregister!$A$2:$A$2000,0))</f>
        <v>1</v>
      </c>
      <c r="C1651" s="3" t="s">
        <v>614</v>
      </c>
      <c r="D1651" s="3" t="str">
        <f>VLOOKUP($C1651,[1]stockregister!$B$2:$B$2000,1,0)</f>
        <v> EXPRESSION MOJITO 750ML</v>
      </c>
      <c r="E1651" s="3" t="str">
        <f>IF(ISNA($D1651),VLOOKUP($A1651,[2]stockregister!$A$2:$B$2000,2,FALSE),"")</f>
        <v/>
      </c>
      <c r="F1651" s="3" t="s">
        <v>21</v>
      </c>
      <c r="G1651" s="3">
        <f>_xlfn.IFNA(VLOOKUP($A1651,[3]stockregister!$A$2:$L$2000,11,0),0)</f>
        <v>0</v>
      </c>
      <c r="H1651" s="3">
        <f>_xlfn.IFNA(VLOOKUP($A1651,[3]stockregister!$A$2:$L$2000,11,0),0)-$G1651</f>
        <v>0</v>
      </c>
      <c r="I1651" s="3">
        <f>_xlfn.IFNA(VLOOKUP($A1651,[3]stockregister!$A$2:$L$2000,12,0),0)</f>
        <v>1200</v>
      </c>
      <c r="J1651" s="3">
        <f>_xlfn.IFNA(VLOOKUP($A1651,[3]stockregister!$A$1:$M$2000,12,0),0)-$I1651</f>
        <v>0</v>
      </c>
      <c r="K1651" s="3" t="s">
        <v>22</v>
      </c>
      <c r="L1651" s="3" t="s">
        <v>23</v>
      </c>
      <c r="M1651" s="3">
        <f>_xlfn.IFNA(VLOOKUP($A1651,[2]stockregister!$A$2:$H$2000,8,0),0)</f>
        <v>1250</v>
      </c>
      <c r="N1651" s="3">
        <f>_xlfn.IFNA(VLOOKUP($A1651,[2]stockregister!$A$2:$H$2000,8,0),0)-$M1651</f>
        <v>0</v>
      </c>
      <c r="O1651" s="3" t="s">
        <v>3824</v>
      </c>
      <c r="P1651" s="3" t="s">
        <v>3824</v>
      </c>
      <c r="Q1651" s="3" t="s">
        <v>925</v>
      </c>
      <c r="R1651" s="3" t="s">
        <v>537</v>
      </c>
      <c r="S1651" s="3" t="s">
        <v>3825</v>
      </c>
    </row>
    <row r="1652" spans="1:19">
      <c r="A1652" s="3">
        <v>2217</v>
      </c>
      <c r="B1652" s="3" t="b">
        <f>ISNUMBER(MATCH(A1652,[1]stockregister!$A$2:$A$2000,0))</f>
        <v>1</v>
      </c>
      <c r="C1652" s="3" t="s">
        <v>3826</v>
      </c>
      <c r="D1652" s="3" t="str">
        <f>VLOOKUP($C1652,[1]stockregister!$B$2:$B$2000,1,0)</f>
        <v>EXPRESSION MOSCATO 750ML</v>
      </c>
      <c r="E1652" s="3" t="str">
        <f>IF(ISNA($D1652),VLOOKUP($A1652,[2]stockregister!$A$2:$B$2000,2,FALSE),"")</f>
        <v/>
      </c>
      <c r="F1652" s="3" t="s">
        <v>21</v>
      </c>
      <c r="G1652" s="3">
        <f>_xlfn.IFNA(VLOOKUP($A1652,[3]stockregister!$A$2:$L$2000,11,0),0)</f>
        <v>0</v>
      </c>
      <c r="H1652" s="3">
        <f>_xlfn.IFNA(VLOOKUP($A1652,[3]stockregister!$A$2:$L$2000,11,0),0)-$G1652</f>
        <v>0</v>
      </c>
      <c r="I1652" s="3">
        <f>_xlfn.IFNA(VLOOKUP($A1652,[3]stockregister!$A$2:$L$2000,12,0),0)</f>
        <v>1300</v>
      </c>
      <c r="J1652" s="3">
        <f>_xlfn.IFNA(VLOOKUP($A1652,[3]stockregister!$A$1:$M$2000,12,0),0)-$I1652</f>
        <v>0</v>
      </c>
      <c r="K1652" s="3" t="s">
        <v>22</v>
      </c>
      <c r="L1652" s="3" t="s">
        <v>23</v>
      </c>
      <c r="M1652" s="3">
        <f>_xlfn.IFNA(VLOOKUP($A1652,[2]stockregister!$A$2:$H$2000,8,0),0)</f>
        <v>1400</v>
      </c>
      <c r="N1652" s="3">
        <f>_xlfn.IFNA(VLOOKUP($A1652,[2]stockregister!$A$2:$H$2000,8,0),0)-$M1652</f>
        <v>0</v>
      </c>
      <c r="O1652" s="3" t="s">
        <v>3827</v>
      </c>
      <c r="P1652" s="3" t="s">
        <v>3827</v>
      </c>
      <c r="Q1652" s="3" t="s">
        <v>3828</v>
      </c>
      <c r="R1652" s="3" t="s">
        <v>68</v>
      </c>
      <c r="S1652" s="3" t="s">
        <v>969</v>
      </c>
    </row>
    <row r="1653" spans="1:19">
      <c r="A1653" s="3">
        <v>121</v>
      </c>
      <c r="B1653" s="3" t="b">
        <f>ISNUMBER(MATCH(A1653,[1]stockregister!$A$2:$A$2000,0))</f>
        <v>1</v>
      </c>
      <c r="C1653" s="3" t="s">
        <v>3829</v>
      </c>
      <c r="D1653" s="3" t="str">
        <f>VLOOKUP($C1653,[1]stockregister!$B$2:$B$2000,1,0)</f>
        <v>ASCONI MOSCATO 750ML</v>
      </c>
      <c r="E1653" s="3" t="str">
        <f>IF(ISNA($D1653),VLOOKUP($A1653,[2]stockregister!$A$2:$B$2000,2,FALSE),"")</f>
        <v/>
      </c>
      <c r="F1653" s="3" t="s">
        <v>21</v>
      </c>
      <c r="G1653" s="3">
        <f>_xlfn.IFNA(VLOOKUP($A1653,[3]stockregister!$A$2:$L$2000,11,0),0)</f>
        <v>0</v>
      </c>
      <c r="H1653" s="3">
        <f>_xlfn.IFNA(VLOOKUP($A1653,[3]stockregister!$A$2:$L$2000,11,0),0)-$G1653</f>
        <v>0</v>
      </c>
      <c r="I1653" s="3">
        <f>_xlfn.IFNA(VLOOKUP($A1653,[3]stockregister!$A$2:$L$2000,12,0),0)</f>
        <v>1550</v>
      </c>
      <c r="J1653" s="3">
        <f>_xlfn.IFNA(VLOOKUP($A1653,[3]stockregister!$A$1:$M$2000,12,0),0)-$I1653</f>
        <v>0</v>
      </c>
      <c r="K1653" s="3" t="s">
        <v>22</v>
      </c>
      <c r="L1653" s="3" t="s">
        <v>23</v>
      </c>
      <c r="M1653" s="3">
        <f>_xlfn.IFNA(VLOOKUP($A1653,[2]stockregister!$A$2:$H$2000,8,0),0)</f>
        <v>1630</v>
      </c>
      <c r="N1653" s="3">
        <f>_xlfn.IFNA(VLOOKUP($A1653,[2]stockregister!$A$2:$H$2000,8,0),0)-$M1653</f>
        <v>0</v>
      </c>
      <c r="O1653" s="3" t="s">
        <v>3830</v>
      </c>
      <c r="P1653" s="3" t="s">
        <v>3830</v>
      </c>
      <c r="Q1653" s="3" t="s">
        <v>966</v>
      </c>
      <c r="R1653" s="3" t="s">
        <v>68</v>
      </c>
      <c r="S1653" s="3" t="s">
        <v>969</v>
      </c>
    </row>
    <row r="1654" spans="1:19">
      <c r="A1654" s="3">
        <v>127</v>
      </c>
      <c r="B1654" s="3" t="b">
        <f>ISNUMBER(MATCH(A1654,[1]stockregister!$A$2:$A$2000,0))</f>
        <v>1</v>
      </c>
      <c r="C1654" s="3" t="s">
        <v>3831</v>
      </c>
      <c r="D1654" s="3" t="str">
        <f>VLOOKUP($C1654,[1]stockregister!$B$2:$B$2000,1,0)</f>
        <v>ASCONI WINERY MOSCAT 700ML</v>
      </c>
      <c r="E1654" s="3" t="str">
        <f>IF(ISNA($D1654),VLOOKUP($A1654,[2]stockregister!$A$2:$B$2000,2,FALSE),"")</f>
        <v/>
      </c>
      <c r="F1654" s="3" t="s">
        <v>21</v>
      </c>
      <c r="G1654" s="3">
        <f>_xlfn.IFNA(VLOOKUP($A1654,[3]stockregister!$A$2:$L$2000,11,0),0)</f>
        <v>0</v>
      </c>
      <c r="H1654" s="3">
        <f>_xlfn.IFNA(VLOOKUP($A1654,[3]stockregister!$A$2:$L$2000,11,0),0)-$G1654</f>
        <v>0</v>
      </c>
      <c r="I1654" s="3">
        <f>_xlfn.IFNA(VLOOKUP($A1654,[3]stockregister!$A$2:$L$2000,12,0),0)</f>
        <v>1334</v>
      </c>
      <c r="J1654" s="3">
        <f>_xlfn.IFNA(VLOOKUP($A1654,[3]stockregister!$A$1:$M$2000,12,0),0)-$I1654</f>
        <v>0</v>
      </c>
      <c r="K1654" s="3" t="s">
        <v>22</v>
      </c>
      <c r="L1654" s="3" t="s">
        <v>23</v>
      </c>
      <c r="M1654" s="3">
        <f>_xlfn.IFNA(VLOOKUP($A1654,[2]stockregister!$A$2:$H$2000,8,0),0)</f>
        <v>1450</v>
      </c>
      <c r="N1654" s="3">
        <f>_xlfn.IFNA(VLOOKUP($A1654,[2]stockregister!$A$2:$H$2000,8,0),0)-$M1654</f>
        <v>0</v>
      </c>
      <c r="O1654" s="3" t="s">
        <v>3832</v>
      </c>
      <c r="P1654" s="3" t="s">
        <v>3832</v>
      </c>
      <c r="Q1654" s="3" t="s">
        <v>966</v>
      </c>
      <c r="R1654" s="3" t="s">
        <v>68</v>
      </c>
      <c r="S1654" s="3" t="s">
        <v>969</v>
      </c>
    </row>
    <row r="1655" spans="1:19">
      <c r="A1655" s="3">
        <v>2525</v>
      </c>
      <c r="B1655" s="3" t="b">
        <f>ISNUMBER(MATCH(A1655,[1]stockregister!$A$2:$A$2000,0))</f>
        <v>1</v>
      </c>
      <c r="C1655" s="3" t="s">
        <v>3833</v>
      </c>
      <c r="D1655" s="3" t="str">
        <f>VLOOKUP($C1655,[1]stockregister!$B$2:$B$2000,1,0)</f>
        <v>VINUM MOSCATO DASTI 750ML</v>
      </c>
      <c r="E1655" s="3" t="str">
        <f>IF(ISNA($D1655),VLOOKUP($A1655,[2]stockregister!$A$2:$B$2000,2,FALSE),"")</f>
        <v/>
      </c>
      <c r="F1655" s="3" t="s">
        <v>21</v>
      </c>
      <c r="G1655" s="3">
        <f>_xlfn.IFNA(VLOOKUP($A1655,[3]stockregister!$A$2:$L$2000,11,0),0)</f>
        <v>0</v>
      </c>
      <c r="H1655" s="3">
        <f>_xlfn.IFNA(VLOOKUP($A1655,[3]stockregister!$A$2:$L$2000,11,0),0)-$G1655</f>
        <v>0</v>
      </c>
      <c r="I1655" s="3">
        <f>_xlfn.IFNA(VLOOKUP($A1655,[3]stockregister!$A$2:$L$2000,12,0),0)</f>
        <v>1959</v>
      </c>
      <c r="J1655" s="3">
        <f>_xlfn.IFNA(VLOOKUP($A1655,[3]stockregister!$A$1:$M$2000,12,0),0)-$I1655</f>
        <v>0</v>
      </c>
      <c r="K1655" s="3" t="s">
        <v>22</v>
      </c>
      <c r="L1655" s="3" t="s">
        <v>23</v>
      </c>
      <c r="M1655" s="3">
        <f>_xlfn.IFNA(VLOOKUP($A1655,[2]stockregister!$A$2:$H$2000,8,0),0)</f>
        <v>2150</v>
      </c>
      <c r="N1655" s="3">
        <f>_xlfn.IFNA(VLOOKUP($A1655,[2]stockregister!$A$2:$H$2000,8,0),0)-$M1655</f>
        <v>0</v>
      </c>
      <c r="O1655" s="3" t="s">
        <v>3834</v>
      </c>
      <c r="P1655" s="3" t="s">
        <v>3834</v>
      </c>
      <c r="Q1655" s="3" t="s">
        <v>3835</v>
      </c>
      <c r="R1655" s="3" t="s">
        <v>537</v>
      </c>
      <c r="S1655" s="3" t="s">
        <v>969</v>
      </c>
    </row>
    <row r="1656" spans="1:19">
      <c r="A1656" s="3">
        <v>2898</v>
      </c>
      <c r="B1656" s="3" t="b">
        <f>ISNUMBER(MATCH(A1656,[1]stockregister!$A$2:$A$2000,0))</f>
        <v>1</v>
      </c>
      <c r="C1656" s="3" t="s">
        <v>3836</v>
      </c>
      <c r="D1656" s="3" t="str">
        <f>VLOOKUP($C1656,[1]stockregister!$B$2:$B$2000,1,0)</f>
        <v>Asconi Sweet Flavored Peach White Wine</v>
      </c>
      <c r="E1656" s="3" t="str">
        <f>IF(ISNA($D1656),VLOOKUP($A1656,[2]stockregister!$A$2:$B$2000,2,FALSE),"")</f>
        <v/>
      </c>
      <c r="F1656" s="3" t="s">
        <v>21</v>
      </c>
      <c r="G1656" s="3">
        <f>_xlfn.IFNA(VLOOKUP($A1656,[3]stockregister!$A$2:$L$2000,11,0),0)</f>
        <v>0</v>
      </c>
      <c r="H1656" s="3">
        <f>_xlfn.IFNA(VLOOKUP($A1656,[3]stockregister!$A$2:$L$2000,11,0),0)-$G1656</f>
        <v>0</v>
      </c>
      <c r="I1656" s="3">
        <f>_xlfn.IFNA(VLOOKUP($A1656,[3]stockregister!$A$2:$L$2000,12,0),0)</f>
        <v>1530</v>
      </c>
      <c r="J1656" s="3">
        <f>_xlfn.IFNA(VLOOKUP($A1656,[3]stockregister!$A$1:$M$2000,12,0),0)-$I1656</f>
        <v>0</v>
      </c>
      <c r="K1656" s="3" t="s">
        <v>22</v>
      </c>
      <c r="L1656" s="3" t="s">
        <v>23</v>
      </c>
      <c r="M1656" s="3">
        <f>_xlfn.IFNA(VLOOKUP($A1656,[2]stockregister!$A$2:$H$2000,8,0),0)</f>
        <v>1630</v>
      </c>
      <c r="N1656" s="3">
        <f>_xlfn.IFNA(VLOOKUP($A1656,[2]stockregister!$A$2:$H$2000,8,0),0)-$M1656</f>
        <v>0</v>
      </c>
      <c r="O1656" s="3" t="s">
        <v>3837</v>
      </c>
      <c r="P1656" s="3" t="s">
        <v>3837</v>
      </c>
      <c r="Q1656" s="3" t="s">
        <v>966</v>
      </c>
      <c r="R1656" s="3" t="s">
        <v>537</v>
      </c>
      <c r="S1656" s="3" t="s">
        <v>647</v>
      </c>
    </row>
    <row r="1657" spans="1:19">
      <c r="A1657" s="3">
        <v>1144</v>
      </c>
      <c r="B1657" s="3" t="b">
        <f>ISNUMBER(MATCH(A1657,[1]stockregister!$A$2:$A$2000,0))</f>
        <v>1</v>
      </c>
      <c r="C1657" s="3" t="s">
        <v>3838</v>
      </c>
      <c r="D1657" s="3" t="str">
        <f>VLOOKUP($C1657,[1]stockregister!$B$2:$B$2000,1,0)</f>
        <v>JP CHENET FASHION PINEAPPLE 750ML</v>
      </c>
      <c r="E1657" s="3" t="str">
        <f>IF(ISNA($D1657),VLOOKUP($A1657,[2]stockregister!$A$2:$B$2000,2,FALSE),"")</f>
        <v/>
      </c>
      <c r="F1657" s="3" t="s">
        <v>21</v>
      </c>
      <c r="G1657" s="3">
        <f>_xlfn.IFNA(VLOOKUP($A1657,[3]stockregister!$A$2:$L$2000,11,0),0)</f>
        <v>0</v>
      </c>
      <c r="H1657" s="3">
        <f>_xlfn.IFNA(VLOOKUP($A1657,[3]stockregister!$A$2:$L$2000,11,0),0)-$G1657</f>
        <v>0</v>
      </c>
      <c r="I1657" s="3">
        <f>_xlfn.IFNA(VLOOKUP($A1657,[3]stockregister!$A$2:$L$2000,12,0),0)</f>
        <v>1104</v>
      </c>
      <c r="J1657" s="3">
        <f>_xlfn.IFNA(VLOOKUP($A1657,[3]stockregister!$A$1:$M$2000,12,0),0)-$I1657</f>
        <v>0</v>
      </c>
      <c r="K1657" s="3" t="s">
        <v>22</v>
      </c>
      <c r="L1657" s="3" t="s">
        <v>23</v>
      </c>
      <c r="M1657" s="3">
        <f>_xlfn.IFNA(VLOOKUP($A1657,[2]stockregister!$A$2:$H$2000,8,0),0)</f>
        <v>1200</v>
      </c>
      <c r="N1657" s="3">
        <f>_xlfn.IFNA(VLOOKUP($A1657,[2]stockregister!$A$2:$H$2000,8,0),0)-$M1657</f>
        <v>0</v>
      </c>
      <c r="O1657" s="3" t="s">
        <v>3839</v>
      </c>
      <c r="P1657" s="3" t="s">
        <v>3839</v>
      </c>
      <c r="Q1657" s="3" t="s">
        <v>2137</v>
      </c>
      <c r="R1657" s="3" t="s">
        <v>68</v>
      </c>
      <c r="S1657" s="3" t="s">
        <v>684</v>
      </c>
    </row>
    <row r="1658" spans="1:19">
      <c r="A1658" s="3">
        <v>2362</v>
      </c>
      <c r="B1658" s="3" t="b">
        <f>ISNUMBER(MATCH(A1658,[1]stockregister!$A$2:$A$2000,0))</f>
        <v>1</v>
      </c>
      <c r="C1658" s="3" t="s">
        <v>3840</v>
      </c>
      <c r="D1658" s="3" t="str">
        <f>VLOOKUP($C1658,[1]stockregister!$B$2:$B$2000,1,0)</f>
        <v>TOMMASI PINOT GRIGIO 750ML</v>
      </c>
      <c r="E1658" s="3" t="str">
        <f>IF(ISNA($D1658),VLOOKUP($A1658,[2]stockregister!$A$2:$B$2000,2,FALSE),"")</f>
        <v/>
      </c>
      <c r="F1658" s="3" t="s">
        <v>21</v>
      </c>
      <c r="G1658" s="3">
        <f>_xlfn.IFNA(VLOOKUP($A1658,[3]stockregister!$A$2:$L$2000,11,0),0)</f>
        <v>0</v>
      </c>
      <c r="H1658" s="3">
        <f>_xlfn.IFNA(VLOOKUP($A1658,[3]stockregister!$A$2:$L$2000,11,0),0)-$G1658</f>
        <v>0</v>
      </c>
      <c r="I1658" s="3">
        <f>_xlfn.IFNA(VLOOKUP($A1658,[3]stockregister!$A$2:$L$2000,12,0),0)</f>
        <v>2150</v>
      </c>
      <c r="J1658" s="3">
        <f>_xlfn.IFNA(VLOOKUP($A1658,[3]stockregister!$A$1:$M$2000,12,0),0)-$I1658</f>
        <v>0</v>
      </c>
      <c r="K1658" s="3" t="s">
        <v>22</v>
      </c>
      <c r="L1658" s="3" t="s">
        <v>23</v>
      </c>
      <c r="M1658" s="3">
        <f>_xlfn.IFNA(VLOOKUP($A1658,[2]stockregister!$A$2:$H$2000,8,0),0)</f>
        <v>2300</v>
      </c>
      <c r="N1658" s="3">
        <f>_xlfn.IFNA(VLOOKUP($A1658,[2]stockregister!$A$2:$H$2000,8,0),0)-$M1658</f>
        <v>0</v>
      </c>
      <c r="O1658" s="3" t="s">
        <v>3841</v>
      </c>
      <c r="P1658" s="3" t="s">
        <v>3841</v>
      </c>
      <c r="Q1658" s="3" t="s">
        <v>1415</v>
      </c>
      <c r="R1658" s="3" t="s">
        <v>537</v>
      </c>
      <c r="S1658" s="3" t="s">
        <v>3842</v>
      </c>
    </row>
    <row r="1659" spans="1:19">
      <c r="A1659" s="3">
        <v>2079</v>
      </c>
      <c r="B1659" s="3" t="b">
        <f>ISNUMBER(MATCH(A1659,[1]stockregister!$A$2:$A$2000,0))</f>
        <v>1</v>
      </c>
      <c r="C1659" s="3" t="s">
        <v>3843</v>
      </c>
      <c r="D1659" s="3" t="str">
        <f>VLOOKUP($C1659,[1]stockregister!$B$2:$B$2000,1,0)</f>
        <v>WELMOED PINOT GRIGIO 750ML</v>
      </c>
      <c r="E1659" s="3" t="str">
        <f>IF(ISNA($D1659),VLOOKUP($A1659,[2]stockregister!$A$2:$B$2000,2,FALSE),"")</f>
        <v/>
      </c>
      <c r="F1659" s="3" t="s">
        <v>21</v>
      </c>
      <c r="G1659" s="3">
        <f>_xlfn.IFNA(VLOOKUP($A1659,[3]stockregister!$A$2:$L$2000,11,0),0)</f>
        <v>0</v>
      </c>
      <c r="H1659" s="3">
        <f>_xlfn.IFNA(VLOOKUP($A1659,[3]stockregister!$A$2:$L$2000,11,0),0)-$G1659</f>
        <v>0</v>
      </c>
      <c r="I1659" s="3">
        <f>_xlfn.IFNA(VLOOKUP($A1659,[3]stockregister!$A$2:$L$2000,12,0),0)</f>
        <v>1320</v>
      </c>
      <c r="J1659" s="3">
        <f>_xlfn.IFNA(VLOOKUP($A1659,[3]stockregister!$A$1:$M$2000,12,0),0)-$I1659</f>
        <v>0</v>
      </c>
      <c r="K1659" s="3" t="s">
        <v>22</v>
      </c>
      <c r="L1659" s="3" t="s">
        <v>23</v>
      </c>
      <c r="M1659" s="3">
        <f>_xlfn.IFNA(VLOOKUP($A1659,[2]stockregister!$A$2:$H$2000,8,0),0)</f>
        <v>1200</v>
      </c>
      <c r="N1659" s="3">
        <f>_xlfn.IFNA(VLOOKUP($A1659,[2]stockregister!$A$2:$H$2000,8,0),0)-$M1659</f>
        <v>0</v>
      </c>
      <c r="O1659" s="3" t="s">
        <v>3844</v>
      </c>
      <c r="P1659" s="3" t="s">
        <v>3844</v>
      </c>
      <c r="Q1659" s="3" t="s">
        <v>1296</v>
      </c>
      <c r="R1659" s="3" t="s">
        <v>68</v>
      </c>
      <c r="S1659" s="3" t="s">
        <v>3842</v>
      </c>
    </row>
    <row r="1660" spans="1:19">
      <c r="A1660" s="3">
        <v>1365</v>
      </c>
      <c r="B1660" s="3" t="b">
        <f>ISNUMBER(MATCH(A1660,[1]stockregister!$A$2:$A$2000,0))</f>
        <v>1</v>
      </c>
      <c r="C1660" s="3" t="s">
        <v>3845</v>
      </c>
      <c r="D1660" s="3" t="str">
        <f>VLOOKUP($C1660,[1]stockregister!$B$2:$B$2000,1,0)</f>
        <v>MAISON CASTEL PINOT NOIR 750ML</v>
      </c>
      <c r="E1660" s="3" t="str">
        <f>IF(ISNA($D1660),VLOOKUP($A1660,[2]stockregister!$A$2:$B$2000,2,FALSE),"")</f>
        <v/>
      </c>
      <c r="F1660" s="3" t="s">
        <v>21</v>
      </c>
      <c r="G1660" s="3">
        <f>_xlfn.IFNA(VLOOKUP($A1660,[3]stockregister!$A$2:$L$2000,11,0),0)</f>
        <v>0</v>
      </c>
      <c r="H1660" s="3">
        <f>_xlfn.IFNA(VLOOKUP($A1660,[3]stockregister!$A$2:$L$2000,11,0),0)-$G1660</f>
        <v>0</v>
      </c>
      <c r="I1660" s="3">
        <f>_xlfn.IFNA(VLOOKUP($A1660,[3]stockregister!$A$2:$L$2000,12,0),0)</f>
        <v>800</v>
      </c>
      <c r="J1660" s="3">
        <f>_xlfn.IFNA(VLOOKUP($A1660,[3]stockregister!$A$1:$M$2000,12,0),0)-$I1660</f>
        <v>0</v>
      </c>
      <c r="K1660" s="3" t="s">
        <v>22</v>
      </c>
      <c r="L1660" s="3" t="s">
        <v>23</v>
      </c>
      <c r="M1660" s="3">
        <f>_xlfn.IFNA(VLOOKUP($A1660,[2]stockregister!$A$2:$H$2000,8,0),0)</f>
        <v>1200</v>
      </c>
      <c r="N1660" s="3">
        <f>_xlfn.IFNA(VLOOKUP($A1660,[2]stockregister!$A$2:$H$2000,8,0),0)-$M1660</f>
        <v>0</v>
      </c>
      <c r="O1660" s="3" t="s">
        <v>3846</v>
      </c>
      <c r="P1660" s="3" t="s">
        <v>3846</v>
      </c>
      <c r="Q1660" s="3" t="s">
        <v>1137</v>
      </c>
      <c r="R1660" s="3" t="s">
        <v>68</v>
      </c>
      <c r="S1660" s="3" t="s">
        <v>1041</v>
      </c>
    </row>
    <row r="1661" spans="1:19">
      <c r="A1661" s="3">
        <v>2517</v>
      </c>
      <c r="B1661" s="3" t="b">
        <f>ISNUMBER(MATCH(A1661,[1]stockregister!$A$2:$A$2000,0))</f>
        <v>1</v>
      </c>
      <c r="C1661" s="3" t="s">
        <v>3847</v>
      </c>
      <c r="D1661" s="3" t="str">
        <f>VLOOKUP($C1661,[1]stockregister!$B$2:$B$2000,1,0)</f>
        <v>HAUTE CABRIERE UNWOODED PINOTNOIR 750ML</v>
      </c>
      <c r="E1661" s="3" t="str">
        <f>IF(ISNA($D1661),VLOOKUP($A1661,[2]stockregister!$A$2:$B$2000,2,FALSE),"")</f>
        <v/>
      </c>
      <c r="F1661" s="3" t="s">
        <v>21</v>
      </c>
      <c r="G1661" s="3">
        <f>_xlfn.IFNA(VLOOKUP($A1661,[3]stockregister!$A$2:$L$2000,11,0),0)</f>
        <v>0</v>
      </c>
      <c r="H1661" s="3">
        <f>_xlfn.IFNA(VLOOKUP($A1661,[3]stockregister!$A$2:$L$2000,11,0),0)-$G1661</f>
        <v>0</v>
      </c>
      <c r="I1661" s="3">
        <f>_xlfn.IFNA(VLOOKUP($A1661,[3]stockregister!$A$2:$L$2000,12,0),0)</f>
        <v>1625</v>
      </c>
      <c r="J1661" s="3">
        <f>_xlfn.IFNA(VLOOKUP($A1661,[3]stockregister!$A$1:$M$2000,12,0),0)-$I1661</f>
        <v>0</v>
      </c>
      <c r="K1661" s="3" t="s">
        <v>22</v>
      </c>
      <c r="L1661" s="3" t="s">
        <v>23</v>
      </c>
      <c r="M1661" s="3">
        <f>_xlfn.IFNA(VLOOKUP($A1661,[2]stockregister!$A$2:$H$2000,8,0),0)</f>
        <v>1800</v>
      </c>
      <c r="N1661" s="3">
        <f>_xlfn.IFNA(VLOOKUP($A1661,[2]stockregister!$A$2:$H$2000,8,0),0)-$M1661</f>
        <v>0</v>
      </c>
      <c r="O1661" s="3" t="s">
        <v>3848</v>
      </c>
      <c r="P1661" s="3" t="s">
        <v>3848</v>
      </c>
      <c r="Q1661" s="3" t="s">
        <v>1925</v>
      </c>
      <c r="R1661" s="3" t="s">
        <v>537</v>
      </c>
      <c r="S1661" s="3" t="s">
        <v>1041</v>
      </c>
    </row>
    <row r="1662" spans="1:19">
      <c r="A1662" s="3">
        <v>2313</v>
      </c>
      <c r="B1662" s="3" t="b">
        <f>ISNUMBER(MATCH(A1662,[1]stockregister!$A$2:$A$2000,0))</f>
        <v>1</v>
      </c>
      <c r="C1662" s="3" t="s">
        <v>3849</v>
      </c>
      <c r="D1662" s="3" t="str">
        <f>VLOOKUP($C1662,[1]stockregister!$B$2:$B$2000,1,0)</f>
        <v>PAINTED WOLF PINOTAGE 750ML</v>
      </c>
      <c r="E1662" s="3" t="str">
        <f>IF(ISNA($D1662),VLOOKUP($A1662,[2]stockregister!$A$2:$B$2000,2,FALSE),"")</f>
        <v/>
      </c>
      <c r="F1662" s="3" t="s">
        <v>21</v>
      </c>
      <c r="G1662" s="3">
        <f>_xlfn.IFNA(VLOOKUP($A1662,[3]stockregister!$A$2:$L$2000,11,0),0)</f>
        <v>0</v>
      </c>
      <c r="H1662" s="3">
        <f>_xlfn.IFNA(VLOOKUP($A1662,[3]stockregister!$A$2:$L$2000,11,0),0)-$G1662</f>
        <v>0</v>
      </c>
      <c r="I1662" s="3">
        <f>_xlfn.IFNA(VLOOKUP($A1662,[3]stockregister!$A$2:$L$2000,12,0),0)</f>
        <v>1100</v>
      </c>
      <c r="J1662" s="3">
        <f>_xlfn.IFNA(VLOOKUP($A1662,[3]stockregister!$A$1:$M$2000,12,0),0)-$I1662</f>
        <v>0</v>
      </c>
      <c r="K1662" s="3" t="s">
        <v>22</v>
      </c>
      <c r="L1662" s="3" t="s">
        <v>23</v>
      </c>
      <c r="M1662" s="3">
        <f>_xlfn.IFNA(VLOOKUP($A1662,[2]stockregister!$A$2:$H$2000,8,0),0)</f>
        <v>1200</v>
      </c>
      <c r="N1662" s="3">
        <f>_xlfn.IFNA(VLOOKUP($A1662,[2]stockregister!$A$2:$H$2000,8,0),0)-$M1662</f>
        <v>0</v>
      </c>
      <c r="O1662" s="3" t="s">
        <v>3850</v>
      </c>
      <c r="P1662" s="3" t="s">
        <v>3850</v>
      </c>
      <c r="Q1662" s="3" t="s">
        <v>1906</v>
      </c>
      <c r="R1662" s="3" t="s">
        <v>68</v>
      </c>
      <c r="S1662" s="3" t="s">
        <v>889</v>
      </c>
    </row>
    <row r="1663" spans="1:19">
      <c r="A1663" s="3">
        <v>1677</v>
      </c>
      <c r="B1663" s="3" t="b">
        <f>ISNUMBER(MATCH(A1663,[1]stockregister!$A$2:$A$2000,0))</f>
        <v>1</v>
      </c>
      <c r="C1663" s="3" t="s">
        <v>3851</v>
      </c>
      <c r="D1663" s="3" t="str">
        <f>VLOOKUP($C1663,[1]stockregister!$B$2:$B$2000,1,0)</f>
        <v>ROBERTSON WINERY PINOTAGE 750ML</v>
      </c>
      <c r="E1663" s="3" t="str">
        <f>IF(ISNA($D1663),VLOOKUP($A1663,[2]stockregister!$A$2:$B$2000,2,FALSE),"")</f>
        <v/>
      </c>
      <c r="F1663" s="3" t="s">
        <v>21</v>
      </c>
      <c r="G1663" s="3">
        <f>_xlfn.IFNA(VLOOKUP($A1663,[3]stockregister!$A$2:$L$2000,11,0),0)</f>
        <v>0</v>
      </c>
      <c r="H1663" s="3">
        <f>_xlfn.IFNA(VLOOKUP($A1663,[3]stockregister!$A$2:$L$2000,11,0),0)-$G1663</f>
        <v>0</v>
      </c>
      <c r="I1663" s="3">
        <f>_xlfn.IFNA(VLOOKUP($A1663,[3]stockregister!$A$2:$L$2000,12,0),0)</f>
        <v>1104</v>
      </c>
      <c r="J1663" s="3">
        <f>_xlfn.IFNA(VLOOKUP($A1663,[3]stockregister!$A$1:$M$2000,12,0),0)-$I1663</f>
        <v>0</v>
      </c>
      <c r="K1663" s="3" t="s">
        <v>22</v>
      </c>
      <c r="L1663" s="3" t="s">
        <v>23</v>
      </c>
      <c r="M1663" s="3">
        <f>_xlfn.IFNA(VLOOKUP($A1663,[2]stockregister!$A$2:$H$2000,8,0),0)</f>
        <v>1200</v>
      </c>
      <c r="N1663" s="3">
        <f>_xlfn.IFNA(VLOOKUP($A1663,[2]stockregister!$A$2:$H$2000,8,0),0)-$M1663</f>
        <v>0</v>
      </c>
      <c r="O1663" s="3" t="s">
        <v>3852</v>
      </c>
      <c r="P1663" s="3" t="s">
        <v>3852</v>
      </c>
      <c r="Q1663" s="3" t="s">
        <v>522</v>
      </c>
      <c r="R1663" s="3" t="s">
        <v>68</v>
      </c>
      <c r="S1663" s="3" t="s">
        <v>889</v>
      </c>
    </row>
    <row r="1664" spans="1:19">
      <c r="A1664" s="3">
        <v>1518</v>
      </c>
      <c r="B1664" s="3" t="b">
        <f>ISNUMBER(MATCH(A1664,[1]stockregister!$A$2:$A$2000,0))</f>
        <v>1</v>
      </c>
      <c r="C1664" s="3" t="s">
        <v>3853</v>
      </c>
      <c r="D1664" s="3" t="str">
        <f>VLOOKUP($C1664,[1]stockregister!$B$2:$B$2000,1,0)</f>
        <v>NEDERBURG - PINOTAGE 750ML</v>
      </c>
      <c r="E1664" s="3" t="str">
        <f>IF(ISNA($D1664),VLOOKUP($A1664,[2]stockregister!$A$2:$B$2000,2,FALSE),"")</f>
        <v/>
      </c>
      <c r="F1664" s="3" t="s">
        <v>21</v>
      </c>
      <c r="G1664" s="3">
        <f>_xlfn.IFNA(VLOOKUP($A1664,[3]stockregister!$A$2:$L$2000,11,0),0)</f>
        <v>0</v>
      </c>
      <c r="H1664" s="3">
        <f>_xlfn.IFNA(VLOOKUP($A1664,[3]stockregister!$A$2:$L$2000,11,0),0)-$G1664</f>
        <v>0</v>
      </c>
      <c r="I1664" s="3">
        <f>_xlfn.IFNA(VLOOKUP($A1664,[3]stockregister!$A$2:$L$2000,12,0),0)</f>
        <v>1250</v>
      </c>
      <c r="J1664" s="3">
        <f>_xlfn.IFNA(VLOOKUP($A1664,[3]stockregister!$A$1:$M$2000,12,0),0)-$I1664</f>
        <v>0</v>
      </c>
      <c r="K1664" s="3" t="s">
        <v>22</v>
      </c>
      <c r="L1664" s="3" t="s">
        <v>23</v>
      </c>
      <c r="M1664" s="3">
        <f>_xlfn.IFNA(VLOOKUP($A1664,[2]stockregister!$A$2:$H$2000,8,0),0)</f>
        <v>1450</v>
      </c>
      <c r="N1664" s="3">
        <f>_xlfn.IFNA(VLOOKUP($A1664,[2]stockregister!$A$2:$H$2000,8,0),0)-$M1664</f>
        <v>0</v>
      </c>
      <c r="O1664" s="3" t="s">
        <v>3854</v>
      </c>
      <c r="P1664" s="3" t="s">
        <v>3854</v>
      </c>
      <c r="Q1664" s="3" t="s">
        <v>205</v>
      </c>
      <c r="R1664" s="3" t="s">
        <v>68</v>
      </c>
      <c r="S1664" s="3" t="s">
        <v>889</v>
      </c>
    </row>
    <row r="1665" spans="1:19">
      <c r="A1665" s="3">
        <v>1796</v>
      </c>
      <c r="B1665" s="3" t="b">
        <f>ISNUMBER(MATCH(A1665,[1]stockregister!$A$2:$A$2000,0))</f>
        <v>1</v>
      </c>
      <c r="C1665" s="3" t="s">
        <v>3855</v>
      </c>
      <c r="D1665" s="3" t="str">
        <f>VLOOKUP($C1665,[1]stockregister!$B$2:$B$2000,1,0)</f>
        <v>SIMONSIG PINOTAGE 750ml</v>
      </c>
      <c r="E1665" s="3" t="str">
        <f>IF(ISNA($D1665),VLOOKUP($A1665,[2]stockregister!$A$2:$B$2000,2,FALSE),"")</f>
        <v/>
      </c>
      <c r="F1665" s="3" t="s">
        <v>21</v>
      </c>
      <c r="G1665" s="3">
        <f>_xlfn.IFNA(VLOOKUP($A1665,[3]stockregister!$A$2:$L$2000,11,0),0)</f>
        <v>0</v>
      </c>
      <c r="H1665" s="3">
        <f>_xlfn.IFNA(VLOOKUP($A1665,[3]stockregister!$A$2:$L$2000,11,0),0)-$G1665</f>
        <v>0</v>
      </c>
      <c r="I1665" s="3">
        <f>_xlfn.IFNA(VLOOKUP($A1665,[3]stockregister!$A$2:$L$2000,12,0),0)</f>
        <v>2116</v>
      </c>
      <c r="J1665" s="3">
        <f>_xlfn.IFNA(VLOOKUP($A1665,[3]stockregister!$A$1:$M$2000,12,0),0)-$I1665</f>
        <v>0</v>
      </c>
      <c r="K1665" s="3" t="s">
        <v>22</v>
      </c>
      <c r="L1665" s="3" t="s">
        <v>23</v>
      </c>
      <c r="M1665" s="3">
        <f>_xlfn.IFNA(VLOOKUP($A1665,[2]stockregister!$A$2:$H$2000,8,0),0)</f>
        <v>2300</v>
      </c>
      <c r="N1665" s="3">
        <f>_xlfn.IFNA(VLOOKUP($A1665,[2]stockregister!$A$2:$H$2000,8,0),0)-$M1665</f>
        <v>0</v>
      </c>
      <c r="O1665" s="3" t="s">
        <v>3856</v>
      </c>
      <c r="P1665" s="3" t="s">
        <v>3856</v>
      </c>
      <c r="Q1665" s="3" t="s">
        <v>3582</v>
      </c>
      <c r="R1665" s="3" t="s">
        <v>68</v>
      </c>
      <c r="S1665" s="3" t="s">
        <v>889</v>
      </c>
    </row>
    <row r="1666" spans="1:19">
      <c r="A1666" s="3">
        <v>2003</v>
      </c>
      <c r="B1666" s="3" t="b">
        <f>ISNUMBER(MATCH(A1666,[1]stockregister!$A$2:$A$2000,0))</f>
        <v>1</v>
      </c>
      <c r="C1666" s="3" t="s">
        <v>3857</v>
      </c>
      <c r="D1666" s="3" t="str">
        <f>VLOOKUP($C1666,[1]stockregister!$B$2:$B$2000,1,0)</f>
        <v>TOMMASI PINOTAGE 750ML</v>
      </c>
      <c r="E1666" s="3" t="str">
        <f>IF(ISNA($D1666),VLOOKUP($A1666,[2]stockregister!$A$2:$B$2000,2,FALSE),"")</f>
        <v/>
      </c>
      <c r="F1666" s="3" t="s">
        <v>21</v>
      </c>
      <c r="G1666" s="3">
        <f>_xlfn.IFNA(VLOOKUP($A1666,[3]stockregister!$A$2:$L$2000,11,0),0)</f>
        <v>0</v>
      </c>
      <c r="H1666" s="3">
        <f>_xlfn.IFNA(VLOOKUP($A1666,[3]stockregister!$A$2:$L$2000,11,0),0)-$G1666</f>
        <v>0</v>
      </c>
      <c r="I1666" s="3">
        <f>_xlfn.IFNA(VLOOKUP($A1666,[3]stockregister!$A$2:$L$2000,12,0),0)</f>
        <v>1288</v>
      </c>
      <c r="J1666" s="3">
        <f>_xlfn.IFNA(VLOOKUP($A1666,[3]stockregister!$A$1:$M$2000,12,0),0)-$I1666</f>
        <v>0</v>
      </c>
      <c r="K1666" s="3" t="s">
        <v>22</v>
      </c>
      <c r="L1666" s="3" t="s">
        <v>23</v>
      </c>
      <c r="M1666" s="3">
        <f>_xlfn.IFNA(VLOOKUP($A1666,[2]stockregister!$A$2:$H$2000,8,0),0)</f>
        <v>1400</v>
      </c>
      <c r="N1666" s="3">
        <f>_xlfn.IFNA(VLOOKUP($A1666,[2]stockregister!$A$2:$H$2000,8,0),0)-$M1666</f>
        <v>0</v>
      </c>
      <c r="O1666" s="3" t="s">
        <v>3858</v>
      </c>
      <c r="P1666" s="3" t="s">
        <v>3858</v>
      </c>
      <c r="Q1666" s="3" t="s">
        <v>1415</v>
      </c>
      <c r="R1666" s="3" t="s">
        <v>68</v>
      </c>
      <c r="S1666" s="3" t="s">
        <v>889</v>
      </c>
    </row>
    <row r="1667" spans="1:19">
      <c r="A1667" s="3">
        <v>1165</v>
      </c>
      <c r="B1667" s="3" t="b">
        <f>ISNUMBER(MATCH(A1667,[1]stockregister!$A$2:$A$2000,0))</f>
        <v>1</v>
      </c>
      <c r="C1667" s="3" t="s">
        <v>3859</v>
      </c>
      <c r="D1667" s="3" t="str">
        <f>VLOOKUP($C1667,[1]stockregister!$B$2:$B$2000,1,0)</f>
        <v>KANONKOP KADETTE PINOTAGE ROSE 750ml</v>
      </c>
      <c r="E1667" s="3" t="str">
        <f>IF(ISNA($D1667),VLOOKUP($A1667,[2]stockregister!$A$2:$B$2000,2,FALSE),"")</f>
        <v/>
      </c>
      <c r="F1667" s="3" t="s">
        <v>21</v>
      </c>
      <c r="G1667" s="3">
        <f>_xlfn.IFNA(VLOOKUP($A1667,[3]stockregister!$A$2:$L$2000,11,0),0)</f>
        <v>0</v>
      </c>
      <c r="H1667" s="3">
        <f>_xlfn.IFNA(VLOOKUP($A1667,[3]stockregister!$A$2:$L$2000,11,0),0)-$G1667</f>
        <v>0</v>
      </c>
      <c r="I1667" s="3">
        <f>_xlfn.IFNA(VLOOKUP($A1667,[3]stockregister!$A$2:$L$2000,12,0),0)</f>
        <v>2300</v>
      </c>
      <c r="J1667" s="3">
        <f>_xlfn.IFNA(VLOOKUP($A1667,[3]stockregister!$A$1:$M$2000,12,0),0)-$I1667</f>
        <v>0</v>
      </c>
      <c r="K1667" s="3" t="s">
        <v>22</v>
      </c>
      <c r="L1667" s="3" t="s">
        <v>23</v>
      </c>
      <c r="M1667" s="3">
        <f>_xlfn.IFNA(VLOOKUP($A1667,[2]stockregister!$A$2:$H$2000,8,0),0)</f>
        <v>2500</v>
      </c>
      <c r="N1667" s="3">
        <f>_xlfn.IFNA(VLOOKUP($A1667,[2]stockregister!$A$2:$H$2000,8,0),0)-$M1667</f>
        <v>0</v>
      </c>
      <c r="O1667" s="3" t="s">
        <v>3860</v>
      </c>
      <c r="P1667" s="3" t="s">
        <v>3860</v>
      </c>
      <c r="Q1667" s="3" t="s">
        <v>3861</v>
      </c>
      <c r="R1667" s="3" t="s">
        <v>537</v>
      </c>
      <c r="S1667" s="3" t="s">
        <v>889</v>
      </c>
    </row>
    <row r="1668" spans="1:19">
      <c r="A1668" s="3">
        <v>2553</v>
      </c>
      <c r="B1668" s="3" t="b">
        <f>ISNUMBER(MATCH(A1668,[1]stockregister!$A$2:$A$2000,0))</f>
        <v>1</v>
      </c>
      <c r="C1668" s="3" t="s">
        <v>3862</v>
      </c>
      <c r="D1668" s="3" t="str">
        <f>VLOOKUP($C1668,[1]stockregister!$B$2:$B$2000,1,0)</f>
        <v>VAN AFRICAN JAVA PINOTAGE 750ML</v>
      </c>
      <c r="E1668" s="3" t="str">
        <f>IF(ISNA($D1668),VLOOKUP($A1668,[2]stockregister!$A$2:$B$2000,2,FALSE),"")</f>
        <v/>
      </c>
      <c r="F1668" s="3" t="s">
        <v>21</v>
      </c>
      <c r="G1668" s="3">
        <f>_xlfn.IFNA(VLOOKUP($A1668,[3]stockregister!$A$2:$L$2000,11,0),0)</f>
        <v>0</v>
      </c>
      <c r="H1668" s="3">
        <f>_xlfn.IFNA(VLOOKUP($A1668,[3]stockregister!$A$2:$L$2000,11,0),0)-$G1668</f>
        <v>0</v>
      </c>
      <c r="I1668" s="3">
        <f>_xlfn.IFNA(VLOOKUP($A1668,[3]stockregister!$A$2:$L$2000,12,0),0)</f>
        <v>1412</v>
      </c>
      <c r="J1668" s="3">
        <f>_xlfn.IFNA(VLOOKUP($A1668,[3]stockregister!$A$1:$M$2000,12,0),0)-$I1668</f>
        <v>0</v>
      </c>
      <c r="K1668" s="3" t="s">
        <v>22</v>
      </c>
      <c r="L1668" s="3" t="s">
        <v>23</v>
      </c>
      <c r="M1668" s="3">
        <f>_xlfn.IFNA(VLOOKUP($A1668,[2]stockregister!$A$2:$H$2000,8,0),0)</f>
        <v>1550</v>
      </c>
      <c r="N1668" s="3">
        <f>_xlfn.IFNA(VLOOKUP($A1668,[2]stockregister!$A$2:$H$2000,8,0),0)-$M1668</f>
        <v>0</v>
      </c>
      <c r="O1668" s="3" t="s">
        <v>3863</v>
      </c>
      <c r="P1668" s="3" t="s">
        <v>3863</v>
      </c>
      <c r="Q1668" s="3" t="s">
        <v>3537</v>
      </c>
      <c r="R1668" s="3" t="s">
        <v>537</v>
      </c>
      <c r="S1668" s="3" t="s">
        <v>889</v>
      </c>
    </row>
    <row r="1669" spans="1:19">
      <c r="A1669" s="3">
        <v>2346</v>
      </c>
      <c r="B1669" s="3" t="b">
        <f>ISNUMBER(MATCH(A1669,[1]stockregister!$A$2:$A$2000,0))</f>
        <v>1</v>
      </c>
      <c r="C1669" s="3" t="s">
        <v>3864</v>
      </c>
      <c r="D1669" s="3" t="str">
        <f>VLOOKUP($C1669,[1]stockregister!$B$2:$B$2000,1,0)</f>
        <v>BOTTEGA GOLD 750ML</v>
      </c>
      <c r="E1669" s="3" t="str">
        <f>IF(ISNA($D1669),VLOOKUP($A1669,[2]stockregister!$A$2:$B$2000,2,FALSE),"")</f>
        <v/>
      </c>
      <c r="F1669" s="3" t="s">
        <v>21</v>
      </c>
      <c r="G1669" s="3">
        <f>_xlfn.IFNA(VLOOKUP($A1669,[3]stockregister!$A$2:$L$2000,11,0),0)</f>
        <v>0</v>
      </c>
      <c r="H1669" s="3">
        <f>_xlfn.IFNA(VLOOKUP($A1669,[3]stockregister!$A$2:$L$2000,11,0),0)-$G1669</f>
        <v>0</v>
      </c>
      <c r="I1669" s="3">
        <f>_xlfn.IFNA(VLOOKUP($A1669,[3]stockregister!$A$2:$L$2000,12,0),0)</f>
        <v>4720</v>
      </c>
      <c r="J1669" s="3">
        <f>_xlfn.IFNA(VLOOKUP($A1669,[3]stockregister!$A$1:$M$2000,12,0),0)-$I1669</f>
        <v>0</v>
      </c>
      <c r="K1669" s="3" t="s">
        <v>22</v>
      </c>
      <c r="L1669" s="3" t="s">
        <v>23</v>
      </c>
      <c r="M1669" s="3">
        <f>_xlfn.IFNA(VLOOKUP($A1669,[2]stockregister!$A$2:$H$2000,8,0),0)</f>
        <v>5000</v>
      </c>
      <c r="N1669" s="3">
        <f>_xlfn.IFNA(VLOOKUP($A1669,[2]stockregister!$A$2:$H$2000,8,0),0)-$M1669</f>
        <v>0</v>
      </c>
      <c r="O1669" s="3" t="s">
        <v>3865</v>
      </c>
      <c r="P1669" s="3" t="s">
        <v>3865</v>
      </c>
      <c r="Q1669" s="3" t="s">
        <v>3866</v>
      </c>
      <c r="R1669" s="3" t="s">
        <v>537</v>
      </c>
      <c r="S1669" s="3" t="s">
        <v>3867</v>
      </c>
    </row>
    <row r="1670" spans="1:19">
      <c r="A1670" s="3">
        <v>2345</v>
      </c>
      <c r="B1670" s="3" t="b">
        <f>ISNUMBER(MATCH(A1670,[1]stockregister!$A$2:$A$2000,0))</f>
        <v>1</v>
      </c>
      <c r="C1670" s="3" t="s">
        <v>3868</v>
      </c>
      <c r="D1670" s="3" t="str">
        <f>VLOOKUP($C1670,[1]stockregister!$B$2:$B$2000,1,0)</f>
        <v>BOTTEGA WHITE GOLD 750ML</v>
      </c>
      <c r="E1670" s="3" t="str">
        <f>IF(ISNA($D1670),VLOOKUP($A1670,[2]stockregister!$A$2:$B$2000,2,FALSE),"")</f>
        <v/>
      </c>
      <c r="F1670" s="3" t="s">
        <v>21</v>
      </c>
      <c r="G1670" s="3">
        <f>_xlfn.IFNA(VLOOKUP($A1670,[3]stockregister!$A$2:$L$2000,11,0),0)</f>
        <v>0</v>
      </c>
      <c r="H1670" s="3">
        <f>_xlfn.IFNA(VLOOKUP($A1670,[3]stockregister!$A$2:$L$2000,11,0),0)-$G1670</f>
        <v>0</v>
      </c>
      <c r="I1670" s="3">
        <f>_xlfn.IFNA(VLOOKUP($A1670,[3]stockregister!$A$2:$L$2000,12,0),0)</f>
        <v>4720</v>
      </c>
      <c r="J1670" s="3">
        <f>_xlfn.IFNA(VLOOKUP($A1670,[3]stockregister!$A$1:$M$2000,12,0),0)-$I1670</f>
        <v>0</v>
      </c>
      <c r="K1670" s="3" t="s">
        <v>22</v>
      </c>
      <c r="L1670" s="3" t="s">
        <v>23</v>
      </c>
      <c r="M1670" s="3">
        <f>_xlfn.IFNA(VLOOKUP($A1670,[2]stockregister!$A$2:$H$2000,8,0),0)</f>
        <v>5000</v>
      </c>
      <c r="N1670" s="3">
        <f>_xlfn.IFNA(VLOOKUP($A1670,[2]stockregister!$A$2:$H$2000,8,0),0)-$M1670</f>
        <v>0</v>
      </c>
      <c r="O1670" s="3" t="s">
        <v>3869</v>
      </c>
      <c r="P1670" s="3" t="s">
        <v>3869</v>
      </c>
      <c r="Q1670" s="3" t="s">
        <v>3866</v>
      </c>
      <c r="R1670" s="3" t="s">
        <v>537</v>
      </c>
      <c r="S1670" s="3" t="s">
        <v>3867</v>
      </c>
    </row>
    <row r="1671" spans="1:19">
      <c r="A1671" s="3">
        <v>1268</v>
      </c>
      <c r="B1671" s="3" t="b">
        <f>ISNUMBER(MATCH(A1671,[1]stockregister!$A$2:$A$2000,0))</f>
        <v>1</v>
      </c>
      <c r="C1671" s="3" t="s">
        <v>3870</v>
      </c>
      <c r="D1671" s="3" t="str">
        <f>VLOOKUP($C1671,[1]stockregister!$B$2:$B$2000,1,0)</f>
        <v>LE BOLICINE PROSECO 750ML</v>
      </c>
      <c r="E1671" s="3" t="str">
        <f>IF(ISNA($D1671),VLOOKUP($A1671,[2]stockregister!$A$2:$B$2000,2,FALSE),"")</f>
        <v/>
      </c>
      <c r="F1671" s="3" t="s">
        <v>21</v>
      </c>
      <c r="G1671" s="3">
        <f>_xlfn.IFNA(VLOOKUP($A1671,[3]stockregister!$A$2:$L$2000,11,0),0)</f>
        <v>0</v>
      </c>
      <c r="H1671" s="3">
        <f>_xlfn.IFNA(VLOOKUP($A1671,[3]stockregister!$A$2:$L$2000,11,0),0)-$G1671</f>
        <v>0</v>
      </c>
      <c r="I1671" s="3">
        <f>_xlfn.IFNA(VLOOKUP($A1671,[3]stockregister!$A$2:$L$2000,12,0),0)</f>
        <v>2100</v>
      </c>
      <c r="J1671" s="3">
        <f>_xlfn.IFNA(VLOOKUP($A1671,[3]stockregister!$A$1:$M$2000,12,0),0)-$I1671</f>
        <v>0</v>
      </c>
      <c r="K1671" s="3" t="s">
        <v>22</v>
      </c>
      <c r="L1671" s="3" t="s">
        <v>23</v>
      </c>
      <c r="M1671" s="3">
        <f>_xlfn.IFNA(VLOOKUP($A1671,[2]stockregister!$A$2:$H$2000,8,0),0)</f>
        <v>2300</v>
      </c>
      <c r="N1671" s="3">
        <f>_xlfn.IFNA(VLOOKUP($A1671,[2]stockregister!$A$2:$H$2000,8,0),0)-$M1671</f>
        <v>0</v>
      </c>
      <c r="O1671" s="3" t="s">
        <v>3871</v>
      </c>
      <c r="P1671" s="3" t="s">
        <v>3871</v>
      </c>
      <c r="Q1671" s="3" t="s">
        <v>3872</v>
      </c>
      <c r="R1671" s="3" t="s">
        <v>68</v>
      </c>
      <c r="S1671" s="3" t="s">
        <v>1161</v>
      </c>
    </row>
    <row r="1672" spans="1:19">
      <c r="A1672" s="3">
        <v>2069</v>
      </c>
      <c r="B1672" s="3" t="b">
        <f>ISNUMBER(MATCH(A1672,[1]stockregister!$A$2:$A$2000,0))</f>
        <v>1</v>
      </c>
      <c r="C1672" s="3" t="s">
        <v>3873</v>
      </c>
      <c r="D1672" s="3" t="str">
        <f>VLOOKUP($C1672,[1]stockregister!$B$2:$B$2000,1,0)</f>
        <v>VINUM PROSECO 750ML</v>
      </c>
      <c r="E1672" s="3" t="str">
        <f>IF(ISNA($D1672),VLOOKUP($A1672,[2]stockregister!$A$2:$B$2000,2,FALSE),"")</f>
        <v/>
      </c>
      <c r="F1672" s="3" t="s">
        <v>21</v>
      </c>
      <c r="G1672" s="3">
        <f>_xlfn.IFNA(VLOOKUP($A1672,[3]stockregister!$A$2:$L$2000,11,0),0)</f>
        <v>0</v>
      </c>
      <c r="H1672" s="3">
        <f>_xlfn.IFNA(VLOOKUP($A1672,[3]stockregister!$A$2:$L$2000,11,0),0)-$G1672</f>
        <v>0</v>
      </c>
      <c r="I1672" s="3">
        <f>_xlfn.IFNA(VLOOKUP($A1672,[3]stockregister!$A$2:$L$2000,12,0),0)</f>
        <v>2116</v>
      </c>
      <c r="J1672" s="3">
        <f>_xlfn.IFNA(VLOOKUP($A1672,[3]stockregister!$A$1:$M$2000,12,0),0)-$I1672</f>
        <v>0</v>
      </c>
      <c r="K1672" s="3" t="s">
        <v>22</v>
      </c>
      <c r="L1672" s="3" t="s">
        <v>23</v>
      </c>
      <c r="M1672" s="3">
        <f>_xlfn.IFNA(VLOOKUP($A1672,[2]stockregister!$A$2:$H$2000,8,0),0)</f>
        <v>2300</v>
      </c>
      <c r="N1672" s="3">
        <f>_xlfn.IFNA(VLOOKUP($A1672,[2]stockregister!$A$2:$H$2000,8,0),0)-$M1672</f>
        <v>0</v>
      </c>
      <c r="O1672" s="3" t="s">
        <v>3874</v>
      </c>
      <c r="P1672" s="3" t="s">
        <v>3874</v>
      </c>
      <c r="Q1672" s="3" t="s">
        <v>3875</v>
      </c>
      <c r="R1672" s="3" t="s">
        <v>68</v>
      </c>
      <c r="S1672" s="3" t="s">
        <v>1161</v>
      </c>
    </row>
    <row r="1673" spans="1:19">
      <c r="A1673" s="3">
        <v>225</v>
      </c>
      <c r="B1673" s="3" t="b">
        <f>ISNUMBER(MATCH(A1673,[1]stockregister!$A$2:$A$2000,0))</f>
        <v>1</v>
      </c>
      <c r="C1673" s="3" t="s">
        <v>618</v>
      </c>
      <c r="D1673" s="3" t="str">
        <f>VLOOKUP($C1673,[1]stockregister!$B$2:$B$2000,1,0)</f>
        <v>BIG OAK  RED 750ML</v>
      </c>
      <c r="E1673" s="3" t="str">
        <f>IF(ISNA($D1673),VLOOKUP($A1673,[2]stockregister!$A$2:$B$2000,2,FALSE),"")</f>
        <v/>
      </c>
      <c r="F1673" s="3" t="s">
        <v>21</v>
      </c>
      <c r="G1673" s="3">
        <f>_xlfn.IFNA(VLOOKUP($A1673,[3]stockregister!$A$2:$L$2000,11,0),0)</f>
        <v>0</v>
      </c>
      <c r="H1673" s="3">
        <f>_xlfn.IFNA(VLOOKUP($A1673,[3]stockregister!$A$2:$L$2000,11,0),0)-$G1673</f>
        <v>0</v>
      </c>
      <c r="I1673" s="3">
        <f>_xlfn.IFNA(VLOOKUP($A1673,[3]stockregister!$A$2:$L$2000,12,0),0)</f>
        <v>1500</v>
      </c>
      <c r="J1673" s="3">
        <f>_xlfn.IFNA(VLOOKUP($A1673,[3]stockregister!$A$1:$M$2000,12,0),0)-$I1673</f>
        <v>0</v>
      </c>
      <c r="K1673" s="3" t="s">
        <v>22</v>
      </c>
      <c r="L1673" s="3" t="s">
        <v>23</v>
      </c>
      <c r="M1673" s="3">
        <f>_xlfn.IFNA(VLOOKUP($A1673,[2]stockregister!$A$2:$H$2000,8,0),0)</f>
        <v>1700</v>
      </c>
      <c r="N1673" s="3">
        <f>_xlfn.IFNA(VLOOKUP($A1673,[2]stockregister!$A$2:$H$2000,8,0),0)-$M1673</f>
        <v>0</v>
      </c>
      <c r="O1673" s="3" t="s">
        <v>3876</v>
      </c>
      <c r="P1673" s="3" t="s">
        <v>3876</v>
      </c>
      <c r="Q1673" s="3" t="s">
        <v>3317</v>
      </c>
      <c r="R1673" s="3" t="s">
        <v>68</v>
      </c>
      <c r="S1673" s="3" t="s">
        <v>169</v>
      </c>
    </row>
    <row r="1674" spans="1:19">
      <c r="A1674" s="3">
        <v>1418</v>
      </c>
      <c r="B1674" s="3" t="b">
        <f>ISNUMBER(MATCH(A1674,[1]stockregister!$A$2:$A$2000,0))</f>
        <v>1</v>
      </c>
      <c r="C1674" s="3" t="s">
        <v>3877</v>
      </c>
      <c r="D1674" s="3" t="str">
        <f>VLOOKUP($C1674,[1]stockregister!$B$2:$B$2000,1,0)</f>
        <v>MENAGE A TROIS ZINFANDEL 2019 750ML</v>
      </c>
      <c r="E1674" s="3" t="str">
        <f>IF(ISNA($D1674),VLOOKUP($A1674,[2]stockregister!$A$2:$B$2000,2,FALSE),"")</f>
        <v/>
      </c>
      <c r="F1674" s="3" t="s">
        <v>21</v>
      </c>
      <c r="G1674" s="3">
        <f>_xlfn.IFNA(VLOOKUP($A1674,[3]stockregister!$A$2:$L$2000,11,0),0)</f>
        <v>0</v>
      </c>
      <c r="H1674" s="3">
        <f>_xlfn.IFNA(VLOOKUP($A1674,[3]stockregister!$A$2:$L$2000,11,0),0)-$G1674</f>
        <v>0</v>
      </c>
      <c r="I1674" s="3">
        <f>_xlfn.IFNA(VLOOKUP($A1674,[3]stockregister!$A$2:$L$2000,12,0),0)</f>
        <v>1656</v>
      </c>
      <c r="J1674" s="3">
        <f>_xlfn.IFNA(VLOOKUP($A1674,[3]stockregister!$A$1:$M$2000,12,0),0)-$I1674</f>
        <v>0</v>
      </c>
      <c r="K1674" s="3" t="s">
        <v>22</v>
      </c>
      <c r="L1674" s="3" t="s">
        <v>23</v>
      </c>
      <c r="M1674" s="3">
        <f>_xlfn.IFNA(VLOOKUP($A1674,[2]stockregister!$A$2:$H$2000,8,0),0)</f>
        <v>1800</v>
      </c>
      <c r="N1674" s="3">
        <f>_xlfn.IFNA(VLOOKUP($A1674,[2]stockregister!$A$2:$H$2000,8,0),0)-$M1674</f>
        <v>0</v>
      </c>
      <c r="O1674" s="3" t="s">
        <v>3878</v>
      </c>
      <c r="P1674" s="3" t="s">
        <v>3878</v>
      </c>
      <c r="Q1674" s="3" t="s">
        <v>3879</v>
      </c>
      <c r="R1674" s="3" t="s">
        <v>68</v>
      </c>
      <c r="S1674" s="3" t="s">
        <v>1962</v>
      </c>
    </row>
    <row r="1675" spans="1:19">
      <c r="A1675" s="3">
        <v>83</v>
      </c>
      <c r="B1675" s="3" t="b">
        <f>ISNUMBER(MATCH(A1675,[1]stockregister!$A$2:$A$2000,0))</f>
        <v>1</v>
      </c>
      <c r="C1675" s="3" t="s">
        <v>3880</v>
      </c>
      <c r="D1675" s="3" t="str">
        <f>VLOOKUP($C1675,[1]stockregister!$B$2:$B$2000,1,0)</f>
        <v>ALTAR WINE 750ml</v>
      </c>
      <c r="E1675" s="3" t="str">
        <f>IF(ISNA($D1675),VLOOKUP($A1675,[2]stockregister!$A$2:$B$2000,2,FALSE),"")</f>
        <v/>
      </c>
      <c r="F1675" s="3" t="s">
        <v>21</v>
      </c>
      <c r="G1675" s="3">
        <f>_xlfn.IFNA(VLOOKUP($A1675,[3]stockregister!$A$2:$L$2000,11,0),0)</f>
        <v>0</v>
      </c>
      <c r="H1675" s="3">
        <f>_xlfn.IFNA(VLOOKUP($A1675,[3]stockregister!$A$2:$L$2000,11,0),0)-$G1675</f>
        <v>0</v>
      </c>
      <c r="I1675" s="3">
        <f>_xlfn.IFNA(VLOOKUP($A1675,[3]stockregister!$A$2:$L$2000,12,0),0)</f>
        <v>1060</v>
      </c>
      <c r="J1675" s="3">
        <f>_xlfn.IFNA(VLOOKUP($A1675,[3]stockregister!$A$1:$M$2000,12,0),0)-$I1675</f>
        <v>0</v>
      </c>
      <c r="K1675" s="3" t="s">
        <v>22</v>
      </c>
      <c r="L1675" s="3" t="s">
        <v>23</v>
      </c>
      <c r="M1675" s="3">
        <f>_xlfn.IFNA(VLOOKUP($A1675,[2]stockregister!$A$2:$H$2000,8,0),0)</f>
        <v>1150</v>
      </c>
      <c r="N1675" s="3">
        <f>_xlfn.IFNA(VLOOKUP($A1675,[2]stockregister!$A$2:$H$2000,8,0),0)-$M1675</f>
        <v>0</v>
      </c>
      <c r="O1675" s="3" t="s">
        <v>3881</v>
      </c>
      <c r="P1675" s="3" t="s">
        <v>3881</v>
      </c>
      <c r="Q1675" s="3" t="s">
        <v>3882</v>
      </c>
      <c r="R1675" s="3" t="s">
        <v>68</v>
      </c>
      <c r="S1675" s="3" t="s">
        <v>169</v>
      </c>
    </row>
    <row r="1676" spans="1:19">
      <c r="A1676" s="3">
        <v>116</v>
      </c>
      <c r="B1676" s="3" t="b">
        <f>ISNUMBER(MATCH(A1676,[1]stockregister!$A$2:$A$2000,0))</f>
        <v>1</v>
      </c>
      <c r="C1676" s="3" t="s">
        <v>3883</v>
      </c>
      <c r="D1676" s="3" t="str">
        <f>VLOOKUP($C1676,[1]stockregister!$B$2:$B$2000,1,0)</f>
        <v>ARNISTON BAY RED 750ML</v>
      </c>
      <c r="E1676" s="3" t="str">
        <f>IF(ISNA($D1676),VLOOKUP($A1676,[2]stockregister!$A$2:$B$2000,2,FALSE),"")</f>
        <v/>
      </c>
      <c r="F1676" s="3" t="s">
        <v>21</v>
      </c>
      <c r="G1676" s="3">
        <f>_xlfn.IFNA(VLOOKUP($A1676,[3]stockregister!$A$2:$L$2000,11,0),0)</f>
        <v>0</v>
      </c>
      <c r="H1676" s="3">
        <f>_xlfn.IFNA(VLOOKUP($A1676,[3]stockregister!$A$2:$L$2000,11,0),0)-$G1676</f>
        <v>0</v>
      </c>
      <c r="I1676" s="3">
        <f>_xlfn.IFNA(VLOOKUP($A1676,[3]stockregister!$A$2:$L$2000,12,0),0)</f>
        <v>2000</v>
      </c>
      <c r="J1676" s="3">
        <f>_xlfn.IFNA(VLOOKUP($A1676,[3]stockregister!$A$1:$M$2000,12,0),0)-$I1676</f>
        <v>0</v>
      </c>
      <c r="K1676" s="3" t="s">
        <v>22</v>
      </c>
      <c r="L1676" s="3" t="s">
        <v>23</v>
      </c>
      <c r="M1676" s="3">
        <f>_xlfn.IFNA(VLOOKUP($A1676,[2]stockregister!$A$2:$H$2000,8,0),0)</f>
        <v>2200</v>
      </c>
      <c r="N1676" s="3">
        <f>_xlfn.IFNA(VLOOKUP($A1676,[2]stockregister!$A$2:$H$2000,8,0),0)-$M1676</f>
        <v>0</v>
      </c>
      <c r="O1676" s="3" t="s">
        <v>3884</v>
      </c>
      <c r="P1676" s="3" t="s">
        <v>3884</v>
      </c>
      <c r="Q1676" s="3" t="s">
        <v>3885</v>
      </c>
      <c r="R1676" s="3" t="s">
        <v>68</v>
      </c>
      <c r="S1676" s="3" t="s">
        <v>169</v>
      </c>
    </row>
    <row r="1677" spans="1:19">
      <c r="A1677" s="3">
        <v>271</v>
      </c>
      <c r="B1677" s="3" t="b">
        <f>ISNUMBER(MATCH(A1677,[1]stockregister!$A$2:$A$2000,0))</f>
        <v>1</v>
      </c>
      <c r="C1677" s="3" t="s">
        <v>3886</v>
      </c>
      <c r="D1677" s="3" t="str">
        <f>VLOOKUP($C1677,[1]stockregister!$B$2:$B$2000,1,0)</f>
        <v>BOTTEGA ROSSO 2016 750ml</v>
      </c>
      <c r="E1677" s="3" t="str">
        <f>IF(ISNA($D1677),VLOOKUP($A1677,[2]stockregister!$A$2:$B$2000,2,FALSE),"")</f>
        <v/>
      </c>
      <c r="F1677" s="3" t="s">
        <v>21</v>
      </c>
      <c r="G1677" s="3">
        <f>_xlfn.IFNA(VLOOKUP($A1677,[3]stockregister!$A$2:$L$2000,11,0),0)</f>
        <v>0</v>
      </c>
      <c r="H1677" s="3">
        <f>_xlfn.IFNA(VLOOKUP($A1677,[3]stockregister!$A$2:$L$2000,11,0),0)-$G1677</f>
        <v>0</v>
      </c>
      <c r="I1677" s="3">
        <f>_xlfn.IFNA(VLOOKUP($A1677,[3]stockregister!$A$2:$L$2000,12,0),0)</f>
        <v>2760</v>
      </c>
      <c r="J1677" s="3">
        <f>_xlfn.IFNA(VLOOKUP($A1677,[3]stockregister!$A$1:$M$2000,12,0),0)-$I1677</f>
        <v>0</v>
      </c>
      <c r="K1677" s="3" t="s">
        <v>22</v>
      </c>
      <c r="L1677" s="3" t="s">
        <v>23</v>
      </c>
      <c r="M1677" s="3">
        <f>_xlfn.IFNA(VLOOKUP($A1677,[2]stockregister!$A$2:$H$2000,8,0),0)</f>
        <v>3000</v>
      </c>
      <c r="N1677" s="3">
        <f>_xlfn.IFNA(VLOOKUP($A1677,[2]stockregister!$A$2:$H$2000,8,0),0)-$M1677</f>
        <v>0</v>
      </c>
      <c r="O1677" s="3" t="s">
        <v>3887</v>
      </c>
      <c r="P1677" s="3" t="s">
        <v>3887</v>
      </c>
      <c r="Q1677" s="3" t="s">
        <v>2973</v>
      </c>
      <c r="R1677" s="3" t="s">
        <v>68</v>
      </c>
      <c r="S1677" s="3" t="s">
        <v>1962</v>
      </c>
    </row>
    <row r="1678" spans="1:19">
      <c r="A1678" s="3">
        <v>286</v>
      </c>
      <c r="B1678" s="3" t="b">
        <f>ISNUMBER(MATCH(A1678,[1]stockregister!$A$2:$A$2000,0))</f>
        <v>1</v>
      </c>
      <c r="C1678" s="3" t="s">
        <v>3888</v>
      </c>
      <c r="D1678" s="3" t="str">
        <f>VLOOKUP($C1678,[1]stockregister!$B$2:$B$2000,1,0)</f>
        <v>BRUCE JACK 750ML</v>
      </c>
      <c r="E1678" s="3" t="str">
        <f>IF(ISNA($D1678),VLOOKUP($A1678,[2]stockregister!$A$2:$B$2000,2,FALSE),"")</f>
        <v/>
      </c>
      <c r="F1678" s="3" t="s">
        <v>21</v>
      </c>
      <c r="G1678" s="3">
        <f>_xlfn.IFNA(VLOOKUP($A1678,[3]stockregister!$A$2:$L$2000,11,0),0)</f>
        <v>0</v>
      </c>
      <c r="H1678" s="3">
        <f>_xlfn.IFNA(VLOOKUP($A1678,[3]stockregister!$A$2:$L$2000,11,0),0)-$G1678</f>
        <v>0</v>
      </c>
      <c r="I1678" s="3">
        <f>_xlfn.IFNA(VLOOKUP($A1678,[3]stockregister!$A$2:$L$2000,12,0),0)</f>
        <v>1380</v>
      </c>
      <c r="J1678" s="3">
        <f>_xlfn.IFNA(VLOOKUP($A1678,[3]stockregister!$A$1:$M$2000,12,0),0)-$I1678</f>
        <v>0</v>
      </c>
      <c r="K1678" s="3" t="s">
        <v>22</v>
      </c>
      <c r="L1678" s="3" t="s">
        <v>23</v>
      </c>
      <c r="M1678" s="3">
        <f>_xlfn.IFNA(VLOOKUP($A1678,[2]stockregister!$A$2:$H$2000,8,0),0)</f>
        <v>1500</v>
      </c>
      <c r="N1678" s="3">
        <f>_xlfn.IFNA(VLOOKUP($A1678,[2]stockregister!$A$2:$H$2000,8,0),0)-$M1678</f>
        <v>0</v>
      </c>
      <c r="O1678" s="3" t="s">
        <v>3889</v>
      </c>
      <c r="P1678" s="3" t="s">
        <v>3889</v>
      </c>
      <c r="Q1678" s="3" t="s">
        <v>3890</v>
      </c>
      <c r="R1678" s="3" t="s">
        <v>68</v>
      </c>
      <c r="S1678" s="3" t="s">
        <v>169</v>
      </c>
    </row>
    <row r="1679" spans="1:19">
      <c r="A1679" s="3">
        <v>344</v>
      </c>
      <c r="B1679" s="3" t="b">
        <f>ISNUMBER(MATCH(A1679,[1]stockregister!$A$2:$A$2000,0))</f>
        <v>1</v>
      </c>
      <c r="C1679" s="3" t="s">
        <v>3891</v>
      </c>
      <c r="D1679" s="3" t="str">
        <f>VLOOKUP($C1679,[1]stockregister!$B$2:$B$2000,1,0)</f>
        <v>CALVET GRANDE RESERVE BORDEAUX 1.5LTR</v>
      </c>
      <c r="E1679" s="3" t="str">
        <f>IF(ISNA($D1679),VLOOKUP($A1679,[2]stockregister!$A$2:$B$2000,2,FALSE),"")</f>
        <v/>
      </c>
      <c r="F1679" s="3" t="s">
        <v>21</v>
      </c>
      <c r="G1679" s="3">
        <f>_xlfn.IFNA(VLOOKUP($A1679,[3]stockregister!$A$2:$L$2000,11,0),0)</f>
        <v>0</v>
      </c>
      <c r="H1679" s="3">
        <f>_xlfn.IFNA(VLOOKUP($A1679,[3]stockregister!$A$2:$L$2000,11,0),0)-$G1679</f>
        <v>0</v>
      </c>
      <c r="I1679" s="3">
        <f>_xlfn.IFNA(VLOOKUP($A1679,[3]stockregister!$A$2:$L$2000,12,0),0)</f>
        <v>2300</v>
      </c>
      <c r="J1679" s="3">
        <f>_xlfn.IFNA(VLOOKUP($A1679,[3]stockregister!$A$1:$M$2000,12,0),0)-$I1679</f>
        <v>0</v>
      </c>
      <c r="K1679" s="3" t="s">
        <v>22</v>
      </c>
      <c r="L1679" s="3" t="s">
        <v>23</v>
      </c>
      <c r="M1679" s="3">
        <f>_xlfn.IFNA(VLOOKUP($A1679,[2]stockregister!$A$2:$H$2000,8,0),0)</f>
        <v>2500</v>
      </c>
      <c r="N1679" s="3">
        <f>_xlfn.IFNA(VLOOKUP($A1679,[2]stockregister!$A$2:$H$2000,8,0),0)-$M1679</f>
        <v>0</v>
      </c>
      <c r="O1679" s="3" t="s">
        <v>3892</v>
      </c>
      <c r="P1679" s="3" t="s">
        <v>3892</v>
      </c>
      <c r="Q1679" s="3" t="s">
        <v>3893</v>
      </c>
      <c r="R1679" s="3" t="s">
        <v>68</v>
      </c>
      <c r="S1679" s="3" t="s">
        <v>169</v>
      </c>
    </row>
    <row r="1680" spans="1:19">
      <c r="A1680" s="3">
        <v>391</v>
      </c>
      <c r="B1680" s="3" t="b">
        <f>ISNUMBER(MATCH(A1680,[1]stockregister!$A$2:$A$2000,0))</f>
        <v>1</v>
      </c>
      <c r="C1680" s="3" t="s">
        <v>3894</v>
      </c>
      <c r="D1680" s="3" t="str">
        <f>VLOOKUP($C1680,[1]stockregister!$B$2:$B$2000,1,0)</f>
        <v>CARLO ROSSI RED 1.5LTR</v>
      </c>
      <c r="E1680" s="3" t="str">
        <f>IF(ISNA($D1680),VLOOKUP($A1680,[2]stockregister!$A$2:$B$2000,2,FALSE),"")</f>
        <v/>
      </c>
      <c r="F1680" s="3" t="s">
        <v>21</v>
      </c>
      <c r="G1680" s="3">
        <f>_xlfn.IFNA(VLOOKUP($A1680,[3]stockregister!$A$2:$L$2000,11,0),0)</f>
        <v>0</v>
      </c>
      <c r="H1680" s="3">
        <f>_xlfn.IFNA(VLOOKUP($A1680,[3]stockregister!$A$2:$L$2000,11,0),0)-$G1680</f>
        <v>0</v>
      </c>
      <c r="I1680" s="3">
        <f>_xlfn.IFNA(VLOOKUP($A1680,[3]stockregister!$A$2:$L$2000,12,0),0)</f>
        <v>1288</v>
      </c>
      <c r="J1680" s="3">
        <f>_xlfn.IFNA(VLOOKUP($A1680,[3]stockregister!$A$1:$M$2000,12,0),0)-$I1680</f>
        <v>0</v>
      </c>
      <c r="K1680" s="3" t="s">
        <v>22</v>
      </c>
      <c r="L1680" s="3" t="s">
        <v>23</v>
      </c>
      <c r="M1680" s="3">
        <f>_xlfn.IFNA(VLOOKUP($A1680,[2]stockregister!$A$2:$H$2000,8,0),0)</f>
        <v>1400</v>
      </c>
      <c r="N1680" s="3">
        <f>_xlfn.IFNA(VLOOKUP($A1680,[2]stockregister!$A$2:$H$2000,8,0),0)-$M1680</f>
        <v>0</v>
      </c>
      <c r="O1680" s="3" t="s">
        <v>3895</v>
      </c>
      <c r="P1680" s="3" t="s">
        <v>3895</v>
      </c>
      <c r="Q1680" s="3" t="s">
        <v>917</v>
      </c>
      <c r="R1680" s="3" t="s">
        <v>68</v>
      </c>
      <c r="S1680" s="3" t="s">
        <v>169</v>
      </c>
    </row>
    <row r="1681" spans="1:19">
      <c r="A1681" s="3">
        <v>392</v>
      </c>
      <c r="B1681" s="3" t="b">
        <f>ISNUMBER(MATCH(A1681,[1]stockregister!$A$2:$A$2000,0))</f>
        <v>1</v>
      </c>
      <c r="C1681" s="3" t="s">
        <v>3896</v>
      </c>
      <c r="D1681" s="3" t="str">
        <f>VLOOKUP($C1681,[1]stockregister!$B$2:$B$2000,1,0)</f>
        <v>CARLO ROSSI RED WINE 750ML</v>
      </c>
      <c r="E1681" s="3" t="str">
        <f>IF(ISNA($D1681),VLOOKUP($A1681,[2]stockregister!$A$2:$B$2000,2,FALSE),"")</f>
        <v/>
      </c>
      <c r="F1681" s="3" t="s">
        <v>21</v>
      </c>
      <c r="G1681" s="3">
        <f>_xlfn.IFNA(VLOOKUP($A1681,[3]stockregister!$A$2:$L$2000,11,0),0)</f>
        <v>0</v>
      </c>
      <c r="H1681" s="3">
        <f>_xlfn.IFNA(VLOOKUP($A1681,[3]stockregister!$A$2:$L$2000,11,0),0)-$G1681</f>
        <v>0</v>
      </c>
      <c r="I1681" s="3">
        <f>_xlfn.IFNA(VLOOKUP($A1681,[3]stockregister!$A$2:$L$2000,12,0),0)</f>
        <v>1012</v>
      </c>
      <c r="J1681" s="3">
        <f>_xlfn.IFNA(VLOOKUP($A1681,[3]stockregister!$A$1:$M$2000,12,0),0)-$I1681</f>
        <v>0</v>
      </c>
      <c r="K1681" s="3" t="s">
        <v>22</v>
      </c>
      <c r="L1681" s="3" t="s">
        <v>23</v>
      </c>
      <c r="M1681" s="3">
        <f>_xlfn.IFNA(VLOOKUP($A1681,[2]stockregister!$A$2:$H$2000,8,0),0)</f>
        <v>1100</v>
      </c>
      <c r="N1681" s="3">
        <f>_xlfn.IFNA(VLOOKUP($A1681,[2]stockregister!$A$2:$H$2000,8,0),0)-$M1681</f>
        <v>0</v>
      </c>
      <c r="O1681" s="3" t="s">
        <v>3897</v>
      </c>
      <c r="P1681" s="3" t="s">
        <v>3897</v>
      </c>
      <c r="Q1681" s="3" t="s">
        <v>917</v>
      </c>
      <c r="R1681" s="3" t="s">
        <v>68</v>
      </c>
      <c r="S1681" s="3" t="s">
        <v>169</v>
      </c>
    </row>
    <row r="1682" spans="1:19">
      <c r="A1682" s="3">
        <v>398</v>
      </c>
      <c r="B1682" s="3" t="b">
        <f>ISNUMBER(MATCH(A1682,[1]stockregister!$A$2:$A$2000,0))</f>
        <v>1</v>
      </c>
      <c r="C1682" s="3" t="s">
        <v>3898</v>
      </c>
      <c r="D1682" s="3" t="str">
        <f>VLOOKUP($C1682,[1]stockregister!$B$2:$B$2000,1,0)</f>
        <v>CARNIVOR 750ML</v>
      </c>
      <c r="E1682" s="3" t="str">
        <f>IF(ISNA($D1682),VLOOKUP($A1682,[2]stockregister!$A$2:$B$2000,2,FALSE),"")</f>
        <v/>
      </c>
      <c r="F1682" s="3" t="s">
        <v>21</v>
      </c>
      <c r="G1682" s="3">
        <f>_xlfn.IFNA(VLOOKUP($A1682,[3]stockregister!$A$2:$L$2000,11,0),0)</f>
        <v>0</v>
      </c>
      <c r="H1682" s="3">
        <f>_xlfn.IFNA(VLOOKUP($A1682,[3]stockregister!$A$2:$L$2000,11,0),0)-$G1682</f>
        <v>0</v>
      </c>
      <c r="I1682" s="3">
        <f>_xlfn.IFNA(VLOOKUP($A1682,[3]stockregister!$A$2:$L$2000,12,0),0)</f>
        <v>1564</v>
      </c>
      <c r="J1682" s="3">
        <f>_xlfn.IFNA(VLOOKUP($A1682,[3]stockregister!$A$1:$M$2000,12,0),0)-$I1682</f>
        <v>0</v>
      </c>
      <c r="K1682" s="3" t="s">
        <v>22</v>
      </c>
      <c r="L1682" s="3" t="s">
        <v>23</v>
      </c>
      <c r="M1682" s="3">
        <f>_xlfn.IFNA(VLOOKUP($A1682,[2]stockregister!$A$2:$H$2000,8,0),0)</f>
        <v>1700</v>
      </c>
      <c r="N1682" s="3">
        <f>_xlfn.IFNA(VLOOKUP($A1682,[2]stockregister!$A$2:$H$2000,8,0),0)-$M1682</f>
        <v>0</v>
      </c>
      <c r="O1682" s="3" t="s">
        <v>3899</v>
      </c>
      <c r="P1682" s="3" t="s">
        <v>3899</v>
      </c>
      <c r="Q1682" s="3" t="s">
        <v>3900</v>
      </c>
      <c r="R1682" s="3" t="s">
        <v>68</v>
      </c>
      <c r="S1682" s="3" t="s">
        <v>169</v>
      </c>
    </row>
    <row r="1683" spans="1:19">
      <c r="A1683" s="3">
        <v>478</v>
      </c>
      <c r="B1683" s="3" t="b">
        <f>ISNUMBER(MATCH(A1683,[1]stockregister!$A$2:$A$2000,0))</f>
        <v>1</v>
      </c>
      <c r="C1683" s="3" t="s">
        <v>3901</v>
      </c>
      <c r="D1683" s="3" t="str">
        <f>VLOOKUP($C1683,[1]stockregister!$B$2:$B$2000,1,0)</f>
        <v>CINZANO VINO SPUMANTE 750ML</v>
      </c>
      <c r="E1683" s="3" t="str">
        <f>IF(ISNA($D1683),VLOOKUP($A1683,[2]stockregister!$A$2:$B$2000,2,FALSE),"")</f>
        <v/>
      </c>
      <c r="F1683" s="3" t="s">
        <v>21</v>
      </c>
      <c r="G1683" s="3">
        <f>_xlfn.IFNA(VLOOKUP($A1683,[3]stockregister!$A$2:$L$2000,11,0),0)</f>
        <v>0</v>
      </c>
      <c r="H1683" s="3">
        <f>_xlfn.IFNA(VLOOKUP($A1683,[3]stockregister!$A$2:$L$2000,11,0),0)-$G1683</f>
        <v>0</v>
      </c>
      <c r="I1683" s="3">
        <f>_xlfn.IFNA(VLOOKUP($A1683,[3]stockregister!$A$2:$L$2000,12,0),0)</f>
        <v>1472</v>
      </c>
      <c r="J1683" s="3">
        <f>_xlfn.IFNA(VLOOKUP($A1683,[3]stockregister!$A$1:$M$2000,12,0),0)-$I1683</f>
        <v>0</v>
      </c>
      <c r="K1683" s="3" t="s">
        <v>22</v>
      </c>
      <c r="L1683" s="3" t="s">
        <v>23</v>
      </c>
      <c r="M1683" s="3">
        <f>_xlfn.IFNA(VLOOKUP($A1683,[2]stockregister!$A$2:$H$2000,8,0),0)</f>
        <v>1600</v>
      </c>
      <c r="N1683" s="3">
        <f>_xlfn.IFNA(VLOOKUP($A1683,[2]stockregister!$A$2:$H$2000,8,0),0)-$M1683</f>
        <v>0</v>
      </c>
      <c r="O1683" s="3" t="s">
        <v>3902</v>
      </c>
      <c r="P1683" s="3" t="s">
        <v>3902</v>
      </c>
      <c r="Q1683" s="3" t="s">
        <v>3903</v>
      </c>
      <c r="R1683" s="3" t="s">
        <v>68</v>
      </c>
      <c r="S1683" s="3" t="s">
        <v>1962</v>
      </c>
    </row>
    <row r="1684" spans="1:19">
      <c r="A1684" s="3">
        <v>549</v>
      </c>
      <c r="B1684" s="3" t="b">
        <f>ISNUMBER(MATCH(A1684,[1]stockregister!$A$2:$A$2000,0))</f>
        <v>1</v>
      </c>
      <c r="C1684" s="3" t="s">
        <v>3904</v>
      </c>
      <c r="D1684" s="3" t="str">
        <f>VLOOKUP($C1684,[1]stockregister!$B$2:$B$2000,1,0)</f>
        <v>CULEMBORG CAPE RED 1.5LTR</v>
      </c>
      <c r="E1684" s="3" t="str">
        <f>IF(ISNA($D1684),VLOOKUP($A1684,[2]stockregister!$A$2:$B$2000,2,FALSE),"")</f>
        <v/>
      </c>
      <c r="F1684" s="3" t="s">
        <v>21</v>
      </c>
      <c r="G1684" s="3">
        <f>_xlfn.IFNA(VLOOKUP($A1684,[3]stockregister!$A$2:$L$2000,11,0),0)</f>
        <v>0</v>
      </c>
      <c r="H1684" s="3">
        <f>_xlfn.IFNA(VLOOKUP($A1684,[3]stockregister!$A$2:$L$2000,11,0),0)-$G1684</f>
        <v>0</v>
      </c>
      <c r="I1684" s="3">
        <f>_xlfn.IFNA(VLOOKUP($A1684,[3]stockregister!$A$2:$L$2000,12,0),0)</f>
        <v>1564</v>
      </c>
      <c r="J1684" s="3">
        <f>_xlfn.IFNA(VLOOKUP($A1684,[3]stockregister!$A$1:$M$2000,12,0),0)-$I1684</f>
        <v>0</v>
      </c>
      <c r="K1684" s="3" t="s">
        <v>22</v>
      </c>
      <c r="L1684" s="3" t="s">
        <v>23</v>
      </c>
      <c r="M1684" s="3">
        <f>_xlfn.IFNA(VLOOKUP($A1684,[2]stockregister!$A$2:$H$2000,8,0),0)</f>
        <v>1700</v>
      </c>
      <c r="N1684" s="3">
        <f>_xlfn.IFNA(VLOOKUP($A1684,[2]stockregister!$A$2:$H$2000,8,0),0)-$M1684</f>
        <v>0</v>
      </c>
      <c r="O1684" s="3" t="s">
        <v>3905</v>
      </c>
      <c r="P1684" s="3" t="s">
        <v>3905</v>
      </c>
      <c r="Q1684" s="3" t="s">
        <v>1790</v>
      </c>
      <c r="R1684" s="3" t="s">
        <v>68</v>
      </c>
      <c r="S1684" s="3" t="s">
        <v>169</v>
      </c>
    </row>
    <row r="1685" spans="1:19">
      <c r="A1685" s="3">
        <v>968</v>
      </c>
      <c r="B1685" s="3" t="b">
        <f>ISNUMBER(MATCH(A1685,[1]stockregister!$A$2:$A$2000,0))</f>
        <v>1</v>
      </c>
      <c r="C1685" s="3" t="s">
        <v>3906</v>
      </c>
      <c r="D1685" s="3" t="str">
        <f>VLOOKUP($C1685,[1]stockregister!$B$2:$B$2000,1,0)</f>
        <v>HERITAGE AOP LANGUEDOC 750ML</v>
      </c>
      <c r="E1685" s="3" t="str">
        <f>IF(ISNA($D1685),VLOOKUP($A1685,[2]stockregister!$A$2:$B$2000,2,FALSE),"")</f>
        <v/>
      </c>
      <c r="F1685" s="3" t="s">
        <v>21</v>
      </c>
      <c r="G1685" s="3">
        <f>_xlfn.IFNA(VLOOKUP($A1685,[3]stockregister!$A$2:$L$2000,11,0),0)</f>
        <v>0</v>
      </c>
      <c r="H1685" s="3">
        <f>_xlfn.IFNA(VLOOKUP($A1685,[3]stockregister!$A$2:$L$2000,11,0),0)-$G1685</f>
        <v>0</v>
      </c>
      <c r="I1685" s="3">
        <f>_xlfn.IFNA(VLOOKUP($A1685,[3]stockregister!$A$2:$L$2000,12,0),0)</f>
        <v>1706.6</v>
      </c>
      <c r="J1685" s="3">
        <f>_xlfn.IFNA(VLOOKUP($A1685,[3]stockregister!$A$1:$M$2000,12,0),0)-$I1685</f>
        <v>0</v>
      </c>
      <c r="K1685" s="3" t="s">
        <v>22</v>
      </c>
      <c r="L1685" s="3" t="s">
        <v>23</v>
      </c>
      <c r="M1685" s="3">
        <f>_xlfn.IFNA(VLOOKUP($A1685,[2]stockregister!$A$2:$H$2000,8,0),0)</f>
        <v>1855</v>
      </c>
      <c r="N1685" s="3">
        <f>_xlfn.IFNA(VLOOKUP($A1685,[2]stockregister!$A$2:$H$2000,8,0),0)-$M1685</f>
        <v>0</v>
      </c>
      <c r="O1685" s="3" t="s">
        <v>3907</v>
      </c>
      <c r="P1685" s="3" t="s">
        <v>3907</v>
      </c>
      <c r="Q1685" s="3" t="s">
        <v>3908</v>
      </c>
      <c r="R1685" s="3" t="s">
        <v>68</v>
      </c>
      <c r="S1685" s="3" t="s">
        <v>1962</v>
      </c>
    </row>
    <row r="1686" spans="1:19">
      <c r="A1686" s="3">
        <v>1013</v>
      </c>
      <c r="B1686" s="3" t="b">
        <f>ISNUMBER(MATCH(A1686,[1]stockregister!$A$2:$A$2000,0))</f>
        <v>1</v>
      </c>
      <c r="C1686" s="3" t="s">
        <v>3909</v>
      </c>
      <c r="D1686" s="3" t="str">
        <f>VLOOKUP($C1686,[1]stockregister!$B$2:$B$2000,1,0)</f>
        <v>ITINERA PROSECCO 750ML</v>
      </c>
      <c r="E1686" s="3" t="str">
        <f>IF(ISNA($D1686),VLOOKUP($A1686,[2]stockregister!$A$2:$B$2000,2,FALSE),"")</f>
        <v/>
      </c>
      <c r="F1686" s="3" t="s">
        <v>21</v>
      </c>
      <c r="G1686" s="3">
        <f>_xlfn.IFNA(VLOOKUP($A1686,[3]stockregister!$A$2:$L$2000,11,0),0)</f>
        <v>0</v>
      </c>
      <c r="H1686" s="3">
        <f>_xlfn.IFNA(VLOOKUP($A1686,[3]stockregister!$A$2:$L$2000,11,0),0)-$G1686</f>
        <v>0</v>
      </c>
      <c r="I1686" s="3">
        <f>_xlfn.IFNA(VLOOKUP($A1686,[3]stockregister!$A$2:$L$2000,12,0),0)</f>
        <v>2116</v>
      </c>
      <c r="J1686" s="3">
        <f>_xlfn.IFNA(VLOOKUP($A1686,[3]stockregister!$A$1:$M$2000,12,0),0)-$I1686</f>
        <v>0</v>
      </c>
      <c r="K1686" s="3" t="s">
        <v>22</v>
      </c>
      <c r="L1686" s="3" t="s">
        <v>23</v>
      </c>
      <c r="M1686" s="3">
        <f>_xlfn.IFNA(VLOOKUP($A1686,[2]stockregister!$A$2:$H$2000,8,0),0)</f>
        <v>2300</v>
      </c>
      <c r="N1686" s="3">
        <f>_xlfn.IFNA(VLOOKUP($A1686,[2]stockregister!$A$2:$H$2000,8,0),0)-$M1686</f>
        <v>0</v>
      </c>
      <c r="O1686" s="3" t="s">
        <v>3910</v>
      </c>
      <c r="P1686" s="3" t="s">
        <v>3910</v>
      </c>
      <c r="Q1686" s="3" t="s">
        <v>3911</v>
      </c>
      <c r="R1686" s="3" t="s">
        <v>68</v>
      </c>
      <c r="S1686" s="3" t="s">
        <v>169</v>
      </c>
    </row>
    <row r="1687" spans="1:19">
      <c r="A1687" s="3">
        <v>1173</v>
      </c>
      <c r="B1687" s="3" t="b">
        <f>ISNUMBER(MATCH(A1687,[1]stockregister!$A$2:$A$2000,0))</f>
        <v>1</v>
      </c>
      <c r="C1687" s="3" t="s">
        <v>3912</v>
      </c>
      <c r="D1687" s="3" t="str">
        <f>VLOOKUP($C1687,[1]stockregister!$B$2:$B$2000,1,0)</f>
        <v>KANONKOP KADETTE 750ML</v>
      </c>
      <c r="E1687" s="3" t="str">
        <f>IF(ISNA($D1687),VLOOKUP($A1687,[2]stockregister!$A$2:$B$2000,2,FALSE),"")</f>
        <v/>
      </c>
      <c r="F1687" s="3" t="s">
        <v>21</v>
      </c>
      <c r="G1687" s="3">
        <f>_xlfn.IFNA(VLOOKUP($A1687,[3]stockregister!$A$2:$L$2000,11,0),0)</f>
        <v>0</v>
      </c>
      <c r="H1687" s="3">
        <f>_xlfn.IFNA(VLOOKUP($A1687,[3]stockregister!$A$2:$L$2000,11,0),0)-$G1687</f>
        <v>0</v>
      </c>
      <c r="I1687" s="3">
        <f>_xlfn.IFNA(VLOOKUP($A1687,[3]stockregister!$A$2:$L$2000,12,0),0)</f>
        <v>2300</v>
      </c>
      <c r="J1687" s="3">
        <f>_xlfn.IFNA(VLOOKUP($A1687,[3]stockregister!$A$1:$M$2000,12,0),0)-$I1687</f>
        <v>0</v>
      </c>
      <c r="K1687" s="3" t="s">
        <v>22</v>
      </c>
      <c r="L1687" s="3" t="s">
        <v>23</v>
      </c>
      <c r="M1687" s="3">
        <f>_xlfn.IFNA(VLOOKUP($A1687,[2]stockregister!$A$2:$H$2000,8,0),0)</f>
        <v>2500</v>
      </c>
      <c r="N1687" s="3">
        <f>_xlfn.IFNA(VLOOKUP($A1687,[2]stockregister!$A$2:$H$2000,8,0),0)-$M1687</f>
        <v>0</v>
      </c>
      <c r="O1687" s="3" t="s">
        <v>3913</v>
      </c>
      <c r="P1687" s="3" t="s">
        <v>3913</v>
      </c>
      <c r="Q1687" s="3" t="s">
        <v>3861</v>
      </c>
      <c r="R1687" s="3" t="s">
        <v>68</v>
      </c>
      <c r="S1687" s="3" t="s">
        <v>169</v>
      </c>
    </row>
    <row r="1688" spans="1:19">
      <c r="A1688" s="3">
        <v>1239</v>
      </c>
      <c r="B1688" s="3" t="b">
        <f>ISNUMBER(MATCH(A1688,[1]stockregister!$A$2:$A$2000,0))</f>
        <v>1</v>
      </c>
      <c r="C1688" s="3" t="s">
        <v>3914</v>
      </c>
      <c r="D1688" s="3" t="str">
        <f>VLOOKUP($C1688,[1]stockregister!$B$2:$B$2000,1,0)</f>
        <v>KWV CAPE RUBY 750ml</v>
      </c>
      <c r="E1688" s="3" t="str">
        <f>IF(ISNA($D1688),VLOOKUP($A1688,[2]stockregister!$A$2:$B$2000,2,FALSE),"")</f>
        <v/>
      </c>
      <c r="F1688" s="3" t="s">
        <v>21</v>
      </c>
      <c r="G1688" s="3">
        <f>_xlfn.IFNA(VLOOKUP($A1688,[3]stockregister!$A$2:$L$2000,11,0),0)</f>
        <v>0</v>
      </c>
      <c r="H1688" s="3">
        <f>_xlfn.IFNA(VLOOKUP($A1688,[3]stockregister!$A$2:$L$2000,11,0),0)-$G1688</f>
        <v>0</v>
      </c>
      <c r="I1688" s="3">
        <f>_xlfn.IFNA(VLOOKUP($A1688,[3]stockregister!$A$2:$L$2000,12,0),0)</f>
        <v>1656</v>
      </c>
      <c r="J1688" s="3">
        <f>_xlfn.IFNA(VLOOKUP($A1688,[3]stockregister!$A$1:$M$2000,12,0),0)-$I1688</f>
        <v>0</v>
      </c>
      <c r="K1688" s="3" t="s">
        <v>22</v>
      </c>
      <c r="L1688" s="3" t="s">
        <v>23</v>
      </c>
      <c r="M1688" s="3">
        <f>_xlfn.IFNA(VLOOKUP($A1688,[2]stockregister!$A$2:$H$2000,8,0),0)</f>
        <v>1800</v>
      </c>
      <c r="N1688" s="3">
        <f>_xlfn.IFNA(VLOOKUP($A1688,[2]stockregister!$A$2:$H$2000,8,0),0)-$M1688</f>
        <v>0</v>
      </c>
      <c r="O1688" s="3" t="s">
        <v>3915</v>
      </c>
      <c r="P1688" s="3" t="s">
        <v>3915</v>
      </c>
      <c r="Q1688" s="3" t="s">
        <v>872</v>
      </c>
      <c r="R1688" s="3" t="s">
        <v>68</v>
      </c>
      <c r="S1688" s="3" t="s">
        <v>1962</v>
      </c>
    </row>
    <row r="1689" spans="1:19">
      <c r="A1689" s="3">
        <v>1435</v>
      </c>
      <c r="B1689" s="3" t="b">
        <f>ISNUMBER(MATCH(A1689,[1]stockregister!$A$2:$A$2000,0))</f>
        <v>1</v>
      </c>
      <c r="C1689" s="3" t="s">
        <v>3916</v>
      </c>
      <c r="D1689" s="3" t="str">
        <f>VLOOKUP($C1689,[1]stockregister!$B$2:$B$2000,1,0)</f>
        <v>MIKADO RED 750ML</v>
      </c>
      <c r="E1689" s="3" t="str">
        <f>IF(ISNA($D1689),VLOOKUP($A1689,[2]stockregister!$A$2:$B$2000,2,FALSE),"")</f>
        <v/>
      </c>
      <c r="F1689" s="3" t="s">
        <v>21</v>
      </c>
      <c r="G1689" s="3">
        <f>_xlfn.IFNA(VLOOKUP($A1689,[3]stockregister!$A$2:$L$2000,11,0),0)</f>
        <v>0</v>
      </c>
      <c r="H1689" s="3">
        <f>_xlfn.IFNA(VLOOKUP($A1689,[3]stockregister!$A$2:$L$2000,11,0),0)-$G1689</f>
        <v>0</v>
      </c>
      <c r="I1689" s="3">
        <f>_xlfn.IFNA(VLOOKUP($A1689,[3]stockregister!$A$2:$L$2000,12,0),0)</f>
        <v>1058</v>
      </c>
      <c r="J1689" s="3">
        <f>_xlfn.IFNA(VLOOKUP($A1689,[3]stockregister!$A$1:$M$2000,12,0),0)-$I1689</f>
        <v>0</v>
      </c>
      <c r="K1689" s="3" t="s">
        <v>22</v>
      </c>
      <c r="L1689" s="3" t="s">
        <v>23</v>
      </c>
      <c r="M1689" s="3">
        <f>_xlfn.IFNA(VLOOKUP($A1689,[2]stockregister!$A$2:$H$2000,8,0),0)</f>
        <v>1150</v>
      </c>
      <c r="N1689" s="3">
        <f>_xlfn.IFNA(VLOOKUP($A1689,[2]stockregister!$A$2:$H$2000,8,0),0)-$M1689</f>
        <v>0</v>
      </c>
      <c r="O1689" s="3" t="s">
        <v>3917</v>
      </c>
      <c r="P1689" s="3" t="s">
        <v>3917</v>
      </c>
      <c r="Q1689" s="3" t="s">
        <v>3918</v>
      </c>
      <c r="R1689" s="3" t="s">
        <v>68</v>
      </c>
      <c r="S1689" s="3" t="s">
        <v>169</v>
      </c>
    </row>
    <row r="1690" spans="1:19">
      <c r="A1690" s="3">
        <v>1438</v>
      </c>
      <c r="B1690" s="3" t="b">
        <f>ISNUMBER(MATCH(A1690,[1]stockregister!$A$2:$A$2000,0))</f>
        <v>1</v>
      </c>
      <c r="C1690" s="3" t="s">
        <v>3919</v>
      </c>
      <c r="D1690" s="3" t="str">
        <f>VLOOKUP($C1690,[1]stockregister!$B$2:$B$2000,1,0)</f>
        <v>MIRADOR RED 750ML</v>
      </c>
      <c r="E1690" s="3" t="str">
        <f>IF(ISNA($D1690),VLOOKUP($A1690,[2]stockregister!$A$2:$B$2000,2,FALSE),"")</f>
        <v/>
      </c>
      <c r="F1690" s="3" t="s">
        <v>21</v>
      </c>
      <c r="G1690" s="3">
        <f>_xlfn.IFNA(VLOOKUP($A1690,[3]stockregister!$A$2:$L$2000,11,0),0)</f>
        <v>0</v>
      </c>
      <c r="H1690" s="3">
        <f>_xlfn.IFNA(VLOOKUP($A1690,[3]stockregister!$A$2:$L$2000,11,0),0)-$G1690</f>
        <v>0</v>
      </c>
      <c r="I1690" s="3">
        <f>_xlfn.IFNA(VLOOKUP($A1690,[3]stockregister!$A$2:$L$2000,12,0),0)</f>
        <v>1750</v>
      </c>
      <c r="J1690" s="3">
        <f>_xlfn.IFNA(VLOOKUP($A1690,[3]stockregister!$A$1:$M$2000,12,0),0)-$I1690</f>
        <v>0</v>
      </c>
      <c r="K1690" s="3" t="s">
        <v>22</v>
      </c>
      <c r="L1690" s="3" t="s">
        <v>23</v>
      </c>
      <c r="M1690" s="3">
        <f>_xlfn.IFNA(VLOOKUP($A1690,[2]stockregister!$A$2:$H$2000,8,0),0)</f>
        <v>1950</v>
      </c>
      <c r="N1690" s="3">
        <f>_xlfn.IFNA(VLOOKUP($A1690,[2]stockregister!$A$2:$H$2000,8,0),0)-$M1690</f>
        <v>0</v>
      </c>
      <c r="O1690" s="3" t="s">
        <v>3920</v>
      </c>
      <c r="P1690" s="3" t="s">
        <v>3920</v>
      </c>
      <c r="Q1690" s="3" t="s">
        <v>1022</v>
      </c>
      <c r="R1690" s="3" t="s">
        <v>68</v>
      </c>
      <c r="S1690" s="3" t="s">
        <v>169</v>
      </c>
    </row>
    <row r="1691" spans="1:19">
      <c r="A1691" s="3">
        <v>1500</v>
      </c>
      <c r="B1691" s="3" t="b">
        <f>ISNUMBER(MATCH(A1691,[1]stockregister!$A$2:$A$2000,0))</f>
        <v>1</v>
      </c>
      <c r="C1691" s="3" t="s">
        <v>3921</v>
      </c>
      <c r="D1691" s="3" t="str">
        <f>VLOOKUP($C1691,[1]stockregister!$B$2:$B$2000,1,0)</f>
        <v>NAMAQUA JOHANNISBERGER RED 5LTR</v>
      </c>
      <c r="E1691" s="3" t="str">
        <f>IF(ISNA($D1691),VLOOKUP($A1691,[2]stockregister!$A$2:$B$2000,2,FALSE),"")</f>
        <v/>
      </c>
      <c r="F1691" s="3" t="s">
        <v>21</v>
      </c>
      <c r="G1691" s="3">
        <f>_xlfn.IFNA(VLOOKUP($A1691,[3]stockregister!$A$2:$L$2000,11,0),0)</f>
        <v>0</v>
      </c>
      <c r="H1691" s="3">
        <f>_xlfn.IFNA(VLOOKUP($A1691,[3]stockregister!$A$2:$L$2000,11,0),0)-$G1691</f>
        <v>0</v>
      </c>
      <c r="I1691" s="3">
        <f>_xlfn.IFNA(VLOOKUP($A1691,[3]stockregister!$A$2:$L$2000,12,0),0)</f>
        <v>3804</v>
      </c>
      <c r="J1691" s="3">
        <f>_xlfn.IFNA(VLOOKUP($A1691,[3]stockregister!$A$1:$M$2000,12,0),0)-$I1691</f>
        <v>0</v>
      </c>
      <c r="K1691" s="3" t="s">
        <v>22</v>
      </c>
      <c r="L1691" s="3" t="s">
        <v>23</v>
      </c>
      <c r="M1691" s="3">
        <f>_xlfn.IFNA(VLOOKUP($A1691,[2]stockregister!$A$2:$H$2000,8,0),0)</f>
        <v>3300</v>
      </c>
      <c r="N1691" s="3">
        <f>_xlfn.IFNA(VLOOKUP($A1691,[2]stockregister!$A$2:$H$2000,8,0),0)-$M1691</f>
        <v>0</v>
      </c>
      <c r="O1691" s="3" t="s">
        <v>3922</v>
      </c>
      <c r="P1691" s="3" t="s">
        <v>3922</v>
      </c>
      <c r="Q1691" s="3" t="s">
        <v>1900</v>
      </c>
      <c r="R1691" s="3" t="s">
        <v>68</v>
      </c>
      <c r="S1691" s="3" t="s">
        <v>169</v>
      </c>
    </row>
    <row r="1692" spans="1:19">
      <c r="A1692" s="3">
        <v>1602</v>
      </c>
      <c r="B1692" s="3" t="b">
        <f>ISNUMBER(MATCH(A1692,[1]stockregister!$A$2:$A$2000,0))</f>
        <v>1</v>
      </c>
      <c r="C1692" s="3" t="s">
        <v>3923</v>
      </c>
      <c r="D1692" s="3" t="str">
        <f>VLOOKUP($C1692,[1]stockregister!$B$2:$B$2000,1,0)</f>
        <v>PENASOL ALREN 750ML</v>
      </c>
      <c r="E1692" s="3" t="str">
        <f>IF(ISNA($D1692),VLOOKUP($A1692,[2]stockregister!$A$2:$B$2000,2,FALSE),"")</f>
        <v/>
      </c>
      <c r="F1692" s="3" t="s">
        <v>21</v>
      </c>
      <c r="G1692" s="3">
        <f>_xlfn.IFNA(VLOOKUP($A1692,[3]stockregister!$A$2:$L$2000,11,0),0)</f>
        <v>0</v>
      </c>
      <c r="H1692" s="3">
        <f>_xlfn.IFNA(VLOOKUP($A1692,[3]stockregister!$A$2:$L$2000,11,0),0)-$G1692</f>
        <v>0</v>
      </c>
      <c r="I1692" s="3">
        <f>_xlfn.IFNA(VLOOKUP($A1692,[3]stockregister!$A$2:$L$2000,12,0),0)</f>
        <v>736</v>
      </c>
      <c r="J1692" s="3">
        <f>_xlfn.IFNA(VLOOKUP($A1692,[3]stockregister!$A$1:$M$2000,12,0),0)-$I1692</f>
        <v>0</v>
      </c>
      <c r="K1692" s="3" t="s">
        <v>22</v>
      </c>
      <c r="L1692" s="3" t="s">
        <v>23</v>
      </c>
      <c r="M1692" s="3">
        <f>_xlfn.IFNA(VLOOKUP($A1692,[2]stockregister!$A$2:$H$2000,8,0),0)</f>
        <v>800</v>
      </c>
      <c r="N1692" s="3">
        <f>_xlfn.IFNA(VLOOKUP($A1692,[2]stockregister!$A$2:$H$2000,8,0),0)-$M1692</f>
        <v>0</v>
      </c>
      <c r="O1692" s="3" t="s">
        <v>3924</v>
      </c>
      <c r="P1692" s="3" t="s">
        <v>3924</v>
      </c>
      <c r="Q1692" s="3" t="s">
        <v>869</v>
      </c>
      <c r="R1692" s="3" t="s">
        <v>68</v>
      </c>
      <c r="S1692" s="3" t="s">
        <v>169</v>
      </c>
    </row>
    <row r="1693" spans="1:19">
      <c r="A1693" s="3">
        <v>1604</v>
      </c>
      <c r="B1693" s="3" t="b">
        <f>ISNUMBER(MATCH(A1693,[1]stockregister!$A$2:$A$2000,0))</f>
        <v>1</v>
      </c>
      <c r="C1693" s="3" t="s">
        <v>3925</v>
      </c>
      <c r="D1693" s="3" t="str">
        <f>VLOOKUP($C1693,[1]stockregister!$B$2:$B$2000,1,0)</f>
        <v>PENASOL RED WINE 1LTR</v>
      </c>
      <c r="E1693" s="3" t="str">
        <f>IF(ISNA($D1693),VLOOKUP($A1693,[2]stockregister!$A$2:$B$2000,2,FALSE),"")</f>
        <v/>
      </c>
      <c r="F1693" s="3" t="s">
        <v>21</v>
      </c>
      <c r="G1693" s="3">
        <f>_xlfn.IFNA(VLOOKUP($A1693,[3]stockregister!$A$2:$L$2000,11,0),0)</f>
        <v>0</v>
      </c>
      <c r="H1693" s="3">
        <f>_xlfn.IFNA(VLOOKUP($A1693,[3]stockregister!$A$2:$L$2000,11,0),0)-$G1693</f>
        <v>0</v>
      </c>
      <c r="I1693" s="3">
        <f>_xlfn.IFNA(VLOOKUP($A1693,[3]stockregister!$A$2:$L$2000,12,0),0)</f>
        <v>650</v>
      </c>
      <c r="J1693" s="3">
        <f>_xlfn.IFNA(VLOOKUP($A1693,[3]stockregister!$A$1:$M$2000,12,0),0)-$I1693</f>
        <v>0</v>
      </c>
      <c r="K1693" s="3" t="s">
        <v>22</v>
      </c>
      <c r="L1693" s="3" t="s">
        <v>23</v>
      </c>
      <c r="M1693" s="3">
        <f>_xlfn.IFNA(VLOOKUP($A1693,[2]stockregister!$A$2:$H$2000,8,0),0)</f>
        <v>850</v>
      </c>
      <c r="N1693" s="3">
        <f>_xlfn.IFNA(VLOOKUP($A1693,[2]stockregister!$A$2:$H$2000,8,0),0)-$M1693</f>
        <v>0</v>
      </c>
      <c r="O1693" s="3" t="s">
        <v>3926</v>
      </c>
      <c r="P1693" s="3" t="s">
        <v>3926</v>
      </c>
      <c r="Q1693" s="3" t="s">
        <v>1144</v>
      </c>
      <c r="R1693" s="3" t="s">
        <v>68</v>
      </c>
      <c r="S1693" s="3" t="s">
        <v>169</v>
      </c>
    </row>
    <row r="1694" spans="1:19">
      <c r="A1694" s="3">
        <v>1746</v>
      </c>
      <c r="B1694" s="3" t="b">
        <f>ISNUMBER(MATCH(A1694,[1]stockregister!$A$2:$A$2000,0))</f>
        <v>1</v>
      </c>
      <c r="C1694" s="3" t="s">
        <v>3927</v>
      </c>
      <c r="D1694" s="3" t="str">
        <f>VLOOKUP($C1694,[1]stockregister!$B$2:$B$2000,1,0)</f>
        <v>SANDEMAN FINE RUBY 1ltr</v>
      </c>
      <c r="E1694" s="3" t="str">
        <f>IF(ISNA($D1694),VLOOKUP($A1694,[2]stockregister!$A$2:$B$2000,2,FALSE),"")</f>
        <v/>
      </c>
      <c r="F1694" s="3" t="s">
        <v>21</v>
      </c>
      <c r="G1694" s="3">
        <f>_xlfn.IFNA(VLOOKUP($A1694,[3]stockregister!$A$2:$L$2000,11,0),0)</f>
        <v>0</v>
      </c>
      <c r="H1694" s="3">
        <f>_xlfn.IFNA(VLOOKUP($A1694,[3]stockregister!$A$2:$L$2000,11,0),0)-$G1694</f>
        <v>0</v>
      </c>
      <c r="I1694" s="3">
        <f>_xlfn.IFNA(VLOOKUP($A1694,[3]stockregister!$A$2:$L$2000,12,0),0)</f>
        <v>1840</v>
      </c>
      <c r="J1694" s="3">
        <f>_xlfn.IFNA(VLOOKUP($A1694,[3]stockregister!$A$1:$M$2000,12,0),0)-$I1694</f>
        <v>0</v>
      </c>
      <c r="K1694" s="3" t="s">
        <v>22</v>
      </c>
      <c r="L1694" s="3" t="s">
        <v>23</v>
      </c>
      <c r="M1694" s="3">
        <f>_xlfn.IFNA(VLOOKUP($A1694,[2]stockregister!$A$2:$H$2000,8,0),0)</f>
        <v>2000</v>
      </c>
      <c r="N1694" s="3">
        <f>_xlfn.IFNA(VLOOKUP($A1694,[2]stockregister!$A$2:$H$2000,8,0),0)-$M1694</f>
        <v>0</v>
      </c>
      <c r="O1694" s="3" t="s">
        <v>3928</v>
      </c>
      <c r="P1694" s="3" t="s">
        <v>3928</v>
      </c>
      <c r="Q1694" s="3" t="s">
        <v>1753</v>
      </c>
      <c r="R1694" s="3" t="s">
        <v>68</v>
      </c>
      <c r="S1694" s="3" t="s">
        <v>1962</v>
      </c>
    </row>
    <row r="1695" spans="1:19">
      <c r="A1695" s="3">
        <v>1960</v>
      </c>
      <c r="B1695" s="3" t="b">
        <f>ISNUMBER(MATCH(A1695,[1]stockregister!$A$2:$A$2000,0))</f>
        <v>1</v>
      </c>
      <c r="C1695" s="3" t="s">
        <v>3929</v>
      </c>
      <c r="D1695" s="3" t="str">
        <f>VLOOKUP($C1695,[1]stockregister!$B$2:$B$2000,1,0)</f>
        <v>THE CHOCOLATE BLOCK 750ML</v>
      </c>
      <c r="E1695" s="3" t="str">
        <f>IF(ISNA($D1695),VLOOKUP($A1695,[2]stockregister!$A$2:$B$2000,2,FALSE),"")</f>
        <v/>
      </c>
      <c r="F1695" s="3" t="s">
        <v>21</v>
      </c>
      <c r="G1695" s="3">
        <f>_xlfn.IFNA(VLOOKUP($A1695,[3]stockregister!$A$2:$L$2000,11,0),0)</f>
        <v>0</v>
      </c>
      <c r="H1695" s="3">
        <f>_xlfn.IFNA(VLOOKUP($A1695,[3]stockregister!$A$2:$L$2000,11,0),0)-$G1695</f>
        <v>0</v>
      </c>
      <c r="I1695" s="3">
        <f>_xlfn.IFNA(VLOOKUP($A1695,[3]stockregister!$A$2:$L$2000,12,0),0)</f>
        <v>4140</v>
      </c>
      <c r="J1695" s="3">
        <f>_xlfn.IFNA(VLOOKUP($A1695,[3]stockregister!$A$1:$M$2000,12,0),0)-$I1695</f>
        <v>0</v>
      </c>
      <c r="K1695" s="3" t="s">
        <v>22</v>
      </c>
      <c r="L1695" s="3" t="s">
        <v>23</v>
      </c>
      <c r="M1695" s="3">
        <f>_xlfn.IFNA(VLOOKUP($A1695,[2]stockregister!$A$2:$H$2000,8,0),0)</f>
        <v>4500</v>
      </c>
      <c r="N1695" s="3">
        <f>_xlfn.IFNA(VLOOKUP($A1695,[2]stockregister!$A$2:$H$2000,8,0),0)-$M1695</f>
        <v>0</v>
      </c>
      <c r="O1695" s="3" t="s">
        <v>3930</v>
      </c>
      <c r="P1695" s="3" t="s">
        <v>3930</v>
      </c>
      <c r="Q1695" s="3" t="s">
        <v>3931</v>
      </c>
      <c r="R1695" s="3" t="s">
        <v>68</v>
      </c>
      <c r="S1695" s="3" t="s">
        <v>1962</v>
      </c>
    </row>
    <row r="1696" spans="1:19">
      <c r="A1696" s="3">
        <v>1978</v>
      </c>
      <c r="B1696" s="3" t="b">
        <f>ISNUMBER(MATCH(A1696,[1]stockregister!$A$2:$A$2000,0))</f>
        <v>1</v>
      </c>
      <c r="C1696" s="3" t="s">
        <v>3932</v>
      </c>
      <c r="D1696" s="3" t="str">
        <f>VLOOKUP($C1696,[1]stockregister!$B$2:$B$2000,1,0)</f>
        <v>THE GUV'NOR RED 750ML</v>
      </c>
      <c r="E1696" s="3" t="str">
        <f>IF(ISNA($D1696),VLOOKUP($A1696,[2]stockregister!$A$2:$B$2000,2,FALSE),"")</f>
        <v/>
      </c>
      <c r="F1696" s="3" t="s">
        <v>21</v>
      </c>
      <c r="G1696" s="3">
        <f>_xlfn.IFNA(VLOOKUP($A1696,[3]stockregister!$A$2:$L$2000,11,0),0)</f>
        <v>0</v>
      </c>
      <c r="H1696" s="3">
        <f>_xlfn.IFNA(VLOOKUP($A1696,[3]stockregister!$A$2:$L$2000,11,0),0)-$G1696</f>
        <v>0</v>
      </c>
      <c r="I1696" s="3">
        <f>_xlfn.IFNA(VLOOKUP($A1696,[3]stockregister!$A$2:$L$2000,12,0),0)</f>
        <v>1400</v>
      </c>
      <c r="J1696" s="3">
        <f>_xlfn.IFNA(VLOOKUP($A1696,[3]stockregister!$A$1:$M$2000,12,0),0)-$I1696</f>
        <v>0</v>
      </c>
      <c r="K1696" s="3" t="s">
        <v>22</v>
      </c>
      <c r="L1696" s="3" t="s">
        <v>23</v>
      </c>
      <c r="M1696" s="3">
        <f>_xlfn.IFNA(VLOOKUP($A1696,[2]stockregister!$A$2:$H$2000,8,0),0)</f>
        <v>1700</v>
      </c>
      <c r="N1696" s="3">
        <f>_xlfn.IFNA(VLOOKUP($A1696,[2]stockregister!$A$2:$H$2000,8,0),0)-$M1696</f>
        <v>0</v>
      </c>
      <c r="O1696" s="3" t="s">
        <v>3933</v>
      </c>
      <c r="P1696" s="3" t="s">
        <v>3933</v>
      </c>
      <c r="Q1696" s="3" t="s">
        <v>942</v>
      </c>
      <c r="R1696" s="3" t="s">
        <v>68</v>
      </c>
      <c r="S1696" s="3" t="s">
        <v>169</v>
      </c>
    </row>
    <row r="1697" spans="1:19">
      <c r="A1697" s="3">
        <v>2001</v>
      </c>
      <c r="B1697" s="3" t="b">
        <f>ISNUMBER(MATCH(A1697,[1]stockregister!$A$2:$A$2000,0))</f>
        <v>1</v>
      </c>
      <c r="C1697" s="3" t="s">
        <v>3934</v>
      </c>
      <c r="D1697" s="3" t="str">
        <f>VLOOKUP($C1697,[1]stockregister!$B$2:$B$2000,1,0)</f>
        <v>TOMMASI 750ML</v>
      </c>
      <c r="E1697" s="3" t="str">
        <f>IF(ISNA($D1697),VLOOKUP($A1697,[2]stockregister!$A$2:$B$2000,2,FALSE),"")</f>
        <v/>
      </c>
      <c r="F1697" s="3" t="s">
        <v>21</v>
      </c>
      <c r="G1697" s="3">
        <f>_xlfn.IFNA(VLOOKUP($A1697,[3]stockregister!$A$2:$L$2000,11,0),0)</f>
        <v>0</v>
      </c>
      <c r="H1697" s="3">
        <f>_xlfn.IFNA(VLOOKUP($A1697,[3]stockregister!$A$2:$L$2000,11,0),0)-$G1697</f>
        <v>0</v>
      </c>
      <c r="I1697" s="3">
        <f>_xlfn.IFNA(VLOOKUP($A1697,[3]stockregister!$A$2:$L$2000,12,0),0)</f>
        <v>1288</v>
      </c>
      <c r="J1697" s="3">
        <f>_xlfn.IFNA(VLOOKUP($A1697,[3]stockregister!$A$1:$M$2000,12,0),0)-$I1697</f>
        <v>0</v>
      </c>
      <c r="K1697" s="3" t="s">
        <v>22</v>
      </c>
      <c r="L1697" s="3" t="s">
        <v>23</v>
      </c>
      <c r="M1697" s="3">
        <f>_xlfn.IFNA(VLOOKUP($A1697,[2]stockregister!$A$2:$H$2000,8,0),0)</f>
        <v>1400</v>
      </c>
      <c r="N1697" s="3">
        <f>_xlfn.IFNA(VLOOKUP($A1697,[2]stockregister!$A$2:$H$2000,8,0),0)-$M1697</f>
        <v>0</v>
      </c>
      <c r="O1697" s="3" t="s">
        <v>3935</v>
      </c>
      <c r="P1697" s="3" t="s">
        <v>3935</v>
      </c>
      <c r="Q1697" s="3" t="s">
        <v>3936</v>
      </c>
      <c r="R1697" s="3" t="s">
        <v>68</v>
      </c>
      <c r="S1697" s="3" t="s">
        <v>1962</v>
      </c>
    </row>
    <row r="1698" spans="1:19">
      <c r="A1698" s="3">
        <v>2002</v>
      </c>
      <c r="B1698" s="3" t="b">
        <f>ISNUMBER(MATCH(A1698,[1]stockregister!$A$2:$A$2000,0))</f>
        <v>1</v>
      </c>
      <c r="C1698" s="3" t="s">
        <v>619</v>
      </c>
      <c r="D1698" s="3" t="str">
        <f>VLOOKUP($C1698,[1]stockregister!$B$2:$B$2000,1,0)</f>
        <v>TOMMASI AMARONE DELLA VALPOLICELLA CLASSICO  750ML</v>
      </c>
      <c r="E1698" s="3" t="str">
        <f>IF(ISNA($D1698),VLOOKUP($A1698,[2]stockregister!$A$2:$B$2000,2,FALSE),"")</f>
        <v/>
      </c>
      <c r="F1698" s="3" t="s">
        <v>21</v>
      </c>
      <c r="G1698" s="3">
        <f>_xlfn.IFNA(VLOOKUP($A1698,[3]stockregister!$A$2:$L$2000,11,0),0)</f>
        <v>0</v>
      </c>
      <c r="H1698" s="3">
        <f>_xlfn.IFNA(VLOOKUP($A1698,[3]stockregister!$A$2:$L$2000,11,0),0)-$G1698</f>
        <v>0</v>
      </c>
      <c r="I1698" s="3">
        <f>_xlfn.IFNA(VLOOKUP($A1698,[3]stockregister!$A$2:$L$2000,12,0),0)</f>
        <v>5980</v>
      </c>
      <c r="J1698" s="3">
        <f>_xlfn.IFNA(VLOOKUP($A1698,[3]stockregister!$A$1:$M$2000,12,0),0)-$I1698</f>
        <v>0</v>
      </c>
      <c r="K1698" s="3" t="s">
        <v>22</v>
      </c>
      <c r="L1698" s="3" t="s">
        <v>23</v>
      </c>
      <c r="M1698" s="3">
        <f>_xlfn.IFNA(VLOOKUP($A1698,[2]stockregister!$A$2:$H$2000,8,0),0)</f>
        <v>6500</v>
      </c>
      <c r="N1698" s="3">
        <f>_xlfn.IFNA(VLOOKUP($A1698,[2]stockregister!$A$2:$H$2000,8,0),0)-$M1698</f>
        <v>0</v>
      </c>
      <c r="O1698" s="3" t="s">
        <v>3937</v>
      </c>
      <c r="P1698" s="3" t="s">
        <v>3937</v>
      </c>
      <c r="Q1698" s="3" t="s">
        <v>1415</v>
      </c>
      <c r="R1698" s="3" t="s">
        <v>68</v>
      </c>
      <c r="S1698" s="3" t="s">
        <v>1962</v>
      </c>
    </row>
    <row r="1699" spans="1:19">
      <c r="A1699" s="3">
        <v>2034</v>
      </c>
      <c r="B1699" s="3" t="b">
        <f>ISNUMBER(MATCH(A1699,[1]stockregister!$A$2:$A$2000,0))</f>
        <v>1</v>
      </c>
      <c r="C1699" s="3" t="s">
        <v>3938</v>
      </c>
      <c r="D1699" s="3" t="str">
        <f>VLOOKUP($C1699,[1]stockregister!$B$2:$B$2000,1,0)</f>
        <v>TWIGA HILL 750ML</v>
      </c>
      <c r="E1699" s="3" t="str">
        <f>IF(ISNA($D1699),VLOOKUP($A1699,[2]stockregister!$A$2:$B$2000,2,FALSE),"")</f>
        <v/>
      </c>
      <c r="F1699" s="3" t="s">
        <v>21</v>
      </c>
      <c r="G1699" s="3">
        <f>_xlfn.IFNA(VLOOKUP($A1699,[3]stockregister!$A$2:$L$2000,11,0),0)</f>
        <v>0</v>
      </c>
      <c r="H1699" s="3">
        <f>_xlfn.IFNA(VLOOKUP($A1699,[3]stockregister!$A$2:$L$2000,11,0),0)-$G1699</f>
        <v>0</v>
      </c>
      <c r="I1699" s="3">
        <f>_xlfn.IFNA(VLOOKUP($A1699,[3]stockregister!$A$2:$L$2000,12,0),0)</f>
        <v>800</v>
      </c>
      <c r="J1699" s="3">
        <f>_xlfn.IFNA(VLOOKUP($A1699,[3]stockregister!$A$1:$M$2000,12,0),0)-$I1699</f>
        <v>0</v>
      </c>
      <c r="K1699" s="3" t="s">
        <v>22</v>
      </c>
      <c r="L1699" s="3" t="s">
        <v>23</v>
      </c>
      <c r="M1699" s="3">
        <f>_xlfn.IFNA(VLOOKUP($A1699,[2]stockregister!$A$2:$H$2000,8,0),0)</f>
        <v>1000</v>
      </c>
      <c r="N1699" s="3">
        <f>_xlfn.IFNA(VLOOKUP($A1699,[2]stockregister!$A$2:$H$2000,8,0),0)-$M1699</f>
        <v>0</v>
      </c>
      <c r="O1699" s="3" t="s">
        <v>3939</v>
      </c>
      <c r="P1699" s="3" t="s">
        <v>3939</v>
      </c>
      <c r="Q1699" s="3" t="s">
        <v>2111</v>
      </c>
      <c r="R1699" s="3" t="s">
        <v>68</v>
      </c>
      <c r="S1699" s="3" t="s">
        <v>169</v>
      </c>
    </row>
    <row r="1700" spans="1:19">
      <c r="A1700" s="3">
        <v>2153</v>
      </c>
      <c r="B1700" s="3" t="b">
        <f>ISNUMBER(MATCH(A1700,[1]stockregister!$A$2:$A$2000,0))</f>
        <v>1</v>
      </c>
      <c r="C1700" s="3" t="s">
        <v>3940</v>
      </c>
      <c r="D1700" s="3" t="str">
        <f>VLOOKUP($C1700,[1]stockregister!$B$2:$B$2000,1,0)</f>
        <v>ZONIN PROSECCO750ml</v>
      </c>
      <c r="E1700" s="3" t="str">
        <f>IF(ISNA($D1700),VLOOKUP($A1700,[2]stockregister!$A$2:$B$2000,2,FALSE),"")</f>
        <v/>
      </c>
      <c r="F1700" s="3" t="s">
        <v>21</v>
      </c>
      <c r="G1700" s="3">
        <f>_xlfn.IFNA(VLOOKUP($A1700,[3]stockregister!$A$2:$L$2000,11,0),0)</f>
        <v>0</v>
      </c>
      <c r="H1700" s="3">
        <f>_xlfn.IFNA(VLOOKUP($A1700,[3]stockregister!$A$2:$L$2000,11,0),0)-$G1700</f>
        <v>0</v>
      </c>
      <c r="I1700" s="3">
        <f>_xlfn.IFNA(VLOOKUP($A1700,[3]stockregister!$A$2:$L$2000,12,0),0)</f>
        <v>2116</v>
      </c>
      <c r="J1700" s="3">
        <f>_xlfn.IFNA(VLOOKUP($A1700,[3]stockregister!$A$1:$M$2000,12,0),0)-$I1700</f>
        <v>0</v>
      </c>
      <c r="K1700" s="3" t="s">
        <v>22</v>
      </c>
      <c r="L1700" s="3" t="s">
        <v>23</v>
      </c>
      <c r="M1700" s="3">
        <f>_xlfn.IFNA(VLOOKUP($A1700,[2]stockregister!$A$2:$H$2000,8,0),0)</f>
        <v>2300</v>
      </c>
      <c r="N1700" s="3">
        <f>_xlfn.IFNA(VLOOKUP($A1700,[2]stockregister!$A$2:$H$2000,8,0),0)-$M1700</f>
        <v>0</v>
      </c>
      <c r="O1700" s="3" t="s">
        <v>3941</v>
      </c>
      <c r="P1700" s="3" t="s">
        <v>3941</v>
      </c>
      <c r="Q1700" s="3" t="s">
        <v>3942</v>
      </c>
      <c r="R1700" s="3" t="s">
        <v>68</v>
      </c>
      <c r="S1700" s="3" t="s">
        <v>1962</v>
      </c>
    </row>
    <row r="1701" spans="1:19">
      <c r="A1701" s="3">
        <v>2465</v>
      </c>
      <c r="B1701" s="3" t="b">
        <f>ISNUMBER(MATCH(A1701,[1]stockregister!$A$2:$A$2000,0))</f>
        <v>1</v>
      </c>
      <c r="C1701" s="3" t="s">
        <v>3943</v>
      </c>
      <c r="D1701" s="3" t="str">
        <f>VLOOKUP($C1701,[1]stockregister!$B$2:$B$2000,1,0)</f>
        <v>B&amp;G MALBEC IGP PAYS DOC 750ML</v>
      </c>
      <c r="E1701" s="3" t="str">
        <f>IF(ISNA($D1701),VLOOKUP($A1701,[2]stockregister!$A$2:$B$2000,2,FALSE),"")</f>
        <v/>
      </c>
      <c r="F1701" s="3" t="s">
        <v>21</v>
      </c>
      <c r="G1701" s="3">
        <f>_xlfn.IFNA(VLOOKUP($A1701,[3]stockregister!$A$2:$L$2000,11,0),0)</f>
        <v>0</v>
      </c>
      <c r="H1701" s="3">
        <f>_xlfn.IFNA(VLOOKUP($A1701,[3]stockregister!$A$2:$L$2000,11,0),0)-$G1701</f>
        <v>0</v>
      </c>
      <c r="I1701" s="3">
        <f>_xlfn.IFNA(VLOOKUP($A1701,[3]stockregister!$A$2:$L$2000,12,0),0)</f>
        <v>1010</v>
      </c>
      <c r="J1701" s="3">
        <f>_xlfn.IFNA(VLOOKUP($A1701,[3]stockregister!$A$1:$M$2000,12,0),0)-$I1701</f>
        <v>0</v>
      </c>
      <c r="K1701" s="3" t="s">
        <v>22</v>
      </c>
      <c r="L1701" s="3" t="s">
        <v>23</v>
      </c>
      <c r="M1701" s="3">
        <f>_xlfn.IFNA(VLOOKUP($A1701,[2]stockregister!$A$2:$H$2000,8,0),0)</f>
        <v>1260</v>
      </c>
      <c r="N1701" s="3">
        <f>_xlfn.IFNA(VLOOKUP($A1701,[2]stockregister!$A$2:$H$2000,8,0),0)-$M1701</f>
        <v>0</v>
      </c>
      <c r="O1701" s="3" t="s">
        <v>3944</v>
      </c>
      <c r="P1701" s="3" t="s">
        <v>3944</v>
      </c>
      <c r="Q1701" s="3" t="s">
        <v>1140</v>
      </c>
      <c r="R1701" s="3" t="s">
        <v>537</v>
      </c>
      <c r="S1701" s="3" t="s">
        <v>169</v>
      </c>
    </row>
    <row r="1702" spans="1:19">
      <c r="A1702" s="3">
        <v>2588</v>
      </c>
      <c r="B1702" s="3" t="b">
        <f>ISNUMBER(MATCH(A1702,[1]stockregister!$A$2:$A$2000,0))</f>
        <v>1</v>
      </c>
      <c r="C1702" s="3" t="s">
        <v>3945</v>
      </c>
      <c r="D1702" s="3" t="str">
        <f>VLOOKUP($C1702,[1]stockregister!$B$2:$B$2000,1,0)</f>
        <v>AMARONE VALPOLI RED 750ML</v>
      </c>
      <c r="E1702" s="3" t="str">
        <f>IF(ISNA($D1702),VLOOKUP($A1702,[2]stockregister!$A$2:$B$2000,2,FALSE),"")</f>
        <v/>
      </c>
      <c r="F1702" s="3" t="s">
        <v>21</v>
      </c>
      <c r="G1702" s="3">
        <f>_xlfn.IFNA(VLOOKUP($A1702,[3]stockregister!$A$2:$L$2000,11,0),0)</f>
        <v>0</v>
      </c>
      <c r="H1702" s="3">
        <f>_xlfn.IFNA(VLOOKUP($A1702,[3]stockregister!$A$2:$L$2000,11,0),0)-$G1702</f>
        <v>0</v>
      </c>
      <c r="I1702" s="3">
        <f>_xlfn.IFNA(VLOOKUP($A1702,[3]stockregister!$A$2:$L$2000,12,0),0)</f>
        <v>4740</v>
      </c>
      <c r="J1702" s="3">
        <f>_xlfn.IFNA(VLOOKUP($A1702,[3]stockregister!$A$1:$M$2000,12,0),0)-$I1702</f>
        <v>0</v>
      </c>
      <c r="K1702" s="3" t="s">
        <v>22</v>
      </c>
      <c r="L1702" s="3" t="s">
        <v>23</v>
      </c>
      <c r="M1702" s="3">
        <f>_xlfn.IFNA(VLOOKUP($A1702,[2]stockregister!$A$2:$H$2000,8,0),0)</f>
        <v>5300</v>
      </c>
      <c r="N1702" s="3">
        <f>_xlfn.IFNA(VLOOKUP($A1702,[2]stockregister!$A$2:$H$2000,8,0),0)-$M1702</f>
        <v>0</v>
      </c>
      <c r="O1702" s="3" t="s">
        <v>3946</v>
      </c>
      <c r="P1702" s="3" t="s">
        <v>3946</v>
      </c>
      <c r="Q1702" s="3" t="s">
        <v>3947</v>
      </c>
      <c r="R1702" s="3" t="s">
        <v>537</v>
      </c>
      <c r="S1702" s="3" t="s">
        <v>169</v>
      </c>
    </row>
    <row r="1703" spans="1:19">
      <c r="A1703" s="3">
        <v>228</v>
      </c>
      <c r="B1703" s="3" t="b">
        <f>ISNUMBER(MATCH(A1703,[1]stockregister!$A$2:$A$2000,0))</f>
        <v>1</v>
      </c>
      <c r="C1703" s="3" t="s">
        <v>622</v>
      </c>
      <c r="D1703" s="3" t="str">
        <f>VLOOKUP($C1703,[1]stockregister!$B$2:$B$2000,1,0)</f>
        <v> BITOLA RED 750ML</v>
      </c>
      <c r="E1703" s="3" t="str">
        <f>IF(ISNA($D1703),VLOOKUP($A1703,[2]stockregister!$A$2:$B$2000,2,FALSE),"")</f>
        <v/>
      </c>
      <c r="F1703" s="3" t="s">
        <v>21</v>
      </c>
      <c r="G1703" s="3">
        <f>_xlfn.IFNA(VLOOKUP($A1703,[3]stockregister!$A$2:$L$2000,11,0),0)</f>
        <v>0</v>
      </c>
      <c r="H1703" s="3">
        <f>_xlfn.IFNA(VLOOKUP($A1703,[3]stockregister!$A$2:$L$2000,11,0),0)-$G1703</f>
        <v>0</v>
      </c>
      <c r="I1703" s="3">
        <f>_xlfn.IFNA(VLOOKUP($A1703,[3]stockregister!$A$2:$L$2000,12,0),0)</f>
        <v>782</v>
      </c>
      <c r="J1703" s="3">
        <f>_xlfn.IFNA(VLOOKUP($A1703,[3]stockregister!$A$1:$M$2000,12,0),0)-$I1703</f>
        <v>0</v>
      </c>
      <c r="K1703" s="3" t="s">
        <v>22</v>
      </c>
      <c r="L1703" s="3" t="s">
        <v>23</v>
      </c>
      <c r="M1703" s="3">
        <f>_xlfn.IFNA(VLOOKUP($A1703,[2]stockregister!$A$2:$H$2000,8,0),0)</f>
        <v>850</v>
      </c>
      <c r="N1703" s="3">
        <f>_xlfn.IFNA(VLOOKUP($A1703,[2]stockregister!$A$2:$H$2000,8,0),0)-$M1703</f>
        <v>0</v>
      </c>
      <c r="O1703" s="3" t="s">
        <v>3948</v>
      </c>
      <c r="P1703" s="3" t="s">
        <v>3948</v>
      </c>
      <c r="Q1703" s="3" t="s">
        <v>3949</v>
      </c>
      <c r="R1703" s="3" t="s">
        <v>537</v>
      </c>
      <c r="S1703" s="3" t="s">
        <v>169</v>
      </c>
    </row>
    <row r="1704" spans="1:19">
      <c r="A1704" s="3">
        <v>2448</v>
      </c>
      <c r="B1704" s="3" t="b">
        <f>ISNUMBER(MATCH(A1704,[1]stockregister!$A$2:$A$2000,0))</f>
        <v>1</v>
      </c>
      <c r="C1704" s="3" t="s">
        <v>3950</v>
      </c>
      <c r="D1704" s="3" t="str">
        <f>VLOOKUP($C1704,[1]stockregister!$B$2:$B$2000,1,0)</f>
        <v>FOOTPRINT RED 5LTR</v>
      </c>
      <c r="E1704" s="3" t="str">
        <f>IF(ISNA($D1704),VLOOKUP($A1704,[2]stockregister!$A$2:$B$2000,2,FALSE),"")</f>
        <v/>
      </c>
      <c r="F1704" s="3" t="s">
        <v>21</v>
      </c>
      <c r="G1704" s="3">
        <f>_xlfn.IFNA(VLOOKUP($A1704,[3]stockregister!$A$2:$L$2000,11,0),0)</f>
        <v>0</v>
      </c>
      <c r="H1704" s="3">
        <f>_xlfn.IFNA(VLOOKUP($A1704,[3]stockregister!$A$2:$L$2000,11,0),0)-$G1704</f>
        <v>0</v>
      </c>
      <c r="I1704" s="3">
        <f>_xlfn.IFNA(VLOOKUP($A1704,[3]stockregister!$A$2:$L$2000,12,0),0)</f>
        <v>3300</v>
      </c>
      <c r="J1704" s="3">
        <f>_xlfn.IFNA(VLOOKUP($A1704,[3]stockregister!$A$1:$M$2000,12,0),0)-$I1704</f>
        <v>0</v>
      </c>
      <c r="K1704" s="3" t="s">
        <v>22</v>
      </c>
      <c r="L1704" s="3" t="s">
        <v>23</v>
      </c>
      <c r="M1704" s="3">
        <f>_xlfn.IFNA(VLOOKUP($A1704,[2]stockregister!$A$2:$H$2000,8,0),0)</f>
        <v>3500</v>
      </c>
      <c r="N1704" s="3">
        <f>_xlfn.IFNA(VLOOKUP($A1704,[2]stockregister!$A$2:$H$2000,8,0),0)-$M1704</f>
        <v>0</v>
      </c>
      <c r="O1704" s="3" t="s">
        <v>3951</v>
      </c>
      <c r="P1704" s="3" t="s">
        <v>3951</v>
      </c>
      <c r="Q1704" s="3" t="s">
        <v>3952</v>
      </c>
      <c r="R1704" s="3" t="s">
        <v>537</v>
      </c>
      <c r="S1704" s="3" t="s">
        <v>169</v>
      </c>
    </row>
    <row r="1705" spans="1:19">
      <c r="A1705" s="3">
        <v>1519</v>
      </c>
      <c r="B1705" s="3" t="b">
        <f>ISNUMBER(MATCH(A1705,[1]stockregister!$A$2:$A$2000,0))</f>
        <v>1</v>
      </c>
      <c r="C1705" s="3" t="s">
        <v>3953</v>
      </c>
      <c r="D1705" s="3" t="str">
        <f>VLOOKUP($C1705,[1]stockregister!$B$2:$B$2000,1,0)</f>
        <v>NEDERBURG - RIESLING 750ML</v>
      </c>
      <c r="E1705" s="3" t="str">
        <f>IF(ISNA($D1705),VLOOKUP($A1705,[2]stockregister!$A$2:$B$2000,2,FALSE),"")</f>
        <v/>
      </c>
      <c r="F1705" s="3" t="s">
        <v>21</v>
      </c>
      <c r="G1705" s="3">
        <f>_xlfn.IFNA(VLOOKUP($A1705,[3]stockregister!$A$2:$L$2000,11,0),0)</f>
        <v>0</v>
      </c>
      <c r="H1705" s="3">
        <f>_xlfn.IFNA(VLOOKUP($A1705,[3]stockregister!$A$2:$L$2000,11,0),0)-$G1705</f>
        <v>0</v>
      </c>
      <c r="I1705" s="3">
        <f>_xlfn.IFNA(VLOOKUP($A1705,[3]stockregister!$A$2:$L$2000,12,0),0)</f>
        <v>1334</v>
      </c>
      <c r="J1705" s="3">
        <f>_xlfn.IFNA(VLOOKUP($A1705,[3]stockregister!$A$1:$M$2000,12,0),0)-$I1705</f>
        <v>0</v>
      </c>
      <c r="K1705" s="3" t="s">
        <v>22</v>
      </c>
      <c r="L1705" s="3" t="s">
        <v>23</v>
      </c>
      <c r="M1705" s="3">
        <f>_xlfn.IFNA(VLOOKUP($A1705,[2]stockregister!$A$2:$H$2000,8,0),0)</f>
        <v>1450</v>
      </c>
      <c r="N1705" s="3">
        <f>_xlfn.IFNA(VLOOKUP($A1705,[2]stockregister!$A$2:$H$2000,8,0),0)-$M1705</f>
        <v>0</v>
      </c>
      <c r="O1705" s="3" t="s">
        <v>3954</v>
      </c>
      <c r="P1705" s="3" t="s">
        <v>3954</v>
      </c>
      <c r="Q1705" s="3" t="s">
        <v>205</v>
      </c>
      <c r="R1705" s="3" t="s">
        <v>68</v>
      </c>
      <c r="S1705" s="3" t="s">
        <v>3955</v>
      </c>
    </row>
    <row r="1706" spans="1:19">
      <c r="A1706" s="3">
        <v>1421</v>
      </c>
      <c r="B1706" s="3" t="b">
        <f>ISNUMBER(MATCH(A1706,[1]stockregister!$A$2:$A$2000,0))</f>
        <v>1</v>
      </c>
      <c r="C1706" s="3" t="s">
        <v>3956</v>
      </c>
      <c r="D1706" s="3" t="str">
        <f>VLOOKUP($C1706,[1]stockregister!$B$2:$B$2000,1,0)</f>
        <v>MESTA ROSE 750ML</v>
      </c>
      <c r="E1706" s="3" t="str">
        <f>IF(ISNA($D1706),VLOOKUP($A1706,[2]stockregister!$A$2:$B$2000,2,FALSE),"")</f>
        <v/>
      </c>
      <c r="F1706" s="3" t="s">
        <v>21</v>
      </c>
      <c r="G1706" s="3">
        <f>_xlfn.IFNA(VLOOKUP($A1706,[3]stockregister!$A$2:$L$2000,11,0),0)</f>
        <v>0</v>
      </c>
      <c r="H1706" s="3">
        <f>_xlfn.IFNA(VLOOKUP($A1706,[3]stockregister!$A$2:$L$2000,11,0),0)-$G1706</f>
        <v>0</v>
      </c>
      <c r="I1706" s="3">
        <f>_xlfn.IFNA(VLOOKUP($A1706,[3]stockregister!$A$2:$L$2000,12,0),0)</f>
        <v>1300</v>
      </c>
      <c r="J1706" s="3">
        <f>_xlfn.IFNA(VLOOKUP($A1706,[3]stockregister!$A$1:$M$2000,12,0),0)-$I1706</f>
        <v>0</v>
      </c>
      <c r="K1706" s="3" t="s">
        <v>22</v>
      </c>
      <c r="L1706" s="3" t="s">
        <v>23</v>
      </c>
      <c r="M1706" s="3">
        <f>_xlfn.IFNA(VLOOKUP($A1706,[2]stockregister!$A$2:$H$2000,8,0),0)</f>
        <v>1500</v>
      </c>
      <c r="N1706" s="3">
        <f>_xlfn.IFNA(VLOOKUP($A1706,[2]stockregister!$A$2:$H$2000,8,0),0)-$M1706</f>
        <v>0</v>
      </c>
      <c r="O1706" s="3" t="s">
        <v>3957</v>
      </c>
      <c r="P1706" s="3" t="s">
        <v>3957</v>
      </c>
      <c r="Q1706" s="3" t="s">
        <v>3958</v>
      </c>
      <c r="R1706" s="3" t="s">
        <v>68</v>
      </c>
      <c r="S1706" s="3" t="s">
        <v>1030</v>
      </c>
    </row>
    <row r="1707" spans="1:19">
      <c r="A1707" s="3">
        <v>2072</v>
      </c>
      <c r="B1707" s="3" t="b">
        <f>ISNUMBER(MATCH(A1707,[1]stockregister!$A$2:$A$2000,0))</f>
        <v>1</v>
      </c>
      <c r="C1707" s="3" t="s">
        <v>3959</v>
      </c>
      <c r="D1707" s="3" t="str">
        <f>VLOOKUP($C1707,[1]stockregister!$B$2:$B$2000,1,0)</f>
        <v>WATERFORD ROSEMARY 750ML</v>
      </c>
      <c r="E1707" s="3" t="str">
        <f>IF(ISNA($D1707),VLOOKUP($A1707,[2]stockregister!$A$2:$B$2000,2,FALSE),"")</f>
        <v/>
      </c>
      <c r="F1707" s="3" t="s">
        <v>21</v>
      </c>
      <c r="G1707" s="3">
        <f>_xlfn.IFNA(VLOOKUP($A1707,[3]stockregister!$A$2:$L$2000,11,0),0)</f>
        <v>0</v>
      </c>
      <c r="H1707" s="3">
        <f>_xlfn.IFNA(VLOOKUP($A1707,[3]stockregister!$A$2:$L$2000,11,0),0)-$G1707</f>
        <v>0</v>
      </c>
      <c r="I1707" s="3">
        <f>_xlfn.IFNA(VLOOKUP($A1707,[3]stockregister!$A$2:$L$2000,12,0),0)</f>
        <v>1104</v>
      </c>
      <c r="J1707" s="3">
        <f>_xlfn.IFNA(VLOOKUP($A1707,[3]stockregister!$A$1:$M$2000,12,0),0)-$I1707</f>
        <v>0</v>
      </c>
      <c r="K1707" s="3" t="s">
        <v>22</v>
      </c>
      <c r="L1707" s="3" t="s">
        <v>23</v>
      </c>
      <c r="M1707" s="3">
        <f>_xlfn.IFNA(VLOOKUP($A1707,[2]stockregister!$A$2:$H$2000,8,0),0)</f>
        <v>1200</v>
      </c>
      <c r="N1707" s="3">
        <f>_xlfn.IFNA(VLOOKUP($A1707,[2]stockregister!$A$2:$H$2000,8,0),0)-$M1707</f>
        <v>0</v>
      </c>
      <c r="O1707" s="3" t="s">
        <v>3960</v>
      </c>
      <c r="P1707" s="3" t="s">
        <v>3960</v>
      </c>
      <c r="Q1707" s="3" t="s">
        <v>1470</v>
      </c>
      <c r="R1707" s="3" t="s">
        <v>68</v>
      </c>
      <c r="S1707" s="3" t="s">
        <v>1030</v>
      </c>
    </row>
    <row r="1708" spans="1:19">
      <c r="A1708" s="3">
        <v>770</v>
      </c>
      <c r="B1708" s="3" t="b">
        <f>ISNUMBER(MATCH(A1708,[1]stockregister!$A$2:$A$2000,0))</f>
        <v>1</v>
      </c>
      <c r="C1708" s="3" t="s">
        <v>3961</v>
      </c>
      <c r="D1708" s="3" t="str">
        <f>VLOOKUP($C1708,[1]stockregister!$B$2:$B$2000,1,0)</f>
        <v>FRANSCHHOEK CELLAR BRUT ROSE 750ML</v>
      </c>
      <c r="E1708" s="3" t="str">
        <f>IF(ISNA($D1708),VLOOKUP($A1708,[2]stockregister!$A$2:$B$2000,2,FALSE),"")</f>
        <v/>
      </c>
      <c r="F1708" s="3" t="s">
        <v>21</v>
      </c>
      <c r="G1708" s="3">
        <f>_xlfn.IFNA(VLOOKUP($A1708,[3]stockregister!$A$2:$L$2000,11,0),0)</f>
        <v>0</v>
      </c>
      <c r="H1708" s="3">
        <f>_xlfn.IFNA(VLOOKUP($A1708,[3]stockregister!$A$2:$L$2000,11,0),0)-$G1708</f>
        <v>0</v>
      </c>
      <c r="I1708" s="3">
        <f>_xlfn.IFNA(VLOOKUP($A1708,[3]stockregister!$A$2:$L$2000,12,0),0)</f>
        <v>1798.6</v>
      </c>
      <c r="J1708" s="3">
        <f>_xlfn.IFNA(VLOOKUP($A1708,[3]stockregister!$A$1:$M$2000,12,0),0)-$I1708</f>
        <v>0</v>
      </c>
      <c r="K1708" s="3" t="s">
        <v>22</v>
      </c>
      <c r="L1708" s="3" t="s">
        <v>23</v>
      </c>
      <c r="M1708" s="3">
        <f>_xlfn.IFNA(VLOOKUP($A1708,[2]stockregister!$A$2:$H$2000,8,0),0)</f>
        <v>1955</v>
      </c>
      <c r="N1708" s="3">
        <f>_xlfn.IFNA(VLOOKUP($A1708,[2]stockregister!$A$2:$H$2000,8,0),0)-$M1708</f>
        <v>0</v>
      </c>
      <c r="O1708" s="3" t="s">
        <v>3962</v>
      </c>
      <c r="P1708" s="3" t="s">
        <v>3962</v>
      </c>
      <c r="Q1708" s="3" t="s">
        <v>3815</v>
      </c>
      <c r="R1708" s="3" t="s">
        <v>68</v>
      </c>
      <c r="S1708" s="3" t="s">
        <v>1030</v>
      </c>
    </row>
    <row r="1709" spans="1:19">
      <c r="A1709" s="3">
        <v>1955</v>
      </c>
      <c r="B1709" s="3" t="b">
        <f>ISNUMBER(MATCH(A1709,[1]stockregister!$A$2:$A$2000,0))</f>
        <v>1</v>
      </c>
      <c r="C1709" s="3" t="s">
        <v>3963</v>
      </c>
      <c r="D1709" s="3" t="str">
        <f>VLOOKUP($C1709,[1]stockregister!$B$2:$B$2000,1,0)</f>
        <v>THE BEACHHOUSE ROSE 750ML</v>
      </c>
      <c r="E1709" s="3" t="str">
        <f>IF(ISNA($D1709),VLOOKUP($A1709,[2]stockregister!$A$2:$B$2000,2,FALSE),"")</f>
        <v/>
      </c>
      <c r="F1709" s="3" t="s">
        <v>21</v>
      </c>
      <c r="G1709" s="3">
        <f>_xlfn.IFNA(VLOOKUP($A1709,[3]stockregister!$A$2:$L$2000,11,0),0)</f>
        <v>0</v>
      </c>
      <c r="H1709" s="3">
        <f>_xlfn.IFNA(VLOOKUP($A1709,[3]stockregister!$A$2:$L$2000,11,0),0)-$G1709</f>
        <v>0</v>
      </c>
      <c r="I1709" s="3">
        <f>_xlfn.IFNA(VLOOKUP($A1709,[3]stockregister!$A$2:$L$2000,12,0),0)</f>
        <v>1104</v>
      </c>
      <c r="J1709" s="3">
        <f>_xlfn.IFNA(VLOOKUP($A1709,[3]stockregister!$A$1:$M$2000,12,0),0)-$I1709</f>
        <v>0</v>
      </c>
      <c r="K1709" s="3" t="s">
        <v>22</v>
      </c>
      <c r="L1709" s="3" t="s">
        <v>23</v>
      </c>
      <c r="M1709" s="3">
        <f>_xlfn.IFNA(VLOOKUP($A1709,[2]stockregister!$A$2:$H$2000,8,0),0)</f>
        <v>1200</v>
      </c>
      <c r="N1709" s="3">
        <f>_xlfn.IFNA(VLOOKUP($A1709,[2]stockregister!$A$2:$H$2000,8,0),0)-$M1709</f>
        <v>0</v>
      </c>
      <c r="O1709" s="3" t="s">
        <v>3964</v>
      </c>
      <c r="P1709" s="3" t="s">
        <v>3964</v>
      </c>
      <c r="Q1709" s="3" t="s">
        <v>3965</v>
      </c>
      <c r="R1709" s="3" t="s">
        <v>68</v>
      </c>
      <c r="S1709" s="3" t="s">
        <v>1030</v>
      </c>
    </row>
    <row r="1710" spans="1:19">
      <c r="A1710" s="3">
        <v>1412</v>
      </c>
      <c r="B1710" s="3" t="b">
        <f>ISNUMBER(MATCH(A1710,[1]stockregister!$A$2:$A$2000,0))</f>
        <v>1</v>
      </c>
      <c r="C1710" s="3" t="s">
        <v>3966</v>
      </c>
      <c r="D1710" s="3" t="str">
        <f>VLOOKUP($C1710,[1]stockregister!$B$2:$B$2000,1,0)</f>
        <v>MATEUS ROSE 1.5LTR</v>
      </c>
      <c r="E1710" s="3" t="str">
        <f>IF(ISNA($D1710),VLOOKUP($A1710,[2]stockregister!$A$2:$B$2000,2,FALSE),"")</f>
        <v/>
      </c>
      <c r="F1710" s="3" t="s">
        <v>21</v>
      </c>
      <c r="G1710" s="3">
        <f>_xlfn.IFNA(VLOOKUP($A1710,[3]stockregister!$A$2:$L$2000,11,0),0)</f>
        <v>0</v>
      </c>
      <c r="H1710" s="3">
        <f>_xlfn.IFNA(VLOOKUP($A1710,[3]stockregister!$A$2:$L$2000,11,0),0)-$G1710</f>
        <v>0</v>
      </c>
      <c r="I1710" s="3">
        <f>_xlfn.IFNA(VLOOKUP($A1710,[3]stockregister!$A$2:$L$2000,12,0),0)</f>
        <v>2208</v>
      </c>
      <c r="J1710" s="3">
        <f>_xlfn.IFNA(VLOOKUP($A1710,[3]stockregister!$A$1:$M$2000,12,0),0)-$I1710</f>
        <v>0</v>
      </c>
      <c r="K1710" s="3" t="s">
        <v>22</v>
      </c>
      <c r="L1710" s="3" t="s">
        <v>23</v>
      </c>
      <c r="M1710" s="3">
        <f>_xlfn.IFNA(VLOOKUP($A1710,[2]stockregister!$A$2:$H$2000,8,0),0)</f>
        <v>2400</v>
      </c>
      <c r="N1710" s="3">
        <f>_xlfn.IFNA(VLOOKUP($A1710,[2]stockregister!$A$2:$H$2000,8,0),0)-$M1710</f>
        <v>0</v>
      </c>
      <c r="O1710" s="3" t="s">
        <v>3967</v>
      </c>
      <c r="P1710" s="3" t="s">
        <v>3967</v>
      </c>
      <c r="Q1710" s="3" t="s">
        <v>3968</v>
      </c>
      <c r="R1710" s="3" t="s">
        <v>68</v>
      </c>
      <c r="S1710" s="3" t="s">
        <v>1030</v>
      </c>
    </row>
    <row r="1711" spans="1:19">
      <c r="A1711" s="3">
        <v>1294</v>
      </c>
      <c r="B1711" s="3" t="b">
        <f>ISNUMBER(MATCH(A1711,[1]stockregister!$A$2:$A$2000,0))</f>
        <v>1</v>
      </c>
      <c r="C1711" s="3" t="s">
        <v>3969</v>
      </c>
      <c r="D1711" s="3" t="str">
        <f>VLOOKUP($C1711,[1]stockregister!$B$2:$B$2000,1,0)</f>
        <v>LODEZ CINSAULT ROSE 750ML</v>
      </c>
      <c r="E1711" s="3" t="str">
        <f>IF(ISNA($D1711),VLOOKUP($A1711,[2]stockregister!$A$2:$B$2000,2,FALSE),"")</f>
        <v/>
      </c>
      <c r="F1711" s="3" t="s">
        <v>21</v>
      </c>
      <c r="G1711" s="3">
        <f>_xlfn.IFNA(VLOOKUP($A1711,[3]stockregister!$A$2:$L$2000,11,0),0)</f>
        <v>0</v>
      </c>
      <c r="H1711" s="3">
        <f>_xlfn.IFNA(VLOOKUP($A1711,[3]stockregister!$A$2:$L$2000,11,0),0)-$G1711</f>
        <v>0</v>
      </c>
      <c r="I1711" s="3">
        <f>_xlfn.IFNA(VLOOKUP($A1711,[3]stockregister!$A$2:$L$2000,12,0),0)</f>
        <v>1039.6</v>
      </c>
      <c r="J1711" s="3">
        <f>_xlfn.IFNA(VLOOKUP($A1711,[3]stockregister!$A$1:$M$2000,12,0),0)-$I1711</f>
        <v>0</v>
      </c>
      <c r="K1711" s="3" t="s">
        <v>22</v>
      </c>
      <c r="L1711" s="3" t="s">
        <v>23</v>
      </c>
      <c r="M1711" s="3">
        <f>_xlfn.IFNA(VLOOKUP($A1711,[2]stockregister!$A$2:$H$2000,8,0),0)</f>
        <v>1130</v>
      </c>
      <c r="N1711" s="3">
        <f>_xlfn.IFNA(VLOOKUP($A1711,[2]stockregister!$A$2:$H$2000,8,0),0)-$M1711</f>
        <v>0</v>
      </c>
      <c r="O1711" s="3" t="s">
        <v>3970</v>
      </c>
      <c r="P1711" s="3" t="s">
        <v>3970</v>
      </c>
      <c r="Q1711" s="3" t="s">
        <v>1456</v>
      </c>
      <c r="R1711" s="3" t="s">
        <v>68</v>
      </c>
      <c r="S1711" s="3" t="s">
        <v>1030</v>
      </c>
    </row>
    <row r="1712" spans="1:19">
      <c r="A1712" s="3">
        <v>686</v>
      </c>
      <c r="B1712" s="3" t="b">
        <f>ISNUMBER(MATCH(A1712,[1]stockregister!$A$2:$A$2000,0))</f>
        <v>1</v>
      </c>
      <c r="C1712" s="3" t="s">
        <v>3971</v>
      </c>
      <c r="D1712" s="3" t="str">
        <f>VLOOKUP($C1712,[1]stockregister!$B$2:$B$2000,1,0)</f>
        <v>FESTA ROSE DOLCEE</v>
      </c>
      <c r="E1712" s="3" t="str">
        <f>IF(ISNA($D1712),VLOOKUP($A1712,[2]stockregister!$A$2:$B$2000,2,FALSE),"")</f>
        <v/>
      </c>
      <c r="F1712" s="3" t="s">
        <v>21</v>
      </c>
      <c r="G1712" s="3">
        <f>_xlfn.IFNA(VLOOKUP($A1712,[3]stockregister!$A$2:$L$2000,11,0),0)</f>
        <v>0</v>
      </c>
      <c r="H1712" s="3">
        <f>_xlfn.IFNA(VLOOKUP($A1712,[3]stockregister!$A$2:$L$2000,11,0),0)-$G1712</f>
        <v>0</v>
      </c>
      <c r="I1712" s="3">
        <f>_xlfn.IFNA(VLOOKUP($A1712,[3]stockregister!$A$2:$L$2000,12,0),0)</f>
        <v>874</v>
      </c>
      <c r="J1712" s="3">
        <f>_xlfn.IFNA(VLOOKUP($A1712,[3]stockregister!$A$1:$M$2000,12,0),0)-$I1712</f>
        <v>0</v>
      </c>
      <c r="K1712" s="3" t="s">
        <v>22</v>
      </c>
      <c r="L1712" s="3" t="s">
        <v>23</v>
      </c>
      <c r="M1712" s="3">
        <f>_xlfn.IFNA(VLOOKUP($A1712,[2]stockregister!$A$2:$H$2000,8,0),0)</f>
        <v>950</v>
      </c>
      <c r="N1712" s="3">
        <f>_xlfn.IFNA(VLOOKUP($A1712,[2]stockregister!$A$2:$H$2000,8,0),0)-$M1712</f>
        <v>0</v>
      </c>
      <c r="O1712" s="3">
        <v>0</v>
      </c>
      <c r="P1712" s="3">
        <v>0</v>
      </c>
      <c r="Q1712" s="3" t="s">
        <v>3972</v>
      </c>
      <c r="R1712" s="3" t="s">
        <v>68</v>
      </c>
      <c r="S1712" s="3" t="s">
        <v>1030</v>
      </c>
    </row>
    <row r="1713" spans="1:19">
      <c r="A1713" s="3">
        <v>2213</v>
      </c>
      <c r="B1713" s="3" t="b">
        <f>ISNUMBER(MATCH(A1713,[1]stockregister!$A$2:$A$2000,0))</f>
        <v>1</v>
      </c>
      <c r="C1713" s="3" t="s">
        <v>3973</v>
      </c>
      <c r="D1713" s="3" t="str">
        <f>VLOOKUP($C1713,[1]stockregister!$B$2:$B$2000,1,0)</f>
        <v>CARLO ROSSI ROSE 750ML</v>
      </c>
      <c r="E1713" s="3" t="str">
        <f>IF(ISNA($D1713),VLOOKUP($A1713,[2]stockregister!$A$2:$B$2000,2,FALSE),"")</f>
        <v/>
      </c>
      <c r="F1713" s="3" t="s">
        <v>21</v>
      </c>
      <c r="G1713" s="3">
        <f>_xlfn.IFNA(VLOOKUP($A1713,[3]stockregister!$A$2:$L$2000,11,0),0)</f>
        <v>0</v>
      </c>
      <c r="H1713" s="3">
        <f>_xlfn.IFNA(VLOOKUP($A1713,[3]stockregister!$A$2:$L$2000,11,0),0)-$G1713</f>
        <v>0</v>
      </c>
      <c r="I1713" s="3">
        <f>_xlfn.IFNA(VLOOKUP($A1713,[3]stockregister!$A$2:$L$2000,12,0),0)</f>
        <v>1000</v>
      </c>
      <c r="J1713" s="3">
        <f>_xlfn.IFNA(VLOOKUP($A1713,[3]stockregister!$A$1:$M$2000,12,0),0)-$I1713</f>
        <v>0</v>
      </c>
      <c r="K1713" s="3" t="s">
        <v>22</v>
      </c>
      <c r="L1713" s="3" t="s">
        <v>23</v>
      </c>
      <c r="M1713" s="3">
        <f>_xlfn.IFNA(VLOOKUP($A1713,[2]stockregister!$A$2:$H$2000,8,0),0)</f>
        <v>1100</v>
      </c>
      <c r="N1713" s="3">
        <f>_xlfn.IFNA(VLOOKUP($A1713,[2]stockregister!$A$2:$H$2000,8,0),0)-$M1713</f>
        <v>0</v>
      </c>
      <c r="O1713" s="3" t="s">
        <v>3974</v>
      </c>
      <c r="P1713" s="3" t="s">
        <v>3974</v>
      </c>
      <c r="Q1713" s="3" t="s">
        <v>917</v>
      </c>
      <c r="R1713" s="3" t="s">
        <v>68</v>
      </c>
      <c r="S1713" s="3" t="s">
        <v>1030</v>
      </c>
    </row>
    <row r="1714" spans="1:19">
      <c r="A1714" s="3">
        <v>113</v>
      </c>
      <c r="B1714" s="3" t="b">
        <f>ISNUMBER(MATCH(A1714,[1]stockregister!$A$2:$A$2000,0))</f>
        <v>1</v>
      </c>
      <c r="C1714" s="3" t="s">
        <v>3975</v>
      </c>
      <c r="D1714" s="3" t="str">
        <f>VLOOKUP($C1714,[1]stockregister!$B$2:$B$2000,1,0)</f>
        <v>ARMAND DE BRIGNAC ROSE 750ML</v>
      </c>
      <c r="E1714" s="3" t="str">
        <f>IF(ISNA($D1714),VLOOKUP($A1714,[2]stockregister!$A$2:$B$2000,2,FALSE),"")</f>
        <v/>
      </c>
      <c r="F1714" s="3" t="s">
        <v>21</v>
      </c>
      <c r="G1714" s="3">
        <f>_xlfn.IFNA(VLOOKUP($A1714,[3]stockregister!$A$2:$L$2000,11,0),0)</f>
        <v>0</v>
      </c>
      <c r="H1714" s="3">
        <f>_xlfn.IFNA(VLOOKUP($A1714,[3]stockregister!$A$2:$L$2000,11,0),0)-$G1714</f>
        <v>0</v>
      </c>
      <c r="I1714" s="3">
        <f>_xlfn.IFNA(VLOOKUP($A1714,[3]stockregister!$A$2:$L$2000,12,0),0)</f>
        <v>61824</v>
      </c>
      <c r="J1714" s="3">
        <f>_xlfn.IFNA(VLOOKUP($A1714,[3]stockregister!$A$1:$M$2000,12,0),0)-$I1714</f>
        <v>0</v>
      </c>
      <c r="K1714" s="3" t="s">
        <v>22</v>
      </c>
      <c r="L1714" s="3" t="s">
        <v>23</v>
      </c>
      <c r="M1714" s="3">
        <f>_xlfn.IFNA(VLOOKUP($A1714,[2]stockregister!$A$2:$H$2000,8,0),0)</f>
        <v>67200</v>
      </c>
      <c r="N1714" s="3">
        <f>_xlfn.IFNA(VLOOKUP($A1714,[2]stockregister!$A$2:$H$2000,8,0),0)-$M1714</f>
        <v>0</v>
      </c>
      <c r="O1714" s="3" t="s">
        <v>3976</v>
      </c>
      <c r="P1714" s="3" t="s">
        <v>3976</v>
      </c>
      <c r="Q1714" s="3" t="s">
        <v>3977</v>
      </c>
      <c r="R1714" s="3" t="s">
        <v>68</v>
      </c>
      <c r="S1714" s="3" t="s">
        <v>1030</v>
      </c>
    </row>
    <row r="1715" spans="1:19">
      <c r="A1715" s="3">
        <v>435</v>
      </c>
      <c r="B1715" s="3" t="b">
        <f>ISNUMBER(MATCH(A1715,[1]stockregister!$A$2:$A$2000,0))</f>
        <v>1</v>
      </c>
      <c r="C1715" s="3" t="s">
        <v>3978</v>
      </c>
      <c r="D1715" s="3" t="str">
        <f>VLOOKUP($C1715,[1]stockregister!$B$2:$B$2000,1,0)</f>
        <v>CHANGE GRENACHE-SYRAH ROSE (ORGANIC) 750ML</v>
      </c>
      <c r="E1715" s="3" t="str">
        <f>IF(ISNA($D1715),VLOOKUP($A1715,[2]stockregister!$A$2:$B$2000,2,FALSE),"")</f>
        <v/>
      </c>
      <c r="F1715" s="3" t="s">
        <v>21</v>
      </c>
      <c r="G1715" s="3">
        <f>_xlfn.IFNA(VLOOKUP($A1715,[3]stockregister!$A$2:$L$2000,11,0),0)</f>
        <v>0</v>
      </c>
      <c r="H1715" s="3">
        <f>_xlfn.IFNA(VLOOKUP($A1715,[3]stockregister!$A$2:$L$2000,11,0),0)-$G1715</f>
        <v>0</v>
      </c>
      <c r="I1715" s="3">
        <f>_xlfn.IFNA(VLOOKUP($A1715,[3]stockregister!$A$2:$L$2000,12,0),0)</f>
        <v>1656</v>
      </c>
      <c r="J1715" s="3">
        <f>_xlfn.IFNA(VLOOKUP($A1715,[3]stockregister!$A$1:$M$2000,12,0),0)-$I1715</f>
        <v>0</v>
      </c>
      <c r="K1715" s="3" t="s">
        <v>22</v>
      </c>
      <c r="L1715" s="3" t="s">
        <v>23</v>
      </c>
      <c r="M1715" s="3">
        <f>_xlfn.IFNA(VLOOKUP($A1715,[2]stockregister!$A$2:$H$2000,8,0),0)</f>
        <v>1800</v>
      </c>
      <c r="N1715" s="3">
        <f>_xlfn.IFNA(VLOOKUP($A1715,[2]stockregister!$A$2:$H$2000,8,0),0)-$M1715</f>
        <v>0</v>
      </c>
      <c r="O1715" s="3" t="s">
        <v>3979</v>
      </c>
      <c r="P1715" s="3" t="s">
        <v>3979</v>
      </c>
      <c r="Q1715" s="3" t="s">
        <v>3980</v>
      </c>
      <c r="R1715" s="3" t="s">
        <v>68</v>
      </c>
      <c r="S1715" s="3" t="s">
        <v>1030</v>
      </c>
    </row>
    <row r="1716" spans="1:19">
      <c r="A1716" s="3">
        <v>524</v>
      </c>
      <c r="B1716" s="3" t="b">
        <f>ISNUMBER(MATCH(A1716,[1]stockregister!$A$2:$A$2000,0))</f>
        <v>1</v>
      </c>
      <c r="C1716" s="3" t="s">
        <v>3981</v>
      </c>
      <c r="D1716" s="3" t="str">
        <f>VLOOKUP($C1716,[1]stockregister!$B$2:$B$2000,1,0)</f>
        <v>CONSIGNIA ROSE 750ML</v>
      </c>
      <c r="E1716" s="3" t="str">
        <f>IF(ISNA($D1716),VLOOKUP($A1716,[2]stockregister!$A$2:$B$2000,2,FALSE),"")</f>
        <v/>
      </c>
      <c r="F1716" s="3" t="s">
        <v>21</v>
      </c>
      <c r="G1716" s="3">
        <f>_xlfn.IFNA(VLOOKUP($A1716,[3]stockregister!$A$2:$L$2000,11,0),0)</f>
        <v>0</v>
      </c>
      <c r="H1716" s="3">
        <f>_xlfn.IFNA(VLOOKUP($A1716,[3]stockregister!$A$2:$L$2000,11,0),0)-$G1716</f>
        <v>0</v>
      </c>
      <c r="I1716" s="3">
        <f>_xlfn.IFNA(VLOOKUP($A1716,[3]stockregister!$A$2:$L$2000,12,0),0)</f>
        <v>1240</v>
      </c>
      <c r="J1716" s="3">
        <f>_xlfn.IFNA(VLOOKUP($A1716,[3]stockregister!$A$1:$M$2000,12,0),0)-$I1716</f>
        <v>0</v>
      </c>
      <c r="K1716" s="3" t="s">
        <v>22</v>
      </c>
      <c r="L1716" s="3" t="s">
        <v>23</v>
      </c>
      <c r="M1716" s="3">
        <f>_xlfn.IFNA(VLOOKUP($A1716,[2]stockregister!$A$2:$H$2000,8,0),0)</f>
        <v>1440</v>
      </c>
      <c r="N1716" s="3">
        <f>_xlfn.IFNA(VLOOKUP($A1716,[2]stockregister!$A$2:$H$2000,8,0),0)-$M1716</f>
        <v>0</v>
      </c>
      <c r="O1716" s="3" t="s">
        <v>3982</v>
      </c>
      <c r="P1716" s="3" t="s">
        <v>3982</v>
      </c>
      <c r="Q1716" s="3" t="s">
        <v>1012</v>
      </c>
      <c r="R1716" s="3" t="s">
        <v>68</v>
      </c>
      <c r="S1716" s="3" t="s">
        <v>1030</v>
      </c>
    </row>
    <row r="1717" spans="1:19">
      <c r="A1717" s="3">
        <v>2195</v>
      </c>
      <c r="B1717" s="3" t="b">
        <f>ISNUMBER(MATCH(A1717,[1]stockregister!$A$2:$A$2000,0))</f>
        <v>1</v>
      </c>
      <c r="C1717" s="3" t="s">
        <v>3983</v>
      </c>
      <c r="D1717" s="3" t="str">
        <f>VLOOKUP($C1717,[1]stockregister!$B$2:$B$2000,1,0)</f>
        <v>GRANDE FRANCE ROSE 750ML</v>
      </c>
      <c r="E1717" s="3" t="str">
        <f>IF(ISNA($D1717),VLOOKUP($A1717,[2]stockregister!$A$2:$B$2000,2,FALSE),"")</f>
        <v/>
      </c>
      <c r="F1717" s="3" t="s">
        <v>21</v>
      </c>
      <c r="G1717" s="3">
        <f>_xlfn.IFNA(VLOOKUP($A1717,[3]stockregister!$A$2:$L$2000,11,0),0)</f>
        <v>0</v>
      </c>
      <c r="H1717" s="3">
        <f>_xlfn.IFNA(VLOOKUP($A1717,[3]stockregister!$A$2:$L$2000,11,0),0)-$G1717</f>
        <v>0</v>
      </c>
      <c r="I1717" s="3">
        <f>_xlfn.IFNA(VLOOKUP($A1717,[3]stockregister!$A$2:$L$2000,12,0),0)</f>
        <v>1900</v>
      </c>
      <c r="J1717" s="3">
        <f>_xlfn.IFNA(VLOOKUP($A1717,[3]stockregister!$A$1:$M$2000,12,0),0)-$I1717</f>
        <v>0</v>
      </c>
      <c r="K1717" s="3" t="s">
        <v>22</v>
      </c>
      <c r="L1717" s="3" t="s">
        <v>23</v>
      </c>
      <c r="M1717" s="3">
        <f>_xlfn.IFNA(VLOOKUP($A1717,[2]stockregister!$A$2:$H$2000,8,0),0)</f>
        <v>2000</v>
      </c>
      <c r="N1717" s="3">
        <f>_xlfn.IFNA(VLOOKUP($A1717,[2]stockregister!$A$2:$H$2000,8,0),0)-$M1717</f>
        <v>0</v>
      </c>
      <c r="O1717" s="3" t="s">
        <v>3984</v>
      </c>
      <c r="P1717" s="3" t="s">
        <v>3984</v>
      </c>
      <c r="Q1717" s="3" t="s">
        <v>3561</v>
      </c>
      <c r="R1717" s="3" t="s">
        <v>68</v>
      </c>
      <c r="S1717" s="3" t="s">
        <v>948</v>
      </c>
    </row>
    <row r="1718" spans="1:19">
      <c r="A1718" s="3">
        <v>1388</v>
      </c>
      <c r="B1718" s="3" t="b">
        <f>ISNUMBER(MATCH(A1718,[1]stockregister!$A$2:$A$2000,0))</f>
        <v>1</v>
      </c>
      <c r="C1718" s="3" t="s">
        <v>3985</v>
      </c>
      <c r="D1718" s="3" t="str">
        <f>VLOOKUP($C1718,[1]stockregister!$B$2:$B$2000,1,0)</f>
        <v>MARA ROSE 750ML</v>
      </c>
      <c r="E1718" s="3" t="str">
        <f>IF(ISNA($D1718),VLOOKUP($A1718,[2]stockregister!$A$2:$B$2000,2,FALSE),"")</f>
        <v/>
      </c>
      <c r="F1718" s="3" t="s">
        <v>21</v>
      </c>
      <c r="G1718" s="3">
        <f>_xlfn.IFNA(VLOOKUP($A1718,[3]stockregister!$A$2:$L$2000,11,0),0)</f>
        <v>0</v>
      </c>
      <c r="H1718" s="3">
        <f>_xlfn.IFNA(VLOOKUP($A1718,[3]stockregister!$A$2:$L$2000,11,0),0)-$G1718</f>
        <v>0</v>
      </c>
      <c r="I1718" s="3">
        <f>_xlfn.IFNA(VLOOKUP($A1718,[3]stockregister!$A$2:$L$2000,12,0),0)</f>
        <v>920</v>
      </c>
      <c r="J1718" s="3">
        <f>_xlfn.IFNA(VLOOKUP($A1718,[3]stockregister!$A$1:$M$2000,12,0),0)-$I1718</f>
        <v>0</v>
      </c>
      <c r="K1718" s="3" t="s">
        <v>22</v>
      </c>
      <c r="L1718" s="3" t="s">
        <v>23</v>
      </c>
      <c r="M1718" s="3">
        <f>_xlfn.IFNA(VLOOKUP($A1718,[2]stockregister!$A$2:$H$2000,8,0),0)</f>
        <v>1000</v>
      </c>
      <c r="N1718" s="3">
        <f>_xlfn.IFNA(VLOOKUP($A1718,[2]stockregister!$A$2:$H$2000,8,0),0)-$M1718</f>
        <v>0</v>
      </c>
      <c r="O1718" s="3" t="s">
        <v>3986</v>
      </c>
      <c r="P1718" s="3" t="s">
        <v>3986</v>
      </c>
      <c r="Q1718" s="3" t="s">
        <v>3987</v>
      </c>
      <c r="R1718" s="3" t="s">
        <v>68</v>
      </c>
      <c r="S1718" s="3" t="s">
        <v>1030</v>
      </c>
    </row>
    <row r="1719" spans="1:19">
      <c r="A1719" s="3">
        <v>2236</v>
      </c>
      <c r="B1719" s="3" t="b">
        <f>ISNUMBER(MATCH(A1719,[1]stockregister!$A$2:$A$2000,0))</f>
        <v>1</v>
      </c>
      <c r="C1719" s="3" t="s">
        <v>3988</v>
      </c>
      <c r="D1719" s="3" t="str">
        <f>VLOOKUP($C1719,[1]stockregister!$B$2:$B$2000,1,0)</f>
        <v>MARTINI ROSE 750ML</v>
      </c>
      <c r="E1719" s="3" t="str">
        <f>IF(ISNA($D1719),VLOOKUP($A1719,[2]stockregister!$A$2:$B$2000,2,FALSE),"")</f>
        <v/>
      </c>
      <c r="F1719" s="3" t="s">
        <v>21</v>
      </c>
      <c r="G1719" s="3">
        <f>_xlfn.IFNA(VLOOKUP($A1719,[3]stockregister!$A$2:$L$2000,11,0),0)</f>
        <v>0</v>
      </c>
      <c r="H1719" s="3">
        <f>_xlfn.IFNA(VLOOKUP($A1719,[3]stockregister!$A$2:$L$2000,11,0),0)-$G1719</f>
        <v>0</v>
      </c>
      <c r="I1719" s="3">
        <f>_xlfn.IFNA(VLOOKUP($A1719,[3]stockregister!$A$2:$L$2000,12,0),0)</f>
        <v>1400</v>
      </c>
      <c r="J1719" s="3">
        <f>_xlfn.IFNA(VLOOKUP($A1719,[3]stockregister!$A$1:$M$2000,12,0),0)-$I1719</f>
        <v>0</v>
      </c>
      <c r="K1719" s="3" t="s">
        <v>22</v>
      </c>
      <c r="L1719" s="3" t="s">
        <v>23</v>
      </c>
      <c r="M1719" s="3">
        <f>_xlfn.IFNA(VLOOKUP($A1719,[2]stockregister!$A$2:$H$2000,8,0),0)</f>
        <v>1450</v>
      </c>
      <c r="N1719" s="3">
        <f>_xlfn.IFNA(VLOOKUP($A1719,[2]stockregister!$A$2:$H$2000,8,0),0)-$M1719</f>
        <v>0</v>
      </c>
      <c r="O1719" s="3" t="s">
        <v>3989</v>
      </c>
      <c r="P1719" s="3" t="s">
        <v>3989</v>
      </c>
      <c r="Q1719" s="3" t="s">
        <v>2100</v>
      </c>
      <c r="R1719" s="3" t="s">
        <v>68</v>
      </c>
      <c r="S1719" s="3" t="s">
        <v>948</v>
      </c>
    </row>
    <row r="1720" spans="1:19">
      <c r="A1720" s="3">
        <v>1520</v>
      </c>
      <c r="B1720" s="3" t="b">
        <f>ISNUMBER(MATCH(A1720,[1]stockregister!$A$2:$A$2000,0))</f>
        <v>1</v>
      </c>
      <c r="C1720" s="3" t="s">
        <v>3990</v>
      </c>
      <c r="D1720" s="3" t="str">
        <f>VLOOKUP($C1720,[1]stockregister!$B$2:$B$2000,1,0)</f>
        <v>NEDERBURG - ROSE 750 ML</v>
      </c>
      <c r="E1720" s="3" t="str">
        <f>IF(ISNA($D1720),VLOOKUP($A1720,[2]stockregister!$A$2:$B$2000,2,FALSE),"")</f>
        <v/>
      </c>
      <c r="F1720" s="3" t="s">
        <v>21</v>
      </c>
      <c r="G1720" s="3">
        <f>_xlfn.IFNA(VLOOKUP($A1720,[3]stockregister!$A$2:$L$2000,11,0),0)</f>
        <v>0</v>
      </c>
      <c r="H1720" s="3">
        <f>_xlfn.IFNA(VLOOKUP($A1720,[3]stockregister!$A$2:$L$2000,11,0),0)-$G1720</f>
        <v>0</v>
      </c>
      <c r="I1720" s="3">
        <f>_xlfn.IFNA(VLOOKUP($A1720,[3]stockregister!$A$2:$L$2000,12,0),0)</f>
        <v>1180</v>
      </c>
      <c r="J1720" s="3">
        <f>_xlfn.IFNA(VLOOKUP($A1720,[3]stockregister!$A$1:$M$2000,12,0),0)-$I1720</f>
        <v>0</v>
      </c>
      <c r="K1720" s="3" t="s">
        <v>22</v>
      </c>
      <c r="L1720" s="3" t="s">
        <v>23</v>
      </c>
      <c r="M1720" s="3">
        <f>_xlfn.IFNA(VLOOKUP($A1720,[2]stockregister!$A$2:$H$2000,8,0),0)</f>
        <v>1450</v>
      </c>
      <c r="N1720" s="3">
        <f>_xlfn.IFNA(VLOOKUP($A1720,[2]stockregister!$A$2:$H$2000,8,0),0)-$M1720</f>
        <v>0</v>
      </c>
      <c r="O1720" s="3" t="s">
        <v>3991</v>
      </c>
      <c r="P1720" s="3" t="s">
        <v>3991</v>
      </c>
      <c r="Q1720" s="3" t="s">
        <v>205</v>
      </c>
      <c r="R1720" s="3" t="s">
        <v>68</v>
      </c>
      <c r="S1720" s="3" t="s">
        <v>1030</v>
      </c>
    </row>
    <row r="1721" spans="1:19">
      <c r="A1721" s="3">
        <v>1564</v>
      </c>
      <c r="B1721" s="3" t="b">
        <f>ISNUMBER(MATCH(A1721,[1]stockregister!$A$2:$A$2000,0))</f>
        <v>1</v>
      </c>
      <c r="C1721" s="3" t="s">
        <v>3992</v>
      </c>
      <c r="D1721" s="3" t="str">
        <f>VLOOKUP($C1721,[1]stockregister!$B$2:$B$2000,1,0)</f>
        <v>OMBRE ROSE 750ML</v>
      </c>
      <c r="E1721" s="3" t="str">
        <f>IF(ISNA($D1721),VLOOKUP($A1721,[2]stockregister!$A$2:$B$2000,2,FALSE),"")</f>
        <v/>
      </c>
      <c r="F1721" s="3" t="s">
        <v>21</v>
      </c>
      <c r="G1721" s="3">
        <f>_xlfn.IFNA(VLOOKUP($A1721,[3]stockregister!$A$2:$L$2000,11,0),0)</f>
        <v>0</v>
      </c>
      <c r="H1721" s="3">
        <f>_xlfn.IFNA(VLOOKUP($A1721,[3]stockregister!$A$2:$L$2000,11,0),0)-$G1721</f>
        <v>0</v>
      </c>
      <c r="I1721" s="3">
        <f>_xlfn.IFNA(VLOOKUP($A1721,[3]stockregister!$A$2:$L$2000,12,0),0)</f>
        <v>966</v>
      </c>
      <c r="J1721" s="3">
        <f>_xlfn.IFNA(VLOOKUP($A1721,[3]stockregister!$A$1:$M$2000,12,0),0)-$I1721</f>
        <v>0</v>
      </c>
      <c r="K1721" s="3" t="s">
        <v>22</v>
      </c>
      <c r="L1721" s="3" t="s">
        <v>23</v>
      </c>
      <c r="M1721" s="3">
        <f>_xlfn.IFNA(VLOOKUP($A1721,[2]stockregister!$A$2:$H$2000,8,0),0)</f>
        <v>1050</v>
      </c>
      <c r="N1721" s="3">
        <f>_xlfn.IFNA(VLOOKUP($A1721,[2]stockregister!$A$2:$H$2000,8,0),0)-$M1721</f>
        <v>0</v>
      </c>
      <c r="O1721" s="3" t="s">
        <v>3993</v>
      </c>
      <c r="P1721" s="3" t="s">
        <v>3993</v>
      </c>
      <c r="Q1721" s="3" t="s">
        <v>3994</v>
      </c>
      <c r="R1721" s="3" t="s">
        <v>68</v>
      </c>
      <c r="S1721" s="3" t="s">
        <v>1030</v>
      </c>
    </row>
    <row r="1722" spans="1:19">
      <c r="A1722" s="3">
        <v>1637</v>
      </c>
      <c r="B1722" s="3" t="b">
        <f>ISNUMBER(MATCH(A1722,[1]stockregister!$A$2:$A$2000,0))</f>
        <v>1</v>
      </c>
      <c r="C1722" s="3" t="s">
        <v>3995</v>
      </c>
      <c r="D1722" s="3" t="str">
        <f>VLOOKUP($C1722,[1]stockregister!$B$2:$B$2000,1,0)</f>
        <v>PROSECO ROSE 750ML</v>
      </c>
      <c r="E1722" s="3" t="str">
        <f>IF(ISNA($D1722),VLOOKUP($A1722,[2]stockregister!$A$2:$B$2000,2,FALSE),"")</f>
        <v/>
      </c>
      <c r="F1722" s="3" t="s">
        <v>21</v>
      </c>
      <c r="G1722" s="3">
        <f>_xlfn.IFNA(VLOOKUP($A1722,[3]stockregister!$A$2:$L$2000,11,0),0)</f>
        <v>0</v>
      </c>
      <c r="H1722" s="3">
        <f>_xlfn.IFNA(VLOOKUP($A1722,[3]stockregister!$A$2:$L$2000,11,0),0)-$G1722</f>
        <v>0</v>
      </c>
      <c r="I1722" s="3">
        <f>_xlfn.IFNA(VLOOKUP($A1722,[3]stockregister!$A$2:$L$2000,12,0),0)</f>
        <v>2600</v>
      </c>
      <c r="J1722" s="3">
        <f>_xlfn.IFNA(VLOOKUP($A1722,[3]stockregister!$A$1:$M$2000,12,0),0)-$I1722</f>
        <v>0</v>
      </c>
      <c r="K1722" s="3" t="s">
        <v>22</v>
      </c>
      <c r="L1722" s="3" t="s">
        <v>23</v>
      </c>
      <c r="M1722" s="3">
        <f>_xlfn.IFNA(VLOOKUP($A1722,[2]stockregister!$A$2:$H$2000,8,0),0)</f>
        <v>2800</v>
      </c>
      <c r="N1722" s="3">
        <f>_xlfn.IFNA(VLOOKUP($A1722,[2]stockregister!$A$2:$H$2000,8,0),0)-$M1722</f>
        <v>0</v>
      </c>
      <c r="O1722" s="3" t="s">
        <v>3996</v>
      </c>
      <c r="P1722" s="3" t="s">
        <v>3996</v>
      </c>
      <c r="Q1722" s="3" t="s">
        <v>3997</v>
      </c>
      <c r="R1722" s="3" t="s">
        <v>68</v>
      </c>
      <c r="S1722" s="3" t="s">
        <v>1030</v>
      </c>
    </row>
    <row r="1723" spans="1:19">
      <c r="A1723" s="3">
        <v>1718</v>
      </c>
      <c r="B1723" s="3" t="b">
        <f>ISNUMBER(MATCH(A1723,[1]stockregister!$A$2:$A$2000,0))</f>
        <v>1</v>
      </c>
      <c r="C1723" s="3" t="s">
        <v>3998</v>
      </c>
      <c r="D1723" s="3" t="str">
        <f>VLOOKUP($C1723,[1]stockregister!$B$2:$B$2000,1,0)</f>
        <v>RUINART ROSE 750ML</v>
      </c>
      <c r="E1723" s="3" t="str">
        <f>IF(ISNA($D1723),VLOOKUP($A1723,[2]stockregister!$A$2:$B$2000,2,FALSE),"")</f>
        <v/>
      </c>
      <c r="F1723" s="3" t="s">
        <v>21</v>
      </c>
      <c r="G1723" s="3">
        <f>_xlfn.IFNA(VLOOKUP($A1723,[3]stockregister!$A$2:$L$2000,11,0),0)</f>
        <v>0</v>
      </c>
      <c r="H1723" s="3">
        <f>_xlfn.IFNA(VLOOKUP($A1723,[3]stockregister!$A$2:$L$2000,11,0),0)-$G1723</f>
        <v>0</v>
      </c>
      <c r="I1723" s="3">
        <f>_xlfn.IFNA(VLOOKUP($A1723,[3]stockregister!$A$2:$L$2000,12,0),0)</f>
        <v>16560</v>
      </c>
      <c r="J1723" s="3">
        <f>_xlfn.IFNA(VLOOKUP($A1723,[3]stockregister!$A$1:$M$2000,12,0),0)-$I1723</f>
        <v>0</v>
      </c>
      <c r="K1723" s="3" t="s">
        <v>22</v>
      </c>
      <c r="L1723" s="3" t="s">
        <v>23</v>
      </c>
      <c r="M1723" s="3">
        <f>_xlfn.IFNA(VLOOKUP($A1723,[2]stockregister!$A$2:$H$2000,8,0),0)</f>
        <v>18000</v>
      </c>
      <c r="N1723" s="3">
        <f>_xlfn.IFNA(VLOOKUP($A1723,[2]stockregister!$A$2:$H$2000,8,0),0)-$M1723</f>
        <v>0</v>
      </c>
      <c r="O1723" s="3" t="s">
        <v>3999</v>
      </c>
      <c r="P1723" s="3" t="s">
        <v>3999</v>
      </c>
      <c r="Q1723" s="3" t="s">
        <v>1419</v>
      </c>
      <c r="R1723" s="3" t="s">
        <v>68</v>
      </c>
      <c r="S1723" s="3" t="s">
        <v>1030</v>
      </c>
    </row>
    <row r="1724" spans="1:19">
      <c r="A1724" s="3">
        <v>1730</v>
      </c>
      <c r="B1724" s="3" t="b">
        <f>ISNUMBER(MATCH(A1724,[1]stockregister!$A$2:$A$2000,0))</f>
        <v>1</v>
      </c>
      <c r="C1724" s="3" t="s">
        <v>4000</v>
      </c>
      <c r="D1724" s="3" t="str">
        <f>VLOOKUP($C1724,[1]stockregister!$B$2:$B$2000,1,0)</f>
        <v>SAINT CELINE ROSE WINE 750ML</v>
      </c>
      <c r="E1724" s="3" t="str">
        <f>IF(ISNA($D1724),VLOOKUP($A1724,[2]stockregister!$A$2:$B$2000,2,FALSE),"")</f>
        <v/>
      </c>
      <c r="F1724" s="3" t="s">
        <v>21</v>
      </c>
      <c r="G1724" s="3">
        <f>_xlfn.IFNA(VLOOKUP($A1724,[3]stockregister!$A$2:$L$2000,11,0),0)</f>
        <v>0</v>
      </c>
      <c r="H1724" s="3">
        <f>_xlfn.IFNA(VLOOKUP($A1724,[3]stockregister!$A$2:$L$2000,11,0),0)-$G1724</f>
        <v>0</v>
      </c>
      <c r="I1724" s="3">
        <f>_xlfn.IFNA(VLOOKUP($A1724,[3]stockregister!$A$2:$L$2000,12,0),0)</f>
        <v>782</v>
      </c>
      <c r="J1724" s="3">
        <f>_xlfn.IFNA(VLOOKUP($A1724,[3]stockregister!$A$1:$M$2000,12,0),0)-$I1724</f>
        <v>0</v>
      </c>
      <c r="K1724" s="3" t="s">
        <v>22</v>
      </c>
      <c r="L1724" s="3" t="s">
        <v>23</v>
      </c>
      <c r="M1724" s="3">
        <f>_xlfn.IFNA(VLOOKUP($A1724,[2]stockregister!$A$2:$H$2000,8,0),0)</f>
        <v>850</v>
      </c>
      <c r="N1724" s="3">
        <f>_xlfn.IFNA(VLOOKUP($A1724,[2]stockregister!$A$2:$H$2000,8,0),0)-$M1724</f>
        <v>0</v>
      </c>
      <c r="O1724" s="3" t="s">
        <v>4001</v>
      </c>
      <c r="P1724" s="3" t="s">
        <v>4001</v>
      </c>
      <c r="Q1724" s="3" t="s">
        <v>4002</v>
      </c>
      <c r="R1724" s="3" t="s">
        <v>68</v>
      </c>
      <c r="S1724" s="3" t="s">
        <v>1030</v>
      </c>
    </row>
    <row r="1725" spans="1:19">
      <c r="A1725" s="3">
        <v>2498</v>
      </c>
      <c r="B1725" s="3" t="b">
        <f>ISNUMBER(MATCH(A1725,[1]stockregister!$A$2:$A$2000,0))</f>
        <v>1</v>
      </c>
      <c r="C1725" s="3" t="s">
        <v>4003</v>
      </c>
      <c r="D1725" s="3" t="str">
        <f>VLOOKUP($C1725,[1]stockregister!$B$2:$B$2000,1,0)</f>
        <v>ARNISTON BAY ROSE 750ML</v>
      </c>
      <c r="E1725" s="3" t="str">
        <f>IF(ISNA($D1725),VLOOKUP($A1725,[2]stockregister!$A$2:$B$2000,2,FALSE),"")</f>
        <v/>
      </c>
      <c r="F1725" s="3" t="s">
        <v>21</v>
      </c>
      <c r="G1725" s="3">
        <f>_xlfn.IFNA(VLOOKUP($A1725,[3]stockregister!$A$2:$L$2000,11,0),0)</f>
        <v>0</v>
      </c>
      <c r="H1725" s="3">
        <f>_xlfn.IFNA(VLOOKUP($A1725,[3]stockregister!$A$2:$L$2000,11,0),0)-$G1725</f>
        <v>0</v>
      </c>
      <c r="I1725" s="3">
        <f>_xlfn.IFNA(VLOOKUP($A1725,[3]stockregister!$A$2:$L$2000,12,0),0)</f>
        <v>1650</v>
      </c>
      <c r="J1725" s="3">
        <f>_xlfn.IFNA(VLOOKUP($A1725,[3]stockregister!$A$1:$M$2000,12,0),0)-$I1725</f>
        <v>0</v>
      </c>
      <c r="K1725" s="3" t="s">
        <v>22</v>
      </c>
      <c r="L1725" s="3" t="s">
        <v>23</v>
      </c>
      <c r="M1725" s="3">
        <f>_xlfn.IFNA(VLOOKUP($A1725,[2]stockregister!$A$2:$H$2000,8,0),0)</f>
        <v>1850</v>
      </c>
      <c r="N1725" s="3">
        <f>_xlfn.IFNA(VLOOKUP($A1725,[2]stockregister!$A$2:$H$2000,8,0),0)-$M1725</f>
        <v>0</v>
      </c>
      <c r="O1725" s="3" t="s">
        <v>4004</v>
      </c>
      <c r="P1725" s="3" t="s">
        <v>4004</v>
      </c>
      <c r="Q1725" s="3" t="s">
        <v>4005</v>
      </c>
      <c r="R1725" s="3" t="s">
        <v>537</v>
      </c>
      <c r="S1725" s="3" t="s">
        <v>1030</v>
      </c>
    </row>
    <row r="1726" spans="1:19">
      <c r="A1726" s="3">
        <v>2373</v>
      </c>
      <c r="B1726" s="3" t="b">
        <f>ISNUMBER(MATCH(A1726,[1]stockregister!$A$2:$A$2000,0))</f>
        <v>1</v>
      </c>
      <c r="C1726" s="3" t="s">
        <v>4006</v>
      </c>
      <c r="D1726" s="3" t="str">
        <f>VLOOKUP($C1726,[1]stockregister!$B$2:$B$2000,1,0)</f>
        <v>CHARLES HEIDESECK ROSE 750ML</v>
      </c>
      <c r="E1726" s="3" t="str">
        <f>IF(ISNA($D1726),VLOOKUP($A1726,[2]stockregister!$A$2:$B$2000,2,FALSE),"")</f>
        <v/>
      </c>
      <c r="F1726" s="3" t="s">
        <v>21</v>
      </c>
      <c r="G1726" s="3">
        <f>_xlfn.IFNA(VLOOKUP($A1726,[3]stockregister!$A$2:$L$2000,11,0),0)</f>
        <v>0</v>
      </c>
      <c r="H1726" s="3">
        <f>_xlfn.IFNA(VLOOKUP($A1726,[3]stockregister!$A$2:$L$2000,11,0),0)-$G1726</f>
        <v>0</v>
      </c>
      <c r="I1726" s="3">
        <f>_xlfn.IFNA(VLOOKUP($A1726,[3]stockregister!$A$2:$L$2000,12,0),0)</f>
        <v>8500</v>
      </c>
      <c r="J1726" s="3">
        <f>_xlfn.IFNA(VLOOKUP($A1726,[3]stockregister!$A$1:$M$2000,12,0),0)-$I1726</f>
        <v>0</v>
      </c>
      <c r="K1726" s="3" t="s">
        <v>22</v>
      </c>
      <c r="L1726" s="3" t="s">
        <v>23</v>
      </c>
      <c r="M1726" s="3">
        <f>_xlfn.IFNA(VLOOKUP($A1726,[2]stockregister!$A$2:$H$2000,8,0),0)</f>
        <v>9500</v>
      </c>
      <c r="N1726" s="3">
        <f>_xlfn.IFNA(VLOOKUP($A1726,[2]stockregister!$A$2:$H$2000,8,0),0)-$M1726</f>
        <v>0</v>
      </c>
      <c r="O1726" s="3" t="s">
        <v>4007</v>
      </c>
      <c r="P1726" s="3" t="s">
        <v>4007</v>
      </c>
      <c r="Q1726" s="3" t="s">
        <v>4008</v>
      </c>
      <c r="R1726" s="3" t="s">
        <v>537</v>
      </c>
      <c r="S1726" s="3" t="s">
        <v>1030</v>
      </c>
    </row>
    <row r="1727" spans="1:19">
      <c r="A1727" s="3">
        <v>897</v>
      </c>
      <c r="B1727" s="3" t="b">
        <f>ISNUMBER(MATCH(A1727,[1]stockregister!$A$2:$A$2000,0))</f>
        <v>1</v>
      </c>
      <c r="C1727" s="3" t="s">
        <v>4009</v>
      </c>
      <c r="D1727" s="3" t="str">
        <f>VLOOKUP($C1727,[1]stockregister!$B$2:$B$2000,1,0)</f>
        <v>GRAHAM BECK BRUT ROSE 750ML</v>
      </c>
      <c r="E1727" s="3" t="str">
        <f>IF(ISNA($D1727),VLOOKUP($A1727,[2]stockregister!$A$2:$B$2000,2,FALSE),"")</f>
        <v/>
      </c>
      <c r="F1727" s="3" t="s">
        <v>21</v>
      </c>
      <c r="G1727" s="3">
        <f>_xlfn.IFNA(VLOOKUP($A1727,[3]stockregister!$A$2:$L$2000,11,0),0)</f>
        <v>0</v>
      </c>
      <c r="H1727" s="3">
        <f>_xlfn.IFNA(VLOOKUP($A1727,[3]stockregister!$A$2:$L$2000,11,0),0)-$G1727</f>
        <v>0</v>
      </c>
      <c r="I1727" s="3">
        <f>_xlfn.IFNA(VLOOKUP($A1727,[3]stockregister!$A$2:$L$2000,12,0),0)</f>
        <v>2300</v>
      </c>
      <c r="J1727" s="3">
        <f>_xlfn.IFNA(VLOOKUP($A1727,[3]stockregister!$A$1:$M$2000,12,0),0)-$I1727</f>
        <v>0</v>
      </c>
      <c r="K1727" s="3" t="s">
        <v>22</v>
      </c>
      <c r="L1727" s="3" t="s">
        <v>23</v>
      </c>
      <c r="M1727" s="3">
        <f>_xlfn.IFNA(VLOOKUP($A1727,[2]stockregister!$A$2:$H$2000,8,0),0)</f>
        <v>2500</v>
      </c>
      <c r="N1727" s="3">
        <f>_xlfn.IFNA(VLOOKUP($A1727,[2]stockregister!$A$2:$H$2000,8,0),0)-$M1727</f>
        <v>0</v>
      </c>
      <c r="O1727" s="3" t="s">
        <v>3627</v>
      </c>
      <c r="P1727" s="3" t="s">
        <v>3627</v>
      </c>
      <c r="Q1727" s="3" t="s">
        <v>4010</v>
      </c>
      <c r="R1727" s="3" t="s">
        <v>537</v>
      </c>
      <c r="S1727" s="3" t="s">
        <v>1030</v>
      </c>
    </row>
    <row r="1728" spans="1:19">
      <c r="A1728" s="3">
        <v>2559</v>
      </c>
      <c r="B1728" s="3" t="b">
        <f>ISNUMBER(MATCH(A1728,[1]stockregister!$A$2:$A$2000,0))</f>
        <v>1</v>
      </c>
      <c r="C1728" s="3" t="s">
        <v>4011</v>
      </c>
      <c r="D1728" s="3" t="str">
        <f>VLOOKUP($C1728,[1]stockregister!$B$2:$B$2000,1,0)</f>
        <v>VAN MOSCATO ROSE PERLE 750ML</v>
      </c>
      <c r="E1728" s="3" t="str">
        <f>IF(ISNA($D1728),VLOOKUP($A1728,[2]stockregister!$A$2:$B$2000,2,FALSE),"")</f>
        <v/>
      </c>
      <c r="F1728" s="3" t="s">
        <v>21</v>
      </c>
      <c r="G1728" s="3">
        <f>_xlfn.IFNA(VLOOKUP($A1728,[3]stockregister!$A$2:$L$2000,11,0),0)</f>
        <v>0</v>
      </c>
      <c r="H1728" s="3">
        <f>_xlfn.IFNA(VLOOKUP($A1728,[3]stockregister!$A$2:$L$2000,11,0),0)-$G1728</f>
        <v>0</v>
      </c>
      <c r="I1728" s="3">
        <f>_xlfn.IFNA(VLOOKUP($A1728,[3]stockregister!$A$2:$L$2000,12,0),0)</f>
        <v>1016</v>
      </c>
      <c r="J1728" s="3">
        <f>_xlfn.IFNA(VLOOKUP($A1728,[3]stockregister!$A$1:$M$2000,12,0),0)-$I1728</f>
        <v>0</v>
      </c>
      <c r="K1728" s="3" t="s">
        <v>22</v>
      </c>
      <c r="L1728" s="3" t="s">
        <v>23</v>
      </c>
      <c r="M1728" s="3">
        <f>_xlfn.IFNA(VLOOKUP($A1728,[2]stockregister!$A$2:$H$2000,8,0),0)</f>
        <v>1200</v>
      </c>
      <c r="N1728" s="3">
        <f>_xlfn.IFNA(VLOOKUP($A1728,[2]stockregister!$A$2:$H$2000,8,0),0)-$M1728</f>
        <v>0</v>
      </c>
      <c r="O1728" s="3" t="s">
        <v>4012</v>
      </c>
      <c r="P1728" s="3" t="s">
        <v>4012</v>
      </c>
      <c r="Q1728" s="3" t="s">
        <v>3537</v>
      </c>
      <c r="R1728" s="3" t="s">
        <v>537</v>
      </c>
      <c r="S1728" s="3" t="s">
        <v>1030</v>
      </c>
    </row>
    <row r="1729" spans="1:19">
      <c r="A1729" s="3">
        <v>2347</v>
      </c>
      <c r="B1729" s="3" t="b">
        <f>ISNUMBER(MATCH(A1729,[1]stockregister!$A$2:$A$2000,0))</f>
        <v>1</v>
      </c>
      <c r="C1729" s="3" t="s">
        <v>4013</v>
      </c>
      <c r="D1729" s="3" t="str">
        <f>VLOOKUP($C1729,[1]stockregister!$B$2:$B$2000,1,0)</f>
        <v>SANGRIA PENASOL 1LTR</v>
      </c>
      <c r="E1729" s="3" t="str">
        <f>IF(ISNA($D1729),VLOOKUP($A1729,[2]stockregister!$A$2:$B$2000,2,FALSE),"")</f>
        <v/>
      </c>
      <c r="F1729" s="3" t="s">
        <v>21</v>
      </c>
      <c r="G1729" s="3">
        <f>_xlfn.IFNA(VLOOKUP($A1729,[3]stockregister!$A$2:$L$2000,11,0),0)</f>
        <v>0</v>
      </c>
      <c r="H1729" s="3">
        <f>_xlfn.IFNA(VLOOKUP($A1729,[3]stockregister!$A$2:$L$2000,11,0),0)-$G1729</f>
        <v>0</v>
      </c>
      <c r="I1729" s="3">
        <f>_xlfn.IFNA(VLOOKUP($A1729,[3]stockregister!$A$2:$L$2000,12,0),0)</f>
        <v>900</v>
      </c>
      <c r="J1729" s="3">
        <f>_xlfn.IFNA(VLOOKUP($A1729,[3]stockregister!$A$1:$M$2000,12,0),0)-$I1729</f>
        <v>0</v>
      </c>
      <c r="K1729" s="3" t="s">
        <v>22</v>
      </c>
      <c r="L1729" s="3" t="s">
        <v>23</v>
      </c>
      <c r="M1729" s="3">
        <f>_xlfn.IFNA(VLOOKUP($A1729,[2]stockregister!$A$2:$H$2000,8,0),0)</f>
        <v>1000</v>
      </c>
      <c r="N1729" s="3">
        <f>_xlfn.IFNA(VLOOKUP($A1729,[2]stockregister!$A$2:$H$2000,8,0),0)-$M1729</f>
        <v>0</v>
      </c>
      <c r="O1729" s="3" t="s">
        <v>4014</v>
      </c>
      <c r="P1729" s="3" t="s">
        <v>4014</v>
      </c>
      <c r="Q1729" s="3" t="s">
        <v>4015</v>
      </c>
      <c r="R1729" s="3" t="s">
        <v>537</v>
      </c>
      <c r="S1729" s="3" t="s">
        <v>2017</v>
      </c>
    </row>
    <row r="1730" spans="1:19">
      <c r="A1730" s="3">
        <v>1605</v>
      </c>
      <c r="B1730" s="3" t="b">
        <f>ISNUMBER(MATCH(A1730,[1]stockregister!$A$2:$A$2000,0))</f>
        <v>1</v>
      </c>
      <c r="C1730" s="3" t="s">
        <v>4016</v>
      </c>
      <c r="D1730" s="3" t="str">
        <f>VLOOKUP($C1730,[1]stockregister!$B$2:$B$2000,1,0)</f>
        <v>PENASOL SANGRIA 1.5 LTRS</v>
      </c>
      <c r="E1730" s="3" t="str">
        <f>IF(ISNA($D1730),VLOOKUP($A1730,[2]stockregister!$A$2:$B$2000,2,FALSE),"")</f>
        <v/>
      </c>
      <c r="F1730" s="3" t="s">
        <v>21</v>
      </c>
      <c r="G1730" s="3">
        <f>_xlfn.IFNA(VLOOKUP($A1730,[3]stockregister!$A$2:$L$2000,11,0),0)</f>
        <v>0</v>
      </c>
      <c r="H1730" s="3">
        <f>_xlfn.IFNA(VLOOKUP($A1730,[3]stockregister!$A$2:$L$2000,11,0),0)-$G1730</f>
        <v>0</v>
      </c>
      <c r="I1730" s="3">
        <f>_xlfn.IFNA(VLOOKUP($A1730,[3]stockregister!$A$2:$L$2000,12,0),0)</f>
        <v>1104</v>
      </c>
      <c r="J1730" s="3">
        <f>_xlfn.IFNA(VLOOKUP($A1730,[3]stockregister!$A$1:$M$2000,12,0),0)-$I1730</f>
        <v>0</v>
      </c>
      <c r="K1730" s="3" t="s">
        <v>22</v>
      </c>
      <c r="L1730" s="3" t="s">
        <v>23</v>
      </c>
      <c r="M1730" s="3">
        <f>_xlfn.IFNA(VLOOKUP($A1730,[2]stockregister!$A$2:$H$2000,8,0),0)</f>
        <v>1200</v>
      </c>
      <c r="N1730" s="3">
        <f>_xlfn.IFNA(VLOOKUP($A1730,[2]stockregister!$A$2:$H$2000,8,0),0)-$M1730</f>
        <v>0</v>
      </c>
      <c r="O1730" s="3" t="s">
        <v>4017</v>
      </c>
      <c r="P1730" s="3" t="s">
        <v>4017</v>
      </c>
      <c r="Q1730" s="3" t="s">
        <v>1144</v>
      </c>
      <c r="R1730" s="3" t="s">
        <v>68</v>
      </c>
      <c r="S1730" s="3" t="s">
        <v>2017</v>
      </c>
    </row>
    <row r="1731" spans="1:19">
      <c r="A1731" s="3">
        <v>1741</v>
      </c>
      <c r="B1731" s="3" t="b">
        <f>ISNUMBER(MATCH(A1731,[1]stockregister!$A$2:$A$2000,0))</f>
        <v>1</v>
      </c>
      <c r="C1731" s="3" t="s">
        <v>4018</v>
      </c>
      <c r="D1731" s="3" t="str">
        <f>VLOOKUP($C1731,[1]stockregister!$B$2:$B$2000,1,0)</f>
        <v>SANDARA PREMIUM SANGIRIA 750ML</v>
      </c>
      <c r="E1731" s="3" t="str">
        <f>IF(ISNA($D1731),VLOOKUP($A1731,[2]stockregister!$A$2:$B$2000,2,FALSE),"")</f>
        <v/>
      </c>
      <c r="F1731" s="3" t="s">
        <v>21</v>
      </c>
      <c r="G1731" s="3">
        <f>_xlfn.IFNA(VLOOKUP($A1731,[3]stockregister!$A$2:$L$2000,11,0),0)</f>
        <v>0</v>
      </c>
      <c r="H1731" s="3">
        <f>_xlfn.IFNA(VLOOKUP($A1731,[3]stockregister!$A$2:$L$2000,11,0),0)-$G1731</f>
        <v>0</v>
      </c>
      <c r="I1731" s="3">
        <f>_xlfn.IFNA(VLOOKUP($A1731,[3]stockregister!$A$2:$L$2000,12,0),0)</f>
        <v>1012</v>
      </c>
      <c r="J1731" s="3">
        <f>_xlfn.IFNA(VLOOKUP($A1731,[3]stockregister!$A$1:$M$2000,12,0),0)-$I1731</f>
        <v>0</v>
      </c>
      <c r="K1731" s="3" t="s">
        <v>22</v>
      </c>
      <c r="L1731" s="3" t="s">
        <v>23</v>
      </c>
      <c r="M1731" s="3">
        <f>_xlfn.IFNA(VLOOKUP($A1731,[2]stockregister!$A$2:$H$2000,8,0),0)</f>
        <v>1100</v>
      </c>
      <c r="N1731" s="3">
        <f>_xlfn.IFNA(VLOOKUP($A1731,[2]stockregister!$A$2:$H$2000,8,0),0)-$M1731</f>
        <v>0</v>
      </c>
      <c r="O1731" s="3" t="s">
        <v>1980</v>
      </c>
      <c r="P1731" s="3" t="s">
        <v>1980</v>
      </c>
      <c r="Q1731" s="3" t="s">
        <v>1981</v>
      </c>
      <c r="R1731" s="3" t="s">
        <v>68</v>
      </c>
      <c r="S1731" s="3" t="s">
        <v>2017</v>
      </c>
    </row>
    <row r="1732" spans="1:19">
      <c r="A1732" s="3">
        <v>1861</v>
      </c>
      <c r="B1732" s="3" t="b">
        <f>ISNUMBER(MATCH(A1732,[1]stockregister!$A$2:$A$2000,0))</f>
        <v>1</v>
      </c>
      <c r="C1732" s="3" t="s">
        <v>4019</v>
      </c>
      <c r="D1732" s="3" t="str">
        <f>VLOOKUP($C1732,[1]stockregister!$B$2:$B$2000,1,0)</f>
        <v>SOUTHERN OCEAN SAUV BLANC 750ML</v>
      </c>
      <c r="E1732" s="3" t="str">
        <f>IF(ISNA($D1732),VLOOKUP($A1732,[2]stockregister!$A$2:$B$2000,2,FALSE),"")</f>
        <v/>
      </c>
      <c r="F1732" s="3" t="s">
        <v>21</v>
      </c>
      <c r="G1732" s="3">
        <f>_xlfn.IFNA(VLOOKUP($A1732,[3]stockregister!$A$2:$L$2000,11,0),0)</f>
        <v>0</v>
      </c>
      <c r="H1732" s="3">
        <f>_xlfn.IFNA(VLOOKUP($A1732,[3]stockregister!$A$2:$L$2000,11,0),0)-$G1732</f>
        <v>0</v>
      </c>
      <c r="I1732" s="3">
        <f>_xlfn.IFNA(VLOOKUP($A1732,[3]stockregister!$A$2:$L$2000,12,0),0)</f>
        <v>1840</v>
      </c>
      <c r="J1732" s="3">
        <f>_xlfn.IFNA(VLOOKUP($A1732,[3]stockregister!$A$1:$M$2000,12,0),0)-$I1732</f>
        <v>0</v>
      </c>
      <c r="K1732" s="3" t="s">
        <v>22</v>
      </c>
      <c r="L1732" s="3" t="s">
        <v>23</v>
      </c>
      <c r="M1732" s="3">
        <f>_xlfn.IFNA(VLOOKUP($A1732,[2]stockregister!$A$2:$H$2000,8,0),0)</f>
        <v>2000</v>
      </c>
      <c r="N1732" s="3">
        <f>_xlfn.IFNA(VLOOKUP($A1732,[2]stockregister!$A$2:$H$2000,8,0),0)-$M1732</f>
        <v>0</v>
      </c>
      <c r="O1732" s="3" t="s">
        <v>4020</v>
      </c>
      <c r="P1732" s="3" t="s">
        <v>4020</v>
      </c>
      <c r="Q1732" s="3" t="s">
        <v>4021</v>
      </c>
      <c r="R1732" s="3" t="s">
        <v>68</v>
      </c>
      <c r="S1732" s="3" t="s">
        <v>398</v>
      </c>
    </row>
    <row r="1733" spans="1:19">
      <c r="A1733" s="3">
        <v>793</v>
      </c>
      <c r="B1733" s="3" t="b">
        <f>ISNUMBER(MATCH(A1733,[1]stockregister!$A$2:$A$2000,0))</f>
        <v>1</v>
      </c>
      <c r="C1733" s="3" t="s">
        <v>626</v>
      </c>
      <c r="D1733" s="3" t="str">
        <f>VLOOKUP($C1733,[1]stockregister!$B$2:$B$2000,1,0)</f>
        <v>FRONTERA SAUV BLANC  750ML</v>
      </c>
      <c r="E1733" s="3" t="str">
        <f>IF(ISNA($D1733),VLOOKUP($A1733,[2]stockregister!$A$2:$B$2000,2,FALSE),"")</f>
        <v/>
      </c>
      <c r="F1733" s="3" t="s">
        <v>21</v>
      </c>
      <c r="G1733" s="3">
        <f>_xlfn.IFNA(VLOOKUP($A1733,[3]stockregister!$A$2:$L$2000,11,0),0)</f>
        <v>0</v>
      </c>
      <c r="H1733" s="3">
        <f>_xlfn.IFNA(VLOOKUP($A1733,[3]stockregister!$A$2:$L$2000,11,0),0)-$G1733</f>
        <v>0</v>
      </c>
      <c r="I1733" s="3">
        <f>_xlfn.IFNA(VLOOKUP($A1733,[3]stockregister!$A$2:$L$2000,12,0),0)</f>
        <v>978.4</v>
      </c>
      <c r="J1733" s="3">
        <f>_xlfn.IFNA(VLOOKUP($A1733,[3]stockregister!$A$1:$M$2000,12,0),0)-$I1733</f>
        <v>0</v>
      </c>
      <c r="K1733" s="3" t="s">
        <v>22</v>
      </c>
      <c r="L1733" s="3" t="s">
        <v>23</v>
      </c>
      <c r="M1733" s="3">
        <f>_xlfn.IFNA(VLOOKUP($A1733,[2]stockregister!$A$2:$H$2000,8,0),0)</f>
        <v>1080</v>
      </c>
      <c r="N1733" s="3">
        <f>_xlfn.IFNA(VLOOKUP($A1733,[2]stockregister!$A$2:$H$2000,8,0),0)-$M1733</f>
        <v>0</v>
      </c>
      <c r="O1733" s="3" t="s">
        <v>4022</v>
      </c>
      <c r="P1733" s="3" t="s">
        <v>4022</v>
      </c>
      <c r="Q1733" s="3" t="s">
        <v>1082</v>
      </c>
      <c r="R1733" s="3" t="s">
        <v>68</v>
      </c>
      <c r="S1733" s="3" t="s">
        <v>398</v>
      </c>
    </row>
    <row r="1734" spans="1:19">
      <c r="A1734" s="3">
        <v>794</v>
      </c>
      <c r="B1734" s="3" t="b">
        <f>ISNUMBER(MATCH(A1734,[1]stockregister!$A$2:$A$2000,0))</f>
        <v>1</v>
      </c>
      <c r="C1734" s="3" t="s">
        <v>4023</v>
      </c>
      <c r="D1734" s="3" t="str">
        <f>VLOOKUP($C1734,[1]stockregister!$B$2:$B$2000,1,0)</f>
        <v>FRONTERA SAUV BLANC 1.5LTR</v>
      </c>
      <c r="E1734" s="3" t="str">
        <f>IF(ISNA($D1734),VLOOKUP($A1734,[2]stockregister!$A$2:$B$2000,2,FALSE),"")</f>
        <v/>
      </c>
      <c r="F1734" s="3" t="s">
        <v>21</v>
      </c>
      <c r="G1734" s="3">
        <f>_xlfn.IFNA(VLOOKUP($A1734,[3]stockregister!$A$2:$L$2000,11,0),0)</f>
        <v>0</v>
      </c>
      <c r="H1734" s="3">
        <f>_xlfn.IFNA(VLOOKUP($A1734,[3]stockregister!$A$2:$L$2000,11,0),0)-$G1734</f>
        <v>0</v>
      </c>
      <c r="I1734" s="3">
        <f>_xlfn.IFNA(VLOOKUP($A1734,[3]stockregister!$A$2:$L$2000,12,0),0)</f>
        <v>1660</v>
      </c>
      <c r="J1734" s="3">
        <f>_xlfn.IFNA(VLOOKUP($A1734,[3]stockregister!$A$1:$M$2000,12,0),0)-$I1734</f>
        <v>0</v>
      </c>
      <c r="K1734" s="3" t="s">
        <v>22</v>
      </c>
      <c r="L1734" s="3" t="s">
        <v>23</v>
      </c>
      <c r="M1734" s="3">
        <f>_xlfn.IFNA(VLOOKUP($A1734,[2]stockregister!$A$2:$H$2000,8,0),0)</f>
        <v>1850</v>
      </c>
      <c r="N1734" s="3">
        <f>_xlfn.IFNA(VLOOKUP($A1734,[2]stockregister!$A$2:$H$2000,8,0),0)-$M1734</f>
        <v>0</v>
      </c>
      <c r="O1734" s="3" t="s">
        <v>4024</v>
      </c>
      <c r="P1734" s="3" t="s">
        <v>4024</v>
      </c>
      <c r="Q1734" s="3" t="s">
        <v>1082</v>
      </c>
      <c r="R1734" s="3" t="s">
        <v>68</v>
      </c>
      <c r="S1734" s="3" t="s">
        <v>398</v>
      </c>
    </row>
    <row r="1735" spans="1:19">
      <c r="A1735" s="3">
        <v>1903</v>
      </c>
      <c r="B1735" s="3" t="b">
        <f>ISNUMBER(MATCH(A1735,[1]stockregister!$A$2:$A$2000,0))</f>
        <v>1</v>
      </c>
      <c r="C1735" s="3" t="s">
        <v>4025</v>
      </c>
      <c r="D1735" s="3" t="str">
        <f>VLOOKUP($C1735,[1]stockregister!$B$2:$B$2000,1,0)</f>
        <v>SUNRISE SAUV BLANC 1.5LTR</v>
      </c>
      <c r="E1735" s="3" t="str">
        <f>IF(ISNA($D1735),VLOOKUP($A1735,[2]stockregister!$A$2:$B$2000,2,FALSE),"")</f>
        <v/>
      </c>
      <c r="F1735" s="3" t="s">
        <v>21</v>
      </c>
      <c r="G1735" s="3">
        <f>_xlfn.IFNA(VLOOKUP($A1735,[3]stockregister!$A$2:$L$2000,11,0),0)</f>
        <v>2</v>
      </c>
      <c r="H1735" s="3">
        <f>_xlfn.IFNA(VLOOKUP($A1735,[3]stockregister!$A$2:$L$2000,11,0),0)-$G1735</f>
        <v>0</v>
      </c>
      <c r="I1735" s="3">
        <f>_xlfn.IFNA(VLOOKUP($A1735,[3]stockregister!$A$2:$L$2000,12,0),0)</f>
        <v>1840</v>
      </c>
      <c r="J1735" s="3">
        <f>_xlfn.IFNA(VLOOKUP($A1735,[3]stockregister!$A$1:$M$2000,12,0),0)-$I1735</f>
        <v>0</v>
      </c>
      <c r="K1735" s="3" t="s">
        <v>22</v>
      </c>
      <c r="L1735" s="3" t="s">
        <v>23</v>
      </c>
      <c r="M1735" s="3">
        <f>_xlfn.IFNA(VLOOKUP($A1735,[2]stockregister!$A$2:$H$2000,8,0),0)</f>
        <v>2000</v>
      </c>
      <c r="N1735" s="3">
        <f>_xlfn.IFNA(VLOOKUP($A1735,[2]stockregister!$A$2:$H$2000,8,0),0)-$M1735</f>
        <v>0</v>
      </c>
      <c r="O1735" s="3" t="s">
        <v>4026</v>
      </c>
      <c r="P1735" s="3" t="s">
        <v>4026</v>
      </c>
      <c r="Q1735" s="3" t="s">
        <v>1816</v>
      </c>
      <c r="R1735" s="3" t="s">
        <v>68</v>
      </c>
      <c r="S1735" s="3" t="s">
        <v>398</v>
      </c>
    </row>
    <row r="1736" spans="1:19">
      <c r="A1736" s="3">
        <v>2081</v>
      </c>
      <c r="B1736" s="3" t="b">
        <f>ISNUMBER(MATCH(A1736,[1]stockregister!$A$2:$A$2000,0))</f>
        <v>1</v>
      </c>
      <c r="C1736" s="3" t="s">
        <v>4027</v>
      </c>
      <c r="D1736" s="3" t="str">
        <f>VLOOKUP($C1736,[1]stockregister!$B$2:$B$2000,1,0)</f>
        <v>WELMOED SAUV BLANC 750ML</v>
      </c>
      <c r="E1736" s="3" t="str">
        <f>IF(ISNA($D1736),VLOOKUP($A1736,[2]stockregister!$A$2:$B$2000,2,FALSE),"")</f>
        <v/>
      </c>
      <c r="F1736" s="3" t="s">
        <v>21</v>
      </c>
      <c r="G1736" s="3">
        <f>_xlfn.IFNA(VLOOKUP($A1736,[3]stockregister!$A$2:$L$2000,11,0),0)</f>
        <v>0</v>
      </c>
      <c r="H1736" s="3">
        <f>_xlfn.IFNA(VLOOKUP($A1736,[3]stockregister!$A$2:$L$2000,11,0),0)-$G1736</f>
        <v>0</v>
      </c>
      <c r="I1736" s="3">
        <f>_xlfn.IFNA(VLOOKUP($A1736,[3]stockregister!$A$2:$L$2000,12,0),0)</f>
        <v>1320</v>
      </c>
      <c r="J1736" s="3">
        <f>_xlfn.IFNA(VLOOKUP($A1736,[3]stockregister!$A$1:$M$2000,12,0),0)-$I1736</f>
        <v>0</v>
      </c>
      <c r="K1736" s="3" t="s">
        <v>22</v>
      </c>
      <c r="L1736" s="3" t="s">
        <v>23</v>
      </c>
      <c r="M1736" s="3">
        <f>_xlfn.IFNA(VLOOKUP($A1736,[2]stockregister!$A$2:$H$2000,8,0),0)</f>
        <v>1450</v>
      </c>
      <c r="N1736" s="3">
        <f>_xlfn.IFNA(VLOOKUP($A1736,[2]stockregister!$A$2:$H$2000,8,0),0)-$M1736</f>
        <v>0</v>
      </c>
      <c r="O1736" s="3" t="s">
        <v>4028</v>
      </c>
      <c r="P1736" s="3" t="s">
        <v>4028</v>
      </c>
      <c r="Q1736" s="3" t="s">
        <v>1296</v>
      </c>
      <c r="R1736" s="3" t="s">
        <v>68</v>
      </c>
      <c r="S1736" s="3" t="s">
        <v>398</v>
      </c>
    </row>
    <row r="1737" spans="1:19">
      <c r="A1737" s="3">
        <v>285</v>
      </c>
      <c r="B1737" s="3" t="b">
        <f>ISNUMBER(MATCH(A1737,[1]stockregister!$A$2:$A$2000,0))</f>
        <v>1</v>
      </c>
      <c r="C1737" s="3" t="s">
        <v>629</v>
      </c>
      <c r="D1737" s="3" t="str">
        <f>VLOOKUP($C1737,[1]stockregister!$B$2:$B$2000,1,0)</f>
        <v>BRUCE JACK  SAUV BLANC 2021 750ML</v>
      </c>
      <c r="E1737" s="3" t="str">
        <f>IF(ISNA($D1737),VLOOKUP($A1737,[2]stockregister!$A$2:$B$2000,2,FALSE),"")</f>
        <v/>
      </c>
      <c r="F1737" s="3" t="s">
        <v>21</v>
      </c>
      <c r="G1737" s="3">
        <f>_xlfn.IFNA(VLOOKUP($A1737,[3]stockregister!$A$2:$L$2000,11,0),0)</f>
        <v>0</v>
      </c>
      <c r="H1737" s="3">
        <f>_xlfn.IFNA(VLOOKUP($A1737,[3]stockregister!$A$2:$L$2000,11,0),0)-$G1737</f>
        <v>0</v>
      </c>
      <c r="I1737" s="3">
        <f>_xlfn.IFNA(VLOOKUP($A1737,[3]stockregister!$A$2:$L$2000,12,0),0)</f>
        <v>1380</v>
      </c>
      <c r="J1737" s="3">
        <f>_xlfn.IFNA(VLOOKUP($A1737,[3]stockregister!$A$1:$M$2000,12,0),0)-$I1737</f>
        <v>0</v>
      </c>
      <c r="K1737" s="3" t="s">
        <v>22</v>
      </c>
      <c r="L1737" s="3" t="s">
        <v>23</v>
      </c>
      <c r="M1737" s="3">
        <f>_xlfn.IFNA(VLOOKUP($A1737,[2]stockregister!$A$2:$H$2000,8,0),0)</f>
        <v>1500</v>
      </c>
      <c r="N1737" s="3">
        <f>_xlfn.IFNA(VLOOKUP($A1737,[2]stockregister!$A$2:$H$2000,8,0),0)-$M1737</f>
        <v>0</v>
      </c>
      <c r="O1737" s="3" t="s">
        <v>4029</v>
      </c>
      <c r="P1737" s="3" t="s">
        <v>4029</v>
      </c>
      <c r="Q1737" s="3" t="s">
        <v>939</v>
      </c>
      <c r="R1737" s="3" t="s">
        <v>68</v>
      </c>
      <c r="S1737" s="3" t="s">
        <v>398</v>
      </c>
    </row>
    <row r="1738" spans="1:19">
      <c r="A1738" s="3">
        <v>347</v>
      </c>
      <c r="B1738" s="3" t="b">
        <f>ISNUMBER(MATCH(A1738,[1]stockregister!$A$2:$A$2000,0))</f>
        <v>1</v>
      </c>
      <c r="C1738" s="3" t="s">
        <v>4030</v>
      </c>
      <c r="D1738" s="3" t="str">
        <f>VLOOKUP($C1738,[1]stockregister!$B$2:$B$2000,1,0)</f>
        <v>CALVET RÉSERVE BORDEAUX SAUV BLANC 750ML</v>
      </c>
      <c r="E1738" s="3" t="str">
        <f>IF(ISNA($D1738),VLOOKUP($A1738,[2]stockregister!$A$2:$B$2000,2,FALSE),"")</f>
        <v/>
      </c>
      <c r="F1738" s="3" t="s">
        <v>21</v>
      </c>
      <c r="G1738" s="3">
        <f>_xlfn.IFNA(VLOOKUP($A1738,[3]stockregister!$A$2:$L$2000,11,0),0)</f>
        <v>0</v>
      </c>
      <c r="H1738" s="3">
        <f>_xlfn.IFNA(VLOOKUP($A1738,[3]stockregister!$A$2:$L$2000,11,0),0)-$G1738</f>
        <v>0</v>
      </c>
      <c r="I1738" s="3">
        <f>_xlfn.IFNA(VLOOKUP($A1738,[3]stockregister!$A$2:$L$2000,12,0),0)</f>
        <v>876.76</v>
      </c>
      <c r="J1738" s="3">
        <f>_xlfn.IFNA(VLOOKUP($A1738,[3]stockregister!$A$1:$M$2000,12,0),0)-$I1738</f>
        <v>0</v>
      </c>
      <c r="K1738" s="3" t="s">
        <v>22</v>
      </c>
      <c r="L1738" s="3" t="s">
        <v>23</v>
      </c>
      <c r="M1738" s="3">
        <f>_xlfn.IFNA(VLOOKUP($A1738,[2]stockregister!$A$2:$H$2000,8,0),0)</f>
        <v>953</v>
      </c>
      <c r="N1738" s="3">
        <f>_xlfn.IFNA(VLOOKUP($A1738,[2]stockregister!$A$2:$H$2000,8,0),0)-$M1738</f>
        <v>0</v>
      </c>
      <c r="O1738" s="3" t="s">
        <v>4031</v>
      </c>
      <c r="P1738" s="3" t="s">
        <v>4032</v>
      </c>
      <c r="Q1738" s="3" t="s">
        <v>1480</v>
      </c>
      <c r="R1738" s="3" t="s">
        <v>68</v>
      </c>
      <c r="S1738" s="3" t="s">
        <v>398</v>
      </c>
    </row>
    <row r="1739" spans="1:19">
      <c r="A1739" s="3">
        <v>353</v>
      </c>
      <c r="B1739" s="3" t="b">
        <f>ISNUMBER(MATCH(A1739,[1]stockregister!$A$2:$A$2000,0))</f>
        <v>1</v>
      </c>
      <c r="C1739" s="3" t="s">
        <v>4033</v>
      </c>
      <c r="D1739" s="3" t="str">
        <f>VLOOKUP($C1739,[1]stockregister!$B$2:$B$2000,1,0)</f>
        <v>CALVET VARIETALS SAUV BLANC 750ML</v>
      </c>
      <c r="E1739" s="3" t="str">
        <f>IF(ISNA($D1739),VLOOKUP($A1739,[2]stockregister!$A$2:$B$2000,2,FALSE),"")</f>
        <v/>
      </c>
      <c r="F1739" s="3" t="s">
        <v>21</v>
      </c>
      <c r="G1739" s="3">
        <f>_xlfn.IFNA(VLOOKUP($A1739,[3]stockregister!$A$2:$L$2000,11,0),0)</f>
        <v>0</v>
      </c>
      <c r="H1739" s="3">
        <f>_xlfn.IFNA(VLOOKUP($A1739,[3]stockregister!$A$2:$L$2000,11,0),0)-$G1739</f>
        <v>0</v>
      </c>
      <c r="I1739" s="3">
        <f>_xlfn.IFNA(VLOOKUP($A1739,[3]stockregister!$A$2:$L$2000,12,0),0)</f>
        <v>1196</v>
      </c>
      <c r="J1739" s="3">
        <f>_xlfn.IFNA(VLOOKUP($A1739,[3]stockregister!$A$1:$M$2000,12,0),0)-$I1739</f>
        <v>0</v>
      </c>
      <c r="K1739" s="3" t="s">
        <v>22</v>
      </c>
      <c r="L1739" s="3" t="s">
        <v>23</v>
      </c>
      <c r="M1739" s="3">
        <f>_xlfn.IFNA(VLOOKUP($A1739,[2]stockregister!$A$2:$H$2000,8,0),0)</f>
        <v>1300</v>
      </c>
      <c r="N1739" s="3">
        <f>_xlfn.IFNA(VLOOKUP($A1739,[2]stockregister!$A$2:$H$2000,8,0),0)-$M1739</f>
        <v>0</v>
      </c>
      <c r="O1739" s="3" t="s">
        <v>4034</v>
      </c>
      <c r="P1739" s="3" t="s">
        <v>4034</v>
      </c>
      <c r="Q1739" s="3" t="s">
        <v>1480</v>
      </c>
      <c r="R1739" s="3" t="s">
        <v>68</v>
      </c>
      <c r="S1739" s="3" t="s">
        <v>398</v>
      </c>
    </row>
    <row r="1740" spans="1:19">
      <c r="A1740" s="3">
        <v>1296</v>
      </c>
      <c r="B1740" s="3" t="b">
        <f>ISNUMBER(MATCH(A1740,[1]stockregister!$A$2:$A$2000,0))</f>
        <v>1</v>
      </c>
      <c r="C1740" s="3" t="s">
        <v>4035</v>
      </c>
      <c r="D1740" s="3" t="str">
        <f>VLOOKUP($C1740,[1]stockregister!$B$2:$B$2000,1,0)</f>
        <v>LODEZ SAUV BLANC 750ML</v>
      </c>
      <c r="E1740" s="3" t="str">
        <f>IF(ISNA($D1740),VLOOKUP($A1740,[2]stockregister!$A$2:$B$2000,2,FALSE),"")</f>
        <v/>
      </c>
      <c r="F1740" s="3" t="s">
        <v>21</v>
      </c>
      <c r="G1740" s="3">
        <f>_xlfn.IFNA(VLOOKUP($A1740,[3]stockregister!$A$2:$L$2000,11,0),0)</f>
        <v>0</v>
      </c>
      <c r="H1740" s="3">
        <f>_xlfn.IFNA(VLOOKUP($A1740,[3]stockregister!$A$2:$L$2000,11,0),0)-$G1740</f>
        <v>0</v>
      </c>
      <c r="I1740" s="3">
        <f>_xlfn.IFNA(VLOOKUP($A1740,[3]stockregister!$A$2:$L$2000,12,0),0)</f>
        <v>1104</v>
      </c>
      <c r="J1740" s="3">
        <f>_xlfn.IFNA(VLOOKUP($A1740,[3]stockregister!$A$1:$M$2000,12,0),0)-$I1740</f>
        <v>0</v>
      </c>
      <c r="K1740" s="3" t="s">
        <v>22</v>
      </c>
      <c r="L1740" s="3" t="s">
        <v>23</v>
      </c>
      <c r="M1740" s="3">
        <f>_xlfn.IFNA(VLOOKUP($A1740,[2]stockregister!$A$2:$H$2000,8,0),0)</f>
        <v>1200</v>
      </c>
      <c r="N1740" s="3">
        <f>_xlfn.IFNA(VLOOKUP($A1740,[2]stockregister!$A$2:$H$2000,8,0),0)-$M1740</f>
        <v>0</v>
      </c>
      <c r="O1740" s="3" t="s">
        <v>4036</v>
      </c>
      <c r="P1740" s="3" t="s">
        <v>4036</v>
      </c>
      <c r="Q1740" s="3" t="s">
        <v>1456</v>
      </c>
      <c r="R1740" s="3" t="s">
        <v>68</v>
      </c>
      <c r="S1740" s="3" t="s">
        <v>398</v>
      </c>
    </row>
    <row r="1741" spans="1:19">
      <c r="A1741" s="3">
        <v>1797</v>
      </c>
      <c r="B1741" s="3" t="b">
        <f>ISNUMBER(MATCH(A1741,[1]stockregister!$A$2:$A$2000,0))</f>
        <v>1</v>
      </c>
      <c r="C1741" s="3" t="s">
        <v>4037</v>
      </c>
      <c r="D1741" s="3" t="str">
        <f>VLOOKUP($C1741,[1]stockregister!$B$2:$B$2000,1,0)</f>
        <v>SIMONSIG SAUV BLANC SEMILLON 750ml</v>
      </c>
      <c r="E1741" s="3" t="str">
        <f>IF(ISNA($D1741),VLOOKUP($A1741,[2]stockregister!$A$2:$B$2000,2,FALSE),"")</f>
        <v/>
      </c>
      <c r="F1741" s="3" t="s">
        <v>21</v>
      </c>
      <c r="G1741" s="3">
        <f>_xlfn.IFNA(VLOOKUP($A1741,[3]stockregister!$A$2:$L$2000,11,0),0)</f>
        <v>0</v>
      </c>
      <c r="H1741" s="3">
        <f>_xlfn.IFNA(VLOOKUP($A1741,[3]stockregister!$A$2:$L$2000,11,0),0)-$G1741</f>
        <v>0</v>
      </c>
      <c r="I1741" s="3">
        <f>_xlfn.IFNA(VLOOKUP($A1741,[3]stockregister!$A$2:$L$2000,12,0),0)</f>
        <v>1610</v>
      </c>
      <c r="J1741" s="3">
        <f>_xlfn.IFNA(VLOOKUP($A1741,[3]stockregister!$A$1:$M$2000,12,0),0)-$I1741</f>
        <v>0</v>
      </c>
      <c r="K1741" s="3" t="s">
        <v>22</v>
      </c>
      <c r="L1741" s="3" t="s">
        <v>23</v>
      </c>
      <c r="M1741" s="3">
        <f>_xlfn.IFNA(VLOOKUP($A1741,[2]stockregister!$A$2:$H$2000,8,0),0)</f>
        <v>1750</v>
      </c>
      <c r="N1741" s="3">
        <f>_xlfn.IFNA(VLOOKUP($A1741,[2]stockregister!$A$2:$H$2000,8,0),0)-$M1741</f>
        <v>0</v>
      </c>
      <c r="O1741" s="3" t="s">
        <v>4038</v>
      </c>
      <c r="P1741" s="3" t="s">
        <v>4038</v>
      </c>
      <c r="Q1741" s="3" t="s">
        <v>3582</v>
      </c>
      <c r="R1741" s="3" t="s">
        <v>68</v>
      </c>
      <c r="S1741" s="3" t="s">
        <v>398</v>
      </c>
    </row>
    <row r="1742" spans="1:19">
      <c r="A1742" s="3">
        <v>2067</v>
      </c>
      <c r="B1742" s="3" t="b">
        <f>ISNUMBER(MATCH(A1742,[1]stockregister!$A$2:$A$2000,0))</f>
        <v>1</v>
      </c>
      <c r="C1742" s="3" t="s">
        <v>4039</v>
      </c>
      <c r="D1742" s="3" t="str">
        <f>VLOOKUP($C1742,[1]stockregister!$B$2:$B$2000,1,0)</f>
        <v>VINA MAIPO SAUV BLANC 750ML</v>
      </c>
      <c r="E1742" s="3" t="str">
        <f>IF(ISNA($D1742),VLOOKUP($A1742,[2]stockregister!$A$2:$B$2000,2,FALSE),"")</f>
        <v/>
      </c>
      <c r="F1742" s="3" t="s">
        <v>21</v>
      </c>
      <c r="G1742" s="3">
        <f>_xlfn.IFNA(VLOOKUP($A1742,[3]stockregister!$A$2:$L$2000,11,0),0)</f>
        <v>0</v>
      </c>
      <c r="H1742" s="3">
        <f>_xlfn.IFNA(VLOOKUP($A1742,[3]stockregister!$A$2:$L$2000,11,0),0)-$G1742</f>
        <v>0</v>
      </c>
      <c r="I1742" s="3">
        <f>_xlfn.IFNA(VLOOKUP($A1742,[3]stockregister!$A$2:$L$2000,12,0),0)</f>
        <v>1104</v>
      </c>
      <c r="J1742" s="3">
        <f>_xlfn.IFNA(VLOOKUP($A1742,[3]stockregister!$A$1:$M$2000,12,0),0)-$I1742</f>
        <v>0</v>
      </c>
      <c r="K1742" s="3" t="s">
        <v>22</v>
      </c>
      <c r="L1742" s="3" t="s">
        <v>23</v>
      </c>
      <c r="M1742" s="3">
        <f>_xlfn.IFNA(VLOOKUP($A1742,[2]stockregister!$A$2:$H$2000,8,0),0)</f>
        <v>1200</v>
      </c>
      <c r="N1742" s="3">
        <f>_xlfn.IFNA(VLOOKUP($A1742,[2]stockregister!$A$2:$H$2000,8,0),0)-$M1742</f>
        <v>0</v>
      </c>
      <c r="O1742" s="3" t="s">
        <v>4040</v>
      </c>
      <c r="P1742" s="3" t="s">
        <v>4040</v>
      </c>
      <c r="Q1742" s="3" t="s">
        <v>2117</v>
      </c>
      <c r="R1742" s="3" t="s">
        <v>68</v>
      </c>
      <c r="S1742" s="3" t="s">
        <v>398</v>
      </c>
    </row>
    <row r="1743" spans="1:19">
      <c r="A1743" s="3">
        <v>411</v>
      </c>
      <c r="B1743" s="3" t="b">
        <f>ISNUMBER(MATCH(A1743,[1]stockregister!$A$2:$A$2000,0))</f>
        <v>1</v>
      </c>
      <c r="C1743" s="3" t="s">
        <v>4041</v>
      </c>
      <c r="D1743" s="3" t="str">
        <f>VLOOKUP($C1743,[1]stockregister!$B$2:$B$2000,1,0)</f>
        <v>CASTILLO DEL MOLINA SAUV BLANC 750ML</v>
      </c>
      <c r="E1743" s="3" t="str">
        <f>IF(ISNA($D1743),VLOOKUP($A1743,[2]stockregister!$A$2:$B$2000,2,FALSE),"")</f>
        <v/>
      </c>
      <c r="F1743" s="3" t="s">
        <v>21</v>
      </c>
      <c r="G1743" s="3">
        <f>_xlfn.IFNA(VLOOKUP($A1743,[3]stockregister!$A$2:$L$2000,11,0),0)</f>
        <v>0</v>
      </c>
      <c r="H1743" s="3">
        <f>_xlfn.IFNA(VLOOKUP($A1743,[3]stockregister!$A$2:$L$2000,11,0),0)-$G1743</f>
        <v>0</v>
      </c>
      <c r="I1743" s="3">
        <f>_xlfn.IFNA(VLOOKUP($A1743,[3]stockregister!$A$2:$L$2000,12,0),0)</f>
        <v>1380</v>
      </c>
      <c r="J1743" s="3">
        <f>_xlfn.IFNA(VLOOKUP($A1743,[3]stockregister!$A$1:$M$2000,12,0),0)-$I1743</f>
        <v>0</v>
      </c>
      <c r="K1743" s="3" t="s">
        <v>22</v>
      </c>
      <c r="L1743" s="3" t="s">
        <v>23</v>
      </c>
      <c r="M1743" s="3">
        <f>_xlfn.IFNA(VLOOKUP($A1743,[2]stockregister!$A$2:$H$2000,8,0),0)</f>
        <v>1500</v>
      </c>
      <c r="N1743" s="3">
        <f>_xlfn.IFNA(VLOOKUP($A1743,[2]stockregister!$A$2:$H$2000,8,0),0)-$M1743</f>
        <v>0</v>
      </c>
      <c r="O1743" s="3" t="s">
        <v>4042</v>
      </c>
      <c r="P1743" s="3" t="s">
        <v>4042</v>
      </c>
      <c r="Q1743" s="3" t="s">
        <v>984</v>
      </c>
      <c r="R1743" s="3" t="s">
        <v>68</v>
      </c>
      <c r="S1743" s="3" t="s">
        <v>398</v>
      </c>
    </row>
    <row r="1744" spans="1:19">
      <c r="A1744" s="3">
        <v>672</v>
      </c>
      <c r="B1744" s="3" t="b">
        <f>ISNUMBER(MATCH(A1744,[1]stockregister!$A$2:$A$2000,0))</f>
        <v>1</v>
      </c>
      <c r="C1744" s="3" t="s">
        <v>4043</v>
      </c>
      <c r="D1744" s="3" t="str">
        <f>VLOOKUP($C1744,[1]stockregister!$B$2:$B$2000,1,0)</f>
        <v>FAIRVIEW DARLING SAUV BLANC 750ml</v>
      </c>
      <c r="E1744" s="3" t="str">
        <f>IF(ISNA($D1744),VLOOKUP($A1744,[2]stockregister!$A$2:$B$2000,2,FALSE),"")</f>
        <v/>
      </c>
      <c r="F1744" s="3" t="s">
        <v>21</v>
      </c>
      <c r="G1744" s="3">
        <f>_xlfn.IFNA(VLOOKUP($A1744,[3]stockregister!$A$2:$L$2000,11,0),0)</f>
        <v>0</v>
      </c>
      <c r="H1744" s="3">
        <f>_xlfn.IFNA(VLOOKUP($A1744,[3]stockregister!$A$2:$L$2000,11,0),0)-$G1744</f>
        <v>0</v>
      </c>
      <c r="I1744" s="3">
        <f>_xlfn.IFNA(VLOOKUP($A1744,[3]stockregister!$A$2:$L$2000,12,0),0)</f>
        <v>1656</v>
      </c>
      <c r="J1744" s="3">
        <f>_xlfn.IFNA(VLOOKUP($A1744,[3]stockregister!$A$1:$M$2000,12,0),0)-$I1744</f>
        <v>0</v>
      </c>
      <c r="K1744" s="3" t="s">
        <v>22</v>
      </c>
      <c r="L1744" s="3" t="s">
        <v>23</v>
      </c>
      <c r="M1744" s="3">
        <f>_xlfn.IFNA(VLOOKUP($A1744,[2]stockregister!$A$2:$H$2000,8,0),0)</f>
        <v>1800</v>
      </c>
      <c r="N1744" s="3">
        <f>_xlfn.IFNA(VLOOKUP($A1744,[2]stockregister!$A$2:$H$2000,8,0),0)-$M1744</f>
        <v>0</v>
      </c>
      <c r="O1744" s="3" t="s">
        <v>4044</v>
      </c>
      <c r="P1744" s="3" t="s">
        <v>4044</v>
      </c>
      <c r="Q1744" s="3" t="s">
        <v>1356</v>
      </c>
      <c r="R1744" s="3" t="s">
        <v>68</v>
      </c>
      <c r="S1744" s="3" t="s">
        <v>398</v>
      </c>
    </row>
    <row r="1745" spans="1:19">
      <c r="A1745" s="3">
        <v>1213</v>
      </c>
      <c r="B1745" s="3" t="b">
        <f>ISNUMBER(MATCH(A1745,[1]stockregister!$A$2:$A$2000,0))</f>
        <v>1</v>
      </c>
      <c r="C1745" s="3" t="s">
        <v>633</v>
      </c>
      <c r="D1745" s="3" t="str">
        <f>VLOOKUP($C1745,[1]stockregister!$B$2:$B$2000,1,0)</f>
        <v>KLEINE RUST  SAVIGNON BLANC 1.5LTR</v>
      </c>
      <c r="E1745" s="3" t="str">
        <f>IF(ISNA($D1745),VLOOKUP($A1745,[2]stockregister!$A$2:$B$2000,2,FALSE),"")</f>
        <v/>
      </c>
      <c r="F1745" s="3" t="s">
        <v>21</v>
      </c>
      <c r="G1745" s="3">
        <f>_xlfn.IFNA(VLOOKUP($A1745,[3]stockregister!$A$2:$L$2000,11,0),0)</f>
        <v>0</v>
      </c>
      <c r="H1745" s="3">
        <f>_xlfn.IFNA(VLOOKUP($A1745,[3]stockregister!$A$2:$L$2000,11,0),0)-$G1745</f>
        <v>0</v>
      </c>
      <c r="I1745" s="3">
        <f>_xlfn.IFNA(VLOOKUP($A1745,[3]stockregister!$A$2:$L$2000,12,0),0)</f>
        <v>2116</v>
      </c>
      <c r="J1745" s="3">
        <f>_xlfn.IFNA(VLOOKUP($A1745,[3]stockregister!$A$1:$M$2000,12,0),0)-$I1745</f>
        <v>0</v>
      </c>
      <c r="K1745" s="3" t="s">
        <v>22</v>
      </c>
      <c r="L1745" s="3" t="s">
        <v>23</v>
      </c>
      <c r="M1745" s="3">
        <f>_xlfn.IFNA(VLOOKUP($A1745,[2]stockregister!$A$2:$H$2000,8,0),0)</f>
        <v>2300</v>
      </c>
      <c r="N1745" s="3">
        <f>_xlfn.IFNA(VLOOKUP($A1745,[2]stockregister!$A$2:$H$2000,8,0),0)-$M1745</f>
        <v>0</v>
      </c>
      <c r="O1745" s="3" t="s">
        <v>4045</v>
      </c>
      <c r="P1745" s="3" t="s">
        <v>4045</v>
      </c>
      <c r="Q1745" s="3" t="s">
        <v>4046</v>
      </c>
      <c r="R1745" s="3" t="s">
        <v>68</v>
      </c>
      <c r="S1745" s="3" t="s">
        <v>398</v>
      </c>
    </row>
    <row r="1746" spans="1:19">
      <c r="A1746" s="3">
        <v>2249</v>
      </c>
      <c r="B1746" s="3" t="b">
        <f>ISNUMBER(MATCH(A1746,[1]stockregister!$A$2:$A$2000,0))</f>
        <v>1</v>
      </c>
      <c r="C1746" s="3" t="s">
        <v>4047</v>
      </c>
      <c r="D1746" s="3" t="str">
        <f>VLOOKUP($C1746,[1]stockregister!$B$2:$B$2000,1,0)</f>
        <v>SWARTLAND SAUV BLANC 750ML</v>
      </c>
      <c r="E1746" s="3" t="str">
        <f>IF(ISNA($D1746),VLOOKUP($A1746,[2]stockregister!$A$2:$B$2000,2,FALSE),"")</f>
        <v/>
      </c>
      <c r="F1746" s="3" t="s">
        <v>21</v>
      </c>
      <c r="G1746" s="3">
        <f>_xlfn.IFNA(VLOOKUP($A1746,[3]stockregister!$A$2:$L$2000,11,0),0)</f>
        <v>0</v>
      </c>
      <c r="H1746" s="3">
        <f>_xlfn.IFNA(VLOOKUP($A1746,[3]stockregister!$A$2:$L$2000,11,0),0)-$G1746</f>
        <v>0</v>
      </c>
      <c r="I1746" s="3">
        <f>_xlfn.IFNA(VLOOKUP($A1746,[3]stockregister!$A$2:$L$2000,12,0),0)</f>
        <v>1200</v>
      </c>
      <c r="J1746" s="3">
        <f>_xlfn.IFNA(VLOOKUP($A1746,[3]stockregister!$A$1:$M$2000,12,0),0)-$I1746</f>
        <v>0</v>
      </c>
      <c r="K1746" s="3" t="s">
        <v>22</v>
      </c>
      <c r="L1746" s="3" t="s">
        <v>23</v>
      </c>
      <c r="M1746" s="3">
        <f>_xlfn.IFNA(VLOOKUP($A1746,[2]stockregister!$A$2:$H$2000,8,0),0)</f>
        <v>1300</v>
      </c>
      <c r="N1746" s="3">
        <f>_xlfn.IFNA(VLOOKUP($A1746,[2]stockregister!$A$2:$H$2000,8,0),0)-$M1746</f>
        <v>0</v>
      </c>
      <c r="O1746" s="3" t="s">
        <v>4048</v>
      </c>
      <c r="P1746" s="3" t="s">
        <v>4048</v>
      </c>
      <c r="Q1746" s="3" t="s">
        <v>1340</v>
      </c>
      <c r="R1746" s="3" t="s">
        <v>68</v>
      </c>
      <c r="S1746" s="3" t="s">
        <v>398</v>
      </c>
    </row>
    <row r="1747" spans="1:19">
      <c r="A1747" s="3">
        <v>2500</v>
      </c>
      <c r="B1747" s="3" t="b">
        <f>ISNUMBER(MATCH(A1747,[1]stockregister!$A$2:$A$2000,0))</f>
        <v>1</v>
      </c>
      <c r="C1747" s="3" t="s">
        <v>4049</v>
      </c>
      <c r="D1747" s="3" t="str">
        <f>VLOOKUP($C1747,[1]stockregister!$B$2:$B$2000,1,0)</f>
        <v>ARNISTON BAY SAUVIGNON 750ML</v>
      </c>
      <c r="E1747" s="3" t="str">
        <f>IF(ISNA($D1747),VLOOKUP($A1747,[2]stockregister!$A$2:$B$2000,2,FALSE),"")</f>
        <v/>
      </c>
      <c r="F1747" s="3" t="s">
        <v>21</v>
      </c>
      <c r="G1747" s="3">
        <f>_xlfn.IFNA(VLOOKUP($A1747,[3]stockregister!$A$2:$L$2000,11,0),0)</f>
        <v>0</v>
      </c>
      <c r="H1747" s="3">
        <f>_xlfn.IFNA(VLOOKUP($A1747,[3]stockregister!$A$2:$L$2000,11,0),0)-$G1747</f>
        <v>0</v>
      </c>
      <c r="I1747" s="3">
        <f>_xlfn.IFNA(VLOOKUP($A1747,[3]stockregister!$A$2:$L$2000,12,0),0)</f>
        <v>1650</v>
      </c>
      <c r="J1747" s="3">
        <f>_xlfn.IFNA(VLOOKUP($A1747,[3]stockregister!$A$1:$M$2000,12,0),0)-$I1747</f>
        <v>0</v>
      </c>
      <c r="K1747" s="3" t="s">
        <v>22</v>
      </c>
      <c r="L1747" s="3" t="s">
        <v>23</v>
      </c>
      <c r="M1747" s="3">
        <f>_xlfn.IFNA(VLOOKUP($A1747,[2]stockregister!$A$2:$H$2000,8,0),0)</f>
        <v>1850</v>
      </c>
      <c r="N1747" s="3">
        <f>_xlfn.IFNA(VLOOKUP($A1747,[2]stockregister!$A$2:$H$2000,8,0),0)-$M1747</f>
        <v>0</v>
      </c>
      <c r="O1747" s="3" t="s">
        <v>4050</v>
      </c>
      <c r="P1747" s="3" t="s">
        <v>4050</v>
      </c>
      <c r="Q1747" s="3" t="s">
        <v>4005</v>
      </c>
      <c r="R1747" s="3" t="s">
        <v>537</v>
      </c>
      <c r="S1747" s="3" t="s">
        <v>398</v>
      </c>
    </row>
    <row r="1748" spans="1:19">
      <c r="A1748" s="3">
        <v>2523</v>
      </c>
      <c r="B1748" s="3" t="b">
        <f>ISNUMBER(MATCH(A1748,[1]stockregister!$A$2:$A$2000,0))</f>
        <v>1</v>
      </c>
      <c r="C1748" s="3" t="s">
        <v>4051</v>
      </c>
      <c r="D1748" s="3" t="str">
        <f>VLOOKUP($C1748,[1]stockregister!$B$2:$B$2000,1,0)</f>
        <v>BUSHMANSPAD SAUV BLANC 750ML</v>
      </c>
      <c r="E1748" s="3" t="str">
        <f>IF(ISNA($D1748),VLOOKUP($A1748,[2]stockregister!$A$2:$B$2000,2,FALSE),"")</f>
        <v/>
      </c>
      <c r="F1748" s="3" t="s">
        <v>21</v>
      </c>
      <c r="G1748" s="3">
        <f>_xlfn.IFNA(VLOOKUP($A1748,[3]stockregister!$A$2:$L$2000,11,0),0)</f>
        <v>0</v>
      </c>
      <c r="H1748" s="3">
        <f>_xlfn.IFNA(VLOOKUP($A1748,[3]stockregister!$A$2:$L$2000,11,0),0)-$G1748</f>
        <v>0</v>
      </c>
      <c r="I1748" s="3">
        <f>_xlfn.IFNA(VLOOKUP($A1748,[3]stockregister!$A$2:$L$2000,12,0),0)</f>
        <v>1900</v>
      </c>
      <c r="J1748" s="3">
        <f>_xlfn.IFNA(VLOOKUP($A1748,[3]stockregister!$A$1:$M$2000,12,0),0)-$I1748</f>
        <v>0</v>
      </c>
      <c r="K1748" s="3" t="s">
        <v>22</v>
      </c>
      <c r="L1748" s="3" t="s">
        <v>23</v>
      </c>
      <c r="M1748" s="3">
        <f>_xlfn.IFNA(VLOOKUP($A1748,[2]stockregister!$A$2:$H$2000,8,0),0)</f>
        <v>2100</v>
      </c>
      <c r="N1748" s="3">
        <f>_xlfn.IFNA(VLOOKUP($A1748,[2]stockregister!$A$2:$H$2000,8,0),0)-$M1748</f>
        <v>0</v>
      </c>
      <c r="O1748" s="3" t="s">
        <v>4052</v>
      </c>
      <c r="P1748" s="3" t="s">
        <v>4052</v>
      </c>
      <c r="Q1748" s="3" t="s">
        <v>4053</v>
      </c>
      <c r="R1748" s="3" t="s">
        <v>537</v>
      </c>
      <c r="S1748" s="3" t="s">
        <v>398</v>
      </c>
    </row>
    <row r="1749" spans="1:19">
      <c r="A1749" s="3">
        <v>2522</v>
      </c>
      <c r="B1749" s="3" t="b">
        <f>ISNUMBER(MATCH(A1749,[1]stockregister!$A$2:$A$2000,0))</f>
        <v>1</v>
      </c>
      <c r="C1749" s="3" t="s">
        <v>4054</v>
      </c>
      <c r="D1749" s="3" t="str">
        <f>VLOOKUP($C1749,[1]stockregister!$B$2:$B$2000,1,0)</f>
        <v>CHALK ROAD SAV BLANC 750ML</v>
      </c>
      <c r="E1749" s="3" t="str">
        <f>IF(ISNA($D1749),VLOOKUP($A1749,[2]stockregister!$A$2:$B$2000,2,FALSE),"")</f>
        <v/>
      </c>
      <c r="F1749" s="3" t="s">
        <v>21</v>
      </c>
      <c r="G1749" s="3">
        <f>_xlfn.IFNA(VLOOKUP($A1749,[3]stockregister!$A$2:$L$2000,11,0),0)</f>
        <v>0</v>
      </c>
      <c r="H1749" s="3">
        <f>_xlfn.IFNA(VLOOKUP($A1749,[3]stockregister!$A$2:$L$2000,11,0),0)-$G1749</f>
        <v>0</v>
      </c>
      <c r="I1749" s="3">
        <f>_xlfn.IFNA(VLOOKUP($A1749,[3]stockregister!$A$2:$L$2000,12,0),0)</f>
        <v>1470</v>
      </c>
      <c r="J1749" s="3">
        <f>_xlfn.IFNA(VLOOKUP($A1749,[3]stockregister!$A$1:$M$2000,12,0),0)-$I1749</f>
        <v>0</v>
      </c>
      <c r="K1749" s="3" t="s">
        <v>22</v>
      </c>
      <c r="L1749" s="3" t="s">
        <v>23</v>
      </c>
      <c r="M1749" s="3">
        <f>_xlfn.IFNA(VLOOKUP($A1749,[2]stockregister!$A$2:$H$2000,8,0),0)</f>
        <v>1650</v>
      </c>
      <c r="N1749" s="3">
        <f>_xlfn.IFNA(VLOOKUP($A1749,[2]stockregister!$A$2:$H$2000,8,0),0)-$M1749</f>
        <v>0</v>
      </c>
      <c r="O1749" s="3" t="s">
        <v>4055</v>
      </c>
      <c r="P1749" s="3" t="s">
        <v>4055</v>
      </c>
      <c r="Q1749" s="3" t="s">
        <v>3671</v>
      </c>
      <c r="R1749" s="3" t="s">
        <v>537</v>
      </c>
      <c r="S1749" s="3" t="s">
        <v>398</v>
      </c>
    </row>
    <row r="1750" spans="1:19">
      <c r="A1750" s="3">
        <v>2531</v>
      </c>
      <c r="B1750" s="3" t="b">
        <f>ISNUMBER(MATCH(A1750,[1]stockregister!$A$2:$A$2000,0))</f>
        <v>1</v>
      </c>
      <c r="C1750" s="3" t="s">
        <v>4056</v>
      </c>
      <c r="D1750" s="3" t="str">
        <f>VLOOKUP($C1750,[1]stockregister!$B$2:$B$2000,1,0)</f>
        <v>VAN SAUVIGNON BLANC 750ML</v>
      </c>
      <c r="E1750" s="3" t="str">
        <f>IF(ISNA($D1750),VLOOKUP($A1750,[2]stockregister!$A$2:$B$2000,2,FALSE),"")</f>
        <v/>
      </c>
      <c r="F1750" s="3" t="s">
        <v>21</v>
      </c>
      <c r="G1750" s="3">
        <f>_xlfn.IFNA(VLOOKUP($A1750,[3]stockregister!$A$2:$L$2000,11,0),0)</f>
        <v>0</v>
      </c>
      <c r="H1750" s="3">
        <f>_xlfn.IFNA(VLOOKUP($A1750,[3]stockregister!$A$2:$L$2000,11,0),0)-$G1750</f>
        <v>0</v>
      </c>
      <c r="I1750" s="3">
        <f>_xlfn.IFNA(VLOOKUP($A1750,[3]stockregister!$A$2:$L$2000,12,0),0)</f>
        <v>1276</v>
      </c>
      <c r="J1750" s="3">
        <f>_xlfn.IFNA(VLOOKUP($A1750,[3]stockregister!$A$1:$M$2000,12,0),0)-$I1750</f>
        <v>0</v>
      </c>
      <c r="K1750" s="3" t="s">
        <v>22</v>
      </c>
      <c r="L1750" s="3" t="s">
        <v>23</v>
      </c>
      <c r="M1750" s="3">
        <f>_xlfn.IFNA(VLOOKUP($A1750,[2]stockregister!$A$2:$H$2000,8,0),0)</f>
        <v>1400</v>
      </c>
      <c r="N1750" s="3">
        <f>_xlfn.IFNA(VLOOKUP($A1750,[2]stockregister!$A$2:$H$2000,8,0),0)-$M1750</f>
        <v>0</v>
      </c>
      <c r="O1750" s="3" t="s">
        <v>4057</v>
      </c>
      <c r="P1750" s="3" t="s">
        <v>4057</v>
      </c>
      <c r="Q1750" s="3" t="s">
        <v>3537</v>
      </c>
      <c r="R1750" s="3" t="s">
        <v>537</v>
      </c>
      <c r="S1750" s="3" t="s">
        <v>398</v>
      </c>
    </row>
    <row r="1751" spans="1:19">
      <c r="A1751" s="3">
        <v>2071</v>
      </c>
      <c r="B1751" s="3" t="b">
        <f>ISNUMBER(MATCH(A1751,[1]stockregister!$A$2:$A$2000,0))</f>
        <v>1</v>
      </c>
      <c r="C1751" s="3" t="s">
        <v>4058</v>
      </c>
      <c r="D1751" s="3" t="str">
        <f>VLOOKUP($C1751,[1]stockregister!$B$2:$B$2000,1,0)</f>
        <v>WATERFORD SAUV BLANC 750ML</v>
      </c>
      <c r="E1751" s="3" t="str">
        <f>IF(ISNA($D1751),VLOOKUP($A1751,[2]stockregister!$A$2:$B$2000,2,FALSE),"")</f>
        <v/>
      </c>
      <c r="F1751" s="3" t="s">
        <v>21</v>
      </c>
      <c r="G1751" s="3">
        <f>_xlfn.IFNA(VLOOKUP($A1751,[3]stockregister!$A$2:$L$2000,11,0),0)</f>
        <v>0</v>
      </c>
      <c r="H1751" s="3">
        <f>_xlfn.IFNA(VLOOKUP($A1751,[3]stockregister!$A$2:$L$2000,11,0),0)-$G1751</f>
        <v>0</v>
      </c>
      <c r="I1751" s="3">
        <f>_xlfn.IFNA(VLOOKUP($A1751,[3]stockregister!$A$2:$L$2000,12,0),0)</f>
        <v>1104</v>
      </c>
      <c r="J1751" s="3">
        <f>_xlfn.IFNA(VLOOKUP($A1751,[3]stockregister!$A$1:$M$2000,12,0),0)-$I1751</f>
        <v>0</v>
      </c>
      <c r="K1751" s="3" t="s">
        <v>22</v>
      </c>
      <c r="L1751" s="3" t="s">
        <v>23</v>
      </c>
      <c r="M1751" s="3">
        <f>_xlfn.IFNA(VLOOKUP($A1751,[2]stockregister!$A$2:$H$2000,8,0),0)</f>
        <v>1200</v>
      </c>
      <c r="N1751" s="3">
        <f>_xlfn.IFNA(VLOOKUP($A1751,[2]stockregister!$A$2:$H$2000,8,0),0)-$M1751</f>
        <v>0</v>
      </c>
      <c r="O1751" s="3" t="s">
        <v>4059</v>
      </c>
      <c r="P1751" s="3" t="s">
        <v>4059</v>
      </c>
      <c r="Q1751" s="3" t="s">
        <v>1470</v>
      </c>
      <c r="R1751" s="3" t="s">
        <v>537</v>
      </c>
      <c r="S1751" s="3" t="s">
        <v>398</v>
      </c>
    </row>
    <row r="1752" spans="1:19">
      <c r="A1752" s="3">
        <v>2560</v>
      </c>
      <c r="B1752" s="3" t="b">
        <f>ISNUMBER(MATCH(A1752,[1]stockregister!$A$2:$A$2000,0))</f>
        <v>1</v>
      </c>
      <c r="C1752" s="3" t="s">
        <v>4060</v>
      </c>
      <c r="D1752" s="3" t="str">
        <f>VLOOKUP($C1752,[1]stockregister!$B$2:$B$2000,1,0)</f>
        <v>VAN RIVER RED SHIRAZ PINOTAGE 750ML</v>
      </c>
      <c r="E1752" s="3" t="str">
        <f>IF(ISNA($D1752),VLOOKUP($A1752,[2]stockregister!$A$2:$B$2000,2,FALSE),"")</f>
        <v/>
      </c>
      <c r="F1752" s="3" t="s">
        <v>21</v>
      </c>
      <c r="G1752" s="3">
        <f>_xlfn.IFNA(VLOOKUP($A1752,[3]stockregister!$A$2:$L$2000,11,0),0)</f>
        <v>0</v>
      </c>
      <c r="H1752" s="3">
        <f>_xlfn.IFNA(VLOOKUP($A1752,[3]stockregister!$A$2:$L$2000,11,0),0)-$G1752</f>
        <v>0</v>
      </c>
      <c r="I1752" s="3">
        <f>_xlfn.IFNA(VLOOKUP($A1752,[3]stockregister!$A$2:$L$2000,12,0),0)</f>
        <v>1155</v>
      </c>
      <c r="J1752" s="3">
        <f>_xlfn.IFNA(VLOOKUP($A1752,[3]stockregister!$A$1:$M$2000,12,0),0)-$I1752</f>
        <v>0</v>
      </c>
      <c r="K1752" s="3" t="s">
        <v>22</v>
      </c>
      <c r="L1752" s="3" t="s">
        <v>23</v>
      </c>
      <c r="M1752" s="3">
        <f>_xlfn.IFNA(VLOOKUP($A1752,[2]stockregister!$A$2:$H$2000,8,0),0)</f>
        <v>1200</v>
      </c>
      <c r="N1752" s="3">
        <f>_xlfn.IFNA(VLOOKUP($A1752,[2]stockregister!$A$2:$H$2000,8,0),0)-$M1752</f>
        <v>0</v>
      </c>
      <c r="O1752" s="3" t="s">
        <v>4061</v>
      </c>
      <c r="P1752" s="3" t="s">
        <v>4061</v>
      </c>
      <c r="Q1752" s="3" t="s">
        <v>3537</v>
      </c>
      <c r="R1752" s="3" t="s">
        <v>537</v>
      </c>
      <c r="S1752" s="3" t="s">
        <v>1357</v>
      </c>
    </row>
    <row r="1753" spans="1:19">
      <c r="A1753" s="3">
        <v>1956</v>
      </c>
      <c r="B1753" s="3" t="b">
        <f>ISNUMBER(MATCH(A1753,[1]stockregister!$A$2:$A$2000,0))</f>
        <v>1</v>
      </c>
      <c r="C1753" s="3" t="s">
        <v>4062</v>
      </c>
      <c r="D1753" s="3" t="str">
        <f>VLOOKUP($C1753,[1]stockregister!$B$2:$B$2000,1,0)</f>
        <v>THE BEACHHOUSE SHIRAZ 750ML</v>
      </c>
      <c r="E1753" s="3" t="str">
        <f>IF(ISNA($D1753),VLOOKUP($A1753,[2]stockregister!$A$2:$B$2000,2,FALSE),"")</f>
        <v/>
      </c>
      <c r="F1753" s="3" t="s">
        <v>21</v>
      </c>
      <c r="G1753" s="3">
        <f>_xlfn.IFNA(VLOOKUP($A1753,[3]stockregister!$A$2:$L$2000,11,0),0)</f>
        <v>0</v>
      </c>
      <c r="H1753" s="3">
        <f>_xlfn.IFNA(VLOOKUP($A1753,[3]stockregister!$A$2:$L$2000,11,0),0)-$G1753</f>
        <v>0</v>
      </c>
      <c r="I1753" s="3">
        <f>_xlfn.IFNA(VLOOKUP($A1753,[3]stockregister!$A$2:$L$2000,12,0),0)</f>
        <v>1104</v>
      </c>
      <c r="J1753" s="3">
        <f>_xlfn.IFNA(VLOOKUP($A1753,[3]stockregister!$A$1:$M$2000,12,0),0)-$I1753</f>
        <v>0</v>
      </c>
      <c r="K1753" s="3" t="s">
        <v>22</v>
      </c>
      <c r="L1753" s="3" t="s">
        <v>23</v>
      </c>
      <c r="M1753" s="3">
        <f>_xlfn.IFNA(VLOOKUP($A1753,[2]stockregister!$A$2:$H$2000,8,0),0)</f>
        <v>1200</v>
      </c>
      <c r="N1753" s="3">
        <f>_xlfn.IFNA(VLOOKUP($A1753,[2]stockregister!$A$2:$H$2000,8,0),0)-$M1753</f>
        <v>0</v>
      </c>
      <c r="O1753" s="3" t="s">
        <v>4063</v>
      </c>
      <c r="P1753" s="3" t="s">
        <v>4063</v>
      </c>
      <c r="Q1753" s="3" t="s">
        <v>4064</v>
      </c>
      <c r="R1753" s="3" t="s">
        <v>68</v>
      </c>
      <c r="S1753" s="3" t="s">
        <v>876</v>
      </c>
    </row>
    <row r="1754" spans="1:19">
      <c r="A1754" s="3">
        <v>1522</v>
      </c>
      <c r="B1754" s="3" t="b">
        <f>ISNUMBER(MATCH(A1754,[1]stockregister!$A$2:$A$2000,0))</f>
        <v>1</v>
      </c>
      <c r="C1754" s="3" t="s">
        <v>4065</v>
      </c>
      <c r="D1754" s="3" t="str">
        <f>VLOOKUP($C1754,[1]stockregister!$B$2:$B$2000,1,0)</f>
        <v>NEDERBURG - SHIRAZ 750ML</v>
      </c>
      <c r="E1754" s="3" t="str">
        <f>IF(ISNA($D1754),VLOOKUP($A1754,[2]stockregister!$A$2:$B$2000,2,FALSE),"")</f>
        <v/>
      </c>
      <c r="F1754" s="3" t="s">
        <v>21</v>
      </c>
      <c r="G1754" s="3">
        <f>_xlfn.IFNA(VLOOKUP($A1754,[3]stockregister!$A$2:$L$2000,11,0),0)</f>
        <v>0</v>
      </c>
      <c r="H1754" s="3">
        <f>_xlfn.IFNA(VLOOKUP($A1754,[3]stockregister!$A$2:$L$2000,11,0),0)-$G1754</f>
        <v>0</v>
      </c>
      <c r="I1754" s="3">
        <f>_xlfn.IFNA(VLOOKUP($A1754,[3]stockregister!$A$2:$L$2000,12,0),0)</f>
        <v>1334</v>
      </c>
      <c r="J1754" s="3">
        <f>_xlfn.IFNA(VLOOKUP($A1754,[3]stockregister!$A$1:$M$2000,12,0),0)-$I1754</f>
        <v>0</v>
      </c>
      <c r="K1754" s="3" t="s">
        <v>22</v>
      </c>
      <c r="L1754" s="3" t="s">
        <v>23</v>
      </c>
      <c r="M1754" s="3">
        <f>_xlfn.IFNA(VLOOKUP($A1754,[2]stockregister!$A$2:$H$2000,8,0),0)</f>
        <v>1450</v>
      </c>
      <c r="N1754" s="3">
        <f>_xlfn.IFNA(VLOOKUP($A1754,[2]stockregister!$A$2:$H$2000,8,0),0)-$M1754</f>
        <v>0</v>
      </c>
      <c r="O1754" s="3" t="s">
        <v>4066</v>
      </c>
      <c r="P1754" s="3" t="s">
        <v>4066</v>
      </c>
      <c r="Q1754" s="3" t="s">
        <v>368</v>
      </c>
      <c r="R1754" s="3" t="s">
        <v>68</v>
      </c>
      <c r="S1754" s="3" t="s">
        <v>1357</v>
      </c>
    </row>
    <row r="1755" spans="1:19">
      <c r="A1755" s="3">
        <v>112</v>
      </c>
      <c r="B1755" s="3" t="b">
        <f>ISNUMBER(MATCH(A1755,[1]stockregister!$A$2:$A$2000,0))</f>
        <v>1</v>
      </c>
      <c r="C1755" s="3" t="s">
        <v>4067</v>
      </c>
      <c r="D1755" s="3" t="str">
        <f>VLOOKUP($C1755,[1]stockregister!$B$2:$B$2000,1,0)</f>
        <v>ARGENTO SHIRAZ 750ml</v>
      </c>
      <c r="E1755" s="3" t="str">
        <f>IF(ISNA($D1755),VLOOKUP($A1755,[2]stockregister!$A$2:$B$2000,2,FALSE),"")</f>
        <v/>
      </c>
      <c r="F1755" s="3" t="s">
        <v>21</v>
      </c>
      <c r="G1755" s="3">
        <f>_xlfn.IFNA(VLOOKUP($A1755,[3]stockregister!$A$2:$L$2000,11,0),0)</f>
        <v>0</v>
      </c>
      <c r="H1755" s="3">
        <f>_xlfn.IFNA(VLOOKUP($A1755,[3]stockregister!$A$2:$L$2000,11,0),0)-$G1755</f>
        <v>0</v>
      </c>
      <c r="I1755" s="3">
        <f>_xlfn.IFNA(VLOOKUP($A1755,[3]stockregister!$A$2:$L$2000,12,0),0)</f>
        <v>1380</v>
      </c>
      <c r="J1755" s="3">
        <f>_xlfn.IFNA(VLOOKUP($A1755,[3]stockregister!$A$1:$M$2000,12,0),0)-$I1755</f>
        <v>0</v>
      </c>
      <c r="K1755" s="3" t="s">
        <v>22</v>
      </c>
      <c r="L1755" s="3" t="s">
        <v>23</v>
      </c>
      <c r="M1755" s="3">
        <f>_xlfn.IFNA(VLOOKUP($A1755,[2]stockregister!$A$2:$H$2000,8,0),0)</f>
        <v>1500</v>
      </c>
      <c r="N1755" s="3">
        <f>_xlfn.IFNA(VLOOKUP($A1755,[2]stockregister!$A$2:$H$2000,8,0),0)-$M1755</f>
        <v>0</v>
      </c>
      <c r="O1755" s="3" t="s">
        <v>4068</v>
      </c>
      <c r="P1755" s="3" t="s">
        <v>4068</v>
      </c>
      <c r="Q1755" s="3" t="s">
        <v>1309</v>
      </c>
      <c r="R1755" s="3" t="s">
        <v>68</v>
      </c>
      <c r="S1755" s="3" t="s">
        <v>1357</v>
      </c>
    </row>
    <row r="1756" spans="1:19">
      <c r="A1756" s="3">
        <v>2499</v>
      </c>
      <c r="B1756" s="3" t="b">
        <f>ISNUMBER(MATCH(A1756,[1]stockregister!$A$2:$A$2000,0))</f>
        <v>1</v>
      </c>
      <c r="C1756" s="3" t="s">
        <v>4069</v>
      </c>
      <c r="D1756" s="3" t="str">
        <f>VLOOKUP($C1756,[1]stockregister!$B$2:$B$2000,1,0)</f>
        <v>ARNISTON BAY SHIRAZ 750ML</v>
      </c>
      <c r="E1756" s="3" t="str">
        <f>IF(ISNA($D1756),VLOOKUP($A1756,[2]stockregister!$A$2:$B$2000,2,FALSE),"")</f>
        <v/>
      </c>
      <c r="F1756" s="3" t="s">
        <v>21</v>
      </c>
      <c r="G1756" s="3">
        <f>_xlfn.IFNA(VLOOKUP($A1756,[3]stockregister!$A$2:$L$2000,11,0),0)</f>
        <v>0</v>
      </c>
      <c r="H1756" s="3">
        <f>_xlfn.IFNA(VLOOKUP($A1756,[3]stockregister!$A$2:$L$2000,11,0),0)-$G1756</f>
        <v>0</v>
      </c>
      <c r="I1756" s="3">
        <f>_xlfn.IFNA(VLOOKUP($A1756,[3]stockregister!$A$2:$L$2000,12,0),0)</f>
        <v>1650</v>
      </c>
      <c r="J1756" s="3">
        <f>_xlfn.IFNA(VLOOKUP($A1756,[3]stockregister!$A$1:$M$2000,12,0),0)-$I1756</f>
        <v>0</v>
      </c>
      <c r="K1756" s="3" t="s">
        <v>22</v>
      </c>
      <c r="L1756" s="3" t="s">
        <v>23</v>
      </c>
      <c r="M1756" s="3">
        <f>_xlfn.IFNA(VLOOKUP($A1756,[2]stockregister!$A$2:$H$2000,8,0),0)</f>
        <v>1850</v>
      </c>
      <c r="N1756" s="3">
        <f>_xlfn.IFNA(VLOOKUP($A1756,[2]stockregister!$A$2:$H$2000,8,0),0)-$M1756</f>
        <v>0</v>
      </c>
      <c r="O1756" s="3" t="s">
        <v>4070</v>
      </c>
      <c r="P1756" s="3" t="s">
        <v>4070</v>
      </c>
      <c r="Q1756" s="3" t="s">
        <v>4005</v>
      </c>
      <c r="R1756" s="3" t="s">
        <v>537</v>
      </c>
      <c r="S1756" s="3" t="s">
        <v>1357</v>
      </c>
    </row>
    <row r="1757" spans="1:19">
      <c r="A1757" s="3">
        <v>2443</v>
      </c>
      <c r="B1757" s="3" t="b">
        <f>ISNUMBER(MATCH(A1757,[1]stockregister!$A$2:$A$2000,0))</f>
        <v>1</v>
      </c>
      <c r="C1757" s="3" t="s">
        <v>4071</v>
      </c>
      <c r="D1757" s="3" t="str">
        <f>VLOOKUP($C1757,[1]stockregister!$B$2:$B$2000,1,0)</f>
        <v>JACOB'S CREEK RESERVE SHIRAZ 750ML</v>
      </c>
      <c r="E1757" s="3" t="str">
        <f>IF(ISNA($D1757),VLOOKUP($A1757,[2]stockregister!$A$2:$B$2000,2,FALSE),"")</f>
        <v/>
      </c>
      <c r="F1757" s="3" t="s">
        <v>21</v>
      </c>
      <c r="G1757" s="3">
        <f>_xlfn.IFNA(VLOOKUP($A1757,[3]stockregister!$A$2:$L$2000,11,0),0)</f>
        <v>0</v>
      </c>
      <c r="H1757" s="3">
        <f>_xlfn.IFNA(VLOOKUP($A1757,[3]stockregister!$A$2:$L$2000,11,0),0)-$G1757</f>
        <v>0</v>
      </c>
      <c r="I1757" s="3">
        <f>_xlfn.IFNA(VLOOKUP($A1757,[3]stockregister!$A$2:$L$2000,12,0),0)</f>
        <v>1172.08</v>
      </c>
      <c r="J1757" s="3">
        <f>_xlfn.IFNA(VLOOKUP($A1757,[3]stockregister!$A$1:$M$2000,12,0),0)-$I1757</f>
        <v>0</v>
      </c>
      <c r="K1757" s="3" t="s">
        <v>22</v>
      </c>
      <c r="L1757" s="3" t="s">
        <v>23</v>
      </c>
      <c r="M1757" s="3">
        <f>_xlfn.IFNA(VLOOKUP($A1757,[2]stockregister!$A$2:$H$2000,8,0),0)</f>
        <v>1250</v>
      </c>
      <c r="N1757" s="3">
        <f>_xlfn.IFNA(VLOOKUP($A1757,[2]stockregister!$A$2:$H$2000,8,0),0)-$M1757</f>
        <v>0</v>
      </c>
      <c r="O1757" s="3" t="s">
        <v>4072</v>
      </c>
      <c r="P1757" s="3" t="s">
        <v>4072</v>
      </c>
      <c r="Q1757" s="3" t="s">
        <v>3566</v>
      </c>
      <c r="R1757" s="3" t="s">
        <v>537</v>
      </c>
      <c r="S1757" s="3" t="s">
        <v>1357</v>
      </c>
    </row>
    <row r="1758" spans="1:19">
      <c r="A1758" s="3">
        <v>2382</v>
      </c>
      <c r="B1758" s="3" t="b">
        <f>ISNUMBER(MATCH(A1758,[1]stockregister!$A$2:$A$2000,0))</f>
        <v>1</v>
      </c>
      <c r="C1758" s="3" t="s">
        <v>4073</v>
      </c>
      <c r="D1758" s="3" t="str">
        <f>VLOOKUP($C1758,[1]stockregister!$B$2:$B$2000,1,0)</f>
        <v>JAM JAR SWEET SHIRAZ 750ML</v>
      </c>
      <c r="E1758" s="3" t="str">
        <f>IF(ISNA($D1758),VLOOKUP($A1758,[2]stockregister!$A$2:$B$2000,2,FALSE),"")</f>
        <v/>
      </c>
      <c r="F1758" s="3" t="s">
        <v>21</v>
      </c>
      <c r="G1758" s="3">
        <f>_xlfn.IFNA(VLOOKUP($A1758,[3]stockregister!$A$2:$L$2000,11,0),0)</f>
        <v>0</v>
      </c>
      <c r="H1758" s="3">
        <f>_xlfn.IFNA(VLOOKUP($A1758,[3]stockregister!$A$2:$L$2000,11,0),0)-$G1758</f>
        <v>0</v>
      </c>
      <c r="I1758" s="3">
        <f>_xlfn.IFNA(VLOOKUP($A1758,[3]stockregister!$A$2:$L$2000,12,0),0)</f>
        <v>1000</v>
      </c>
      <c r="J1758" s="3">
        <f>_xlfn.IFNA(VLOOKUP($A1758,[3]stockregister!$A$1:$M$2000,12,0),0)-$I1758</f>
        <v>0</v>
      </c>
      <c r="K1758" s="3" t="s">
        <v>22</v>
      </c>
      <c r="L1758" s="3" t="s">
        <v>23</v>
      </c>
      <c r="M1758" s="3">
        <f>_xlfn.IFNA(VLOOKUP($A1758,[2]stockregister!$A$2:$H$2000,8,0),0)</f>
        <v>1100</v>
      </c>
      <c r="N1758" s="3">
        <f>_xlfn.IFNA(VLOOKUP($A1758,[2]stockregister!$A$2:$H$2000,8,0),0)-$M1758</f>
        <v>0</v>
      </c>
      <c r="O1758" s="3" t="s">
        <v>4074</v>
      </c>
      <c r="P1758" s="3" t="s">
        <v>4074</v>
      </c>
      <c r="Q1758" s="3" t="s">
        <v>4075</v>
      </c>
      <c r="R1758" s="3" t="s">
        <v>537</v>
      </c>
      <c r="S1758" s="3" t="s">
        <v>1357</v>
      </c>
    </row>
    <row r="1759" spans="1:19">
      <c r="A1759" s="3">
        <v>4</v>
      </c>
      <c r="B1759" s="3" t="b">
        <f>ISNUMBER(MATCH(A1759,[1]stockregister!$A$2:$A$2000,0))</f>
        <v>1</v>
      </c>
      <c r="C1759" s="3" t="s">
        <v>4076</v>
      </c>
      <c r="D1759" s="3" t="str">
        <f>VLOOKUP($C1759,[1]stockregister!$B$2:$B$2000,1,0)</f>
        <v>1692 SPIER CREATIVE BLOCK 3 SHIRAZ 750ML</v>
      </c>
      <c r="E1759" s="3" t="str">
        <f>IF(ISNA($D1759),VLOOKUP($A1759,[2]stockregister!$A$2:$B$2000,2,FALSE),"")</f>
        <v/>
      </c>
      <c r="F1759" s="3" t="s">
        <v>21</v>
      </c>
      <c r="G1759" s="3">
        <f>_xlfn.IFNA(VLOOKUP($A1759,[3]stockregister!$A$2:$L$2000,11,0),0)</f>
        <v>0</v>
      </c>
      <c r="H1759" s="3">
        <f>_xlfn.IFNA(VLOOKUP($A1759,[3]stockregister!$A$2:$L$2000,11,0),0)-$G1759</f>
        <v>0</v>
      </c>
      <c r="I1759" s="3">
        <f>_xlfn.IFNA(VLOOKUP($A1759,[3]stockregister!$A$2:$L$2000,12,0),0)</f>
        <v>3091.2</v>
      </c>
      <c r="J1759" s="3">
        <f>_xlfn.IFNA(VLOOKUP($A1759,[3]stockregister!$A$1:$M$2000,12,0),0)-$I1759</f>
        <v>0</v>
      </c>
      <c r="K1759" s="3" t="s">
        <v>22</v>
      </c>
      <c r="L1759" s="3" t="s">
        <v>23</v>
      </c>
      <c r="M1759" s="3">
        <f>_xlfn.IFNA(VLOOKUP($A1759,[2]stockregister!$A$2:$H$2000,8,0),0)</f>
        <v>3360</v>
      </c>
      <c r="N1759" s="3">
        <f>_xlfn.IFNA(VLOOKUP($A1759,[2]stockregister!$A$2:$H$2000,8,0),0)-$M1759</f>
        <v>0</v>
      </c>
      <c r="O1759" s="3" t="s">
        <v>4077</v>
      </c>
      <c r="P1759" s="3" t="s">
        <v>4077</v>
      </c>
      <c r="Q1759" s="3" t="s">
        <v>4078</v>
      </c>
      <c r="R1759" s="3" t="s">
        <v>68</v>
      </c>
      <c r="S1759" s="3" t="s">
        <v>876</v>
      </c>
    </row>
    <row r="1760" spans="1:19">
      <c r="A1760" s="3">
        <v>1042</v>
      </c>
      <c r="B1760" s="3" t="b">
        <f>ISNUMBER(MATCH(A1760,[1]stockregister!$A$2:$A$2000,0))</f>
        <v>1</v>
      </c>
      <c r="C1760" s="3" t="s">
        <v>4079</v>
      </c>
      <c r="D1760" s="3" t="str">
        <f>VLOOKUP($C1760,[1]stockregister!$B$2:$B$2000,1,0)</f>
        <v>JACOB'S CREEK CLASSIC SHIRAZ 750ML</v>
      </c>
      <c r="E1760" s="3" t="str">
        <f>IF(ISNA($D1760),VLOOKUP($A1760,[2]stockregister!$A$2:$B$2000,2,FALSE),"")</f>
        <v/>
      </c>
      <c r="F1760" s="3" t="s">
        <v>21</v>
      </c>
      <c r="G1760" s="3">
        <f>_xlfn.IFNA(VLOOKUP($A1760,[3]stockregister!$A$2:$L$2000,11,0),0)</f>
        <v>0</v>
      </c>
      <c r="H1760" s="3">
        <f>_xlfn.IFNA(VLOOKUP($A1760,[3]stockregister!$A$2:$L$2000,11,0),0)-$G1760</f>
        <v>0</v>
      </c>
      <c r="I1760" s="3">
        <f>_xlfn.IFNA(VLOOKUP($A1760,[3]stockregister!$A$2:$L$2000,12,0),0)</f>
        <v>1150</v>
      </c>
      <c r="J1760" s="3">
        <f>_xlfn.IFNA(VLOOKUP($A1760,[3]stockregister!$A$1:$M$2000,12,0),0)-$I1760</f>
        <v>0</v>
      </c>
      <c r="K1760" s="3" t="s">
        <v>22</v>
      </c>
      <c r="L1760" s="3" t="s">
        <v>23</v>
      </c>
      <c r="M1760" s="3">
        <f>_xlfn.IFNA(VLOOKUP($A1760,[2]stockregister!$A$2:$H$2000,8,0),0)</f>
        <v>1250</v>
      </c>
      <c r="N1760" s="3">
        <f>_xlfn.IFNA(VLOOKUP($A1760,[2]stockregister!$A$2:$H$2000,8,0),0)-$M1760</f>
        <v>0</v>
      </c>
      <c r="O1760" s="3" t="s">
        <v>4080</v>
      </c>
      <c r="P1760" s="3" t="s">
        <v>4080</v>
      </c>
      <c r="Q1760" s="3" t="s">
        <v>3566</v>
      </c>
      <c r="R1760" s="3" t="s">
        <v>68</v>
      </c>
      <c r="S1760" s="3" t="s">
        <v>876</v>
      </c>
    </row>
    <row r="1761" spans="1:19">
      <c r="A1761" s="3">
        <v>1516</v>
      </c>
      <c r="B1761" s="3" t="b">
        <f>ISNUMBER(MATCH(A1761,[1]stockregister!$A$2:$A$2000,0))</f>
        <v>1</v>
      </c>
      <c r="C1761" s="3" t="s">
        <v>4081</v>
      </c>
      <c r="D1761" s="3" t="str">
        <f>VLOOKUP($C1761,[1]stockregister!$B$2:$B$2000,1,0)</f>
        <v>NEDERBURG - MANOR HOUSE SHIRAZ 750ML</v>
      </c>
      <c r="E1761" s="3" t="str">
        <f>IF(ISNA($D1761),VLOOKUP($A1761,[2]stockregister!$A$2:$B$2000,2,FALSE),"")</f>
        <v/>
      </c>
      <c r="F1761" s="3" t="s">
        <v>21</v>
      </c>
      <c r="G1761" s="3">
        <f>_xlfn.IFNA(VLOOKUP($A1761,[3]stockregister!$A$2:$L$2000,11,0),0)</f>
        <v>0</v>
      </c>
      <c r="H1761" s="3">
        <f>_xlfn.IFNA(VLOOKUP($A1761,[3]stockregister!$A$2:$L$2000,11,0),0)-$G1761</f>
        <v>0</v>
      </c>
      <c r="I1761" s="3">
        <f>_xlfn.IFNA(VLOOKUP($A1761,[3]stockregister!$A$2:$L$2000,12,0),0)</f>
        <v>1334</v>
      </c>
      <c r="J1761" s="3">
        <f>_xlfn.IFNA(VLOOKUP($A1761,[3]stockregister!$A$1:$M$2000,12,0),0)-$I1761</f>
        <v>0</v>
      </c>
      <c r="K1761" s="3" t="s">
        <v>22</v>
      </c>
      <c r="L1761" s="3" t="s">
        <v>23</v>
      </c>
      <c r="M1761" s="3">
        <f>_xlfn.IFNA(VLOOKUP($A1761,[2]stockregister!$A$2:$H$2000,8,0),0)</f>
        <v>1450</v>
      </c>
      <c r="N1761" s="3">
        <f>_xlfn.IFNA(VLOOKUP($A1761,[2]stockregister!$A$2:$H$2000,8,0),0)-$M1761</f>
        <v>0</v>
      </c>
      <c r="O1761" s="3" t="s">
        <v>4082</v>
      </c>
      <c r="P1761" s="3" t="s">
        <v>4082</v>
      </c>
      <c r="Q1761" s="3" t="s">
        <v>368</v>
      </c>
      <c r="R1761" s="3" t="s">
        <v>68</v>
      </c>
      <c r="S1761" s="3" t="s">
        <v>876</v>
      </c>
    </row>
    <row r="1762" spans="1:19">
      <c r="A1762" s="3">
        <v>1043</v>
      </c>
      <c r="B1762" s="3" t="b">
        <f>ISNUMBER(MATCH(A1762,[1]stockregister!$A$2:$A$2000,0))</f>
        <v>1</v>
      </c>
      <c r="C1762" s="3" t="s">
        <v>4083</v>
      </c>
      <c r="D1762" s="3" t="str">
        <f>VLOOKUP($C1762,[1]stockregister!$B$2:$B$2000,1,0)</f>
        <v>JACOB'S CREEK ROSE 750ML</v>
      </c>
      <c r="E1762" s="3" t="str">
        <f>IF(ISNA($D1762),VLOOKUP($A1762,[2]stockregister!$A$2:$B$2000,2,FALSE),"")</f>
        <v/>
      </c>
      <c r="F1762" s="3" t="s">
        <v>21</v>
      </c>
      <c r="G1762" s="3">
        <f>_xlfn.IFNA(VLOOKUP($A1762,[3]stockregister!$A$2:$L$2000,11,0),0)</f>
        <v>0</v>
      </c>
      <c r="H1762" s="3">
        <f>_xlfn.IFNA(VLOOKUP($A1762,[3]stockregister!$A$2:$L$2000,11,0),0)-$G1762</f>
        <v>0</v>
      </c>
      <c r="I1762" s="3">
        <f>_xlfn.IFNA(VLOOKUP($A1762,[3]stockregister!$A$2:$L$2000,12,0),0)</f>
        <v>1150</v>
      </c>
      <c r="J1762" s="3">
        <f>_xlfn.IFNA(VLOOKUP($A1762,[3]stockregister!$A$1:$M$2000,12,0),0)-$I1762</f>
        <v>0</v>
      </c>
      <c r="K1762" s="3" t="s">
        <v>22</v>
      </c>
      <c r="L1762" s="3" t="s">
        <v>23</v>
      </c>
      <c r="M1762" s="3">
        <f>_xlfn.IFNA(VLOOKUP($A1762,[2]stockregister!$A$2:$H$2000,8,0),0)</f>
        <v>1250</v>
      </c>
      <c r="N1762" s="3">
        <f>_xlfn.IFNA(VLOOKUP($A1762,[2]stockregister!$A$2:$H$2000,8,0),0)-$M1762</f>
        <v>0</v>
      </c>
      <c r="O1762" s="3" t="s">
        <v>4084</v>
      </c>
      <c r="P1762" s="3" t="s">
        <v>4084</v>
      </c>
      <c r="Q1762" s="3" t="s">
        <v>3566</v>
      </c>
      <c r="R1762" s="3" t="s">
        <v>68</v>
      </c>
      <c r="S1762" s="3" t="s">
        <v>828</v>
      </c>
    </row>
    <row r="1763" spans="1:19">
      <c r="A1763" s="3">
        <v>1359</v>
      </c>
      <c r="B1763" s="3" t="b">
        <f>ISNUMBER(MATCH(A1763,[1]stockregister!$A$2:$A$2000,0))</f>
        <v>1</v>
      </c>
      <c r="C1763" s="3" t="s">
        <v>4085</v>
      </c>
      <c r="D1763" s="3" t="str">
        <f>VLOOKUP($C1763,[1]stockregister!$B$2:$B$2000,1,0)</f>
        <v>MAISON CASTEL CAB SAUV 750ML</v>
      </c>
      <c r="E1763" s="3" t="str">
        <f>IF(ISNA($D1763),VLOOKUP($A1763,[2]stockregister!$A$2:$B$2000,2,FALSE),"")</f>
        <v/>
      </c>
      <c r="F1763" s="3" t="s">
        <v>21</v>
      </c>
      <c r="G1763" s="3">
        <f>_xlfn.IFNA(VLOOKUP($A1763,[3]stockregister!$A$2:$L$2000,11,0),0)</f>
        <v>0</v>
      </c>
      <c r="H1763" s="3">
        <f>_xlfn.IFNA(VLOOKUP($A1763,[3]stockregister!$A$2:$L$2000,11,0),0)-$G1763</f>
        <v>0</v>
      </c>
      <c r="I1763" s="3">
        <f>_xlfn.IFNA(VLOOKUP($A1763,[3]stockregister!$A$2:$L$2000,12,0),0)</f>
        <v>1100</v>
      </c>
      <c r="J1763" s="3">
        <f>_xlfn.IFNA(VLOOKUP($A1763,[3]stockregister!$A$1:$M$2000,12,0),0)-$I1763</f>
        <v>0</v>
      </c>
      <c r="K1763" s="3" t="s">
        <v>22</v>
      </c>
      <c r="L1763" s="3" t="s">
        <v>23</v>
      </c>
      <c r="M1763" s="3">
        <f>_xlfn.IFNA(VLOOKUP($A1763,[2]stockregister!$A$2:$H$2000,8,0),0)</f>
        <v>1300</v>
      </c>
      <c r="N1763" s="3">
        <f>_xlfn.IFNA(VLOOKUP($A1763,[2]stockregister!$A$2:$H$2000,8,0),0)-$M1763</f>
        <v>0</v>
      </c>
      <c r="O1763" s="3" t="s">
        <v>4086</v>
      </c>
      <c r="P1763" s="3" t="s">
        <v>4086</v>
      </c>
      <c r="Q1763" s="3" t="s">
        <v>891</v>
      </c>
      <c r="R1763" s="3" t="s">
        <v>68</v>
      </c>
      <c r="S1763" s="3" t="s">
        <v>828</v>
      </c>
    </row>
    <row r="1764" spans="1:19">
      <c r="A1764" s="3">
        <v>1362</v>
      </c>
      <c r="B1764" s="3" t="b">
        <f>ISNUMBER(MATCH(A1764,[1]stockregister!$A$2:$A$2000,0))</f>
        <v>1</v>
      </c>
      <c r="C1764" s="3" t="s">
        <v>636</v>
      </c>
      <c r="D1764" s="3" t="str">
        <f>VLOOKUP($C1764,[1]stockregister!$B$2:$B$2000,1,0)</f>
        <v>MAISON CASTEL ICE  750ML</v>
      </c>
      <c r="E1764" s="3" t="str">
        <f>IF(ISNA($D1764),VLOOKUP($A1764,[2]stockregister!$A$2:$B$2000,2,FALSE),"")</f>
        <v/>
      </c>
      <c r="F1764" s="3" t="s">
        <v>21</v>
      </c>
      <c r="G1764" s="3">
        <f>_xlfn.IFNA(VLOOKUP($A1764,[3]stockregister!$A$2:$L$2000,11,0),0)</f>
        <v>0</v>
      </c>
      <c r="H1764" s="3">
        <f>_xlfn.IFNA(VLOOKUP($A1764,[3]stockregister!$A$2:$L$2000,11,0),0)-$G1764</f>
        <v>0</v>
      </c>
      <c r="I1764" s="3">
        <f>_xlfn.IFNA(VLOOKUP($A1764,[3]stockregister!$A$2:$L$2000,12,0),0)</f>
        <v>1104</v>
      </c>
      <c r="J1764" s="3">
        <f>_xlfn.IFNA(VLOOKUP($A1764,[3]stockregister!$A$1:$M$2000,12,0),0)-$I1764</f>
        <v>0</v>
      </c>
      <c r="K1764" s="3" t="s">
        <v>22</v>
      </c>
      <c r="L1764" s="3" t="s">
        <v>23</v>
      </c>
      <c r="M1764" s="3">
        <f>_xlfn.IFNA(VLOOKUP($A1764,[2]stockregister!$A$2:$H$2000,8,0),0)</f>
        <v>1200</v>
      </c>
      <c r="N1764" s="3">
        <f>_xlfn.IFNA(VLOOKUP($A1764,[2]stockregister!$A$2:$H$2000,8,0),0)-$M1764</f>
        <v>0</v>
      </c>
      <c r="O1764" s="3" t="s">
        <v>2040</v>
      </c>
      <c r="P1764" s="3" t="s">
        <v>2040</v>
      </c>
      <c r="Q1764" s="3" t="s">
        <v>891</v>
      </c>
      <c r="R1764" s="3" t="s">
        <v>68</v>
      </c>
      <c r="S1764" s="3" t="s">
        <v>828</v>
      </c>
    </row>
    <row r="1765" spans="1:19">
      <c r="A1765" s="3">
        <v>1364</v>
      </c>
      <c r="B1765" s="3" t="b">
        <f>ISNUMBER(MATCH(A1765,[1]stockregister!$A$2:$A$2000,0))</f>
        <v>1</v>
      </c>
      <c r="C1765" s="3" t="s">
        <v>639</v>
      </c>
      <c r="D1765" s="3" t="str">
        <f>VLOOKUP($C1765,[1]stockregister!$B$2:$B$2000,1,0)</f>
        <v>MAISON CASTEL ICE ROSE  750ML</v>
      </c>
      <c r="E1765" s="3" t="str">
        <f>IF(ISNA($D1765),VLOOKUP($A1765,[2]stockregister!$A$2:$B$2000,2,FALSE),"")</f>
        <v/>
      </c>
      <c r="F1765" s="3" t="s">
        <v>21</v>
      </c>
      <c r="G1765" s="3">
        <f>_xlfn.IFNA(VLOOKUP($A1765,[3]stockregister!$A$2:$L$2000,11,0),0)</f>
        <v>0</v>
      </c>
      <c r="H1765" s="3">
        <f>_xlfn.IFNA(VLOOKUP($A1765,[3]stockregister!$A$2:$L$2000,11,0),0)-$G1765</f>
        <v>0</v>
      </c>
      <c r="I1765" s="3">
        <f>_xlfn.IFNA(VLOOKUP($A1765,[3]stockregister!$A$2:$L$2000,12,0),0)</f>
        <v>1104</v>
      </c>
      <c r="J1765" s="3">
        <f>_xlfn.IFNA(VLOOKUP($A1765,[3]stockregister!$A$1:$M$2000,12,0),0)-$I1765</f>
        <v>0</v>
      </c>
      <c r="K1765" s="3" t="s">
        <v>22</v>
      </c>
      <c r="L1765" s="3" t="s">
        <v>23</v>
      </c>
      <c r="M1765" s="3">
        <f>_xlfn.IFNA(VLOOKUP($A1765,[2]stockregister!$A$2:$H$2000,8,0),0)</f>
        <v>1200</v>
      </c>
      <c r="N1765" s="3">
        <f>_xlfn.IFNA(VLOOKUP($A1765,[2]stockregister!$A$2:$H$2000,8,0),0)-$M1765</f>
        <v>0</v>
      </c>
      <c r="O1765" s="3" t="s">
        <v>2040</v>
      </c>
      <c r="P1765" s="3" t="s">
        <v>2040</v>
      </c>
      <c r="Q1765" s="3" t="s">
        <v>891</v>
      </c>
      <c r="R1765" s="3" t="s">
        <v>68</v>
      </c>
      <c r="S1765" s="3" t="s">
        <v>828</v>
      </c>
    </row>
    <row r="1766" spans="1:19">
      <c r="A1766" s="3">
        <v>1569</v>
      </c>
      <c r="B1766" s="3" t="b">
        <f>ISNUMBER(MATCH(A1766,[1]stockregister!$A$2:$A$2000,0))</f>
        <v>1</v>
      </c>
      <c r="C1766" s="3" t="s">
        <v>4087</v>
      </c>
      <c r="D1766" s="3" t="str">
        <f>VLOOKUP($C1766,[1]stockregister!$B$2:$B$2000,1,0)</f>
        <v>OREANDA CRYSTAL BRUT 750ML</v>
      </c>
      <c r="E1766" s="3" t="str">
        <f>IF(ISNA($D1766),VLOOKUP($A1766,[2]stockregister!$A$2:$B$2000,2,FALSE),"")</f>
        <v/>
      </c>
      <c r="F1766" s="3" t="s">
        <v>21</v>
      </c>
      <c r="G1766" s="3">
        <f>_xlfn.IFNA(VLOOKUP($A1766,[3]stockregister!$A$2:$L$2000,11,0),0)</f>
        <v>0</v>
      </c>
      <c r="H1766" s="3">
        <f>_xlfn.IFNA(VLOOKUP($A1766,[3]stockregister!$A$2:$L$2000,11,0),0)-$G1766</f>
        <v>0</v>
      </c>
      <c r="I1766" s="3">
        <f>_xlfn.IFNA(VLOOKUP($A1766,[3]stockregister!$A$2:$L$2000,12,0),0)</f>
        <v>920</v>
      </c>
      <c r="J1766" s="3">
        <f>_xlfn.IFNA(VLOOKUP($A1766,[3]stockregister!$A$1:$M$2000,12,0),0)-$I1766</f>
        <v>0</v>
      </c>
      <c r="K1766" s="3" t="s">
        <v>22</v>
      </c>
      <c r="L1766" s="3" t="s">
        <v>23</v>
      </c>
      <c r="M1766" s="3">
        <f>_xlfn.IFNA(VLOOKUP($A1766,[2]stockregister!$A$2:$H$2000,8,0),0)</f>
        <v>1000</v>
      </c>
      <c r="N1766" s="3">
        <f>_xlfn.IFNA(VLOOKUP($A1766,[2]stockregister!$A$2:$H$2000,8,0),0)-$M1766</f>
        <v>0</v>
      </c>
      <c r="O1766" s="3" t="s">
        <v>4088</v>
      </c>
      <c r="P1766" s="3" t="s">
        <v>4088</v>
      </c>
      <c r="Q1766" s="3" t="s">
        <v>3660</v>
      </c>
      <c r="R1766" s="3" t="s">
        <v>68</v>
      </c>
      <c r="S1766" s="3" t="s">
        <v>828</v>
      </c>
    </row>
    <row r="1767" spans="1:19">
      <c r="A1767" s="3">
        <v>1770</v>
      </c>
      <c r="B1767" s="3" t="b">
        <f>ISNUMBER(MATCH(A1767,[1]stockregister!$A$2:$A$2000,0))</f>
        <v>1</v>
      </c>
      <c r="C1767" s="3" t="s">
        <v>4089</v>
      </c>
      <c r="D1767" s="3" t="str">
        <f>VLOOKUP($C1767,[1]stockregister!$B$2:$B$2000,1,0)</f>
        <v>SCAVI &amp; RAY PROSECCO 750ML</v>
      </c>
      <c r="E1767" s="3" t="str">
        <f>IF(ISNA($D1767),VLOOKUP($A1767,[2]stockregister!$A$2:$B$2000,2,FALSE),"")</f>
        <v/>
      </c>
      <c r="F1767" s="3" t="s">
        <v>21</v>
      </c>
      <c r="G1767" s="3">
        <f>_xlfn.IFNA(VLOOKUP($A1767,[3]stockregister!$A$2:$L$2000,11,0),0)</f>
        <v>0</v>
      </c>
      <c r="H1767" s="3">
        <f>_xlfn.IFNA(VLOOKUP($A1767,[3]stockregister!$A$2:$L$2000,11,0),0)-$G1767</f>
        <v>0</v>
      </c>
      <c r="I1767" s="3">
        <f>_xlfn.IFNA(VLOOKUP($A1767,[3]stockregister!$A$2:$L$2000,12,0),0)</f>
        <v>1656</v>
      </c>
      <c r="J1767" s="3">
        <f>_xlfn.IFNA(VLOOKUP($A1767,[3]stockregister!$A$1:$M$2000,12,0),0)-$I1767</f>
        <v>0</v>
      </c>
      <c r="K1767" s="3" t="s">
        <v>22</v>
      </c>
      <c r="L1767" s="3" t="s">
        <v>23</v>
      </c>
      <c r="M1767" s="3">
        <f>_xlfn.IFNA(VLOOKUP($A1767,[2]stockregister!$A$2:$H$2000,8,0),0)</f>
        <v>1800</v>
      </c>
      <c r="N1767" s="3">
        <f>_xlfn.IFNA(VLOOKUP($A1767,[2]stockregister!$A$2:$H$2000,8,0),0)-$M1767</f>
        <v>0</v>
      </c>
      <c r="O1767" s="3" t="s">
        <v>4090</v>
      </c>
      <c r="P1767" s="3" t="s">
        <v>4090</v>
      </c>
      <c r="Q1767" s="3" t="s">
        <v>4091</v>
      </c>
      <c r="R1767" s="3" t="s">
        <v>68</v>
      </c>
      <c r="S1767" s="3" t="s">
        <v>538</v>
      </c>
    </row>
    <row r="1768" spans="1:19">
      <c r="A1768" s="3">
        <v>408</v>
      </c>
      <c r="B1768" s="3" t="b">
        <f>ISNUMBER(MATCH(A1768,[1]stockregister!$A$2:$A$2000,0))</f>
        <v>1</v>
      </c>
      <c r="C1768" s="3" t="s">
        <v>643</v>
      </c>
      <c r="D1768" s="3" t="str">
        <f>VLOOKUP($C1768,[1]stockregister!$B$2:$B$2000,1,0)</f>
        <v>CASALDOMO CUVEE BRUT 750ML </v>
      </c>
      <c r="E1768" s="3" t="str">
        <f>IF(ISNA($D1768),VLOOKUP($A1768,[2]stockregister!$A$2:$B$2000,2,FALSE),"")</f>
        <v/>
      </c>
      <c r="F1768" s="3" t="s">
        <v>21</v>
      </c>
      <c r="G1768" s="3">
        <f>_xlfn.IFNA(VLOOKUP($A1768,[3]stockregister!$A$2:$L$2000,11,0),0)</f>
        <v>0</v>
      </c>
      <c r="H1768" s="3">
        <f>_xlfn.IFNA(VLOOKUP($A1768,[3]stockregister!$A$2:$L$2000,11,0),0)-$G1768</f>
        <v>0</v>
      </c>
      <c r="I1768" s="3">
        <f>_xlfn.IFNA(VLOOKUP($A1768,[3]stockregister!$A$2:$L$2000,12,0),0)</f>
        <v>1380</v>
      </c>
      <c r="J1768" s="3">
        <f>_xlfn.IFNA(VLOOKUP($A1768,[3]stockregister!$A$1:$M$2000,12,0),0)-$I1768</f>
        <v>0</v>
      </c>
      <c r="K1768" s="3" t="s">
        <v>22</v>
      </c>
      <c r="L1768" s="3" t="s">
        <v>23</v>
      </c>
      <c r="M1768" s="3">
        <f>_xlfn.IFNA(VLOOKUP($A1768,[2]stockregister!$A$2:$H$2000,8,0),0)</f>
        <v>1500</v>
      </c>
      <c r="N1768" s="3">
        <f>_xlfn.IFNA(VLOOKUP($A1768,[2]stockregister!$A$2:$H$2000,8,0),0)-$M1768</f>
        <v>0</v>
      </c>
      <c r="O1768" s="3" t="s">
        <v>4092</v>
      </c>
      <c r="P1768" s="3" t="s">
        <v>4092</v>
      </c>
      <c r="Q1768" s="3" t="s">
        <v>4093</v>
      </c>
      <c r="R1768" s="3" t="s">
        <v>537</v>
      </c>
      <c r="S1768" s="3" t="s">
        <v>538</v>
      </c>
    </row>
    <row r="1769" spans="1:19">
      <c r="A1769" s="3">
        <v>2540</v>
      </c>
      <c r="B1769" s="3" t="b">
        <f>ISNUMBER(MATCH(A1769,[1]stockregister!$A$2:$A$2000,0))</f>
        <v>1</v>
      </c>
      <c r="C1769" s="3" t="s">
        <v>4094</v>
      </c>
      <c r="D1769" s="3" t="str">
        <f>VLOOKUP($C1769,[1]stockregister!$B$2:$B$2000,1,0)</f>
        <v>CASTILLO DE FERRER BRUT SPARKLING 750ML</v>
      </c>
      <c r="E1769" s="3" t="str">
        <f>IF(ISNA($D1769),VLOOKUP($A1769,[2]stockregister!$A$2:$B$2000,2,FALSE),"")</f>
        <v/>
      </c>
      <c r="F1769" s="3" t="s">
        <v>21</v>
      </c>
      <c r="G1769" s="3">
        <f>_xlfn.IFNA(VLOOKUP($A1769,[3]stockregister!$A$2:$L$2000,11,0),0)</f>
        <v>0</v>
      </c>
      <c r="H1769" s="3">
        <f>_xlfn.IFNA(VLOOKUP($A1769,[3]stockregister!$A$2:$L$2000,11,0),0)-$G1769</f>
        <v>0</v>
      </c>
      <c r="I1769" s="3">
        <f>_xlfn.IFNA(VLOOKUP($A1769,[3]stockregister!$A$2:$L$2000,12,0),0)</f>
        <v>1196</v>
      </c>
      <c r="J1769" s="3">
        <f>_xlfn.IFNA(VLOOKUP($A1769,[3]stockregister!$A$1:$M$2000,12,0),0)-$I1769</f>
        <v>0</v>
      </c>
      <c r="K1769" s="3" t="s">
        <v>22</v>
      </c>
      <c r="L1769" s="3" t="s">
        <v>23</v>
      </c>
      <c r="M1769" s="3">
        <f>_xlfn.IFNA(VLOOKUP($A1769,[2]stockregister!$A$2:$H$2000,8,0),0)</f>
        <v>1350</v>
      </c>
      <c r="N1769" s="3">
        <f>_xlfn.IFNA(VLOOKUP($A1769,[2]stockregister!$A$2:$H$2000,8,0),0)-$M1769</f>
        <v>0</v>
      </c>
      <c r="O1769" s="3" t="s">
        <v>4095</v>
      </c>
      <c r="P1769" s="3" t="s">
        <v>4095</v>
      </c>
      <c r="Q1769" s="3" t="s">
        <v>3668</v>
      </c>
      <c r="R1769" s="3" t="s">
        <v>537</v>
      </c>
      <c r="S1769" s="3" t="s">
        <v>538</v>
      </c>
    </row>
    <row r="1770" spans="1:19">
      <c r="A1770" s="3">
        <v>1314</v>
      </c>
      <c r="B1770" s="3" t="b">
        <f>ISNUMBER(MATCH(A1770,[1]stockregister!$A$2:$A$2000,0))</f>
        <v>1</v>
      </c>
      <c r="C1770" s="3" t="s">
        <v>4096</v>
      </c>
      <c r="D1770" s="3" t="str">
        <f>VLOOKUP($C1770,[1]stockregister!$B$2:$B$2000,1,0)</f>
        <v>LUC BELAIRE BRUT GOLD 1.5LTR</v>
      </c>
      <c r="E1770" s="3" t="str">
        <f>IF(ISNA($D1770),VLOOKUP($A1770,[2]stockregister!$A$2:$B$2000,2,FALSE),"")</f>
        <v/>
      </c>
      <c r="F1770" s="3" t="s">
        <v>21</v>
      </c>
      <c r="G1770" s="3">
        <f>_xlfn.IFNA(VLOOKUP($A1770,[3]stockregister!$A$2:$L$2000,11,0),0)</f>
        <v>0</v>
      </c>
      <c r="H1770" s="3">
        <f>_xlfn.IFNA(VLOOKUP($A1770,[3]stockregister!$A$2:$L$2000,11,0),0)-$G1770</f>
        <v>0</v>
      </c>
      <c r="I1770" s="3">
        <f>_xlfn.IFNA(VLOOKUP($A1770,[3]stockregister!$A$2:$L$2000,12,0),0)</f>
        <v>8800</v>
      </c>
      <c r="J1770" s="3">
        <f>_xlfn.IFNA(VLOOKUP($A1770,[3]stockregister!$A$1:$M$2000,12,0),0)-$I1770</f>
        <v>0</v>
      </c>
      <c r="K1770" s="3" t="s">
        <v>22</v>
      </c>
      <c r="L1770" s="3" t="s">
        <v>23</v>
      </c>
      <c r="M1770" s="3">
        <f>_xlfn.IFNA(VLOOKUP($A1770,[2]stockregister!$A$2:$H$2000,8,0),0)</f>
        <v>9000</v>
      </c>
      <c r="N1770" s="3">
        <f>_xlfn.IFNA(VLOOKUP($A1770,[2]stockregister!$A$2:$H$2000,8,0),0)-$M1770</f>
        <v>0</v>
      </c>
      <c r="O1770" s="3" t="s">
        <v>553</v>
      </c>
      <c r="P1770" s="3" t="s">
        <v>553</v>
      </c>
      <c r="Q1770" s="3" t="s">
        <v>1922</v>
      </c>
      <c r="R1770" s="3" t="s">
        <v>537</v>
      </c>
      <c r="S1770" s="3" t="s">
        <v>538</v>
      </c>
    </row>
    <row r="1771" spans="1:19">
      <c r="A1771" s="3">
        <v>2555</v>
      </c>
      <c r="B1771" s="3" t="b">
        <f>ISNUMBER(MATCH(A1771,[1]stockregister!$A$2:$A$2000,0))</f>
        <v>1</v>
      </c>
      <c r="C1771" s="3" t="s">
        <v>4097</v>
      </c>
      <c r="D1771" s="3" t="str">
        <f>VLOOKUP($C1771,[1]stockregister!$B$2:$B$2000,1,0)</f>
        <v>VAN BRUT SPARKLING 750ML</v>
      </c>
      <c r="E1771" s="3" t="str">
        <f>IF(ISNA($D1771),VLOOKUP($A1771,[2]stockregister!$A$2:$B$2000,2,FALSE),"")</f>
        <v/>
      </c>
      <c r="F1771" s="3" t="s">
        <v>21</v>
      </c>
      <c r="G1771" s="3">
        <f>_xlfn.IFNA(VLOOKUP($A1771,[3]stockregister!$A$2:$L$2000,11,0),0)</f>
        <v>0</v>
      </c>
      <c r="H1771" s="3">
        <f>_xlfn.IFNA(VLOOKUP($A1771,[3]stockregister!$A$2:$L$2000,11,0),0)-$G1771</f>
        <v>0</v>
      </c>
      <c r="I1771" s="3">
        <f>_xlfn.IFNA(VLOOKUP($A1771,[3]stockregister!$A$2:$L$2000,12,0),0)</f>
        <v>1403</v>
      </c>
      <c r="J1771" s="3">
        <f>_xlfn.IFNA(VLOOKUP($A1771,[3]stockregister!$A$1:$M$2000,12,0),0)-$I1771</f>
        <v>0</v>
      </c>
      <c r="K1771" s="3" t="s">
        <v>22</v>
      </c>
      <c r="L1771" s="3" t="s">
        <v>23</v>
      </c>
      <c r="M1771" s="3">
        <f>_xlfn.IFNA(VLOOKUP($A1771,[2]stockregister!$A$2:$H$2000,8,0),0)</f>
        <v>1600</v>
      </c>
      <c r="N1771" s="3">
        <f>_xlfn.IFNA(VLOOKUP($A1771,[2]stockregister!$A$2:$H$2000,8,0),0)-$M1771</f>
        <v>0</v>
      </c>
      <c r="O1771" s="3" t="s">
        <v>4098</v>
      </c>
      <c r="P1771" s="3" t="s">
        <v>4098</v>
      </c>
      <c r="Q1771" s="3" t="s">
        <v>3537</v>
      </c>
      <c r="R1771" s="3" t="s">
        <v>537</v>
      </c>
      <c r="S1771" s="3" t="s">
        <v>538</v>
      </c>
    </row>
    <row r="1772" spans="1:19">
      <c r="A1772" s="3">
        <v>2220</v>
      </c>
      <c r="B1772" s="3" t="b">
        <f>ISNUMBER(MATCH(A1772,[1]stockregister!$A$2:$A$2000,0))</f>
        <v>1</v>
      </c>
      <c r="C1772" s="3" t="s">
        <v>4099</v>
      </c>
      <c r="D1772" s="3" t="str">
        <f>VLOOKUP($C1772,[1]stockregister!$B$2:$B$2000,1,0)</f>
        <v>FOUR COUSINS SWEET SPARKLING WHITE 750ML</v>
      </c>
      <c r="E1772" s="3" t="str">
        <f>IF(ISNA($D1772),VLOOKUP($A1772,[2]stockregister!$A$2:$B$2000,2,FALSE),"")</f>
        <v/>
      </c>
      <c r="F1772" s="3" t="s">
        <v>21</v>
      </c>
      <c r="G1772" s="3">
        <f>_xlfn.IFNA(VLOOKUP($A1772,[3]stockregister!$A$2:$L$2000,11,0),0)</f>
        <v>0</v>
      </c>
      <c r="H1772" s="3">
        <f>_xlfn.IFNA(VLOOKUP($A1772,[3]stockregister!$A$2:$L$2000,11,0),0)-$G1772</f>
        <v>0</v>
      </c>
      <c r="I1772" s="3">
        <f>_xlfn.IFNA(VLOOKUP($A1772,[3]stockregister!$A$2:$L$2000,12,0),0)</f>
        <v>1300</v>
      </c>
      <c r="J1772" s="3">
        <f>_xlfn.IFNA(VLOOKUP($A1772,[3]stockregister!$A$1:$M$2000,12,0),0)-$I1772</f>
        <v>0</v>
      </c>
      <c r="K1772" s="3" t="s">
        <v>22</v>
      </c>
      <c r="L1772" s="3" t="s">
        <v>23</v>
      </c>
      <c r="M1772" s="3">
        <f>_xlfn.IFNA(VLOOKUP($A1772,[2]stockregister!$A$2:$H$2000,8,0),0)</f>
        <v>1400</v>
      </c>
      <c r="N1772" s="3">
        <f>_xlfn.IFNA(VLOOKUP($A1772,[2]stockregister!$A$2:$H$2000,8,0),0)-$M1772</f>
        <v>0</v>
      </c>
      <c r="O1772" s="3" t="s">
        <v>4100</v>
      </c>
      <c r="P1772" s="3" t="s">
        <v>4100</v>
      </c>
      <c r="Q1772" s="3" t="s">
        <v>952</v>
      </c>
      <c r="R1772" s="3" t="s">
        <v>68</v>
      </c>
      <c r="S1772" s="3" t="s">
        <v>538</v>
      </c>
    </row>
    <row r="1773" spans="1:19">
      <c r="A1773" s="3">
        <v>182</v>
      </c>
      <c r="B1773" s="3" t="b">
        <f>ISNUMBER(MATCH(A1773,[1]stockregister!$A$2:$A$2000,0))</f>
        <v>1</v>
      </c>
      <c r="C1773" s="3" t="s">
        <v>4101</v>
      </c>
      <c r="D1773" s="3" t="str">
        <f>VLOOKUP($C1773,[1]stockregister!$B$2:$B$2000,1,0)</f>
        <v>BARON DE VALLS SPARKLING WHITE WINE 750ML</v>
      </c>
      <c r="E1773" s="3" t="str">
        <f>IF(ISNA($D1773),VLOOKUP($A1773,[2]stockregister!$A$2:$B$2000,2,FALSE),"")</f>
        <v/>
      </c>
      <c r="F1773" s="3" t="s">
        <v>21</v>
      </c>
      <c r="G1773" s="3">
        <f>_xlfn.IFNA(VLOOKUP($A1773,[3]stockregister!$A$2:$L$2000,11,0),0)</f>
        <v>0</v>
      </c>
      <c r="H1773" s="3">
        <f>_xlfn.IFNA(VLOOKUP($A1773,[3]stockregister!$A$2:$L$2000,11,0),0)-$G1773</f>
        <v>0</v>
      </c>
      <c r="I1773" s="3">
        <f>_xlfn.IFNA(VLOOKUP($A1773,[3]stockregister!$A$2:$L$2000,12,0),0)</f>
        <v>1104</v>
      </c>
      <c r="J1773" s="3">
        <f>_xlfn.IFNA(VLOOKUP($A1773,[3]stockregister!$A$1:$M$2000,12,0),0)-$I1773</f>
        <v>0</v>
      </c>
      <c r="K1773" s="3" t="s">
        <v>22</v>
      </c>
      <c r="L1773" s="3" t="s">
        <v>23</v>
      </c>
      <c r="M1773" s="3">
        <f>_xlfn.IFNA(VLOOKUP($A1773,[2]stockregister!$A$2:$H$2000,8,0),0)</f>
        <v>1200</v>
      </c>
      <c r="N1773" s="3">
        <f>_xlfn.IFNA(VLOOKUP($A1773,[2]stockregister!$A$2:$H$2000,8,0),0)-$M1773</f>
        <v>0</v>
      </c>
      <c r="O1773" s="3" t="s">
        <v>4102</v>
      </c>
      <c r="P1773" s="3" t="s">
        <v>4102</v>
      </c>
      <c r="Q1773" s="3" t="s">
        <v>4103</v>
      </c>
      <c r="R1773" s="3" t="s">
        <v>68</v>
      </c>
      <c r="S1773" s="3" t="s">
        <v>538</v>
      </c>
    </row>
    <row r="1774" spans="1:19">
      <c r="A1774" s="3">
        <v>1420</v>
      </c>
      <c r="B1774" s="3" t="b">
        <f>ISNUMBER(MATCH(A1774,[1]stockregister!$A$2:$A$2000,0))</f>
        <v>1</v>
      </c>
      <c r="C1774" s="3" t="s">
        <v>4104</v>
      </c>
      <c r="D1774" s="3" t="str">
        <f>VLOOKUP($C1774,[1]stockregister!$B$2:$B$2000,1,0)</f>
        <v>MESTA RED 750ML</v>
      </c>
      <c r="E1774" s="3" t="str">
        <f>IF(ISNA($D1774),VLOOKUP($A1774,[2]stockregister!$A$2:$B$2000,2,FALSE),"")</f>
        <v/>
      </c>
      <c r="F1774" s="3" t="s">
        <v>21</v>
      </c>
      <c r="G1774" s="3">
        <f>_xlfn.IFNA(VLOOKUP($A1774,[3]stockregister!$A$2:$L$2000,11,0),0)</f>
        <v>0</v>
      </c>
      <c r="H1774" s="3">
        <f>_xlfn.IFNA(VLOOKUP($A1774,[3]stockregister!$A$2:$L$2000,11,0),0)-$G1774</f>
        <v>0</v>
      </c>
      <c r="I1774" s="3">
        <f>_xlfn.IFNA(VLOOKUP($A1774,[3]stockregister!$A$2:$L$2000,12,0),0)</f>
        <v>1300</v>
      </c>
      <c r="J1774" s="3">
        <f>_xlfn.IFNA(VLOOKUP($A1774,[3]stockregister!$A$1:$M$2000,12,0),0)-$I1774</f>
        <v>0</v>
      </c>
      <c r="K1774" s="3" t="s">
        <v>22</v>
      </c>
      <c r="L1774" s="3" t="s">
        <v>23</v>
      </c>
      <c r="M1774" s="3">
        <f>_xlfn.IFNA(VLOOKUP($A1774,[2]stockregister!$A$2:$H$2000,8,0),0)</f>
        <v>1500</v>
      </c>
      <c r="N1774" s="3">
        <f>_xlfn.IFNA(VLOOKUP($A1774,[2]stockregister!$A$2:$H$2000,8,0),0)-$M1774</f>
        <v>0</v>
      </c>
      <c r="O1774" s="3" t="s">
        <v>4105</v>
      </c>
      <c r="P1774" s="3" t="s">
        <v>4105</v>
      </c>
      <c r="Q1774" s="3" t="s">
        <v>3958</v>
      </c>
      <c r="R1774" s="3" t="s">
        <v>68</v>
      </c>
      <c r="S1774" s="3" t="s">
        <v>88</v>
      </c>
    </row>
    <row r="1775" spans="1:19">
      <c r="A1775" s="3">
        <v>1486</v>
      </c>
      <c r="B1775" s="3" t="b">
        <f>ISNUMBER(MATCH(A1775,[1]stockregister!$A$2:$A$2000,0))</f>
        <v>1</v>
      </c>
      <c r="C1775" s="3" t="s">
        <v>4106</v>
      </c>
      <c r="D1775" s="3" t="str">
        <f>VLOOKUP($C1775,[1]stockregister!$B$2:$B$2000,1,0)</f>
        <v>MUCHO MAS RED 1.5ltrs</v>
      </c>
      <c r="E1775" s="3" t="str">
        <f>IF(ISNA($D1775),VLOOKUP($A1775,[2]stockregister!$A$2:$B$2000,2,FALSE),"")</f>
        <v/>
      </c>
      <c r="F1775" s="3" t="s">
        <v>21</v>
      </c>
      <c r="G1775" s="3">
        <f>_xlfn.IFNA(VLOOKUP($A1775,[3]stockregister!$A$2:$L$2000,11,0),0)</f>
        <v>0</v>
      </c>
      <c r="H1775" s="3">
        <f>_xlfn.IFNA(VLOOKUP($A1775,[3]stockregister!$A$2:$L$2000,11,0),0)-$G1775</f>
        <v>0</v>
      </c>
      <c r="I1775" s="3">
        <f>_xlfn.IFNA(VLOOKUP($A1775,[3]stockregister!$A$2:$L$2000,12,0),0)</f>
        <v>2900</v>
      </c>
      <c r="J1775" s="3">
        <f>_xlfn.IFNA(VLOOKUP($A1775,[3]stockregister!$A$1:$M$2000,12,0),0)-$I1775</f>
        <v>0</v>
      </c>
      <c r="K1775" s="3" t="s">
        <v>22</v>
      </c>
      <c r="L1775" s="3" t="s">
        <v>23</v>
      </c>
      <c r="M1775" s="3">
        <f>_xlfn.IFNA(VLOOKUP($A1775,[2]stockregister!$A$2:$H$2000,8,0),0)</f>
        <v>3300</v>
      </c>
      <c r="N1775" s="3">
        <f>_xlfn.IFNA(VLOOKUP($A1775,[2]stockregister!$A$2:$H$2000,8,0),0)-$M1775</f>
        <v>0</v>
      </c>
      <c r="O1775" s="3" t="s">
        <v>4107</v>
      </c>
      <c r="P1775" s="3" t="s">
        <v>4107</v>
      </c>
      <c r="Q1775" s="3" t="s">
        <v>195</v>
      </c>
      <c r="R1775" s="3" t="s">
        <v>68</v>
      </c>
      <c r="S1775" s="3" t="s">
        <v>88</v>
      </c>
    </row>
    <row r="1776" spans="1:19">
      <c r="A1776" s="3">
        <v>1487</v>
      </c>
      <c r="B1776" s="3" t="b">
        <f>ISNUMBER(MATCH(A1776,[1]stockregister!$A$2:$A$2000,0))</f>
        <v>1</v>
      </c>
      <c r="C1776" s="3" t="s">
        <v>4108</v>
      </c>
      <c r="D1776" s="3" t="str">
        <f>VLOOKUP($C1776,[1]stockregister!$B$2:$B$2000,1,0)</f>
        <v>MUCHO MAS RED 750ML</v>
      </c>
      <c r="E1776" s="3" t="str">
        <f>IF(ISNA($D1776),VLOOKUP($A1776,[2]stockregister!$A$2:$B$2000,2,FALSE),"")</f>
        <v/>
      </c>
      <c r="F1776" s="3" t="s">
        <v>21</v>
      </c>
      <c r="G1776" s="3">
        <f>_xlfn.IFNA(VLOOKUP($A1776,[3]stockregister!$A$2:$L$2000,11,0),0)</f>
        <v>0</v>
      </c>
      <c r="H1776" s="3">
        <f>_xlfn.IFNA(VLOOKUP($A1776,[3]stockregister!$A$2:$L$2000,11,0),0)-$G1776</f>
        <v>0</v>
      </c>
      <c r="I1776" s="3">
        <f>_xlfn.IFNA(VLOOKUP($A1776,[3]stockregister!$A$2:$L$2000,12,0),0)</f>
        <v>1500</v>
      </c>
      <c r="J1776" s="3">
        <f>_xlfn.IFNA(VLOOKUP($A1776,[3]stockregister!$A$1:$M$2000,12,0),0)-$I1776</f>
        <v>0</v>
      </c>
      <c r="K1776" s="3" t="s">
        <v>22</v>
      </c>
      <c r="L1776" s="3" t="s">
        <v>23</v>
      </c>
      <c r="M1776" s="3">
        <f>_xlfn.IFNA(VLOOKUP($A1776,[2]stockregister!$A$2:$H$2000,8,0),0)</f>
        <v>1750</v>
      </c>
      <c r="N1776" s="3">
        <f>_xlfn.IFNA(VLOOKUP($A1776,[2]stockregister!$A$2:$H$2000,8,0),0)-$M1776</f>
        <v>0</v>
      </c>
      <c r="O1776" s="3" t="s">
        <v>4109</v>
      </c>
      <c r="P1776" s="3" t="s">
        <v>4109</v>
      </c>
      <c r="Q1776" s="3" t="s">
        <v>195</v>
      </c>
      <c r="R1776" s="3" t="s">
        <v>68</v>
      </c>
      <c r="S1776" s="3" t="s">
        <v>88</v>
      </c>
    </row>
    <row r="1777" spans="1:19">
      <c r="A1777" s="3">
        <v>369</v>
      </c>
      <c r="B1777" s="3" t="b">
        <f>ISNUMBER(MATCH(A1777,[1]stockregister!$A$2:$A$2000,0))</f>
        <v>1</v>
      </c>
      <c r="C1777" s="3" t="s">
        <v>4110</v>
      </c>
      <c r="D1777" s="3" t="str">
        <f>VLOOKUP($C1777,[1]stockregister!$B$2:$B$2000,1,0)</f>
        <v>CAPRICE NATURAL SWEET RED 1LTR</v>
      </c>
      <c r="E1777" s="3" t="str">
        <f>IF(ISNA($D1777),VLOOKUP($A1777,[2]stockregister!$A$2:$B$2000,2,FALSE),"")</f>
        <v/>
      </c>
      <c r="F1777" s="3" t="s">
        <v>21</v>
      </c>
      <c r="G1777" s="3">
        <f>_xlfn.IFNA(VLOOKUP($A1777,[3]stockregister!$A$2:$L$2000,11,0),0)</f>
        <v>72</v>
      </c>
      <c r="H1777" s="3">
        <f>_xlfn.IFNA(VLOOKUP($A1777,[3]stockregister!$A$2:$L$2000,11,0),0)-$G1777</f>
        <v>0</v>
      </c>
      <c r="I1777" s="3">
        <f>_xlfn.IFNA(VLOOKUP($A1777,[3]stockregister!$A$2:$L$2000,12,0),0)</f>
        <v>868.99</v>
      </c>
      <c r="J1777" s="3">
        <f>_xlfn.IFNA(VLOOKUP($A1777,[3]stockregister!$A$1:$M$2000,12,0),0)-$I1777</f>
        <v>0</v>
      </c>
      <c r="K1777" s="3" t="s">
        <v>22</v>
      </c>
      <c r="L1777" s="3" t="s">
        <v>23</v>
      </c>
      <c r="M1777" s="3">
        <f>_xlfn.IFNA(VLOOKUP($A1777,[2]stockregister!$A$2:$H$2000,8,0),0)</f>
        <v>880</v>
      </c>
      <c r="N1777" s="3">
        <f>_xlfn.IFNA(VLOOKUP($A1777,[2]stockregister!$A$2:$H$2000,8,0),0)-$M1777</f>
        <v>0</v>
      </c>
      <c r="O1777" s="3" t="s">
        <v>4111</v>
      </c>
      <c r="P1777" s="3" t="s">
        <v>4111</v>
      </c>
      <c r="Q1777" s="3" t="s">
        <v>921</v>
      </c>
      <c r="R1777" s="3" t="s">
        <v>68</v>
      </c>
      <c r="S1777" s="3" t="s">
        <v>88</v>
      </c>
    </row>
    <row r="1778" spans="1:19">
      <c r="A1778" s="3">
        <v>746</v>
      </c>
      <c r="B1778" s="3" t="b">
        <f>ISNUMBER(MATCH(A1778,[1]stockregister!$A$2:$A$2000,0))</f>
        <v>1</v>
      </c>
      <c r="C1778" s="3" t="s">
        <v>4112</v>
      </c>
      <c r="D1778" s="3" t="str">
        <f>VLOOKUP($C1778,[1]stockregister!$B$2:$B$2000,1,0)</f>
        <v>FOUR COUSIN SWEET RED 5LTR</v>
      </c>
      <c r="E1778" s="3" t="str">
        <f>IF(ISNA($D1778),VLOOKUP($A1778,[2]stockregister!$A$2:$B$2000,2,FALSE),"")</f>
        <v/>
      </c>
      <c r="F1778" s="3" t="s">
        <v>21</v>
      </c>
      <c r="G1778" s="3">
        <f>_xlfn.IFNA(VLOOKUP($A1778,[3]stockregister!$A$2:$L$2000,11,0),0)</f>
        <v>0</v>
      </c>
      <c r="H1778" s="3">
        <f>_xlfn.IFNA(VLOOKUP($A1778,[3]stockregister!$A$2:$L$2000,11,0),0)-$G1778</f>
        <v>0</v>
      </c>
      <c r="I1778" s="3">
        <f>_xlfn.IFNA(VLOOKUP($A1778,[3]stockregister!$A$2:$L$2000,12,0),0)</f>
        <v>3128</v>
      </c>
      <c r="J1778" s="3">
        <f>_xlfn.IFNA(VLOOKUP($A1778,[3]stockregister!$A$1:$M$2000,12,0),0)-$I1778</f>
        <v>0</v>
      </c>
      <c r="K1778" s="3" t="s">
        <v>22</v>
      </c>
      <c r="L1778" s="3" t="s">
        <v>23</v>
      </c>
      <c r="M1778" s="3">
        <f>_xlfn.IFNA(VLOOKUP($A1778,[2]stockregister!$A$2:$H$2000,8,0),0)</f>
        <v>3400</v>
      </c>
      <c r="N1778" s="3">
        <f>_xlfn.IFNA(VLOOKUP($A1778,[2]stockregister!$A$2:$H$2000,8,0),0)-$M1778</f>
        <v>0</v>
      </c>
      <c r="O1778" s="3" t="s">
        <v>4113</v>
      </c>
      <c r="P1778" s="3" t="s">
        <v>4113</v>
      </c>
      <c r="Q1778" s="3" t="s">
        <v>137</v>
      </c>
      <c r="R1778" s="3" t="s">
        <v>68</v>
      </c>
      <c r="S1778" s="3" t="s">
        <v>88</v>
      </c>
    </row>
    <row r="1779" spans="1:19">
      <c r="A1779" s="3">
        <v>428</v>
      </c>
      <c r="B1779" s="3" t="b">
        <f>ISNUMBER(MATCH(A1779,[1]stockregister!$A$2:$A$2000,0))</f>
        <v>1</v>
      </c>
      <c r="C1779" s="3" t="s">
        <v>645</v>
      </c>
      <c r="D1779" s="3" t="str">
        <f>VLOOKUP($C1779,[1]stockregister!$B$2:$B$2000,1,0)</f>
        <v>CHAMDOR RED  750ML</v>
      </c>
      <c r="E1779" s="3" t="str">
        <f>IF(ISNA($D1779),VLOOKUP($A1779,[2]stockregister!$A$2:$B$2000,2,FALSE),"")</f>
        <v/>
      </c>
      <c r="F1779" s="3" t="s">
        <v>21</v>
      </c>
      <c r="G1779" s="3">
        <f>_xlfn.IFNA(VLOOKUP($A1779,[3]stockregister!$A$2:$L$2000,11,0),0)</f>
        <v>0</v>
      </c>
      <c r="H1779" s="3">
        <f>_xlfn.IFNA(VLOOKUP($A1779,[3]stockregister!$A$2:$L$2000,11,0),0)-$G1779</f>
        <v>0</v>
      </c>
      <c r="I1779" s="3">
        <f>_xlfn.IFNA(VLOOKUP($A1779,[3]stockregister!$A$2:$L$2000,12,0),0)</f>
        <v>709.9</v>
      </c>
      <c r="J1779" s="3">
        <f>_xlfn.IFNA(VLOOKUP($A1779,[3]stockregister!$A$1:$M$2000,12,0),0)-$I1779</f>
        <v>0</v>
      </c>
      <c r="K1779" s="3" t="s">
        <v>22</v>
      </c>
      <c r="L1779" s="3" t="s">
        <v>23</v>
      </c>
      <c r="M1779" s="3">
        <f>_xlfn.IFNA(VLOOKUP($A1779,[2]stockregister!$A$2:$H$2000,8,0),0)</f>
        <v>760</v>
      </c>
      <c r="N1779" s="3">
        <f>_xlfn.IFNA(VLOOKUP($A1779,[2]stockregister!$A$2:$H$2000,8,0),0)-$M1779</f>
        <v>0</v>
      </c>
      <c r="O1779" s="3" t="s">
        <v>4114</v>
      </c>
      <c r="P1779" s="3" t="s">
        <v>4114</v>
      </c>
      <c r="Q1779" s="3" t="s">
        <v>1048</v>
      </c>
      <c r="R1779" s="3" t="s">
        <v>68</v>
      </c>
      <c r="S1779" s="3" t="s">
        <v>88</v>
      </c>
    </row>
    <row r="1780" spans="1:19">
      <c r="A1780" s="3">
        <v>14</v>
      </c>
      <c r="B1780" s="3" t="b">
        <f>ISNUMBER(MATCH(A1780,[1]stockregister!$A$2:$A$2000,0))</f>
        <v>1</v>
      </c>
      <c r="C1780" s="3" t="s">
        <v>4115</v>
      </c>
      <c r="D1780" s="3" t="str">
        <f>VLOOKUP($C1780,[1]stockregister!$B$2:$B$2000,1,0)</f>
        <v>4TH STREET RED 5LTR</v>
      </c>
      <c r="E1780" s="3" t="str">
        <f>IF(ISNA($D1780),VLOOKUP($A1780,[2]stockregister!$A$2:$B$2000,2,FALSE),"")</f>
        <v/>
      </c>
      <c r="F1780" s="3" t="s">
        <v>21</v>
      </c>
      <c r="G1780" s="3">
        <f>_xlfn.IFNA(VLOOKUP($A1780,[3]stockregister!$A$2:$L$2000,11,0),0)</f>
        <v>0</v>
      </c>
      <c r="H1780" s="3">
        <f>_xlfn.IFNA(VLOOKUP($A1780,[3]stockregister!$A$2:$L$2000,11,0),0)-$G1780</f>
        <v>0</v>
      </c>
      <c r="I1780" s="3">
        <f>_xlfn.IFNA(VLOOKUP($A1780,[3]stockregister!$A$2:$L$2000,12,0),0)</f>
        <v>3300</v>
      </c>
      <c r="J1780" s="3">
        <f>_xlfn.IFNA(VLOOKUP($A1780,[3]stockregister!$A$1:$M$2000,12,0),0)-$I1780</f>
        <v>0</v>
      </c>
      <c r="K1780" s="3" t="s">
        <v>22</v>
      </c>
      <c r="L1780" s="3" t="s">
        <v>23</v>
      </c>
      <c r="M1780" s="3">
        <f>_xlfn.IFNA(VLOOKUP($A1780,[2]stockregister!$A$2:$H$2000,8,0),0)</f>
        <v>3800</v>
      </c>
      <c r="N1780" s="3">
        <f>_xlfn.IFNA(VLOOKUP($A1780,[2]stockregister!$A$2:$H$2000,8,0),0)-$M1780</f>
        <v>0</v>
      </c>
      <c r="O1780" s="3" t="s">
        <v>4116</v>
      </c>
      <c r="P1780" s="3" t="s">
        <v>4116</v>
      </c>
      <c r="Q1780" s="3" t="s">
        <v>120</v>
      </c>
      <c r="R1780" s="3" t="s">
        <v>68</v>
      </c>
      <c r="S1780" s="3" t="s">
        <v>88</v>
      </c>
    </row>
    <row r="1781" spans="1:19">
      <c r="A1781" s="3">
        <v>123</v>
      </c>
      <c r="B1781" s="3" t="b">
        <f>ISNUMBER(MATCH(A1781,[1]stockregister!$A$2:$A$2000,0))</f>
        <v>1</v>
      </c>
      <c r="C1781" s="3" t="s">
        <v>4117</v>
      </c>
      <c r="D1781" s="3" t="str">
        <f>VLOOKUP($C1781,[1]stockregister!$B$2:$B$2000,1,0)</f>
        <v>ASCONI PASTORAL WINE 750ML</v>
      </c>
      <c r="E1781" s="3" t="str">
        <f>IF(ISNA($D1781),VLOOKUP($A1781,[2]stockregister!$A$2:$B$2000,2,FALSE),"")</f>
        <v/>
      </c>
      <c r="F1781" s="3" t="s">
        <v>21</v>
      </c>
      <c r="G1781" s="3">
        <f>_xlfn.IFNA(VLOOKUP($A1781,[3]stockregister!$A$2:$L$2000,11,0),0)</f>
        <v>0</v>
      </c>
      <c r="H1781" s="3">
        <f>_xlfn.IFNA(VLOOKUP($A1781,[3]stockregister!$A$2:$L$2000,11,0),0)-$G1781</f>
        <v>0</v>
      </c>
      <c r="I1781" s="3">
        <f>_xlfn.IFNA(VLOOKUP($A1781,[3]stockregister!$A$2:$L$2000,12,0),0)</f>
        <v>1550</v>
      </c>
      <c r="J1781" s="3">
        <f>_xlfn.IFNA(VLOOKUP($A1781,[3]stockregister!$A$1:$M$2000,12,0),0)-$I1781</f>
        <v>0</v>
      </c>
      <c r="K1781" s="3" t="s">
        <v>22</v>
      </c>
      <c r="L1781" s="3" t="s">
        <v>23</v>
      </c>
      <c r="M1781" s="3">
        <f>_xlfn.IFNA(VLOOKUP($A1781,[2]stockregister!$A$2:$H$2000,8,0),0)</f>
        <v>1630</v>
      </c>
      <c r="N1781" s="3">
        <f>_xlfn.IFNA(VLOOKUP($A1781,[2]stockregister!$A$2:$H$2000,8,0),0)-$M1781</f>
        <v>0</v>
      </c>
      <c r="O1781" s="3" t="s">
        <v>4118</v>
      </c>
      <c r="P1781" s="3" t="s">
        <v>4118</v>
      </c>
      <c r="Q1781" s="3" t="s">
        <v>1029</v>
      </c>
      <c r="R1781" s="3" t="s">
        <v>68</v>
      </c>
      <c r="S1781" s="3" t="s">
        <v>88</v>
      </c>
    </row>
    <row r="1782" spans="1:19">
      <c r="A1782" s="3">
        <v>1699</v>
      </c>
      <c r="B1782" s="3" t="b">
        <f>ISNUMBER(MATCH(A1782,[1]stockregister!$A$2:$A$2000,0))</f>
        <v>1</v>
      </c>
      <c r="C1782" s="3" t="s">
        <v>4119</v>
      </c>
      <c r="D1782" s="3" t="str">
        <f>VLOOKUP($C1782,[1]stockregister!$B$2:$B$2000,1,0)</f>
        <v>ROSSO NOBILE RASPBERRY &amp; LEMON - BUBBLY 750ML</v>
      </c>
      <c r="E1782" s="3" t="str">
        <f>IF(ISNA($D1782),VLOOKUP($A1782,[2]stockregister!$A$2:$B$2000,2,FALSE),"")</f>
        <v/>
      </c>
      <c r="F1782" s="3" t="s">
        <v>21</v>
      </c>
      <c r="G1782" s="3">
        <f>_xlfn.IFNA(VLOOKUP($A1782,[3]stockregister!$A$2:$L$2000,11,0),0)</f>
        <v>0</v>
      </c>
      <c r="H1782" s="3">
        <f>_xlfn.IFNA(VLOOKUP($A1782,[3]stockregister!$A$2:$L$2000,11,0),0)-$G1782</f>
        <v>0</v>
      </c>
      <c r="I1782" s="3">
        <f>_xlfn.IFNA(VLOOKUP($A1782,[3]stockregister!$A$2:$L$2000,12,0),0)</f>
        <v>1100</v>
      </c>
      <c r="J1782" s="3">
        <f>_xlfn.IFNA(VLOOKUP($A1782,[3]stockregister!$A$1:$M$2000,12,0),0)-$I1782</f>
        <v>0</v>
      </c>
      <c r="K1782" s="3" t="s">
        <v>22</v>
      </c>
      <c r="L1782" s="3" t="s">
        <v>23</v>
      </c>
      <c r="M1782" s="3">
        <f>_xlfn.IFNA(VLOOKUP($A1782,[2]stockregister!$A$2:$H$2000,8,0),0)</f>
        <v>1200</v>
      </c>
      <c r="N1782" s="3">
        <f>_xlfn.IFNA(VLOOKUP($A1782,[2]stockregister!$A$2:$H$2000,8,0),0)-$M1782</f>
        <v>0</v>
      </c>
      <c r="O1782" s="3" t="s">
        <v>4120</v>
      </c>
      <c r="P1782" s="3" t="s">
        <v>4120</v>
      </c>
      <c r="Q1782" s="3" t="s">
        <v>67</v>
      </c>
      <c r="R1782" s="3" t="s">
        <v>68</v>
      </c>
      <c r="S1782" s="3" t="s">
        <v>88</v>
      </c>
    </row>
    <row r="1783" spans="1:19">
      <c r="A1783" s="3">
        <v>1623</v>
      </c>
      <c r="B1783" s="3" t="b">
        <f>ISNUMBER(MATCH(A1783,[1]stockregister!$A$2:$A$2000,0))</f>
        <v>1</v>
      </c>
      <c r="C1783" s="3" t="s">
        <v>4121</v>
      </c>
      <c r="D1783" s="3" t="str">
        <f>VLOOKUP($C1783,[1]stockregister!$B$2:$B$2000,1,0)</f>
        <v>PIERRE MARCEL SWEET RED 750ML</v>
      </c>
      <c r="E1783" s="3" t="str">
        <f>IF(ISNA($D1783),VLOOKUP($A1783,[2]stockregister!$A$2:$B$2000,2,FALSE),"")</f>
        <v/>
      </c>
      <c r="F1783" s="3" t="s">
        <v>21</v>
      </c>
      <c r="G1783" s="3">
        <f>_xlfn.IFNA(VLOOKUP($A1783,[3]stockregister!$A$2:$L$2000,11,0),0)</f>
        <v>204</v>
      </c>
      <c r="H1783" s="3">
        <f>_xlfn.IFNA(VLOOKUP($A1783,[3]stockregister!$A$2:$L$2000,11,0),0)-$G1783</f>
        <v>0</v>
      </c>
      <c r="I1783" s="3">
        <f>_xlfn.IFNA(VLOOKUP($A1783,[3]stockregister!$A$2:$L$2000,12,0),0)</f>
        <v>1100</v>
      </c>
      <c r="J1783" s="3">
        <f>_xlfn.IFNA(VLOOKUP($A1783,[3]stockregister!$A$1:$M$2000,12,0),0)-$I1783</f>
        <v>0</v>
      </c>
      <c r="K1783" s="3" t="s">
        <v>22</v>
      </c>
      <c r="L1783" s="3" t="s">
        <v>23</v>
      </c>
      <c r="M1783" s="3">
        <f>_xlfn.IFNA(VLOOKUP($A1783,[2]stockregister!$A$2:$H$2000,8,0),0)</f>
        <v>1200</v>
      </c>
      <c r="N1783" s="3">
        <f>_xlfn.IFNA(VLOOKUP($A1783,[2]stockregister!$A$2:$H$2000,8,0),0)-$M1783</f>
        <v>0</v>
      </c>
      <c r="O1783" s="3" t="s">
        <v>4122</v>
      </c>
      <c r="P1783" s="3" t="s">
        <v>4122</v>
      </c>
      <c r="Q1783" s="3" t="s">
        <v>737</v>
      </c>
      <c r="R1783" s="3" t="s">
        <v>68</v>
      </c>
      <c r="S1783" s="3" t="s">
        <v>88</v>
      </c>
    </row>
    <row r="1784" spans="1:19">
      <c r="A1784" s="3">
        <v>226</v>
      </c>
      <c r="B1784" s="3" t="b">
        <f>ISNUMBER(MATCH(A1784,[1]stockregister!$A$2:$A$2000,0))</f>
        <v>1</v>
      </c>
      <c r="C1784" s="3" t="s">
        <v>4123</v>
      </c>
      <c r="D1784" s="3" t="str">
        <f>VLOOKUP($C1784,[1]stockregister!$B$2:$B$2000,1,0)</f>
        <v>BIRDS N BEES SWEET RED 750ML</v>
      </c>
      <c r="E1784" s="3" t="str">
        <f>IF(ISNA($D1784),VLOOKUP($A1784,[2]stockregister!$A$2:$B$2000,2,FALSE),"")</f>
        <v/>
      </c>
      <c r="F1784" s="3" t="s">
        <v>21</v>
      </c>
      <c r="G1784" s="3">
        <f>_xlfn.IFNA(VLOOKUP($A1784,[3]stockregister!$A$2:$L$2000,11,0),0)</f>
        <v>0</v>
      </c>
      <c r="H1784" s="3">
        <f>_xlfn.IFNA(VLOOKUP($A1784,[3]stockregister!$A$2:$L$2000,11,0),0)-$G1784</f>
        <v>0</v>
      </c>
      <c r="I1784" s="3">
        <f>_xlfn.IFNA(VLOOKUP($A1784,[3]stockregister!$A$2:$L$2000,12,0),0)</f>
        <v>1084</v>
      </c>
      <c r="J1784" s="3">
        <f>_xlfn.IFNA(VLOOKUP($A1784,[3]stockregister!$A$1:$M$2000,12,0),0)-$I1784</f>
        <v>0</v>
      </c>
      <c r="K1784" s="3" t="s">
        <v>22</v>
      </c>
      <c r="L1784" s="3" t="s">
        <v>23</v>
      </c>
      <c r="M1784" s="3">
        <f>_xlfn.IFNA(VLOOKUP($A1784,[2]stockregister!$A$2:$H$2000,8,0),0)</f>
        <v>1300</v>
      </c>
      <c r="N1784" s="3">
        <f>_xlfn.IFNA(VLOOKUP($A1784,[2]stockregister!$A$2:$H$2000,8,0),0)-$M1784</f>
        <v>0</v>
      </c>
      <c r="O1784" s="3" t="s">
        <v>4124</v>
      </c>
      <c r="P1784" s="3" t="s">
        <v>4124</v>
      </c>
      <c r="Q1784" s="3" t="s">
        <v>4125</v>
      </c>
      <c r="R1784" s="3" t="s">
        <v>68</v>
      </c>
      <c r="S1784" s="3" t="s">
        <v>88</v>
      </c>
    </row>
    <row r="1785" spans="1:19">
      <c r="A1785" s="3">
        <v>1670</v>
      </c>
      <c r="B1785" s="3" t="b">
        <f>ISNUMBER(MATCH(A1785,[1]stockregister!$A$2:$A$2000,0))</f>
        <v>1</v>
      </c>
      <c r="C1785" s="3" t="s">
        <v>4126</v>
      </c>
      <c r="D1785" s="3" t="str">
        <f>VLOOKUP($C1785,[1]stockregister!$B$2:$B$2000,1,0)</f>
        <v>ROBERTSON - SWEET RED 1.5LT</v>
      </c>
      <c r="E1785" s="3" t="str">
        <f>IF(ISNA($D1785),VLOOKUP($A1785,[2]stockregister!$A$2:$B$2000,2,FALSE),"")</f>
        <v/>
      </c>
      <c r="F1785" s="3" t="s">
        <v>21</v>
      </c>
      <c r="G1785" s="3">
        <f>_xlfn.IFNA(VLOOKUP($A1785,[3]stockregister!$A$2:$L$2000,11,0),0)</f>
        <v>0</v>
      </c>
      <c r="H1785" s="3">
        <f>_xlfn.IFNA(VLOOKUP($A1785,[3]stockregister!$A$2:$L$2000,11,0),0)-$G1785</f>
        <v>0</v>
      </c>
      <c r="I1785" s="3">
        <f>_xlfn.IFNA(VLOOKUP($A1785,[3]stockregister!$A$2:$L$2000,12,0),0)</f>
        <v>1030</v>
      </c>
      <c r="J1785" s="3">
        <f>_xlfn.IFNA(VLOOKUP($A1785,[3]stockregister!$A$1:$M$2000,12,0),0)-$I1785</f>
        <v>0</v>
      </c>
      <c r="K1785" s="3" t="s">
        <v>22</v>
      </c>
      <c r="L1785" s="3" t="s">
        <v>23</v>
      </c>
      <c r="M1785" s="3">
        <f>_xlfn.IFNA(VLOOKUP($A1785,[2]stockregister!$A$2:$H$2000,8,0),0)</f>
        <v>1700</v>
      </c>
      <c r="N1785" s="3">
        <f>_xlfn.IFNA(VLOOKUP($A1785,[2]stockregister!$A$2:$H$2000,8,0),0)-$M1785</f>
        <v>0</v>
      </c>
      <c r="O1785" s="3" t="s">
        <v>4127</v>
      </c>
      <c r="P1785" s="3" t="s">
        <v>4127</v>
      </c>
      <c r="Q1785" s="3" t="s">
        <v>522</v>
      </c>
      <c r="R1785" s="3" t="s">
        <v>68</v>
      </c>
      <c r="S1785" s="3" t="s">
        <v>88</v>
      </c>
    </row>
    <row r="1786" spans="1:19">
      <c r="A1786" s="3">
        <v>13</v>
      </c>
      <c r="B1786" s="3" t="b">
        <f>ISNUMBER(MATCH(A1786,[1]stockregister!$A$2:$A$2000,0))</f>
        <v>1</v>
      </c>
      <c r="C1786" s="3" t="s">
        <v>4128</v>
      </c>
      <c r="D1786" s="3" t="str">
        <f>VLOOKUP($C1786,[1]stockregister!$B$2:$B$2000,1,0)</f>
        <v>4TH STREET RED 1.5LTR</v>
      </c>
      <c r="E1786" s="3" t="str">
        <f>IF(ISNA($D1786),VLOOKUP($A1786,[2]stockregister!$A$2:$B$2000,2,FALSE),"")</f>
        <v/>
      </c>
      <c r="F1786" s="3" t="s">
        <v>21</v>
      </c>
      <c r="G1786" s="3">
        <f>_xlfn.IFNA(VLOOKUP($A1786,[3]stockregister!$A$2:$L$2000,11,0),0)</f>
        <v>0</v>
      </c>
      <c r="H1786" s="3">
        <f>_xlfn.IFNA(VLOOKUP($A1786,[3]stockregister!$A$2:$L$2000,11,0),0)-$G1786</f>
        <v>0</v>
      </c>
      <c r="I1786" s="3">
        <f>_xlfn.IFNA(VLOOKUP($A1786,[3]stockregister!$A$2:$L$2000,12,0),0)</f>
        <v>1400</v>
      </c>
      <c r="J1786" s="3">
        <f>_xlfn.IFNA(VLOOKUP($A1786,[3]stockregister!$A$1:$M$2000,12,0),0)-$I1786</f>
        <v>0</v>
      </c>
      <c r="K1786" s="3" t="s">
        <v>22</v>
      </c>
      <c r="L1786" s="3" t="s">
        <v>23</v>
      </c>
      <c r="M1786" s="3">
        <f>_xlfn.IFNA(VLOOKUP($A1786,[2]stockregister!$A$2:$H$2000,8,0),0)</f>
        <v>1650</v>
      </c>
      <c r="N1786" s="3">
        <f>_xlfn.IFNA(VLOOKUP($A1786,[2]stockregister!$A$2:$H$2000,8,0),0)-$M1786</f>
        <v>0</v>
      </c>
      <c r="O1786" s="3" t="s">
        <v>4129</v>
      </c>
      <c r="P1786" s="3" t="s">
        <v>4129</v>
      </c>
      <c r="Q1786" s="3" t="s">
        <v>120</v>
      </c>
      <c r="R1786" s="3" t="s">
        <v>68</v>
      </c>
      <c r="S1786" s="3" t="s">
        <v>88</v>
      </c>
    </row>
    <row r="1787" spans="1:19">
      <c r="A1787" s="3">
        <v>800</v>
      </c>
      <c r="B1787" s="3" t="b">
        <f>ISNUMBER(MATCH(A1787,[1]stockregister!$A$2:$A$2000,0))</f>
        <v>1</v>
      </c>
      <c r="C1787" s="3" t="s">
        <v>4130</v>
      </c>
      <c r="D1787" s="3" t="str">
        <f>VLOOKUP($C1787,[1]stockregister!$B$2:$B$2000,1,0)</f>
        <v>FRONTERA SWEET RED 750ML</v>
      </c>
      <c r="E1787" s="3" t="str">
        <f>IF(ISNA($D1787),VLOOKUP($A1787,[2]stockregister!$A$2:$B$2000,2,FALSE),"")</f>
        <v/>
      </c>
      <c r="F1787" s="3" t="s">
        <v>21</v>
      </c>
      <c r="G1787" s="3">
        <f>_xlfn.IFNA(VLOOKUP($A1787,[3]stockregister!$A$2:$L$2000,11,0),0)</f>
        <v>0</v>
      </c>
      <c r="H1787" s="3">
        <f>_xlfn.IFNA(VLOOKUP($A1787,[3]stockregister!$A$2:$L$2000,11,0),0)-$G1787</f>
        <v>0</v>
      </c>
      <c r="I1787" s="3">
        <f>_xlfn.IFNA(VLOOKUP($A1787,[3]stockregister!$A$2:$L$2000,12,0),0)</f>
        <v>978.4</v>
      </c>
      <c r="J1787" s="3">
        <f>_xlfn.IFNA(VLOOKUP($A1787,[3]stockregister!$A$1:$M$2000,12,0),0)-$I1787</f>
        <v>0</v>
      </c>
      <c r="K1787" s="3" t="s">
        <v>22</v>
      </c>
      <c r="L1787" s="3" t="s">
        <v>23</v>
      </c>
      <c r="M1787" s="3">
        <f>_xlfn.IFNA(VLOOKUP($A1787,[2]stockregister!$A$2:$H$2000,8,0),0)</f>
        <v>1100</v>
      </c>
      <c r="N1787" s="3">
        <f>_xlfn.IFNA(VLOOKUP($A1787,[2]stockregister!$A$2:$H$2000,8,0),0)-$M1787</f>
        <v>0</v>
      </c>
      <c r="O1787" s="3" t="s">
        <v>4131</v>
      </c>
      <c r="P1787" s="3" t="s">
        <v>4131</v>
      </c>
      <c r="Q1787" s="3" t="s">
        <v>1082</v>
      </c>
      <c r="R1787" s="3" t="s">
        <v>68</v>
      </c>
      <c r="S1787" s="3" t="s">
        <v>88</v>
      </c>
    </row>
    <row r="1788" spans="1:19">
      <c r="A1788" s="3">
        <v>1457</v>
      </c>
      <c r="B1788" s="3" t="b">
        <f>ISNUMBER(MATCH(A1788,[1]stockregister!$A$2:$A$2000,0))</f>
        <v>1</v>
      </c>
      <c r="C1788" s="3" t="s">
        <v>4132</v>
      </c>
      <c r="D1788" s="3" t="str">
        <f>VLOOKUP($C1788,[1]stockregister!$B$2:$B$2000,1,0)</f>
        <v>MOHANS RESERVE - REDSWEET WINE 750ML</v>
      </c>
      <c r="E1788" s="3" t="str">
        <f>IF(ISNA($D1788),VLOOKUP($A1788,[2]stockregister!$A$2:$B$2000,2,FALSE),"")</f>
        <v/>
      </c>
      <c r="F1788" s="3" t="s">
        <v>21</v>
      </c>
      <c r="G1788" s="3">
        <f>_xlfn.IFNA(VLOOKUP($A1788,[3]stockregister!$A$2:$L$2000,11,0),0)</f>
        <v>0</v>
      </c>
      <c r="H1788" s="3">
        <f>_xlfn.IFNA(VLOOKUP($A1788,[3]stockregister!$A$2:$L$2000,11,0),0)-$G1788</f>
        <v>0</v>
      </c>
      <c r="I1788" s="3">
        <f>_xlfn.IFNA(VLOOKUP($A1788,[3]stockregister!$A$2:$L$2000,12,0),0)</f>
        <v>598</v>
      </c>
      <c r="J1788" s="3">
        <f>_xlfn.IFNA(VLOOKUP($A1788,[3]stockregister!$A$1:$M$2000,12,0),0)-$I1788</f>
        <v>0</v>
      </c>
      <c r="K1788" s="3" t="s">
        <v>22</v>
      </c>
      <c r="L1788" s="3" t="s">
        <v>23</v>
      </c>
      <c r="M1788" s="3">
        <f>_xlfn.IFNA(VLOOKUP($A1788,[2]stockregister!$A$2:$H$2000,8,0),0)</f>
        <v>650</v>
      </c>
      <c r="N1788" s="3">
        <f>_xlfn.IFNA(VLOOKUP($A1788,[2]stockregister!$A$2:$H$2000,8,0),0)-$M1788</f>
        <v>0</v>
      </c>
      <c r="O1788" s="3" t="s">
        <v>4133</v>
      </c>
      <c r="P1788" s="3" t="s">
        <v>4133</v>
      </c>
      <c r="Q1788" s="3" t="s">
        <v>4134</v>
      </c>
      <c r="R1788" s="3" t="s">
        <v>68</v>
      </c>
      <c r="S1788" s="3" t="s">
        <v>1018</v>
      </c>
    </row>
    <row r="1789" spans="1:19">
      <c r="A1789" s="3">
        <v>1503</v>
      </c>
      <c r="B1789" s="3" t="b">
        <f>ISNUMBER(MATCH(A1789,[1]stockregister!$A$2:$A$2000,0))</f>
        <v>1</v>
      </c>
      <c r="C1789" s="3" t="s">
        <v>4135</v>
      </c>
      <c r="D1789" s="3" t="str">
        <f>VLOOKUP($C1789,[1]stockregister!$B$2:$B$2000,1,0)</f>
        <v>NAMAQUA SWEET RED 750ML</v>
      </c>
      <c r="E1789" s="3" t="str">
        <f>IF(ISNA($D1789),VLOOKUP($A1789,[2]stockregister!$A$2:$B$2000,2,FALSE),"")</f>
        <v/>
      </c>
      <c r="F1789" s="3" t="s">
        <v>21</v>
      </c>
      <c r="G1789" s="3">
        <f>_xlfn.IFNA(VLOOKUP($A1789,[3]stockregister!$A$2:$L$2000,11,0),0)</f>
        <v>0</v>
      </c>
      <c r="H1789" s="3">
        <f>_xlfn.IFNA(VLOOKUP($A1789,[3]stockregister!$A$2:$L$2000,11,0),0)-$G1789</f>
        <v>0</v>
      </c>
      <c r="I1789" s="3">
        <f>_xlfn.IFNA(VLOOKUP($A1789,[3]stockregister!$A$2:$L$2000,12,0),0)</f>
        <v>700</v>
      </c>
      <c r="J1789" s="3">
        <f>_xlfn.IFNA(VLOOKUP($A1789,[3]stockregister!$A$1:$M$2000,12,0),0)-$I1789</f>
        <v>0</v>
      </c>
      <c r="K1789" s="3" t="s">
        <v>22</v>
      </c>
      <c r="L1789" s="3" t="s">
        <v>23</v>
      </c>
      <c r="M1789" s="3">
        <f>_xlfn.IFNA(VLOOKUP($A1789,[2]stockregister!$A$2:$H$2000,8,0),0)</f>
        <v>850</v>
      </c>
      <c r="N1789" s="3">
        <f>_xlfn.IFNA(VLOOKUP($A1789,[2]stockregister!$A$2:$H$2000,8,0),0)-$M1789</f>
        <v>0</v>
      </c>
      <c r="O1789" s="3" t="s">
        <v>4136</v>
      </c>
      <c r="P1789" s="3" t="s">
        <v>4136</v>
      </c>
      <c r="Q1789" s="3" t="s">
        <v>1900</v>
      </c>
      <c r="R1789" s="3" t="s">
        <v>68</v>
      </c>
      <c r="S1789" s="3" t="s">
        <v>1018</v>
      </c>
    </row>
    <row r="1790" spans="1:19">
      <c r="A1790" s="3">
        <v>1533</v>
      </c>
      <c r="B1790" s="3" t="b">
        <f>ISNUMBER(MATCH(A1790,[1]stockregister!$A$2:$A$2000,0))</f>
        <v>1</v>
      </c>
      <c r="C1790" s="3" t="s">
        <v>4137</v>
      </c>
      <c r="D1790" s="3" t="str">
        <f>VLOOKUP($C1790,[1]stockregister!$B$2:$B$2000,1,0)</f>
        <v>NOBLE SWEET RED 750ML</v>
      </c>
      <c r="E1790" s="3" t="str">
        <f>IF(ISNA($D1790),VLOOKUP($A1790,[2]stockregister!$A$2:$B$2000,2,FALSE),"")</f>
        <v/>
      </c>
      <c r="F1790" s="3" t="s">
        <v>21</v>
      </c>
      <c r="G1790" s="3">
        <f>_xlfn.IFNA(VLOOKUP($A1790,[3]stockregister!$A$2:$L$2000,11,0),0)</f>
        <v>0</v>
      </c>
      <c r="H1790" s="3">
        <f>_xlfn.IFNA(VLOOKUP($A1790,[3]stockregister!$A$2:$L$2000,11,0),0)-$G1790</f>
        <v>0</v>
      </c>
      <c r="I1790" s="3">
        <f>_xlfn.IFNA(VLOOKUP($A1790,[3]stockregister!$A$2:$L$2000,12,0),0)</f>
        <v>920</v>
      </c>
      <c r="J1790" s="3">
        <f>_xlfn.IFNA(VLOOKUP($A1790,[3]stockregister!$A$1:$M$2000,12,0),0)-$I1790</f>
        <v>0</v>
      </c>
      <c r="K1790" s="3" t="s">
        <v>22</v>
      </c>
      <c r="L1790" s="3" t="s">
        <v>23</v>
      </c>
      <c r="M1790" s="3">
        <f>_xlfn.IFNA(VLOOKUP($A1790,[2]stockregister!$A$2:$H$2000,8,0),0)</f>
        <v>1000</v>
      </c>
      <c r="N1790" s="3">
        <f>_xlfn.IFNA(VLOOKUP($A1790,[2]stockregister!$A$2:$H$2000,8,0),0)-$M1790</f>
        <v>0</v>
      </c>
      <c r="O1790" s="3" t="s">
        <v>4138</v>
      </c>
      <c r="P1790" s="3" t="s">
        <v>4138</v>
      </c>
      <c r="Q1790" s="3" t="s">
        <v>1931</v>
      </c>
      <c r="R1790" s="3" t="s">
        <v>68</v>
      </c>
      <c r="S1790" s="3" t="s">
        <v>1018</v>
      </c>
    </row>
    <row r="1791" spans="1:19">
      <c r="A1791" s="3">
        <v>1697</v>
      </c>
      <c r="B1791" s="3" t="b">
        <f>ISNUMBER(MATCH(A1791,[1]stockregister!$A$2:$A$2000,0))</f>
        <v>1</v>
      </c>
      <c r="C1791" s="3" t="s">
        <v>4139</v>
      </c>
      <c r="D1791" s="3" t="str">
        <f>VLOOKUP($C1791,[1]stockregister!$B$2:$B$2000,1,0)</f>
        <v>ROSSO NOBILE NACIOLLA 750ML</v>
      </c>
      <c r="E1791" s="3" t="str">
        <f>IF(ISNA($D1791),VLOOKUP($A1791,[2]stockregister!$A$2:$B$2000,2,FALSE),"")</f>
        <v/>
      </c>
      <c r="F1791" s="3" t="s">
        <v>21</v>
      </c>
      <c r="G1791" s="3">
        <f>_xlfn.IFNA(VLOOKUP($A1791,[3]stockregister!$A$2:$L$2000,11,0),0)</f>
        <v>0</v>
      </c>
      <c r="H1791" s="3">
        <f>_xlfn.IFNA(VLOOKUP($A1791,[3]stockregister!$A$2:$L$2000,11,0),0)-$G1791</f>
        <v>0</v>
      </c>
      <c r="I1791" s="3">
        <f>_xlfn.IFNA(VLOOKUP($A1791,[3]stockregister!$A$2:$L$2000,12,0),0)</f>
        <v>1100</v>
      </c>
      <c r="J1791" s="3">
        <f>_xlfn.IFNA(VLOOKUP($A1791,[3]stockregister!$A$1:$M$2000,12,0),0)-$I1791</f>
        <v>0</v>
      </c>
      <c r="K1791" s="3" t="s">
        <v>22</v>
      </c>
      <c r="L1791" s="3" t="s">
        <v>23</v>
      </c>
      <c r="M1791" s="3">
        <f>_xlfn.IFNA(VLOOKUP($A1791,[2]stockregister!$A$2:$H$2000,8,0),0)</f>
        <v>1200</v>
      </c>
      <c r="N1791" s="3">
        <f>_xlfn.IFNA(VLOOKUP($A1791,[2]stockregister!$A$2:$H$2000,8,0),0)-$M1791</f>
        <v>0</v>
      </c>
      <c r="O1791" s="3" t="s">
        <v>4140</v>
      </c>
      <c r="P1791" s="3" t="s">
        <v>4140</v>
      </c>
      <c r="Q1791" s="3" t="s">
        <v>3695</v>
      </c>
      <c r="R1791" s="3" t="s">
        <v>68</v>
      </c>
      <c r="S1791" s="3" t="s">
        <v>1018</v>
      </c>
    </row>
    <row r="1792" spans="1:19">
      <c r="A1792" s="3">
        <v>1729</v>
      </c>
      <c r="B1792" s="3" t="b">
        <f>ISNUMBER(MATCH(A1792,[1]stockregister!$A$2:$A$2000,0))</f>
        <v>1</v>
      </c>
      <c r="C1792" s="3" t="s">
        <v>4141</v>
      </c>
      <c r="D1792" s="3" t="str">
        <f>VLOOKUP($C1792,[1]stockregister!$B$2:$B$2000,1,0)</f>
        <v>SAINT CELINE RED WINE 750ML</v>
      </c>
      <c r="E1792" s="3" t="str">
        <f>IF(ISNA($D1792),VLOOKUP($A1792,[2]stockregister!$A$2:$B$2000,2,FALSE),"")</f>
        <v/>
      </c>
      <c r="F1792" s="3" t="s">
        <v>21</v>
      </c>
      <c r="G1792" s="3">
        <f>_xlfn.IFNA(VLOOKUP($A1792,[3]stockregister!$A$2:$L$2000,11,0),0)</f>
        <v>0</v>
      </c>
      <c r="H1792" s="3">
        <f>_xlfn.IFNA(VLOOKUP($A1792,[3]stockregister!$A$2:$L$2000,11,0),0)-$G1792</f>
        <v>0</v>
      </c>
      <c r="I1792" s="3">
        <f>_xlfn.IFNA(VLOOKUP($A1792,[3]stockregister!$A$2:$L$2000,12,0),0)</f>
        <v>782</v>
      </c>
      <c r="J1792" s="3">
        <f>_xlfn.IFNA(VLOOKUP($A1792,[3]stockregister!$A$1:$M$2000,12,0),0)-$I1792</f>
        <v>0</v>
      </c>
      <c r="K1792" s="3" t="s">
        <v>22</v>
      </c>
      <c r="L1792" s="3" t="s">
        <v>23</v>
      </c>
      <c r="M1792" s="3">
        <f>_xlfn.IFNA(VLOOKUP($A1792,[2]stockregister!$A$2:$H$2000,8,0),0)</f>
        <v>850</v>
      </c>
      <c r="N1792" s="3">
        <f>_xlfn.IFNA(VLOOKUP($A1792,[2]stockregister!$A$2:$H$2000,8,0),0)-$M1792</f>
        <v>0</v>
      </c>
      <c r="O1792" s="3" t="s">
        <v>4142</v>
      </c>
      <c r="P1792" s="3" t="s">
        <v>4142</v>
      </c>
      <c r="Q1792" s="3" t="s">
        <v>4002</v>
      </c>
      <c r="R1792" s="3" t="s">
        <v>68</v>
      </c>
      <c r="S1792" s="3" t="s">
        <v>1018</v>
      </c>
    </row>
    <row r="1793" spans="1:19">
      <c r="A1793" s="3">
        <v>2325</v>
      </c>
      <c r="B1793" s="3" t="b">
        <f>ISNUMBER(MATCH(A1793,[1]stockregister!$A$2:$A$2000,0))</f>
        <v>1</v>
      </c>
      <c r="C1793" s="3" t="s">
        <v>4143</v>
      </c>
      <c r="D1793" s="3" t="str">
        <f>VLOOKUP($C1793,[1]stockregister!$B$2:$B$2000,1,0)</f>
        <v>SECRET SAFARI CHERRY RED 750ML</v>
      </c>
      <c r="E1793" s="3" t="str">
        <f>IF(ISNA($D1793),VLOOKUP($A1793,[2]stockregister!$A$2:$B$2000,2,FALSE),"")</f>
        <v/>
      </c>
      <c r="F1793" s="3" t="s">
        <v>21</v>
      </c>
      <c r="G1793" s="3">
        <f>_xlfn.IFNA(VLOOKUP($A1793,[3]stockregister!$A$2:$L$2000,11,0),0)</f>
        <v>0</v>
      </c>
      <c r="H1793" s="3">
        <f>_xlfn.IFNA(VLOOKUP($A1793,[3]stockregister!$A$2:$L$2000,11,0),0)-$G1793</f>
        <v>0</v>
      </c>
      <c r="I1793" s="3">
        <f>_xlfn.IFNA(VLOOKUP($A1793,[3]stockregister!$A$2:$L$2000,12,0),0)</f>
        <v>800</v>
      </c>
      <c r="J1793" s="3">
        <f>_xlfn.IFNA(VLOOKUP($A1793,[3]stockregister!$A$1:$M$2000,12,0),0)-$I1793</f>
        <v>0</v>
      </c>
      <c r="K1793" s="3" t="s">
        <v>22</v>
      </c>
      <c r="L1793" s="3" t="s">
        <v>23</v>
      </c>
      <c r="M1793" s="3">
        <f>_xlfn.IFNA(VLOOKUP($A1793,[2]stockregister!$A$2:$H$2000,8,0),0)</f>
        <v>850</v>
      </c>
      <c r="N1793" s="3">
        <f>_xlfn.IFNA(VLOOKUP($A1793,[2]stockregister!$A$2:$H$2000,8,0),0)-$M1793</f>
        <v>0</v>
      </c>
      <c r="O1793" s="3" t="s">
        <v>4144</v>
      </c>
      <c r="P1793" s="3" t="s">
        <v>4144</v>
      </c>
      <c r="Q1793" s="3" t="s">
        <v>4145</v>
      </c>
      <c r="R1793" s="3" t="s">
        <v>68</v>
      </c>
      <c r="S1793" s="3" t="s">
        <v>1516</v>
      </c>
    </row>
    <row r="1794" spans="1:19">
      <c r="A1794" s="3">
        <v>1876</v>
      </c>
      <c r="B1794" s="3" t="b">
        <f>ISNUMBER(MATCH(A1794,[1]stockregister!$A$2:$A$2000,0))</f>
        <v>1</v>
      </c>
      <c r="C1794" s="3" t="s">
        <v>4146</v>
      </c>
      <c r="D1794" s="3" t="str">
        <f>VLOOKUP($C1794,[1]stockregister!$B$2:$B$2000,1,0)</f>
        <v>ST. CELINE 750ML</v>
      </c>
      <c r="E1794" s="3" t="str">
        <f>IF(ISNA($D1794),VLOOKUP($A1794,[2]stockregister!$A$2:$B$2000,2,FALSE),"")</f>
        <v/>
      </c>
      <c r="F1794" s="3" t="s">
        <v>21</v>
      </c>
      <c r="G1794" s="3">
        <f>_xlfn.IFNA(VLOOKUP($A1794,[3]stockregister!$A$2:$L$2000,11,0),0)</f>
        <v>0</v>
      </c>
      <c r="H1794" s="3">
        <f>_xlfn.IFNA(VLOOKUP($A1794,[3]stockregister!$A$2:$L$2000,11,0),0)-$G1794</f>
        <v>0</v>
      </c>
      <c r="I1794" s="3">
        <f>_xlfn.IFNA(VLOOKUP($A1794,[3]stockregister!$A$2:$L$2000,12,0),0)</f>
        <v>782</v>
      </c>
      <c r="J1794" s="3">
        <f>_xlfn.IFNA(VLOOKUP($A1794,[3]stockregister!$A$1:$M$2000,12,0),0)-$I1794</f>
        <v>0</v>
      </c>
      <c r="K1794" s="3" t="s">
        <v>22</v>
      </c>
      <c r="L1794" s="3" t="s">
        <v>23</v>
      </c>
      <c r="M1794" s="3">
        <f>_xlfn.IFNA(VLOOKUP($A1794,[2]stockregister!$A$2:$H$2000,8,0),0)</f>
        <v>850</v>
      </c>
      <c r="N1794" s="3">
        <f>_xlfn.IFNA(VLOOKUP($A1794,[2]stockregister!$A$2:$H$2000,8,0),0)-$M1794</f>
        <v>0</v>
      </c>
      <c r="O1794" s="3" t="s">
        <v>4142</v>
      </c>
      <c r="P1794" s="3" t="s">
        <v>4142</v>
      </c>
      <c r="Q1794" s="3" t="s">
        <v>4147</v>
      </c>
      <c r="R1794" s="3" t="s">
        <v>68</v>
      </c>
      <c r="S1794" s="3" t="s">
        <v>1516</v>
      </c>
    </row>
    <row r="1795" spans="1:19">
      <c r="A1795" s="3">
        <v>2053</v>
      </c>
      <c r="B1795" s="3" t="b">
        <f>ISNUMBER(MATCH(A1795,[1]stockregister!$A$2:$A$2000,0))</f>
        <v>1</v>
      </c>
      <c r="C1795" s="3" t="s">
        <v>4148</v>
      </c>
      <c r="D1795" s="3" t="str">
        <f>VLOOKUP($C1795,[1]stockregister!$B$2:$B$2000,1,0)</f>
        <v>VERSUS SWEET RED 750ML</v>
      </c>
      <c r="E1795" s="3" t="str">
        <f>IF(ISNA($D1795),VLOOKUP($A1795,[2]stockregister!$A$2:$B$2000,2,FALSE),"")</f>
        <v/>
      </c>
      <c r="F1795" s="3" t="s">
        <v>21</v>
      </c>
      <c r="G1795" s="3">
        <f>_xlfn.IFNA(VLOOKUP($A1795,[3]stockregister!$A$2:$L$2000,11,0),0)</f>
        <v>0</v>
      </c>
      <c r="H1795" s="3">
        <f>_xlfn.IFNA(VLOOKUP($A1795,[3]stockregister!$A$2:$L$2000,11,0),0)-$G1795</f>
        <v>0</v>
      </c>
      <c r="I1795" s="3">
        <f>_xlfn.IFNA(VLOOKUP($A1795,[3]stockregister!$A$2:$L$2000,12,0),0)</f>
        <v>700</v>
      </c>
      <c r="J1795" s="3">
        <f>_xlfn.IFNA(VLOOKUP($A1795,[3]stockregister!$A$1:$M$2000,12,0),0)-$I1795</f>
        <v>0</v>
      </c>
      <c r="K1795" s="3" t="s">
        <v>22</v>
      </c>
      <c r="L1795" s="3" t="s">
        <v>23</v>
      </c>
      <c r="M1795" s="3">
        <f>_xlfn.IFNA(VLOOKUP($A1795,[2]stockregister!$A$2:$H$2000,8,0),0)</f>
        <v>930</v>
      </c>
      <c r="N1795" s="3">
        <f>_xlfn.IFNA(VLOOKUP($A1795,[2]stockregister!$A$2:$H$2000,8,0),0)-$M1795</f>
        <v>0</v>
      </c>
      <c r="O1795" s="3" t="s">
        <v>4149</v>
      </c>
      <c r="P1795" s="3" t="s">
        <v>4149</v>
      </c>
      <c r="Q1795" s="3" t="s">
        <v>451</v>
      </c>
      <c r="R1795" s="3" t="s">
        <v>68</v>
      </c>
      <c r="S1795" s="3" t="s">
        <v>1516</v>
      </c>
    </row>
    <row r="1796" spans="1:19">
      <c r="A1796" s="3">
        <v>2068</v>
      </c>
      <c r="B1796" s="3" t="b">
        <f>ISNUMBER(MATCH(A1796,[1]stockregister!$A$2:$A$2000,0))</f>
        <v>1</v>
      </c>
      <c r="C1796" s="3" t="s">
        <v>4150</v>
      </c>
      <c r="D1796" s="3" t="str">
        <f>VLOOKUP($C1796,[1]stockregister!$B$2:$B$2000,1,0)</f>
        <v>VINA MAIPO SWEET RED 750ML</v>
      </c>
      <c r="E1796" s="3" t="str">
        <f>IF(ISNA($D1796),VLOOKUP($A1796,[2]stockregister!$A$2:$B$2000,2,FALSE),"")</f>
        <v/>
      </c>
      <c r="F1796" s="3" t="s">
        <v>21</v>
      </c>
      <c r="G1796" s="3">
        <f>_xlfn.IFNA(VLOOKUP($A1796,[3]stockregister!$A$2:$L$2000,11,0),0)</f>
        <v>0</v>
      </c>
      <c r="H1796" s="3">
        <f>_xlfn.IFNA(VLOOKUP($A1796,[3]stockregister!$A$2:$L$2000,11,0),0)-$G1796</f>
        <v>0</v>
      </c>
      <c r="I1796" s="3">
        <f>_xlfn.IFNA(VLOOKUP($A1796,[3]stockregister!$A$2:$L$2000,12,0),0)</f>
        <v>1104</v>
      </c>
      <c r="J1796" s="3">
        <f>_xlfn.IFNA(VLOOKUP($A1796,[3]stockregister!$A$1:$M$2000,12,0),0)-$I1796</f>
        <v>0</v>
      </c>
      <c r="K1796" s="3" t="s">
        <v>22</v>
      </c>
      <c r="L1796" s="3" t="s">
        <v>23</v>
      </c>
      <c r="M1796" s="3">
        <f>_xlfn.IFNA(VLOOKUP($A1796,[2]stockregister!$A$2:$H$2000,8,0),0)</f>
        <v>1200</v>
      </c>
      <c r="N1796" s="3">
        <f>_xlfn.IFNA(VLOOKUP($A1796,[2]stockregister!$A$2:$H$2000,8,0),0)-$M1796</f>
        <v>0</v>
      </c>
      <c r="O1796" s="3" t="s">
        <v>4151</v>
      </c>
      <c r="P1796" s="3" t="s">
        <v>4151</v>
      </c>
      <c r="Q1796" s="3" t="s">
        <v>4152</v>
      </c>
      <c r="R1796" s="3" t="s">
        <v>68</v>
      </c>
      <c r="S1796" s="3" t="s">
        <v>1516</v>
      </c>
    </row>
    <row r="1797" spans="1:19">
      <c r="A1797" s="3">
        <v>2332</v>
      </c>
      <c r="B1797" s="3" t="b">
        <f>ISNUMBER(MATCH(A1797,[1]stockregister!$A$2:$A$2000,0))</f>
        <v>1</v>
      </c>
      <c r="C1797" s="3" t="s">
        <v>4153</v>
      </c>
      <c r="D1797" s="3" t="str">
        <f>VLOOKUP($C1797,[1]stockregister!$B$2:$B$2000,1,0)</f>
        <v>DOMPO SWT RED 750ML</v>
      </c>
      <c r="E1797" s="3" t="str">
        <f>IF(ISNA($D1797),VLOOKUP($A1797,[2]stockregister!$A$2:$B$2000,2,FALSE),"")</f>
        <v/>
      </c>
      <c r="F1797" s="3" t="s">
        <v>21</v>
      </c>
      <c r="G1797" s="3">
        <f>_xlfn.IFNA(VLOOKUP($A1797,[3]stockregister!$A$2:$L$2000,11,0),0)</f>
        <v>0</v>
      </c>
      <c r="H1797" s="3">
        <f>_xlfn.IFNA(VLOOKUP($A1797,[3]stockregister!$A$2:$L$2000,11,0),0)-$G1797</f>
        <v>0</v>
      </c>
      <c r="I1797" s="3">
        <f>_xlfn.IFNA(VLOOKUP($A1797,[3]stockregister!$A$2:$L$2000,12,0),0)</f>
        <v>1060</v>
      </c>
      <c r="J1797" s="3">
        <f>_xlfn.IFNA(VLOOKUP($A1797,[3]stockregister!$A$1:$M$2000,12,0),0)-$I1797</f>
        <v>0</v>
      </c>
      <c r="K1797" s="3" t="s">
        <v>22</v>
      </c>
      <c r="L1797" s="3" t="s">
        <v>23</v>
      </c>
      <c r="M1797" s="3">
        <f>_xlfn.IFNA(VLOOKUP($A1797,[2]stockregister!$A$2:$H$2000,8,0),0)</f>
        <v>1150</v>
      </c>
      <c r="N1797" s="3">
        <f>_xlfn.IFNA(VLOOKUP($A1797,[2]stockregister!$A$2:$H$2000,8,0),0)-$M1797</f>
        <v>0</v>
      </c>
      <c r="O1797" s="3" t="s">
        <v>4154</v>
      </c>
      <c r="P1797" s="3" t="s">
        <v>4154</v>
      </c>
      <c r="Q1797" s="3" t="s">
        <v>1719</v>
      </c>
      <c r="R1797" s="3" t="s">
        <v>68</v>
      </c>
      <c r="S1797" s="3" t="s">
        <v>88</v>
      </c>
    </row>
    <row r="1798" spans="1:19">
      <c r="A1798" s="3">
        <v>2205</v>
      </c>
      <c r="B1798" s="3" t="b">
        <f>ISNUMBER(MATCH(A1798,[1]stockregister!$A$2:$A$2000,0))</f>
        <v>1</v>
      </c>
      <c r="C1798" s="3" t="s">
        <v>4155</v>
      </c>
      <c r="D1798" s="3" t="str">
        <f>VLOOKUP($C1798,[1]stockregister!$B$2:$B$2000,1,0)</f>
        <v>JAM JAR SWEET RED 750ML</v>
      </c>
      <c r="E1798" s="3" t="str">
        <f>IF(ISNA($D1798),VLOOKUP($A1798,[2]stockregister!$A$2:$B$2000,2,FALSE),"")</f>
        <v/>
      </c>
      <c r="F1798" s="3" t="s">
        <v>21</v>
      </c>
      <c r="G1798" s="3">
        <f>_xlfn.IFNA(VLOOKUP($A1798,[3]stockregister!$A$2:$L$2000,11,0),0)</f>
        <v>0</v>
      </c>
      <c r="H1798" s="3">
        <f>_xlfn.IFNA(VLOOKUP($A1798,[3]stockregister!$A$2:$L$2000,11,0),0)-$G1798</f>
        <v>0</v>
      </c>
      <c r="I1798" s="3">
        <f>_xlfn.IFNA(VLOOKUP($A1798,[3]stockregister!$A$2:$L$2000,12,0),0)</f>
        <v>750</v>
      </c>
      <c r="J1798" s="3">
        <f>_xlfn.IFNA(VLOOKUP($A1798,[3]stockregister!$A$1:$M$2000,12,0),0)-$I1798</f>
        <v>0</v>
      </c>
      <c r="K1798" s="3" t="s">
        <v>22</v>
      </c>
      <c r="L1798" s="3" t="s">
        <v>23</v>
      </c>
      <c r="M1798" s="3">
        <f>_xlfn.IFNA(VLOOKUP($A1798,[2]stockregister!$A$2:$H$2000,8,0),0)</f>
        <v>800</v>
      </c>
      <c r="N1798" s="3">
        <f>_xlfn.IFNA(VLOOKUP($A1798,[2]stockregister!$A$2:$H$2000,8,0),0)-$M1798</f>
        <v>0</v>
      </c>
      <c r="O1798" s="3" t="s">
        <v>4156</v>
      </c>
      <c r="P1798" s="3" t="s">
        <v>4156</v>
      </c>
      <c r="Q1798" s="3" t="s">
        <v>4075</v>
      </c>
      <c r="R1798" s="3" t="s">
        <v>68</v>
      </c>
      <c r="S1798" s="3" t="s">
        <v>88</v>
      </c>
    </row>
    <row r="1799" spans="1:19">
      <c r="A1799" s="3">
        <v>2541</v>
      </c>
      <c r="B1799" s="3" t="b">
        <f>ISNUMBER(MATCH(A1799,[1]stockregister!$A$2:$A$2000,0))</f>
        <v>1</v>
      </c>
      <c r="C1799" s="3" t="s">
        <v>4157</v>
      </c>
      <c r="D1799" s="3" t="str">
        <f>VLOOKUP($C1799,[1]stockregister!$B$2:$B$2000,1,0)</f>
        <v>CASTILLO DE FERRER RED SWEET 750ML</v>
      </c>
      <c r="E1799" s="3" t="str">
        <f>IF(ISNA($D1799),VLOOKUP($A1799,[2]stockregister!$A$2:$B$2000,2,FALSE),"")</f>
        <v/>
      </c>
      <c r="F1799" s="3" t="s">
        <v>21</v>
      </c>
      <c r="G1799" s="3">
        <f>_xlfn.IFNA(VLOOKUP($A1799,[3]stockregister!$A$2:$L$2000,11,0),0)</f>
        <v>0</v>
      </c>
      <c r="H1799" s="3">
        <f>_xlfn.IFNA(VLOOKUP($A1799,[3]stockregister!$A$2:$L$2000,11,0),0)-$G1799</f>
        <v>0</v>
      </c>
      <c r="I1799" s="3">
        <f>_xlfn.IFNA(VLOOKUP($A1799,[3]stockregister!$A$2:$L$2000,12,0),0)</f>
        <v>960</v>
      </c>
      <c r="J1799" s="3">
        <f>_xlfn.IFNA(VLOOKUP($A1799,[3]stockregister!$A$1:$M$2000,12,0),0)-$I1799</f>
        <v>0</v>
      </c>
      <c r="K1799" s="3" t="s">
        <v>22</v>
      </c>
      <c r="L1799" s="3" t="s">
        <v>23</v>
      </c>
      <c r="M1799" s="3">
        <f>_xlfn.IFNA(VLOOKUP($A1799,[2]stockregister!$A$2:$H$2000,8,0),0)</f>
        <v>1100</v>
      </c>
      <c r="N1799" s="3">
        <f>_xlfn.IFNA(VLOOKUP($A1799,[2]stockregister!$A$2:$H$2000,8,0),0)-$M1799</f>
        <v>0</v>
      </c>
      <c r="O1799" s="3" t="s">
        <v>4158</v>
      </c>
      <c r="P1799" s="3" t="s">
        <v>4158</v>
      </c>
      <c r="Q1799" s="3" t="s">
        <v>3668</v>
      </c>
      <c r="R1799" s="3" t="s">
        <v>537</v>
      </c>
      <c r="S1799" s="3" t="s">
        <v>88</v>
      </c>
    </row>
    <row r="1800" spans="1:19">
      <c r="A1800" s="3">
        <v>2518</v>
      </c>
      <c r="B1800" s="3" t="b">
        <f>ISNUMBER(MATCH(A1800,[1]stockregister!$A$2:$A$2000,0))</f>
        <v>1</v>
      </c>
      <c r="C1800" s="3" t="s">
        <v>4159</v>
      </c>
      <c r="D1800" s="3" t="str">
        <f>VLOOKUP($C1800,[1]stockregister!$B$2:$B$2000,1,0)</f>
        <v>HAMSINI SWEET RED 750ML</v>
      </c>
      <c r="E1800" s="3" t="str">
        <f>IF(ISNA($D1800),VLOOKUP($A1800,[2]stockregister!$A$2:$B$2000,2,FALSE),"")</f>
        <v/>
      </c>
      <c r="F1800" s="3" t="s">
        <v>21</v>
      </c>
      <c r="G1800" s="3">
        <f>_xlfn.IFNA(VLOOKUP($A1800,[3]stockregister!$A$2:$L$2000,11,0),0)</f>
        <v>0</v>
      </c>
      <c r="H1800" s="3">
        <f>_xlfn.IFNA(VLOOKUP($A1800,[3]stockregister!$A$2:$L$2000,11,0),0)-$G1800</f>
        <v>0</v>
      </c>
      <c r="I1800" s="3">
        <f>_xlfn.IFNA(VLOOKUP($A1800,[3]stockregister!$A$2:$L$2000,12,0),0)</f>
        <v>1100</v>
      </c>
      <c r="J1800" s="3">
        <f>_xlfn.IFNA(VLOOKUP($A1800,[3]stockregister!$A$1:$M$2000,12,0),0)-$I1800</f>
        <v>0</v>
      </c>
      <c r="K1800" s="3" t="s">
        <v>22</v>
      </c>
      <c r="L1800" s="3" t="s">
        <v>23</v>
      </c>
      <c r="M1800" s="3">
        <f>_xlfn.IFNA(VLOOKUP($A1800,[2]stockregister!$A$2:$H$2000,8,0),0)</f>
        <v>1200</v>
      </c>
      <c r="N1800" s="3">
        <f>_xlfn.IFNA(VLOOKUP($A1800,[2]stockregister!$A$2:$H$2000,8,0),0)-$M1800</f>
        <v>0</v>
      </c>
      <c r="O1800" s="3" t="s">
        <v>4160</v>
      </c>
      <c r="P1800" s="3" t="s">
        <v>4160</v>
      </c>
      <c r="Q1800" s="3" t="s">
        <v>4161</v>
      </c>
      <c r="R1800" s="3" t="s">
        <v>537</v>
      </c>
      <c r="S1800" s="3" t="s">
        <v>88</v>
      </c>
    </row>
    <row r="1801" spans="1:19">
      <c r="A1801" s="3">
        <v>1297</v>
      </c>
      <c r="B1801" s="3" t="b">
        <f>ISNUMBER(MATCH(A1801,[1]stockregister!$A$2:$A$2000,0))</f>
        <v>1</v>
      </c>
      <c r="C1801" s="3" t="s">
        <v>4162</v>
      </c>
      <c r="D1801" s="3" t="str">
        <f>VLOOKUP($C1801,[1]stockregister!$B$2:$B$2000,1,0)</f>
        <v>LOLIE SWEET RED 750ML</v>
      </c>
      <c r="E1801" s="3" t="str">
        <f>IF(ISNA($D1801),VLOOKUP($A1801,[2]stockregister!$A$2:$B$2000,2,FALSE),"")</f>
        <v/>
      </c>
      <c r="F1801" s="3" t="s">
        <v>21</v>
      </c>
      <c r="G1801" s="3">
        <f>_xlfn.IFNA(VLOOKUP($A1801,[3]stockregister!$A$2:$L$2000,11,0),0)</f>
        <v>0</v>
      </c>
      <c r="H1801" s="3">
        <f>_xlfn.IFNA(VLOOKUP($A1801,[3]stockregister!$A$2:$L$2000,11,0),0)-$G1801</f>
        <v>0</v>
      </c>
      <c r="I1801" s="3">
        <f>_xlfn.IFNA(VLOOKUP($A1801,[3]stockregister!$A$2:$L$2000,12,0),0)</f>
        <v>1196</v>
      </c>
      <c r="J1801" s="3">
        <f>_xlfn.IFNA(VLOOKUP($A1801,[3]stockregister!$A$1:$M$2000,12,0),0)-$I1801</f>
        <v>0</v>
      </c>
      <c r="K1801" s="3" t="s">
        <v>22</v>
      </c>
      <c r="L1801" s="3" t="s">
        <v>23</v>
      </c>
      <c r="M1801" s="3">
        <f>_xlfn.IFNA(VLOOKUP($A1801,[2]stockregister!$A$2:$H$2000,8,0),0)</f>
        <v>1300</v>
      </c>
      <c r="N1801" s="3">
        <f>_xlfn.IFNA(VLOOKUP($A1801,[2]stockregister!$A$2:$H$2000,8,0),0)-$M1801</f>
        <v>0</v>
      </c>
      <c r="O1801" s="3" t="s">
        <v>4163</v>
      </c>
      <c r="P1801" s="3" t="s">
        <v>4163</v>
      </c>
      <c r="Q1801" s="3" t="s">
        <v>4164</v>
      </c>
      <c r="R1801" s="3" t="s">
        <v>537</v>
      </c>
      <c r="S1801" s="3" t="s">
        <v>88</v>
      </c>
    </row>
    <row r="1802" spans="1:19">
      <c r="A1802" s="3">
        <v>2546</v>
      </c>
      <c r="B1802" s="3" t="b">
        <f>ISNUMBER(MATCH(A1802,[1]stockregister!$A$2:$A$2000,0))</f>
        <v>1</v>
      </c>
      <c r="C1802" s="3" t="s">
        <v>4165</v>
      </c>
      <c r="D1802" s="3" t="str">
        <f>VLOOKUP($C1802,[1]stockregister!$B$2:$B$2000,1,0)</f>
        <v>OLENAISHU RED SWEET 750ML</v>
      </c>
      <c r="E1802" s="3" t="str">
        <f>IF(ISNA($D1802),VLOOKUP($A1802,[2]stockregister!$A$2:$B$2000,2,FALSE),"")</f>
        <v/>
      </c>
      <c r="F1802" s="3" t="s">
        <v>21</v>
      </c>
      <c r="G1802" s="3">
        <f>_xlfn.IFNA(VLOOKUP($A1802,[3]stockregister!$A$2:$L$2000,11,0),0)</f>
        <v>0</v>
      </c>
      <c r="H1802" s="3">
        <f>_xlfn.IFNA(VLOOKUP($A1802,[3]stockregister!$A$2:$L$2000,11,0),0)-$G1802</f>
        <v>0</v>
      </c>
      <c r="I1802" s="3">
        <f>_xlfn.IFNA(VLOOKUP($A1802,[3]stockregister!$A$2:$L$2000,12,0),0)</f>
        <v>1164</v>
      </c>
      <c r="J1802" s="3">
        <f>_xlfn.IFNA(VLOOKUP($A1802,[3]stockregister!$A$1:$M$2000,12,0),0)-$I1802</f>
        <v>0</v>
      </c>
      <c r="K1802" s="3" t="s">
        <v>22</v>
      </c>
      <c r="L1802" s="3" t="s">
        <v>23</v>
      </c>
      <c r="M1802" s="3">
        <f>_xlfn.IFNA(VLOOKUP($A1802,[2]stockregister!$A$2:$H$2000,8,0),0)</f>
        <v>1300</v>
      </c>
      <c r="N1802" s="3">
        <f>_xlfn.IFNA(VLOOKUP($A1802,[2]stockregister!$A$2:$H$2000,8,0),0)-$M1802</f>
        <v>0</v>
      </c>
      <c r="O1802" s="3" t="s">
        <v>4166</v>
      </c>
      <c r="P1802" s="3" t="s">
        <v>4166</v>
      </c>
      <c r="Q1802" s="3" t="s">
        <v>3709</v>
      </c>
      <c r="R1802" s="3" t="s">
        <v>537</v>
      </c>
      <c r="S1802" s="3" t="s">
        <v>88</v>
      </c>
    </row>
    <row r="1803" spans="1:19">
      <c r="A1803" s="3">
        <v>2551</v>
      </c>
      <c r="B1803" s="3" t="b">
        <f>ISNUMBER(MATCH(A1803,[1]stockregister!$A$2:$A$2000,0))</f>
        <v>1</v>
      </c>
      <c r="C1803" s="3" t="s">
        <v>4167</v>
      </c>
      <c r="D1803" s="3" t="str">
        <f>VLOOKUP($C1803,[1]stockregister!$B$2:$B$2000,1,0)</f>
        <v>OLEPASU SWEET RED 750ML</v>
      </c>
      <c r="E1803" s="3" t="str">
        <f>IF(ISNA($D1803),VLOOKUP($A1803,[2]stockregister!$A$2:$B$2000,2,FALSE),"")</f>
        <v/>
      </c>
      <c r="F1803" s="3" t="s">
        <v>21</v>
      </c>
      <c r="G1803" s="3">
        <f>_xlfn.IFNA(VLOOKUP($A1803,[3]stockregister!$A$2:$L$2000,11,0),0)</f>
        <v>0</v>
      </c>
      <c r="H1803" s="3">
        <f>_xlfn.IFNA(VLOOKUP($A1803,[3]stockregister!$A$2:$L$2000,11,0),0)-$G1803</f>
        <v>0</v>
      </c>
      <c r="I1803" s="3">
        <f>_xlfn.IFNA(VLOOKUP($A1803,[3]stockregister!$A$2:$L$2000,12,0),0)</f>
        <v>904</v>
      </c>
      <c r="J1803" s="3">
        <f>_xlfn.IFNA(VLOOKUP($A1803,[3]stockregister!$A$1:$M$2000,12,0),0)-$I1803</f>
        <v>0</v>
      </c>
      <c r="K1803" s="3" t="s">
        <v>22</v>
      </c>
      <c r="L1803" s="3" t="s">
        <v>23</v>
      </c>
      <c r="M1803" s="3">
        <f>_xlfn.IFNA(VLOOKUP($A1803,[2]stockregister!$A$2:$H$2000,8,0),0)</f>
        <v>1000</v>
      </c>
      <c r="N1803" s="3">
        <f>_xlfn.IFNA(VLOOKUP($A1803,[2]stockregister!$A$2:$H$2000,8,0),0)-$M1803</f>
        <v>0</v>
      </c>
      <c r="O1803" s="3" t="s">
        <v>4168</v>
      </c>
      <c r="P1803" s="3" t="s">
        <v>4168</v>
      </c>
      <c r="Q1803" s="3" t="s">
        <v>3692</v>
      </c>
      <c r="R1803" s="3" t="s">
        <v>537</v>
      </c>
      <c r="S1803" s="3" t="s">
        <v>88</v>
      </c>
    </row>
    <row r="1804" spans="1:19">
      <c r="A1804" s="3">
        <v>2535</v>
      </c>
      <c r="B1804" s="3" t="b">
        <f>ISNUMBER(MATCH(A1804,[1]stockregister!$A$2:$A$2000,0))</f>
        <v>1</v>
      </c>
      <c r="C1804" s="3" t="s">
        <v>4169</v>
      </c>
      <c r="D1804" s="3" t="str">
        <f>VLOOKUP($C1804,[1]stockregister!$B$2:$B$2000,1,0)</f>
        <v>VINO DE MISA SWEET RED SUPERIOR 750ML</v>
      </c>
      <c r="E1804" s="3" t="str">
        <f>IF(ISNA($D1804),VLOOKUP($A1804,[2]stockregister!$A$2:$B$2000,2,FALSE),"")</f>
        <v/>
      </c>
      <c r="F1804" s="3" t="s">
        <v>21</v>
      </c>
      <c r="G1804" s="3">
        <f>_xlfn.IFNA(VLOOKUP($A1804,[3]stockregister!$A$2:$L$2000,11,0),0)</f>
        <v>0</v>
      </c>
      <c r="H1804" s="3">
        <f>_xlfn.IFNA(VLOOKUP($A1804,[3]stockregister!$A$2:$L$2000,11,0),0)-$G1804</f>
        <v>0</v>
      </c>
      <c r="I1804" s="3">
        <f>_xlfn.IFNA(VLOOKUP($A1804,[3]stockregister!$A$2:$L$2000,12,0),0)</f>
        <v>1677</v>
      </c>
      <c r="J1804" s="3">
        <f>_xlfn.IFNA(VLOOKUP($A1804,[3]stockregister!$A$1:$M$2000,12,0),0)-$I1804</f>
        <v>0</v>
      </c>
      <c r="K1804" s="3" t="s">
        <v>22</v>
      </c>
      <c r="L1804" s="3" t="s">
        <v>23</v>
      </c>
      <c r="M1804" s="3">
        <f>_xlfn.IFNA(VLOOKUP($A1804,[2]stockregister!$A$2:$H$2000,8,0),0)</f>
        <v>1850</v>
      </c>
      <c r="N1804" s="3">
        <f>_xlfn.IFNA(VLOOKUP($A1804,[2]stockregister!$A$2:$H$2000,8,0),0)-$M1804</f>
        <v>0</v>
      </c>
      <c r="O1804" s="3" t="s">
        <v>4170</v>
      </c>
      <c r="P1804" s="3" t="s">
        <v>4170</v>
      </c>
      <c r="Q1804" s="3" t="s">
        <v>4171</v>
      </c>
      <c r="R1804" s="3" t="s">
        <v>537</v>
      </c>
      <c r="S1804" s="3" t="s">
        <v>88</v>
      </c>
    </row>
    <row r="1805" spans="1:19">
      <c r="A1805" s="3">
        <v>2218</v>
      </c>
      <c r="B1805" s="3" t="b">
        <f>ISNUMBER(MATCH(A1805,[1]stockregister!$A$2:$A$2000,0))</f>
        <v>1</v>
      </c>
      <c r="C1805" s="3" t="s">
        <v>4172</v>
      </c>
      <c r="D1805" s="3" t="str">
        <f>VLOOKUP($C1805,[1]stockregister!$B$2:$B$2000,1,0)</f>
        <v>EXPRESSION PINK ROSE 750ML</v>
      </c>
      <c r="E1805" s="3" t="str">
        <f>IF(ISNA($D1805),VLOOKUP($A1805,[2]stockregister!$A$2:$B$2000,2,FALSE),"")</f>
        <v/>
      </c>
      <c r="F1805" s="3" t="s">
        <v>21</v>
      </c>
      <c r="G1805" s="3">
        <f>_xlfn.IFNA(VLOOKUP($A1805,[3]stockregister!$A$2:$L$2000,11,0),0)</f>
        <v>0</v>
      </c>
      <c r="H1805" s="3">
        <f>_xlfn.IFNA(VLOOKUP($A1805,[3]stockregister!$A$2:$L$2000,11,0),0)-$G1805</f>
        <v>0</v>
      </c>
      <c r="I1805" s="3">
        <f>_xlfn.IFNA(VLOOKUP($A1805,[3]stockregister!$A$2:$L$2000,12,0),0)</f>
        <v>1280</v>
      </c>
      <c r="J1805" s="3">
        <f>_xlfn.IFNA(VLOOKUP($A1805,[3]stockregister!$A$1:$M$2000,12,0),0)-$I1805</f>
        <v>0</v>
      </c>
      <c r="K1805" s="3" t="s">
        <v>22</v>
      </c>
      <c r="L1805" s="3" t="s">
        <v>23</v>
      </c>
      <c r="M1805" s="3">
        <f>_xlfn.IFNA(VLOOKUP($A1805,[2]stockregister!$A$2:$H$2000,8,0),0)</f>
        <v>1400</v>
      </c>
      <c r="N1805" s="3">
        <f>_xlfn.IFNA(VLOOKUP($A1805,[2]stockregister!$A$2:$H$2000,8,0),0)-$M1805</f>
        <v>0</v>
      </c>
      <c r="O1805" s="3" t="s">
        <v>4173</v>
      </c>
      <c r="P1805" s="3" t="s">
        <v>4173</v>
      </c>
      <c r="Q1805" s="3" t="s">
        <v>3828</v>
      </c>
      <c r="R1805" s="3" t="s">
        <v>68</v>
      </c>
      <c r="S1805" s="3" t="s">
        <v>196</v>
      </c>
    </row>
    <row r="1806" spans="1:19">
      <c r="A1806" s="3">
        <v>1907</v>
      </c>
      <c r="B1806" s="3" t="b">
        <f>ISNUMBER(MATCH(A1806,[1]stockregister!$A$2:$A$2000,0))</f>
        <v>1</v>
      </c>
      <c r="C1806" s="3" t="s">
        <v>4174</v>
      </c>
      <c r="D1806" s="3" t="str">
        <f>VLOOKUP($C1806,[1]stockregister!$B$2:$B$2000,1,0)</f>
        <v>SWEET LIPS SWEET ROSE 1LTR</v>
      </c>
      <c r="E1806" s="3" t="str">
        <f>IF(ISNA($D1806),VLOOKUP($A1806,[2]stockregister!$A$2:$B$2000,2,FALSE),"")</f>
        <v/>
      </c>
      <c r="F1806" s="3" t="s">
        <v>21</v>
      </c>
      <c r="G1806" s="3">
        <f>_xlfn.IFNA(VLOOKUP($A1806,[3]stockregister!$A$2:$L$2000,11,0),0)</f>
        <v>60</v>
      </c>
      <c r="H1806" s="3">
        <f>_xlfn.IFNA(VLOOKUP($A1806,[3]stockregister!$A$2:$L$2000,11,0),0)-$G1806</f>
        <v>0</v>
      </c>
      <c r="I1806" s="3">
        <f>_xlfn.IFNA(VLOOKUP($A1806,[3]stockregister!$A$2:$L$2000,12,0),0)</f>
        <v>1288</v>
      </c>
      <c r="J1806" s="3">
        <f>_xlfn.IFNA(VLOOKUP($A1806,[3]stockregister!$A$1:$M$2000,12,0),0)-$I1806</f>
        <v>0</v>
      </c>
      <c r="K1806" s="3" t="s">
        <v>22</v>
      </c>
      <c r="L1806" s="3" t="s">
        <v>23</v>
      </c>
      <c r="M1806" s="3">
        <f>_xlfn.IFNA(VLOOKUP($A1806,[2]stockregister!$A$2:$H$2000,8,0),0)</f>
        <v>1400</v>
      </c>
      <c r="N1806" s="3">
        <f>_xlfn.IFNA(VLOOKUP($A1806,[2]stockregister!$A$2:$H$2000,8,0),0)-$M1806</f>
        <v>0</v>
      </c>
      <c r="O1806" s="3" t="s">
        <v>4175</v>
      </c>
      <c r="P1806" s="3" t="s">
        <v>4175</v>
      </c>
      <c r="Q1806" s="3" t="s">
        <v>1153</v>
      </c>
      <c r="R1806" s="3" t="s">
        <v>68</v>
      </c>
      <c r="S1806" s="3" t="s">
        <v>196</v>
      </c>
    </row>
    <row r="1807" spans="1:19">
      <c r="A1807" s="3">
        <v>2899</v>
      </c>
      <c r="B1807" s="3" t="b">
        <f>ISNUMBER(MATCH(A1807,[1]stockregister!$A$2:$A$2000,0))</f>
        <v>1</v>
      </c>
      <c r="C1807" s="3" t="s">
        <v>4176</v>
      </c>
      <c r="D1807" s="3" t="str">
        <f>VLOOKUP($C1807,[1]stockregister!$B$2:$B$2000,1,0)</f>
        <v>Asconi Sweet Flavored Strawberry Rose Wine</v>
      </c>
      <c r="E1807" s="3" t="str">
        <f>IF(ISNA($D1807),VLOOKUP($A1807,[2]stockregister!$A$2:$B$2000,2,FALSE),"")</f>
        <v/>
      </c>
      <c r="F1807" s="3" t="s">
        <v>21</v>
      </c>
      <c r="G1807" s="3">
        <f>_xlfn.IFNA(VLOOKUP($A1807,[3]stockregister!$A$2:$L$2000,11,0),0)</f>
        <v>0</v>
      </c>
      <c r="H1807" s="3">
        <f>_xlfn.IFNA(VLOOKUP($A1807,[3]stockregister!$A$2:$L$2000,11,0),0)-$G1807</f>
        <v>0</v>
      </c>
      <c r="I1807" s="3">
        <f>_xlfn.IFNA(VLOOKUP($A1807,[3]stockregister!$A$2:$L$2000,12,0),0)</f>
        <v>1530</v>
      </c>
      <c r="J1807" s="3">
        <f>_xlfn.IFNA(VLOOKUP($A1807,[3]stockregister!$A$1:$M$2000,12,0),0)-$I1807</f>
        <v>0</v>
      </c>
      <c r="K1807" s="3" t="s">
        <v>22</v>
      </c>
      <c r="L1807" s="3" t="s">
        <v>23</v>
      </c>
      <c r="M1807" s="3">
        <f>_xlfn.IFNA(VLOOKUP($A1807,[2]stockregister!$A$2:$H$2000,8,0),0)</f>
        <v>1630</v>
      </c>
      <c r="N1807" s="3">
        <f>_xlfn.IFNA(VLOOKUP($A1807,[2]stockregister!$A$2:$H$2000,8,0),0)-$M1807</f>
        <v>0</v>
      </c>
      <c r="O1807" s="3" t="s">
        <v>4177</v>
      </c>
      <c r="P1807" s="3" t="s">
        <v>4177</v>
      </c>
      <c r="Q1807" s="3" t="s">
        <v>966</v>
      </c>
      <c r="R1807" s="3" t="s">
        <v>537</v>
      </c>
      <c r="S1807" s="3" t="s">
        <v>196</v>
      </c>
    </row>
    <row r="1808" spans="1:19">
      <c r="A1808" s="3">
        <v>2189</v>
      </c>
      <c r="B1808" s="3" t="b">
        <f>ISNUMBER(MATCH(A1808,[1]stockregister!$A$2:$A$2000,0))</f>
        <v>1</v>
      </c>
      <c r="C1808" s="3" t="s">
        <v>4178</v>
      </c>
      <c r="D1808" s="3" t="str">
        <f>VLOOKUP($C1808,[1]stockregister!$B$2:$B$2000,1,0)</f>
        <v>DROSTDY SWEET ROSE 750ML</v>
      </c>
      <c r="E1808" s="3" t="str">
        <f>IF(ISNA($D1808),VLOOKUP($A1808,[2]stockregister!$A$2:$B$2000,2,FALSE),"")</f>
        <v/>
      </c>
      <c r="F1808" s="3" t="s">
        <v>21</v>
      </c>
      <c r="G1808" s="3">
        <f>_xlfn.IFNA(VLOOKUP($A1808,[3]stockregister!$A$2:$L$2000,11,0),0)</f>
        <v>0</v>
      </c>
      <c r="H1808" s="3">
        <f>_xlfn.IFNA(VLOOKUP($A1808,[3]stockregister!$A$2:$L$2000,11,0),0)-$G1808</f>
        <v>0</v>
      </c>
      <c r="I1808" s="3">
        <f>_xlfn.IFNA(VLOOKUP($A1808,[3]stockregister!$A$2:$L$2000,12,0),0)</f>
        <v>750</v>
      </c>
      <c r="J1808" s="3">
        <f>_xlfn.IFNA(VLOOKUP($A1808,[3]stockregister!$A$1:$M$2000,12,0),0)-$I1808</f>
        <v>0</v>
      </c>
      <c r="K1808" s="3" t="s">
        <v>22</v>
      </c>
      <c r="L1808" s="3" t="s">
        <v>23</v>
      </c>
      <c r="M1808" s="3">
        <f>_xlfn.IFNA(VLOOKUP($A1808,[2]stockregister!$A$2:$H$2000,8,0),0)</f>
        <v>800</v>
      </c>
      <c r="N1808" s="3">
        <f>_xlfn.IFNA(VLOOKUP($A1808,[2]stockregister!$A$2:$H$2000,8,0),0)-$M1808</f>
        <v>0</v>
      </c>
      <c r="O1808" s="3" t="s">
        <v>4179</v>
      </c>
      <c r="P1808" s="3" t="s">
        <v>4179</v>
      </c>
      <c r="Q1808" s="3" t="s">
        <v>923</v>
      </c>
      <c r="R1808" s="3" t="s">
        <v>68</v>
      </c>
      <c r="S1808" s="3" t="s">
        <v>196</v>
      </c>
    </row>
    <row r="1809" spans="1:19">
      <c r="A1809" s="3">
        <v>647</v>
      </c>
      <c r="B1809" s="3" t="b">
        <f>ISNUMBER(MATCH(A1809,[1]stockregister!$A$2:$A$2000,0))</f>
        <v>1</v>
      </c>
      <c r="C1809" s="3" t="s">
        <v>4180</v>
      </c>
      <c r="D1809" s="3" t="str">
        <f>VLOOKUP($C1809,[1]stockregister!$B$2:$B$2000,1,0)</f>
        <v>DUCHESALIA FRAGOLINO ROSE 750ML</v>
      </c>
      <c r="E1809" s="3" t="str">
        <f>IF(ISNA($D1809),VLOOKUP($A1809,[2]stockregister!$A$2:$B$2000,2,FALSE),"")</f>
        <v/>
      </c>
      <c r="F1809" s="3" t="s">
        <v>21</v>
      </c>
      <c r="G1809" s="3">
        <f>_xlfn.IFNA(VLOOKUP($A1809,[3]stockregister!$A$2:$L$2000,11,0),0)</f>
        <v>0</v>
      </c>
      <c r="H1809" s="3">
        <f>_xlfn.IFNA(VLOOKUP($A1809,[3]stockregister!$A$2:$L$2000,11,0),0)-$G1809</f>
        <v>0</v>
      </c>
      <c r="I1809" s="3">
        <f>_xlfn.IFNA(VLOOKUP($A1809,[3]stockregister!$A$2:$L$2000,12,0),0)</f>
        <v>1200</v>
      </c>
      <c r="J1809" s="3">
        <f>_xlfn.IFNA(VLOOKUP($A1809,[3]stockregister!$A$1:$M$2000,12,0),0)-$I1809</f>
        <v>0</v>
      </c>
      <c r="K1809" s="3" t="s">
        <v>22</v>
      </c>
      <c r="L1809" s="3" t="s">
        <v>23</v>
      </c>
      <c r="M1809" s="3">
        <f>_xlfn.IFNA(VLOOKUP($A1809,[2]stockregister!$A$2:$H$2000,8,0),0)</f>
        <v>1400</v>
      </c>
      <c r="N1809" s="3">
        <f>_xlfn.IFNA(VLOOKUP($A1809,[2]stockregister!$A$2:$H$2000,8,0),0)-$M1809</f>
        <v>0</v>
      </c>
      <c r="O1809" s="3" t="s">
        <v>4181</v>
      </c>
      <c r="P1809" s="3" t="s">
        <v>4181</v>
      </c>
      <c r="Q1809" s="3" t="s">
        <v>1727</v>
      </c>
      <c r="R1809" s="3" t="s">
        <v>68</v>
      </c>
      <c r="S1809" s="3" t="s">
        <v>196</v>
      </c>
    </row>
    <row r="1810" spans="1:19">
      <c r="A1810" s="3">
        <v>799</v>
      </c>
      <c r="B1810" s="3" t="b">
        <f>ISNUMBER(MATCH(A1810,[1]stockregister!$A$2:$A$2000,0))</f>
        <v>1</v>
      </c>
      <c r="C1810" s="3" t="s">
        <v>4182</v>
      </c>
      <c r="D1810" s="3" t="str">
        <f>VLOOKUP($C1810,[1]stockregister!$B$2:$B$2000,1,0)</f>
        <v>FRONTERA SWEET ROSE 750ML</v>
      </c>
      <c r="E1810" s="3" t="str">
        <f>IF(ISNA($D1810),VLOOKUP($A1810,[2]stockregister!$A$2:$B$2000,2,FALSE),"")</f>
        <v/>
      </c>
      <c r="F1810" s="3" t="s">
        <v>21</v>
      </c>
      <c r="G1810" s="3">
        <f>_xlfn.IFNA(VLOOKUP($A1810,[3]stockregister!$A$2:$L$2000,11,0),0)</f>
        <v>0</v>
      </c>
      <c r="H1810" s="3">
        <f>_xlfn.IFNA(VLOOKUP($A1810,[3]stockregister!$A$2:$L$2000,11,0),0)-$G1810</f>
        <v>0</v>
      </c>
      <c r="I1810" s="3">
        <f>_xlfn.IFNA(VLOOKUP($A1810,[3]stockregister!$A$2:$L$2000,12,0),0)</f>
        <v>978.4</v>
      </c>
      <c r="J1810" s="3">
        <f>_xlfn.IFNA(VLOOKUP($A1810,[3]stockregister!$A$1:$M$2000,12,0),0)-$I1810</f>
        <v>0</v>
      </c>
      <c r="K1810" s="3" t="s">
        <v>22</v>
      </c>
      <c r="L1810" s="3" t="s">
        <v>23</v>
      </c>
      <c r="M1810" s="3">
        <f>_xlfn.IFNA(VLOOKUP($A1810,[2]stockregister!$A$2:$H$2000,8,0),0)</f>
        <v>1300</v>
      </c>
      <c r="N1810" s="3">
        <f>_xlfn.IFNA(VLOOKUP($A1810,[2]stockregister!$A$2:$H$2000,8,0),0)-$M1810</f>
        <v>0</v>
      </c>
      <c r="O1810" s="3" t="s">
        <v>4183</v>
      </c>
      <c r="P1810" s="3" t="s">
        <v>4183</v>
      </c>
      <c r="Q1810" s="3" t="s">
        <v>1046</v>
      </c>
      <c r="R1810" s="3" t="s">
        <v>537</v>
      </c>
      <c r="S1810" s="3" t="s">
        <v>196</v>
      </c>
    </row>
    <row r="1811" spans="1:19">
      <c r="A1811" s="3">
        <v>754</v>
      </c>
      <c r="B1811" s="3" t="b">
        <f>ISNUMBER(MATCH(A1811,[1]stockregister!$A$2:$A$2000,0))</f>
        <v>1</v>
      </c>
      <c r="C1811" s="3" t="s">
        <v>4184</v>
      </c>
      <c r="D1811" s="3" t="str">
        <f>VLOOKUP($C1811,[1]stockregister!$B$2:$B$2000,1,0)</f>
        <v>FOUR COUSINS SWEET ROSE 750ML</v>
      </c>
      <c r="E1811" s="3" t="str">
        <f>IF(ISNA($D1811),VLOOKUP($A1811,[2]stockregister!$A$2:$B$2000,2,FALSE),"")</f>
        <v/>
      </c>
      <c r="F1811" s="3" t="s">
        <v>21</v>
      </c>
      <c r="G1811" s="3">
        <f>_xlfn.IFNA(VLOOKUP($A1811,[3]stockregister!$A$2:$L$2000,11,0),0)</f>
        <v>0</v>
      </c>
      <c r="H1811" s="3">
        <f>_xlfn.IFNA(VLOOKUP($A1811,[3]stockregister!$A$2:$L$2000,11,0),0)-$G1811</f>
        <v>0</v>
      </c>
      <c r="I1811" s="3">
        <f>_xlfn.IFNA(VLOOKUP($A1811,[3]stockregister!$A$2:$L$2000,12,0),0)</f>
        <v>736</v>
      </c>
      <c r="J1811" s="3">
        <f>_xlfn.IFNA(VLOOKUP($A1811,[3]stockregister!$A$1:$M$2000,12,0),0)-$I1811</f>
        <v>0</v>
      </c>
      <c r="K1811" s="3" t="s">
        <v>22</v>
      </c>
      <c r="L1811" s="3" t="s">
        <v>23</v>
      </c>
      <c r="M1811" s="3">
        <f>_xlfn.IFNA(VLOOKUP($A1811,[2]stockregister!$A$2:$H$2000,8,0),0)</f>
        <v>800</v>
      </c>
      <c r="N1811" s="3">
        <f>_xlfn.IFNA(VLOOKUP($A1811,[2]stockregister!$A$2:$H$2000,8,0),0)-$M1811</f>
        <v>0</v>
      </c>
      <c r="O1811" s="3" t="s">
        <v>1771</v>
      </c>
      <c r="P1811" s="3" t="s">
        <v>1771</v>
      </c>
      <c r="Q1811" s="3" t="s">
        <v>137</v>
      </c>
      <c r="R1811" s="3" t="s">
        <v>68</v>
      </c>
      <c r="S1811" s="3" t="s">
        <v>196</v>
      </c>
    </row>
    <row r="1812" spans="1:19">
      <c r="A1812" s="3">
        <v>2238</v>
      </c>
      <c r="B1812" s="3" t="b">
        <f>ISNUMBER(MATCH(A1812,[1]stockregister!$A$2:$A$2000,0))</f>
        <v>1</v>
      </c>
      <c r="C1812" s="3" t="s">
        <v>4185</v>
      </c>
      <c r="D1812" s="3" t="str">
        <f>VLOOKUP($C1812,[1]stockregister!$B$2:$B$2000,1,0)</f>
        <v>NAMAQUA SWT ROSE 5LTR</v>
      </c>
      <c r="E1812" s="3" t="str">
        <f>IF(ISNA($D1812),VLOOKUP($A1812,[2]stockregister!$A$2:$B$2000,2,FALSE),"")</f>
        <v/>
      </c>
      <c r="F1812" s="3" t="s">
        <v>21</v>
      </c>
      <c r="G1812" s="3">
        <f>_xlfn.IFNA(VLOOKUP($A1812,[3]stockregister!$A$2:$L$2000,11,0),0)</f>
        <v>0</v>
      </c>
      <c r="H1812" s="3">
        <f>_xlfn.IFNA(VLOOKUP($A1812,[3]stockregister!$A$2:$L$2000,11,0),0)-$G1812</f>
        <v>0</v>
      </c>
      <c r="I1812" s="3">
        <f>_xlfn.IFNA(VLOOKUP($A1812,[3]stockregister!$A$2:$L$2000,12,0),0)</f>
        <v>2500</v>
      </c>
      <c r="J1812" s="3">
        <f>_xlfn.IFNA(VLOOKUP($A1812,[3]stockregister!$A$1:$M$2000,12,0),0)-$I1812</f>
        <v>0</v>
      </c>
      <c r="K1812" s="3" t="s">
        <v>22</v>
      </c>
      <c r="L1812" s="3" t="s">
        <v>23</v>
      </c>
      <c r="M1812" s="3">
        <f>_xlfn.IFNA(VLOOKUP($A1812,[2]stockregister!$A$2:$H$2000,8,0),0)</f>
        <v>3000</v>
      </c>
      <c r="N1812" s="3">
        <f>_xlfn.IFNA(VLOOKUP($A1812,[2]stockregister!$A$2:$H$2000,8,0),0)-$M1812</f>
        <v>0</v>
      </c>
      <c r="O1812" s="3" t="s">
        <v>4186</v>
      </c>
      <c r="P1812" s="3" t="s">
        <v>4186</v>
      </c>
      <c r="Q1812" s="3" t="s">
        <v>1050</v>
      </c>
      <c r="R1812" s="3" t="s">
        <v>68</v>
      </c>
      <c r="S1812" s="3" t="s">
        <v>196</v>
      </c>
    </row>
    <row r="1813" spans="1:19">
      <c r="A1813" s="3">
        <v>227</v>
      </c>
      <c r="B1813" s="3" t="b">
        <f>ISNUMBER(MATCH(A1813,[1]stockregister!$A$2:$A$2000,0))</f>
        <v>1</v>
      </c>
      <c r="C1813" s="3" t="s">
        <v>4187</v>
      </c>
      <c r="D1813" s="3" t="str">
        <f>VLOOKUP($C1813,[1]stockregister!$B$2:$B$2000,1,0)</f>
        <v>BIRDS N BEES SWEET WHITE 750ML</v>
      </c>
      <c r="E1813" s="3" t="str">
        <f>IF(ISNA($D1813),VLOOKUP($A1813,[2]stockregister!$A$2:$B$2000,2,FALSE),"")</f>
        <v/>
      </c>
      <c r="F1813" s="3" t="s">
        <v>21</v>
      </c>
      <c r="G1813" s="3">
        <f>_xlfn.IFNA(VLOOKUP($A1813,[3]stockregister!$A$2:$L$2000,11,0),0)</f>
        <v>0</v>
      </c>
      <c r="H1813" s="3">
        <f>_xlfn.IFNA(VLOOKUP($A1813,[3]stockregister!$A$2:$L$2000,11,0),0)-$G1813</f>
        <v>0</v>
      </c>
      <c r="I1813" s="3">
        <f>_xlfn.IFNA(VLOOKUP($A1813,[3]stockregister!$A$2:$L$2000,12,0),0)</f>
        <v>1084</v>
      </c>
      <c r="J1813" s="3">
        <f>_xlfn.IFNA(VLOOKUP($A1813,[3]stockregister!$A$1:$M$2000,12,0),0)-$I1813</f>
        <v>0</v>
      </c>
      <c r="K1813" s="3" t="s">
        <v>22</v>
      </c>
      <c r="L1813" s="3" t="s">
        <v>23</v>
      </c>
      <c r="M1813" s="3">
        <f>_xlfn.IFNA(VLOOKUP($A1813,[2]stockregister!$A$2:$H$2000,8,0),0)</f>
        <v>1300</v>
      </c>
      <c r="N1813" s="3">
        <f>_xlfn.IFNA(VLOOKUP($A1813,[2]stockregister!$A$2:$H$2000,8,0),0)-$M1813</f>
        <v>0</v>
      </c>
      <c r="O1813" s="3" t="s">
        <v>4188</v>
      </c>
      <c r="P1813" s="3" t="s">
        <v>4188</v>
      </c>
      <c r="Q1813" s="3" t="s">
        <v>4125</v>
      </c>
      <c r="R1813" s="3" t="s">
        <v>68</v>
      </c>
      <c r="S1813" s="3" t="s">
        <v>69</v>
      </c>
    </row>
    <row r="1814" spans="1:19">
      <c r="A1814" s="3">
        <v>1458</v>
      </c>
      <c r="B1814" s="3" t="b">
        <f>ISNUMBER(MATCH(A1814,[1]stockregister!$A$2:$A$2000,0))</f>
        <v>1</v>
      </c>
      <c r="C1814" s="3" t="s">
        <v>4189</v>
      </c>
      <c r="D1814" s="3" t="str">
        <f>VLOOKUP($C1814,[1]stockregister!$B$2:$B$2000,1,0)</f>
        <v>MOHANS RESERVE - WHITE SWEET 750ML</v>
      </c>
      <c r="E1814" s="3" t="str">
        <f>IF(ISNA($D1814),VLOOKUP($A1814,[2]stockregister!$A$2:$B$2000,2,FALSE),"")</f>
        <v/>
      </c>
      <c r="F1814" s="3" t="s">
        <v>21</v>
      </c>
      <c r="G1814" s="3">
        <f>_xlfn.IFNA(VLOOKUP($A1814,[3]stockregister!$A$2:$L$2000,11,0),0)</f>
        <v>0</v>
      </c>
      <c r="H1814" s="3">
        <f>_xlfn.IFNA(VLOOKUP($A1814,[3]stockregister!$A$2:$L$2000,11,0),0)-$G1814</f>
        <v>0</v>
      </c>
      <c r="I1814" s="3">
        <f>_xlfn.IFNA(VLOOKUP($A1814,[3]stockregister!$A$2:$L$2000,12,0),0)</f>
        <v>598</v>
      </c>
      <c r="J1814" s="3">
        <f>_xlfn.IFNA(VLOOKUP($A1814,[3]stockregister!$A$1:$M$2000,12,0),0)-$I1814</f>
        <v>0</v>
      </c>
      <c r="K1814" s="3" t="s">
        <v>22</v>
      </c>
      <c r="L1814" s="3" t="s">
        <v>23</v>
      </c>
      <c r="M1814" s="3">
        <f>_xlfn.IFNA(VLOOKUP($A1814,[2]stockregister!$A$2:$H$2000,8,0),0)</f>
        <v>650</v>
      </c>
      <c r="N1814" s="3">
        <f>_xlfn.IFNA(VLOOKUP($A1814,[2]stockregister!$A$2:$H$2000,8,0),0)-$M1814</f>
        <v>0</v>
      </c>
      <c r="O1814" s="3" t="s">
        <v>4190</v>
      </c>
      <c r="P1814" s="3" t="s">
        <v>4190</v>
      </c>
      <c r="Q1814" s="3" t="s">
        <v>4134</v>
      </c>
      <c r="R1814" s="3" t="s">
        <v>68</v>
      </c>
      <c r="S1814" s="3" t="s">
        <v>69</v>
      </c>
    </row>
    <row r="1815" spans="1:19">
      <c r="A1815" s="3">
        <v>1908</v>
      </c>
      <c r="B1815" s="3" t="b">
        <f>ISNUMBER(MATCH(A1815,[1]stockregister!$A$2:$A$2000,0))</f>
        <v>1</v>
      </c>
      <c r="C1815" s="3" t="s">
        <v>4191</v>
      </c>
      <c r="D1815" s="3" t="str">
        <f>VLOOKUP($C1815,[1]stockregister!$B$2:$B$2000,1,0)</f>
        <v>SWEET LIPS SWEET WHITE 1LTR</v>
      </c>
      <c r="E1815" s="3" t="str">
        <f>IF(ISNA($D1815),VLOOKUP($A1815,[2]stockregister!$A$2:$B$2000,2,FALSE),"")</f>
        <v/>
      </c>
      <c r="F1815" s="3" t="s">
        <v>21</v>
      </c>
      <c r="G1815" s="3">
        <f>_xlfn.IFNA(VLOOKUP($A1815,[3]stockregister!$A$2:$L$2000,11,0),0)</f>
        <v>78</v>
      </c>
      <c r="H1815" s="3">
        <f>_xlfn.IFNA(VLOOKUP($A1815,[3]stockregister!$A$2:$L$2000,11,0),0)-$G1815</f>
        <v>0</v>
      </c>
      <c r="I1815" s="3">
        <f>_xlfn.IFNA(VLOOKUP($A1815,[3]stockregister!$A$2:$L$2000,12,0),0)</f>
        <v>1288</v>
      </c>
      <c r="J1815" s="3">
        <f>_xlfn.IFNA(VLOOKUP($A1815,[3]stockregister!$A$1:$M$2000,12,0),0)-$I1815</f>
        <v>0</v>
      </c>
      <c r="K1815" s="3" t="s">
        <v>22</v>
      </c>
      <c r="L1815" s="3" t="s">
        <v>23</v>
      </c>
      <c r="M1815" s="3">
        <f>_xlfn.IFNA(VLOOKUP($A1815,[2]stockregister!$A$2:$H$2000,8,0),0)</f>
        <v>1400</v>
      </c>
      <c r="N1815" s="3">
        <f>_xlfn.IFNA(VLOOKUP($A1815,[2]stockregister!$A$2:$H$2000,8,0),0)-$M1815</f>
        <v>0</v>
      </c>
      <c r="O1815" s="3" t="s">
        <v>4192</v>
      </c>
      <c r="P1815" s="3" t="s">
        <v>4192</v>
      </c>
      <c r="Q1815" s="3" t="s">
        <v>1153</v>
      </c>
      <c r="R1815" s="3" t="s">
        <v>68</v>
      </c>
      <c r="S1815" s="3" t="s">
        <v>69</v>
      </c>
    </row>
    <row r="1816" spans="1:19">
      <c r="A1816" s="3">
        <v>2334</v>
      </c>
      <c r="B1816" s="3" t="b">
        <f>ISNUMBER(MATCH(A1816,[1]stockregister!$A$2:$A$2000,0))</f>
        <v>1</v>
      </c>
      <c r="C1816" s="3" t="s">
        <v>4193</v>
      </c>
      <c r="D1816" s="3" t="str">
        <f>VLOOKUP($C1816,[1]stockregister!$B$2:$B$2000,1,0)</f>
        <v>DOMPO SWT WHITE 750ML</v>
      </c>
      <c r="E1816" s="3" t="str">
        <f>IF(ISNA($D1816),VLOOKUP($A1816,[2]stockregister!$A$2:$B$2000,2,FALSE),"")</f>
        <v/>
      </c>
      <c r="F1816" s="3" t="s">
        <v>21</v>
      </c>
      <c r="G1816" s="3">
        <f>_xlfn.IFNA(VLOOKUP($A1816,[3]stockregister!$A$2:$L$2000,11,0),0)</f>
        <v>0</v>
      </c>
      <c r="H1816" s="3">
        <f>_xlfn.IFNA(VLOOKUP($A1816,[3]stockregister!$A$2:$L$2000,11,0),0)-$G1816</f>
        <v>0</v>
      </c>
      <c r="I1816" s="3">
        <f>_xlfn.IFNA(VLOOKUP($A1816,[3]stockregister!$A$2:$L$2000,12,0),0)</f>
        <v>1060</v>
      </c>
      <c r="J1816" s="3">
        <f>_xlfn.IFNA(VLOOKUP($A1816,[3]stockregister!$A$1:$M$2000,12,0),0)-$I1816</f>
        <v>0</v>
      </c>
      <c r="K1816" s="3" t="s">
        <v>22</v>
      </c>
      <c r="L1816" s="3" t="s">
        <v>23</v>
      </c>
      <c r="M1816" s="3">
        <f>_xlfn.IFNA(VLOOKUP($A1816,[2]stockregister!$A$2:$H$2000,8,0),0)</f>
        <v>1150</v>
      </c>
      <c r="N1816" s="3">
        <f>_xlfn.IFNA(VLOOKUP($A1816,[2]stockregister!$A$2:$H$2000,8,0),0)-$M1816</f>
        <v>0</v>
      </c>
      <c r="O1816" s="3" t="s">
        <v>4194</v>
      </c>
      <c r="P1816" s="3" t="s">
        <v>4194</v>
      </c>
      <c r="Q1816" s="3" t="s">
        <v>1719</v>
      </c>
      <c r="R1816" s="3" t="s">
        <v>68</v>
      </c>
      <c r="S1816" s="3" t="s">
        <v>69</v>
      </c>
    </row>
    <row r="1817" spans="1:19">
      <c r="A1817" s="3">
        <v>2206</v>
      </c>
      <c r="B1817" s="3" t="b">
        <f>ISNUMBER(MATCH(A1817,[1]stockregister!$A$2:$A$2000,0))</f>
        <v>1</v>
      </c>
      <c r="C1817" s="3" t="s">
        <v>4195</v>
      </c>
      <c r="D1817" s="3" t="str">
        <f>VLOOKUP($C1817,[1]stockregister!$B$2:$B$2000,1,0)</f>
        <v>JAM JAR SWEET WHITE 750ML</v>
      </c>
      <c r="E1817" s="3" t="str">
        <f>IF(ISNA($D1817),VLOOKUP($A1817,[2]stockregister!$A$2:$B$2000,2,FALSE),"")</f>
        <v/>
      </c>
      <c r="F1817" s="3" t="s">
        <v>21</v>
      </c>
      <c r="G1817" s="3">
        <f>_xlfn.IFNA(VLOOKUP($A1817,[3]stockregister!$A$2:$L$2000,11,0),0)</f>
        <v>0</v>
      </c>
      <c r="H1817" s="3">
        <f>_xlfn.IFNA(VLOOKUP($A1817,[3]stockregister!$A$2:$L$2000,11,0),0)-$G1817</f>
        <v>0</v>
      </c>
      <c r="I1817" s="3">
        <f>_xlfn.IFNA(VLOOKUP($A1817,[3]stockregister!$A$2:$L$2000,12,0),0)</f>
        <v>750</v>
      </c>
      <c r="J1817" s="3">
        <f>_xlfn.IFNA(VLOOKUP($A1817,[3]stockregister!$A$1:$M$2000,12,0),0)-$I1817</f>
        <v>0</v>
      </c>
      <c r="K1817" s="3" t="s">
        <v>22</v>
      </c>
      <c r="L1817" s="3" t="s">
        <v>23</v>
      </c>
      <c r="M1817" s="3">
        <f>_xlfn.IFNA(VLOOKUP($A1817,[2]stockregister!$A$2:$H$2000,8,0),0)</f>
        <v>800</v>
      </c>
      <c r="N1817" s="3">
        <f>_xlfn.IFNA(VLOOKUP($A1817,[2]stockregister!$A$2:$H$2000,8,0),0)-$M1817</f>
        <v>0</v>
      </c>
      <c r="O1817" s="3" t="s">
        <v>4196</v>
      </c>
      <c r="P1817" s="3" t="s">
        <v>4196</v>
      </c>
      <c r="Q1817" s="3" t="s">
        <v>4075</v>
      </c>
      <c r="R1817" s="3" t="s">
        <v>68</v>
      </c>
      <c r="S1817" s="3" t="s">
        <v>69</v>
      </c>
    </row>
    <row r="1818" spans="1:19">
      <c r="A1818" s="3">
        <v>19</v>
      </c>
      <c r="B1818" s="3" t="b">
        <f>ISNUMBER(MATCH(A1818,[1]stockregister!$A$2:$A$2000,0))</f>
        <v>1</v>
      </c>
      <c r="C1818" s="3" t="s">
        <v>4197</v>
      </c>
      <c r="D1818" s="3" t="str">
        <f>VLOOKUP($C1818,[1]stockregister!$B$2:$B$2000,1,0)</f>
        <v>4TH STREET WHITE 5LTR</v>
      </c>
      <c r="E1818" s="3" t="str">
        <f>IF(ISNA($D1818),VLOOKUP($A1818,[2]stockregister!$A$2:$B$2000,2,FALSE),"")</f>
        <v/>
      </c>
      <c r="F1818" s="3" t="s">
        <v>21</v>
      </c>
      <c r="G1818" s="3">
        <f>_xlfn.IFNA(VLOOKUP($A1818,[3]stockregister!$A$2:$L$2000,11,0),0)</f>
        <v>0</v>
      </c>
      <c r="H1818" s="3">
        <f>_xlfn.IFNA(VLOOKUP($A1818,[3]stockregister!$A$2:$L$2000,11,0),0)-$G1818</f>
        <v>0</v>
      </c>
      <c r="I1818" s="3">
        <f>_xlfn.IFNA(VLOOKUP($A1818,[3]stockregister!$A$2:$L$2000,12,0),0)</f>
        <v>2930</v>
      </c>
      <c r="J1818" s="3">
        <f>_xlfn.IFNA(VLOOKUP($A1818,[3]stockregister!$A$1:$M$2000,12,0),0)-$I1818</f>
        <v>0</v>
      </c>
      <c r="K1818" s="3" t="s">
        <v>22</v>
      </c>
      <c r="L1818" s="3" t="s">
        <v>23</v>
      </c>
      <c r="M1818" s="3">
        <f>_xlfn.IFNA(VLOOKUP($A1818,[2]stockregister!$A$2:$H$2000,8,0),0)</f>
        <v>3400</v>
      </c>
      <c r="N1818" s="3">
        <f>_xlfn.IFNA(VLOOKUP($A1818,[2]stockregister!$A$2:$H$2000,8,0),0)-$M1818</f>
        <v>0</v>
      </c>
      <c r="O1818" s="3" t="s">
        <v>4198</v>
      </c>
      <c r="P1818" s="3" t="s">
        <v>4198</v>
      </c>
      <c r="Q1818" s="3" t="s">
        <v>120</v>
      </c>
      <c r="R1818" s="3" t="s">
        <v>68</v>
      </c>
      <c r="S1818" s="3" t="s">
        <v>69</v>
      </c>
    </row>
    <row r="1819" spans="1:19">
      <c r="A1819" s="3">
        <v>757</v>
      </c>
      <c r="B1819" s="3" t="b">
        <f>ISNUMBER(MATCH(A1819,[1]stockregister!$A$2:$A$2000,0))</f>
        <v>1</v>
      </c>
      <c r="C1819" s="3" t="s">
        <v>4199</v>
      </c>
      <c r="D1819" s="3" t="str">
        <f>VLOOKUP($C1819,[1]stockregister!$B$2:$B$2000,1,0)</f>
        <v>FOUR COUSINS WHITE 5LTR</v>
      </c>
      <c r="E1819" s="3" t="str">
        <f>IF(ISNA($D1819),VLOOKUP($A1819,[2]stockregister!$A$2:$B$2000,2,FALSE),"")</f>
        <v/>
      </c>
      <c r="F1819" s="3" t="s">
        <v>21</v>
      </c>
      <c r="G1819" s="3">
        <f>_xlfn.IFNA(VLOOKUP($A1819,[3]stockregister!$A$2:$L$2000,11,0),0)</f>
        <v>0</v>
      </c>
      <c r="H1819" s="3">
        <f>_xlfn.IFNA(VLOOKUP($A1819,[3]stockregister!$A$2:$L$2000,11,0),0)-$G1819</f>
        <v>0</v>
      </c>
      <c r="I1819" s="3">
        <f>_xlfn.IFNA(VLOOKUP($A1819,[3]stockregister!$A$2:$L$2000,12,0),0)</f>
        <v>3128</v>
      </c>
      <c r="J1819" s="3">
        <f>_xlfn.IFNA(VLOOKUP($A1819,[3]stockregister!$A$1:$M$2000,12,0),0)-$I1819</f>
        <v>0</v>
      </c>
      <c r="K1819" s="3" t="s">
        <v>22</v>
      </c>
      <c r="L1819" s="3" t="s">
        <v>23</v>
      </c>
      <c r="M1819" s="3">
        <f>_xlfn.IFNA(VLOOKUP($A1819,[2]stockregister!$A$2:$H$2000,8,0),0)</f>
        <v>3400</v>
      </c>
      <c r="N1819" s="3">
        <f>_xlfn.IFNA(VLOOKUP($A1819,[2]stockregister!$A$2:$H$2000,8,0),0)-$M1819</f>
        <v>0</v>
      </c>
      <c r="O1819" s="3" t="s">
        <v>4200</v>
      </c>
      <c r="P1819" s="3" t="s">
        <v>4200</v>
      </c>
      <c r="Q1819" s="3" t="s">
        <v>137</v>
      </c>
      <c r="R1819" s="3" t="s">
        <v>68</v>
      </c>
      <c r="S1819" s="3" t="s">
        <v>69</v>
      </c>
    </row>
    <row r="1820" spans="1:19">
      <c r="A1820" s="3">
        <v>1285</v>
      </c>
      <c r="B1820" s="3" t="b">
        <f>ISNUMBER(MATCH(A1820,[1]stockregister!$A$2:$A$2000,0))</f>
        <v>1</v>
      </c>
      <c r="C1820" s="3" t="s">
        <v>4201</v>
      </c>
      <c r="D1820" s="3" t="str">
        <f>VLOOKUP($C1820,[1]stockregister!$B$2:$B$2000,1,0)</f>
        <v>LELESHWA SWEET WHITE WINE 750ML</v>
      </c>
      <c r="E1820" s="3" t="str">
        <f>IF(ISNA($D1820),VLOOKUP($A1820,[2]stockregister!$A$2:$B$2000,2,FALSE),"")</f>
        <v/>
      </c>
      <c r="F1820" s="3" t="s">
        <v>21</v>
      </c>
      <c r="G1820" s="3">
        <f>_xlfn.IFNA(VLOOKUP($A1820,[3]stockregister!$A$2:$L$2000,11,0),0)</f>
        <v>0</v>
      </c>
      <c r="H1820" s="3">
        <f>_xlfn.IFNA(VLOOKUP($A1820,[3]stockregister!$A$2:$L$2000,11,0),0)-$G1820</f>
        <v>0</v>
      </c>
      <c r="I1820" s="3">
        <f>_xlfn.IFNA(VLOOKUP($A1820,[3]stockregister!$A$2:$L$2000,12,0),0)</f>
        <v>1002.95</v>
      </c>
      <c r="J1820" s="3">
        <f>_xlfn.IFNA(VLOOKUP($A1820,[3]stockregister!$A$1:$M$2000,12,0),0)-$I1820</f>
        <v>0</v>
      </c>
      <c r="K1820" s="3" t="s">
        <v>22</v>
      </c>
      <c r="L1820" s="3" t="s">
        <v>23</v>
      </c>
      <c r="M1820" s="3">
        <f>_xlfn.IFNA(VLOOKUP($A1820,[2]stockregister!$A$2:$H$2000,8,0),0)</f>
        <v>1100</v>
      </c>
      <c r="N1820" s="3">
        <f>_xlfn.IFNA(VLOOKUP($A1820,[2]stockregister!$A$2:$H$2000,8,0),0)-$M1820</f>
        <v>0</v>
      </c>
      <c r="O1820" s="3" t="s">
        <v>4202</v>
      </c>
      <c r="P1820" s="3" t="s">
        <v>4202</v>
      </c>
      <c r="Q1820" s="3" t="s">
        <v>3590</v>
      </c>
      <c r="R1820" s="3" t="s">
        <v>68</v>
      </c>
      <c r="S1820" s="3" t="s">
        <v>69</v>
      </c>
    </row>
    <row r="1821" spans="1:19">
      <c r="A1821" s="3">
        <v>2163</v>
      </c>
      <c r="B1821" s="3" t="b">
        <f>ISNUMBER(MATCH(A1821,[1]stockregister!$A$2:$A$2000,0))</f>
        <v>1</v>
      </c>
      <c r="C1821" s="3" t="s">
        <v>4203</v>
      </c>
      <c r="D1821" s="3" t="str">
        <f>VLOOKUP($C1821,[1]stockregister!$B$2:$B$2000,1,0)</f>
        <v>NAMAQUA SWEET WHITE 750ML</v>
      </c>
      <c r="E1821" s="3" t="str">
        <f>IF(ISNA($D1821),VLOOKUP($A1821,[2]stockregister!$A$2:$B$2000,2,FALSE),"")</f>
        <v/>
      </c>
      <c r="F1821" s="3" t="s">
        <v>21</v>
      </c>
      <c r="G1821" s="3">
        <f>_xlfn.IFNA(VLOOKUP($A1821,[3]stockregister!$A$2:$L$2000,11,0),0)</f>
        <v>0</v>
      </c>
      <c r="H1821" s="3">
        <f>_xlfn.IFNA(VLOOKUP($A1821,[3]stockregister!$A$2:$L$2000,11,0),0)-$G1821</f>
        <v>0</v>
      </c>
      <c r="I1821" s="3">
        <f>_xlfn.IFNA(VLOOKUP($A1821,[3]stockregister!$A$2:$L$2000,12,0),0)</f>
        <v>700</v>
      </c>
      <c r="J1821" s="3">
        <f>_xlfn.IFNA(VLOOKUP($A1821,[3]stockregister!$A$1:$M$2000,12,0),0)-$I1821</f>
        <v>0</v>
      </c>
      <c r="K1821" s="3" t="s">
        <v>22</v>
      </c>
      <c r="L1821" s="3" t="s">
        <v>23</v>
      </c>
      <c r="M1821" s="3">
        <f>_xlfn.IFNA(VLOOKUP($A1821,[2]stockregister!$A$2:$H$2000,8,0),0)</f>
        <v>750</v>
      </c>
      <c r="N1821" s="3">
        <f>_xlfn.IFNA(VLOOKUP($A1821,[2]stockregister!$A$2:$H$2000,8,0),0)-$M1821</f>
        <v>0</v>
      </c>
      <c r="O1821" s="3" t="s">
        <v>4204</v>
      </c>
      <c r="P1821" s="3" t="s">
        <v>4204</v>
      </c>
      <c r="Q1821" s="3" t="s">
        <v>1050</v>
      </c>
      <c r="R1821" s="3" t="s">
        <v>68</v>
      </c>
      <c r="S1821" s="3" t="s">
        <v>69</v>
      </c>
    </row>
    <row r="1822" spans="1:19">
      <c r="A1822" s="3">
        <v>1689</v>
      </c>
      <c r="B1822" s="3" t="b">
        <f>ISNUMBER(MATCH(A1822,[1]stockregister!$A$2:$A$2000,0))</f>
        <v>1</v>
      </c>
      <c r="C1822" s="3" t="s">
        <v>4205</v>
      </c>
      <c r="D1822" s="3" t="str">
        <f>VLOOKUP($C1822,[1]stockregister!$B$2:$B$2000,1,0)</f>
        <v>ROOIBERG WINERY SWEET WHITE 750ML</v>
      </c>
      <c r="E1822" s="3" t="str">
        <f>IF(ISNA($D1822),VLOOKUP($A1822,[2]stockregister!$A$2:$B$2000,2,FALSE),"")</f>
        <v/>
      </c>
      <c r="F1822" s="3" t="s">
        <v>21</v>
      </c>
      <c r="G1822" s="3">
        <f>_xlfn.IFNA(VLOOKUP($A1822,[3]stockregister!$A$2:$L$2000,11,0),0)</f>
        <v>0</v>
      </c>
      <c r="H1822" s="3">
        <f>_xlfn.IFNA(VLOOKUP($A1822,[3]stockregister!$A$2:$L$2000,11,0),0)-$G1822</f>
        <v>0</v>
      </c>
      <c r="I1822" s="3">
        <f>_xlfn.IFNA(VLOOKUP($A1822,[3]stockregister!$A$2:$L$2000,12,0),0)</f>
        <v>1012</v>
      </c>
      <c r="J1822" s="3">
        <f>_xlfn.IFNA(VLOOKUP($A1822,[3]stockregister!$A$1:$M$2000,12,0),0)-$I1822</f>
        <v>0</v>
      </c>
      <c r="K1822" s="3" t="s">
        <v>22</v>
      </c>
      <c r="L1822" s="3" t="s">
        <v>23</v>
      </c>
      <c r="M1822" s="3">
        <f>_xlfn.IFNA(VLOOKUP($A1822,[2]stockregister!$A$2:$H$2000,8,0),0)</f>
        <v>1100</v>
      </c>
      <c r="N1822" s="3">
        <f>_xlfn.IFNA(VLOOKUP($A1822,[2]stockregister!$A$2:$H$2000,8,0),0)-$M1822</f>
        <v>0</v>
      </c>
      <c r="O1822" s="3" t="s">
        <v>4206</v>
      </c>
      <c r="P1822" s="3" t="s">
        <v>4206</v>
      </c>
      <c r="Q1822" s="3" t="s">
        <v>4207</v>
      </c>
      <c r="R1822" s="3" t="s">
        <v>68</v>
      </c>
      <c r="S1822" s="3" t="s">
        <v>69</v>
      </c>
    </row>
    <row r="1823" spans="1:19">
      <c r="A1823" s="3">
        <v>2040</v>
      </c>
      <c r="B1823" s="3" t="b">
        <f>ISNUMBER(MATCH(A1823,[1]stockregister!$A$2:$A$2000,0))</f>
        <v>1</v>
      </c>
      <c r="C1823" s="3" t="s">
        <v>4208</v>
      </c>
      <c r="D1823" s="3" t="str">
        <f>VLOOKUP($C1823,[1]stockregister!$B$2:$B$2000,1,0)</f>
        <v>UPPER VALLEY SWEET WHITE 750ML</v>
      </c>
      <c r="E1823" s="3" t="str">
        <f>IF(ISNA($D1823),VLOOKUP($A1823,[2]stockregister!$A$2:$B$2000,2,FALSE),"")</f>
        <v/>
      </c>
      <c r="F1823" s="3" t="s">
        <v>21</v>
      </c>
      <c r="G1823" s="3">
        <f>_xlfn.IFNA(VLOOKUP($A1823,[3]stockregister!$A$2:$L$2000,11,0),0)</f>
        <v>0</v>
      </c>
      <c r="H1823" s="3">
        <f>_xlfn.IFNA(VLOOKUP($A1823,[3]stockregister!$A$2:$L$2000,11,0),0)-$G1823</f>
        <v>0</v>
      </c>
      <c r="I1823" s="3">
        <f>_xlfn.IFNA(VLOOKUP($A1823,[3]stockregister!$A$2:$L$2000,12,0),0)</f>
        <v>1104</v>
      </c>
      <c r="J1823" s="3">
        <f>_xlfn.IFNA(VLOOKUP($A1823,[3]stockregister!$A$1:$M$2000,12,0),0)-$I1823</f>
        <v>0</v>
      </c>
      <c r="K1823" s="3" t="s">
        <v>22</v>
      </c>
      <c r="L1823" s="3" t="s">
        <v>23</v>
      </c>
      <c r="M1823" s="3">
        <f>_xlfn.IFNA(VLOOKUP($A1823,[2]stockregister!$A$2:$H$2000,8,0),0)</f>
        <v>1200</v>
      </c>
      <c r="N1823" s="3">
        <f>_xlfn.IFNA(VLOOKUP($A1823,[2]stockregister!$A$2:$H$2000,8,0),0)-$M1823</f>
        <v>0</v>
      </c>
      <c r="O1823" s="3" t="s">
        <v>4209</v>
      </c>
      <c r="P1823" s="3" t="s">
        <v>4209</v>
      </c>
      <c r="Q1823" s="3" t="s">
        <v>3719</v>
      </c>
      <c r="R1823" s="3" t="s">
        <v>68</v>
      </c>
      <c r="S1823" s="3" t="s">
        <v>69</v>
      </c>
    </row>
    <row r="1824" spans="1:19">
      <c r="A1824" s="3">
        <v>2543</v>
      </c>
      <c r="B1824" s="3" t="b">
        <f>ISNUMBER(MATCH(A1824,[1]stockregister!$A$2:$A$2000,0))</f>
        <v>1</v>
      </c>
      <c r="C1824" s="3" t="s">
        <v>4210</v>
      </c>
      <c r="D1824" s="3" t="str">
        <f>VLOOKUP($C1824,[1]stockregister!$B$2:$B$2000,1,0)</f>
        <v>CASTILLO DE FERRER WHITE SWEET 750ML 750ML</v>
      </c>
      <c r="E1824" s="3" t="str">
        <f>IF(ISNA($D1824),VLOOKUP($A1824,[2]stockregister!$A$2:$B$2000,2,FALSE),"")</f>
        <v/>
      </c>
      <c r="F1824" s="3" t="s">
        <v>21</v>
      </c>
      <c r="G1824" s="3">
        <f>_xlfn.IFNA(VLOOKUP($A1824,[3]stockregister!$A$2:$L$2000,11,0),0)</f>
        <v>0</v>
      </c>
      <c r="H1824" s="3">
        <f>_xlfn.IFNA(VLOOKUP($A1824,[3]stockregister!$A$2:$L$2000,11,0),0)-$G1824</f>
        <v>0</v>
      </c>
      <c r="I1824" s="3">
        <f>_xlfn.IFNA(VLOOKUP($A1824,[3]stockregister!$A$2:$L$2000,12,0),0)</f>
        <v>960</v>
      </c>
      <c r="J1824" s="3">
        <f>_xlfn.IFNA(VLOOKUP($A1824,[3]stockregister!$A$1:$M$2000,12,0),0)-$I1824</f>
        <v>0</v>
      </c>
      <c r="K1824" s="3" t="s">
        <v>22</v>
      </c>
      <c r="L1824" s="3" t="s">
        <v>23</v>
      </c>
      <c r="M1824" s="3">
        <f>_xlfn.IFNA(VLOOKUP($A1824,[2]stockregister!$A$2:$H$2000,8,0),0)</f>
        <v>1100</v>
      </c>
      <c r="N1824" s="3">
        <f>_xlfn.IFNA(VLOOKUP($A1824,[2]stockregister!$A$2:$H$2000,8,0),0)-$M1824</f>
        <v>0</v>
      </c>
      <c r="O1824" s="3" t="s">
        <v>4211</v>
      </c>
      <c r="P1824" s="3" t="s">
        <v>4211</v>
      </c>
      <c r="Q1824" s="3" t="s">
        <v>3668</v>
      </c>
      <c r="R1824" s="3" t="s">
        <v>537</v>
      </c>
      <c r="S1824" s="3" t="s">
        <v>69</v>
      </c>
    </row>
    <row r="1825" spans="1:19">
      <c r="A1825" s="3">
        <v>2519</v>
      </c>
      <c r="B1825" s="3" t="b">
        <f>ISNUMBER(MATCH(A1825,[1]stockregister!$A$2:$A$2000,0))</f>
        <v>1</v>
      </c>
      <c r="C1825" s="3" t="s">
        <v>4212</v>
      </c>
      <c r="D1825" s="3" t="str">
        <f>VLOOKUP($C1825,[1]stockregister!$B$2:$B$2000,1,0)</f>
        <v>HAMSINI SWEET WHITE750ML</v>
      </c>
      <c r="E1825" s="3" t="str">
        <f>IF(ISNA($D1825),VLOOKUP($A1825,[2]stockregister!$A$2:$B$2000,2,FALSE),"")</f>
        <v/>
      </c>
      <c r="F1825" s="3" t="s">
        <v>21</v>
      </c>
      <c r="G1825" s="3">
        <f>_xlfn.IFNA(VLOOKUP($A1825,[3]stockregister!$A$2:$L$2000,11,0),0)</f>
        <v>0</v>
      </c>
      <c r="H1825" s="3">
        <f>_xlfn.IFNA(VLOOKUP($A1825,[3]stockregister!$A$2:$L$2000,11,0),0)-$G1825</f>
        <v>0</v>
      </c>
      <c r="I1825" s="3">
        <f>_xlfn.IFNA(VLOOKUP($A1825,[3]stockregister!$A$2:$L$2000,12,0),0)</f>
        <v>1100</v>
      </c>
      <c r="J1825" s="3">
        <f>_xlfn.IFNA(VLOOKUP($A1825,[3]stockregister!$A$1:$M$2000,12,0),0)-$I1825</f>
        <v>0</v>
      </c>
      <c r="K1825" s="3" t="s">
        <v>22</v>
      </c>
      <c r="L1825" s="3" t="s">
        <v>23</v>
      </c>
      <c r="M1825" s="3">
        <f>_xlfn.IFNA(VLOOKUP($A1825,[2]stockregister!$A$2:$H$2000,8,0),0)</f>
        <v>1200</v>
      </c>
      <c r="N1825" s="3">
        <f>_xlfn.IFNA(VLOOKUP($A1825,[2]stockregister!$A$2:$H$2000,8,0),0)-$M1825</f>
        <v>0</v>
      </c>
      <c r="O1825" s="3" t="s">
        <v>4213</v>
      </c>
      <c r="P1825" s="3" t="s">
        <v>4213</v>
      </c>
      <c r="Q1825" s="3" t="s">
        <v>4161</v>
      </c>
      <c r="R1825" s="3" t="s">
        <v>537</v>
      </c>
      <c r="S1825" s="3" t="s">
        <v>69</v>
      </c>
    </row>
    <row r="1826" spans="1:19">
      <c r="A1826" s="3">
        <v>2520</v>
      </c>
      <c r="B1826" s="3" t="b">
        <f>ISNUMBER(MATCH(A1826,[1]stockregister!$A$2:$A$2000,0))</f>
        <v>1</v>
      </c>
      <c r="C1826" s="3" t="s">
        <v>4214</v>
      </c>
      <c r="D1826" s="3" t="str">
        <f>VLOOKUP($C1826,[1]stockregister!$B$2:$B$2000,1,0)</f>
        <v>LOLIE SWEET WHITE 750ML</v>
      </c>
      <c r="E1826" s="3" t="str">
        <f>IF(ISNA($D1826),VLOOKUP($A1826,[2]stockregister!$A$2:$B$2000,2,FALSE),"")</f>
        <v/>
      </c>
      <c r="F1826" s="3" t="s">
        <v>21</v>
      </c>
      <c r="G1826" s="3">
        <f>_xlfn.IFNA(VLOOKUP($A1826,[3]stockregister!$A$2:$L$2000,11,0),0)</f>
        <v>0</v>
      </c>
      <c r="H1826" s="3">
        <f>_xlfn.IFNA(VLOOKUP($A1826,[3]stockregister!$A$2:$L$2000,11,0),0)-$G1826</f>
        <v>0</v>
      </c>
      <c r="I1826" s="3">
        <f>_xlfn.IFNA(VLOOKUP($A1826,[3]stockregister!$A$2:$L$2000,12,0),0)</f>
        <v>1100</v>
      </c>
      <c r="J1826" s="3">
        <f>_xlfn.IFNA(VLOOKUP($A1826,[3]stockregister!$A$1:$M$2000,12,0),0)-$I1826</f>
        <v>0</v>
      </c>
      <c r="K1826" s="3" t="s">
        <v>22</v>
      </c>
      <c r="L1826" s="3" t="s">
        <v>23</v>
      </c>
      <c r="M1826" s="3">
        <f>_xlfn.IFNA(VLOOKUP($A1826,[2]stockregister!$A$2:$H$2000,8,0),0)</f>
        <v>1200</v>
      </c>
      <c r="N1826" s="3">
        <f>_xlfn.IFNA(VLOOKUP($A1826,[2]stockregister!$A$2:$H$2000,8,0),0)-$M1826</f>
        <v>0</v>
      </c>
      <c r="O1826" s="3" t="s">
        <v>4215</v>
      </c>
      <c r="P1826" s="3" t="s">
        <v>4215</v>
      </c>
      <c r="Q1826" s="3" t="s">
        <v>4164</v>
      </c>
      <c r="R1826" s="3" t="s">
        <v>537</v>
      </c>
      <c r="S1826" s="3" t="s">
        <v>69</v>
      </c>
    </row>
    <row r="1827" spans="1:19">
      <c r="A1827" s="3">
        <v>2547</v>
      </c>
      <c r="B1827" s="3" t="b">
        <f>ISNUMBER(MATCH(A1827,[1]stockregister!$A$2:$A$2000,0))</f>
        <v>1</v>
      </c>
      <c r="C1827" s="3" t="s">
        <v>4216</v>
      </c>
      <c r="D1827" s="3" t="str">
        <f>VLOOKUP($C1827,[1]stockregister!$B$2:$B$2000,1,0)</f>
        <v>OLENAISHU WHITE SWEET 750ML</v>
      </c>
      <c r="E1827" s="3" t="str">
        <f>IF(ISNA($D1827),VLOOKUP($A1827,[2]stockregister!$A$2:$B$2000,2,FALSE),"")</f>
        <v/>
      </c>
      <c r="F1827" s="3" t="s">
        <v>21</v>
      </c>
      <c r="G1827" s="3">
        <f>_xlfn.IFNA(VLOOKUP($A1827,[3]stockregister!$A$2:$L$2000,11,0),0)</f>
        <v>0</v>
      </c>
      <c r="H1827" s="3">
        <f>_xlfn.IFNA(VLOOKUP($A1827,[3]stockregister!$A$2:$L$2000,11,0),0)-$G1827</f>
        <v>0</v>
      </c>
      <c r="I1827" s="3">
        <f>_xlfn.IFNA(VLOOKUP($A1827,[3]stockregister!$A$2:$L$2000,12,0),0)</f>
        <v>1192</v>
      </c>
      <c r="J1827" s="3">
        <f>_xlfn.IFNA(VLOOKUP($A1827,[3]stockregister!$A$1:$M$2000,12,0),0)-$I1827</f>
        <v>0</v>
      </c>
      <c r="K1827" s="3" t="s">
        <v>22</v>
      </c>
      <c r="L1827" s="3" t="s">
        <v>23</v>
      </c>
      <c r="M1827" s="3">
        <f>_xlfn.IFNA(VLOOKUP($A1827,[2]stockregister!$A$2:$H$2000,8,0),0)</f>
        <v>1300</v>
      </c>
      <c r="N1827" s="3">
        <f>_xlfn.IFNA(VLOOKUP($A1827,[2]stockregister!$A$2:$H$2000,8,0),0)-$M1827</f>
        <v>0</v>
      </c>
      <c r="O1827" s="3" t="s">
        <v>4217</v>
      </c>
      <c r="P1827" s="3" t="s">
        <v>4217</v>
      </c>
      <c r="Q1827" s="3" t="s">
        <v>3709</v>
      </c>
      <c r="R1827" s="3" t="s">
        <v>537</v>
      </c>
      <c r="S1827" s="3" t="s">
        <v>69</v>
      </c>
    </row>
    <row r="1828" spans="1:19">
      <c r="A1828" s="3">
        <v>2552</v>
      </c>
      <c r="B1828" s="3" t="b">
        <f>ISNUMBER(MATCH(A1828,[1]stockregister!$A$2:$A$2000,0))</f>
        <v>1</v>
      </c>
      <c r="C1828" s="3" t="s">
        <v>4218</v>
      </c>
      <c r="D1828" s="3" t="str">
        <f>VLOOKUP($C1828,[1]stockregister!$B$2:$B$2000,1,0)</f>
        <v>OLEPASU SWEET WHITE750ML</v>
      </c>
      <c r="E1828" s="3" t="str">
        <f>IF(ISNA($D1828),VLOOKUP($A1828,[2]stockregister!$A$2:$B$2000,2,FALSE),"")</f>
        <v/>
      </c>
      <c r="F1828" s="3" t="s">
        <v>21</v>
      </c>
      <c r="G1828" s="3">
        <f>_xlfn.IFNA(VLOOKUP($A1828,[3]stockregister!$A$2:$L$2000,11,0),0)</f>
        <v>0</v>
      </c>
      <c r="H1828" s="3">
        <f>_xlfn.IFNA(VLOOKUP($A1828,[3]stockregister!$A$2:$L$2000,11,0),0)-$G1828</f>
        <v>0</v>
      </c>
      <c r="I1828" s="3">
        <f>_xlfn.IFNA(VLOOKUP($A1828,[3]stockregister!$A$2:$L$2000,12,0),0)</f>
        <v>904</v>
      </c>
      <c r="J1828" s="3">
        <f>_xlfn.IFNA(VLOOKUP($A1828,[3]stockregister!$A$1:$M$2000,12,0),0)-$I1828</f>
        <v>0</v>
      </c>
      <c r="K1828" s="3" t="s">
        <v>22</v>
      </c>
      <c r="L1828" s="3" t="s">
        <v>23</v>
      </c>
      <c r="M1828" s="3">
        <f>_xlfn.IFNA(VLOOKUP($A1828,[2]stockregister!$A$2:$H$2000,8,0),0)</f>
        <v>1000</v>
      </c>
      <c r="N1828" s="3">
        <f>_xlfn.IFNA(VLOOKUP($A1828,[2]stockregister!$A$2:$H$2000,8,0),0)-$M1828</f>
        <v>0</v>
      </c>
      <c r="O1828" s="3" t="s">
        <v>4219</v>
      </c>
      <c r="P1828" s="3" t="s">
        <v>4219</v>
      </c>
      <c r="Q1828" s="3" t="s">
        <v>3692</v>
      </c>
      <c r="R1828" s="3" t="s">
        <v>537</v>
      </c>
      <c r="S1828" s="3" t="s">
        <v>69</v>
      </c>
    </row>
    <row r="1829" spans="1:19">
      <c r="A1829" s="3">
        <v>354</v>
      </c>
      <c r="B1829" s="3" t="b">
        <f>ISNUMBER(MATCH(A1829,[1]stockregister!$A$2:$A$2000,0))</f>
        <v>1</v>
      </c>
      <c r="C1829" s="3" t="s">
        <v>4220</v>
      </c>
      <c r="D1829" s="3" t="str">
        <f>VLOOKUP($C1829,[1]stockregister!$B$2:$B$2000,1,0)</f>
        <v>CALVET VARIETALS SYRAH 750ML</v>
      </c>
      <c r="E1829" s="3" t="str">
        <f>IF(ISNA($D1829),VLOOKUP($A1829,[2]stockregister!$A$2:$B$2000,2,FALSE),"")</f>
        <v/>
      </c>
      <c r="F1829" s="3" t="s">
        <v>21</v>
      </c>
      <c r="G1829" s="3">
        <f>_xlfn.IFNA(VLOOKUP($A1829,[3]stockregister!$A$2:$L$2000,11,0),0)</f>
        <v>0</v>
      </c>
      <c r="H1829" s="3">
        <f>_xlfn.IFNA(VLOOKUP($A1829,[3]stockregister!$A$2:$L$2000,11,0),0)-$G1829</f>
        <v>0</v>
      </c>
      <c r="I1829" s="3">
        <f>_xlfn.IFNA(VLOOKUP($A1829,[3]stockregister!$A$2:$L$2000,12,0),0)</f>
        <v>1196</v>
      </c>
      <c r="J1829" s="3">
        <f>_xlfn.IFNA(VLOOKUP($A1829,[3]stockregister!$A$1:$M$2000,12,0),0)-$I1829</f>
        <v>0</v>
      </c>
      <c r="K1829" s="3" t="s">
        <v>22</v>
      </c>
      <c r="L1829" s="3" t="s">
        <v>23</v>
      </c>
      <c r="M1829" s="3">
        <f>_xlfn.IFNA(VLOOKUP($A1829,[2]stockregister!$A$2:$H$2000,8,0),0)</f>
        <v>1300</v>
      </c>
      <c r="N1829" s="3">
        <f>_xlfn.IFNA(VLOOKUP($A1829,[2]stockregister!$A$2:$H$2000,8,0),0)-$M1829</f>
        <v>0</v>
      </c>
      <c r="O1829" s="3" t="s">
        <v>4221</v>
      </c>
      <c r="P1829" s="3" t="s">
        <v>4221</v>
      </c>
      <c r="Q1829" s="3" t="s">
        <v>1480</v>
      </c>
      <c r="R1829" s="3" t="s">
        <v>68</v>
      </c>
      <c r="S1829" s="3" t="s">
        <v>892</v>
      </c>
    </row>
    <row r="1830" spans="1:19">
      <c r="A1830" s="3">
        <v>410</v>
      </c>
      <c r="B1830" s="3" t="b">
        <f>ISNUMBER(MATCH(A1830,[1]stockregister!$A$2:$A$2000,0))</f>
        <v>1</v>
      </c>
      <c r="C1830" s="3" t="s">
        <v>4222</v>
      </c>
      <c r="D1830" s="3" t="str">
        <f>VLOOKUP($C1830,[1]stockregister!$B$2:$B$2000,1,0)</f>
        <v>CASTEL SYRAH 750ML</v>
      </c>
      <c r="E1830" s="3" t="str">
        <f>IF(ISNA($D1830),VLOOKUP($A1830,[2]stockregister!$A$2:$B$2000,2,FALSE),"")</f>
        <v/>
      </c>
      <c r="F1830" s="3" t="s">
        <v>21</v>
      </c>
      <c r="G1830" s="3">
        <f>_xlfn.IFNA(VLOOKUP($A1830,[3]stockregister!$A$2:$L$2000,11,0),0)</f>
        <v>0</v>
      </c>
      <c r="H1830" s="3">
        <f>_xlfn.IFNA(VLOOKUP($A1830,[3]stockregister!$A$2:$L$2000,11,0),0)-$G1830</f>
        <v>0</v>
      </c>
      <c r="I1830" s="3">
        <f>_xlfn.IFNA(VLOOKUP($A1830,[3]stockregister!$A$2:$L$2000,12,0),0)</f>
        <v>1196</v>
      </c>
      <c r="J1830" s="3">
        <f>_xlfn.IFNA(VLOOKUP($A1830,[3]stockregister!$A$1:$M$2000,12,0),0)-$I1830</f>
        <v>0</v>
      </c>
      <c r="K1830" s="3" t="s">
        <v>22</v>
      </c>
      <c r="L1830" s="3" t="s">
        <v>23</v>
      </c>
      <c r="M1830" s="3">
        <f>_xlfn.IFNA(VLOOKUP($A1830,[2]stockregister!$A$2:$H$2000,8,0),0)</f>
        <v>1300</v>
      </c>
      <c r="N1830" s="3">
        <f>_xlfn.IFNA(VLOOKUP($A1830,[2]stockregister!$A$2:$H$2000,8,0),0)-$M1830</f>
        <v>0</v>
      </c>
      <c r="O1830" s="3" t="s">
        <v>890</v>
      </c>
      <c r="P1830" s="3" t="s">
        <v>890</v>
      </c>
      <c r="Q1830" s="3" t="s">
        <v>1137</v>
      </c>
      <c r="R1830" s="3" t="s">
        <v>537</v>
      </c>
      <c r="S1830" s="3" t="s">
        <v>892</v>
      </c>
    </row>
    <row r="1831" spans="1:19">
      <c r="A1831" s="3">
        <v>2486</v>
      </c>
      <c r="B1831" s="3" t="b">
        <f>ISNUMBER(MATCH(A1831,[1]stockregister!$A$2:$A$2000,0))</f>
        <v>1</v>
      </c>
      <c r="C1831" s="3" t="s">
        <v>4223</v>
      </c>
      <c r="D1831" s="3" t="str">
        <f>VLOOKUP($C1831,[1]stockregister!$B$2:$B$2000,1,0)</f>
        <v>BELLINGHAM PREMIER GRANC CRU 750ML</v>
      </c>
      <c r="E1831" s="3" t="str">
        <f>IF(ISNA($D1831),VLOOKUP($A1831,[2]stockregister!$A$2:$B$2000,2,FALSE),"")</f>
        <v/>
      </c>
      <c r="F1831" s="3" t="s">
        <v>21</v>
      </c>
      <c r="G1831" s="3">
        <f>_xlfn.IFNA(VLOOKUP($A1831,[3]stockregister!$A$2:$L$2000,11,0),0)</f>
        <v>0</v>
      </c>
      <c r="H1831" s="3">
        <f>_xlfn.IFNA(VLOOKUP($A1831,[3]stockregister!$A$2:$L$2000,11,0),0)-$G1831</f>
        <v>0</v>
      </c>
      <c r="I1831" s="3">
        <f>_xlfn.IFNA(VLOOKUP($A1831,[3]stockregister!$A$2:$L$2000,12,0),0)</f>
        <v>1150</v>
      </c>
      <c r="J1831" s="3">
        <f>_xlfn.IFNA(VLOOKUP($A1831,[3]stockregister!$A$1:$M$2000,12,0),0)-$I1831</f>
        <v>0</v>
      </c>
      <c r="K1831" s="3" t="s">
        <v>22</v>
      </c>
      <c r="L1831" s="3" t="s">
        <v>23</v>
      </c>
      <c r="M1831" s="3">
        <f>_xlfn.IFNA(VLOOKUP($A1831,[2]stockregister!$A$2:$H$2000,8,0),0)</f>
        <v>1335</v>
      </c>
      <c r="N1831" s="3">
        <f>_xlfn.IFNA(VLOOKUP($A1831,[2]stockregister!$A$2:$H$2000,8,0),0)-$M1831</f>
        <v>0</v>
      </c>
      <c r="O1831" s="3" t="s">
        <v>4224</v>
      </c>
      <c r="P1831" s="3" t="s">
        <v>4224</v>
      </c>
      <c r="Q1831" s="3" t="s">
        <v>1812</v>
      </c>
      <c r="R1831" s="3" t="s">
        <v>537</v>
      </c>
      <c r="S1831" s="3" t="s">
        <v>297</v>
      </c>
    </row>
    <row r="1832" spans="1:19">
      <c r="A1832" s="3">
        <v>178</v>
      </c>
      <c r="B1832" s="3" t="b">
        <f>ISNUMBER(MATCH(A1832,[1]stockregister!$A$2:$A$2000,0))</f>
        <v>1</v>
      </c>
      <c r="C1832" s="3" t="s">
        <v>4225</v>
      </c>
      <c r="D1832" s="3" t="str">
        <f>VLOOKUP($C1832,[1]stockregister!$B$2:$B$2000,1,0)</f>
        <v>BARON D' ARIGNAC ASSORTED 5LTRS</v>
      </c>
      <c r="E1832" s="3" t="str">
        <f>IF(ISNA($D1832),VLOOKUP($A1832,[2]stockregister!$A$2:$B$2000,2,FALSE),"")</f>
        <v/>
      </c>
      <c r="F1832" s="3" t="s">
        <v>21</v>
      </c>
      <c r="G1832" s="3">
        <f>_xlfn.IFNA(VLOOKUP($A1832,[3]stockregister!$A$2:$L$2000,11,0),0)</f>
        <v>0</v>
      </c>
      <c r="H1832" s="3">
        <f>_xlfn.IFNA(VLOOKUP($A1832,[3]stockregister!$A$2:$L$2000,11,0),0)-$G1832</f>
        <v>0</v>
      </c>
      <c r="I1832" s="3">
        <f>_xlfn.IFNA(VLOOKUP($A1832,[3]stockregister!$A$2:$L$2000,12,0),0)</f>
        <v>2500</v>
      </c>
      <c r="J1832" s="3">
        <f>_xlfn.IFNA(VLOOKUP($A1832,[3]stockregister!$A$1:$M$2000,12,0),0)-$I1832</f>
        <v>0</v>
      </c>
      <c r="K1832" s="3" t="s">
        <v>22</v>
      </c>
      <c r="L1832" s="3" t="s">
        <v>23</v>
      </c>
      <c r="M1832" s="3">
        <f>_xlfn.IFNA(VLOOKUP($A1832,[2]stockregister!$A$2:$H$2000,8,0),0)</f>
        <v>3000</v>
      </c>
      <c r="N1832" s="3">
        <f>_xlfn.IFNA(VLOOKUP($A1832,[2]stockregister!$A$2:$H$2000,8,0),0)-$M1832</f>
        <v>0</v>
      </c>
      <c r="O1832" s="3" t="s">
        <v>4226</v>
      </c>
      <c r="P1832" s="3" t="s">
        <v>4226</v>
      </c>
      <c r="Q1832" s="3" t="s">
        <v>4103</v>
      </c>
      <c r="R1832" s="3" t="s">
        <v>68</v>
      </c>
      <c r="S1832" s="3" t="s">
        <v>157</v>
      </c>
    </row>
    <row r="1833" spans="1:19">
      <c r="A1833" s="3">
        <v>742</v>
      </c>
      <c r="B1833" s="3" t="b">
        <f>ISNUMBER(MATCH(A1833,[1]stockregister!$A$2:$A$2000,0))</f>
        <v>1</v>
      </c>
      <c r="C1833" s="3" t="s">
        <v>4227</v>
      </c>
      <c r="D1833" s="3" t="str">
        <f>VLOOKUP($C1833,[1]stockregister!$B$2:$B$2000,1,0)</f>
        <v>FOOTPRINT WHITE 5LTR</v>
      </c>
      <c r="E1833" s="3" t="str">
        <f>IF(ISNA($D1833),VLOOKUP($A1833,[2]stockregister!$A$2:$B$2000,2,FALSE),"")</f>
        <v/>
      </c>
      <c r="F1833" s="3" t="s">
        <v>21</v>
      </c>
      <c r="G1833" s="3">
        <f>_xlfn.IFNA(VLOOKUP($A1833,[3]stockregister!$A$2:$L$2000,11,0),0)</f>
        <v>0</v>
      </c>
      <c r="H1833" s="3">
        <f>_xlfn.IFNA(VLOOKUP($A1833,[3]stockregister!$A$2:$L$2000,11,0),0)-$G1833</f>
        <v>0</v>
      </c>
      <c r="I1833" s="3">
        <f>_xlfn.IFNA(VLOOKUP($A1833,[3]stockregister!$A$2:$L$2000,12,0),0)</f>
        <v>3300</v>
      </c>
      <c r="J1833" s="3">
        <f>_xlfn.IFNA(VLOOKUP($A1833,[3]stockregister!$A$1:$M$2000,12,0),0)-$I1833</f>
        <v>0</v>
      </c>
      <c r="K1833" s="3" t="s">
        <v>22</v>
      </c>
      <c r="L1833" s="3" t="s">
        <v>23</v>
      </c>
      <c r="M1833" s="3">
        <f>_xlfn.IFNA(VLOOKUP($A1833,[2]stockregister!$A$2:$H$2000,8,0),0)</f>
        <v>3500</v>
      </c>
      <c r="N1833" s="3">
        <f>_xlfn.IFNA(VLOOKUP($A1833,[2]stockregister!$A$2:$H$2000,8,0),0)-$M1833</f>
        <v>0</v>
      </c>
      <c r="O1833" s="3" t="s">
        <v>4228</v>
      </c>
      <c r="P1833" s="3" t="s">
        <v>4228</v>
      </c>
      <c r="Q1833" s="3" t="s">
        <v>3952</v>
      </c>
      <c r="R1833" s="3" t="s">
        <v>68</v>
      </c>
      <c r="S1833" s="3" t="s">
        <v>157</v>
      </c>
    </row>
    <row r="1834" spans="1:19">
      <c r="A1834" s="3">
        <v>1679</v>
      </c>
      <c r="B1834" s="3" t="b">
        <f>ISNUMBER(MATCH(A1834,[1]stockregister!$A$2:$A$2000,0))</f>
        <v>1</v>
      </c>
      <c r="C1834" s="3" t="s">
        <v>4229</v>
      </c>
      <c r="D1834" s="3" t="str">
        <f>VLOOKUP($C1834,[1]stockregister!$B$2:$B$2000,1,0)</f>
        <v>ROCCA DEI FORTI WHITE 750ML</v>
      </c>
      <c r="E1834" s="3" t="str">
        <f>IF(ISNA($D1834),VLOOKUP($A1834,[2]stockregister!$A$2:$B$2000,2,FALSE),"")</f>
        <v/>
      </c>
      <c r="F1834" s="3" t="s">
        <v>21</v>
      </c>
      <c r="G1834" s="3">
        <f>_xlfn.IFNA(VLOOKUP($A1834,[3]stockregister!$A$2:$L$2000,11,0),0)</f>
        <v>0</v>
      </c>
      <c r="H1834" s="3">
        <f>_xlfn.IFNA(VLOOKUP($A1834,[3]stockregister!$A$2:$L$2000,11,0),0)-$G1834</f>
        <v>0</v>
      </c>
      <c r="I1834" s="3">
        <f>_xlfn.IFNA(VLOOKUP($A1834,[3]stockregister!$A$2:$L$2000,12,0),0)</f>
        <v>1380</v>
      </c>
      <c r="J1834" s="3">
        <f>_xlfn.IFNA(VLOOKUP($A1834,[3]stockregister!$A$1:$M$2000,12,0),0)-$I1834</f>
        <v>0</v>
      </c>
      <c r="K1834" s="3" t="s">
        <v>22</v>
      </c>
      <c r="L1834" s="3" t="s">
        <v>23</v>
      </c>
      <c r="M1834" s="3">
        <f>_xlfn.IFNA(VLOOKUP($A1834,[2]stockregister!$A$2:$H$2000,8,0),0)</f>
        <v>1500</v>
      </c>
      <c r="N1834" s="3">
        <f>_xlfn.IFNA(VLOOKUP($A1834,[2]stockregister!$A$2:$H$2000,8,0),0)-$M1834</f>
        <v>0</v>
      </c>
      <c r="O1834" s="3" t="s">
        <v>4230</v>
      </c>
      <c r="P1834" s="3" t="s">
        <v>4230</v>
      </c>
      <c r="Q1834" s="3" t="s">
        <v>820</v>
      </c>
      <c r="R1834" s="3" t="s">
        <v>68</v>
      </c>
      <c r="S1834" s="3" t="s">
        <v>157</v>
      </c>
    </row>
    <row r="1835" spans="1:19">
      <c r="A1835" s="3">
        <v>2446</v>
      </c>
      <c r="B1835" s="3" t="b">
        <f>ISNUMBER(MATCH(A1835,[1]stockregister!$A$2:$A$2000,0))</f>
        <v>1</v>
      </c>
      <c r="C1835" s="3" t="s">
        <v>4231</v>
      </c>
      <c r="D1835" s="3" t="str">
        <f>VLOOKUP($C1835,[1]stockregister!$B$2:$B$2000,1,0)</f>
        <v>THREE MONKEY'S WHITE 750ML</v>
      </c>
      <c r="E1835" s="3" t="str">
        <f>IF(ISNA($D1835),VLOOKUP($A1835,[2]stockregister!$A$2:$B$2000,2,FALSE),"")</f>
        <v/>
      </c>
      <c r="F1835" s="3" t="s">
        <v>21</v>
      </c>
      <c r="G1835" s="3">
        <f>_xlfn.IFNA(VLOOKUP($A1835,[3]stockregister!$A$2:$L$2000,11,0),0)</f>
        <v>0</v>
      </c>
      <c r="H1835" s="3">
        <f>_xlfn.IFNA(VLOOKUP($A1835,[3]stockregister!$A$2:$L$2000,11,0),0)-$G1835</f>
        <v>0</v>
      </c>
      <c r="I1835" s="3">
        <f>_xlfn.IFNA(VLOOKUP($A1835,[3]stockregister!$A$2:$L$2000,12,0),0)</f>
        <v>1000</v>
      </c>
      <c r="J1835" s="3">
        <f>_xlfn.IFNA(VLOOKUP($A1835,[3]stockregister!$A$1:$M$2000,12,0),0)-$I1835</f>
        <v>0</v>
      </c>
      <c r="K1835" s="3" t="s">
        <v>22</v>
      </c>
      <c r="L1835" s="3" t="s">
        <v>23</v>
      </c>
      <c r="M1835" s="3">
        <f>_xlfn.IFNA(VLOOKUP($A1835,[2]stockregister!$A$2:$H$2000,8,0),0)</f>
        <v>1200</v>
      </c>
      <c r="N1835" s="3">
        <f>_xlfn.IFNA(VLOOKUP($A1835,[2]stockregister!$A$2:$H$2000,8,0),0)-$M1835</f>
        <v>0</v>
      </c>
      <c r="O1835" s="3" t="s">
        <v>4232</v>
      </c>
      <c r="P1835" s="3" t="s">
        <v>4232</v>
      </c>
      <c r="Q1835" s="3" t="s">
        <v>2766</v>
      </c>
      <c r="R1835" s="3" t="s">
        <v>537</v>
      </c>
      <c r="S1835" s="3" t="s">
        <v>157</v>
      </c>
    </row>
    <row r="1836" spans="1:18">
      <c r="A1836" s="3">
        <v>2478</v>
      </c>
      <c r="B1836" s="3" t="b">
        <f>ISNUMBER(MATCH(A1836,[1]stockregister!$A$2:$A$2000,0))</f>
        <v>1</v>
      </c>
      <c r="C1836" s="3" t="s">
        <v>648</v>
      </c>
      <c r="D1836" s="3" t="str">
        <f>VLOOKUP($C1836,[1]stockregister!$B$2:$B$2000,1,0)</f>
        <v>SILK &amp;SPICE  750ML</v>
      </c>
      <c r="E1836" s="3" t="str">
        <f>IF(ISNA($D1836),VLOOKUP($A1836,[2]stockregister!$A$2:$B$2000,2,FALSE),"")</f>
        <v/>
      </c>
      <c r="F1836" s="3" t="s">
        <v>21</v>
      </c>
      <c r="G1836" s="3">
        <f>_xlfn.IFNA(VLOOKUP($A1836,[3]stockregister!$A$2:$L$2000,11,0),0)</f>
        <v>0</v>
      </c>
      <c r="H1836" s="3">
        <f>_xlfn.IFNA(VLOOKUP($A1836,[3]stockregister!$A$2:$L$2000,11,0),0)-$G1836</f>
        <v>0</v>
      </c>
      <c r="I1836" s="3">
        <f>_xlfn.IFNA(VLOOKUP($A1836,[3]stockregister!$A$2:$L$2000,12,0),0)</f>
        <v>2000</v>
      </c>
      <c r="J1836" s="3">
        <f>_xlfn.IFNA(VLOOKUP($A1836,[3]stockregister!$A$1:$M$2000,12,0),0)-$I1836</f>
        <v>0</v>
      </c>
      <c r="K1836" s="3" t="s">
        <v>22</v>
      </c>
      <c r="L1836" s="3" t="s">
        <v>23</v>
      </c>
      <c r="M1836" s="3">
        <f>_xlfn.IFNA(VLOOKUP($A1836,[2]stockregister!$A$2:$H$2000,8,0),0)</f>
        <v>2500</v>
      </c>
      <c r="N1836" s="3">
        <f>_xlfn.IFNA(VLOOKUP($A1836,[2]stockregister!$A$2:$H$2000,8,0),0)-$M1836</f>
        <v>0</v>
      </c>
      <c r="O1836" s="3" t="s">
        <v>4233</v>
      </c>
      <c r="P1836" s="3" t="s">
        <v>4233</v>
      </c>
      <c r="Q1836" s="3" t="s">
        <v>4234</v>
      </c>
      <c r="R1836" s="3" t="s">
        <v>537</v>
      </c>
    </row>
    <row r="1837" spans="1:18">
      <c r="A1837" s="3">
        <v>2594</v>
      </c>
      <c r="B1837" s="3" t="b">
        <f>ISNUMBER(MATCH(A1837,[1]stockregister!$A$2:$A$2000,0))</f>
        <v>1</v>
      </c>
      <c r="C1837" s="3" t="s">
        <v>4235</v>
      </c>
      <c r="D1837" s="3" t="str">
        <f>VLOOKUP($C1837,[1]stockregister!$B$2:$B$2000,1,0)</f>
        <v>EXPRESSION MIMOSA 750ML</v>
      </c>
      <c r="E1837" s="3" t="str">
        <f>IF(ISNA($D1837),VLOOKUP($A1837,[2]stockregister!$A$2:$B$2000,2,FALSE),"")</f>
        <v/>
      </c>
      <c r="F1837" s="3" t="s">
        <v>21</v>
      </c>
      <c r="G1837" s="3">
        <f>_xlfn.IFNA(VLOOKUP($A1837,[3]stockregister!$A$2:$L$2000,11,0),0)</f>
        <v>0</v>
      </c>
      <c r="H1837" s="3">
        <f>_xlfn.IFNA(VLOOKUP($A1837,[3]stockregister!$A$2:$L$2000,11,0),0)-$G1837</f>
        <v>0</v>
      </c>
      <c r="I1837" s="3">
        <f>_xlfn.IFNA(VLOOKUP($A1837,[3]stockregister!$A$2:$L$2000,12,0),0)</f>
        <v>1200</v>
      </c>
      <c r="J1837" s="3">
        <f>_xlfn.IFNA(VLOOKUP($A1837,[3]stockregister!$A$1:$M$2000,12,0),0)-$I1837</f>
        <v>0</v>
      </c>
      <c r="K1837" s="3" t="s">
        <v>22</v>
      </c>
      <c r="L1837" s="3" t="s">
        <v>23</v>
      </c>
      <c r="M1837" s="3">
        <f>_xlfn.IFNA(VLOOKUP($A1837,[2]stockregister!$A$2:$H$2000,8,0),0)</f>
        <v>1250</v>
      </c>
      <c r="N1837" s="3">
        <f>_xlfn.IFNA(VLOOKUP($A1837,[2]stockregister!$A$2:$H$2000,8,0),0)-$M1837</f>
        <v>0</v>
      </c>
      <c r="O1837" s="3" t="s">
        <v>4236</v>
      </c>
      <c r="P1837" s="3" t="s">
        <v>4236</v>
      </c>
      <c r="Q1837" s="3" t="s">
        <v>925</v>
      </c>
      <c r="R1837" s="3" t="s">
        <v>537</v>
      </c>
    </row>
    <row r="1838" spans="1:18">
      <c r="A1838" s="3">
        <v>2589</v>
      </c>
      <c r="B1838" s="3" t="b">
        <f>ISNUMBER(MATCH(A1838,[1]stockregister!$A$2:$A$2000,0))</f>
        <v>1</v>
      </c>
      <c r="C1838" s="3" t="s">
        <v>4237</v>
      </c>
      <c r="D1838" s="3" t="str">
        <f>VLOOKUP($C1838,[1]stockregister!$B$2:$B$2000,1,0)</f>
        <v>QUINTA DOS TAWNY PORT 750ML</v>
      </c>
      <c r="E1838" s="3" t="str">
        <f>IF(ISNA($D1838),VLOOKUP($A1838,[2]stockregister!$A$2:$B$2000,2,FALSE),"")</f>
        <v/>
      </c>
      <c r="F1838" s="3" t="s">
        <v>21</v>
      </c>
      <c r="G1838" s="3">
        <f>_xlfn.IFNA(VLOOKUP($A1838,[3]stockregister!$A$2:$L$2000,11,0),0)</f>
        <v>0</v>
      </c>
      <c r="H1838" s="3">
        <f>_xlfn.IFNA(VLOOKUP($A1838,[3]stockregister!$A$2:$L$2000,11,0),0)-$G1838</f>
        <v>0</v>
      </c>
      <c r="I1838" s="3">
        <f>_xlfn.IFNA(VLOOKUP($A1838,[3]stockregister!$A$2:$L$2000,12,0),0)</f>
        <v>4920</v>
      </c>
      <c r="J1838" s="3">
        <f>_xlfn.IFNA(VLOOKUP($A1838,[3]stockregister!$A$1:$M$2000,12,0),0)-$I1838</f>
        <v>0</v>
      </c>
      <c r="K1838" s="3" t="s">
        <v>22</v>
      </c>
      <c r="L1838" s="3" t="s">
        <v>23</v>
      </c>
      <c r="M1838" s="3">
        <f>_xlfn.IFNA(VLOOKUP($A1838,[2]stockregister!$A$2:$H$2000,8,0),0)</f>
        <v>5500</v>
      </c>
      <c r="N1838" s="3">
        <f>_xlfn.IFNA(VLOOKUP($A1838,[2]stockregister!$A$2:$H$2000,8,0),0)-$M1838</f>
        <v>0</v>
      </c>
      <c r="O1838" s="3" t="s">
        <v>4238</v>
      </c>
      <c r="P1838" s="3" t="s">
        <v>4238</v>
      </c>
      <c r="Q1838" s="3" t="s">
        <v>4239</v>
      </c>
      <c r="R1838" s="3" t="s">
        <v>537</v>
      </c>
    </row>
    <row r="1839" spans="1:18">
      <c r="A1839" s="3">
        <v>2584</v>
      </c>
      <c r="B1839" s="3" t="b">
        <f>ISNUMBER(MATCH(A1839,[1]stockregister!$A$2:$A$2000,0))</f>
        <v>1</v>
      </c>
      <c r="C1839" s="3" t="s">
        <v>4240</v>
      </c>
      <c r="D1839" s="3" t="str">
        <f>VLOOKUP($C1839,[1]stockregister!$B$2:$B$2000,1,0)</f>
        <v>ROSSO NOBILE BOIS BANDE PHILTRE 750ML 750ML</v>
      </c>
      <c r="E1839" s="3" t="str">
        <f>IF(ISNA($D1839),VLOOKUP($A1839,[2]stockregister!$A$2:$B$2000,2,FALSE),"")</f>
        <v/>
      </c>
      <c r="F1839" s="3" t="s">
        <v>21</v>
      </c>
      <c r="G1839" s="3">
        <f>_xlfn.IFNA(VLOOKUP($A1839,[3]stockregister!$A$2:$L$2000,11,0),0)</f>
        <v>0</v>
      </c>
      <c r="H1839" s="3">
        <f>_xlfn.IFNA(VLOOKUP($A1839,[3]stockregister!$A$2:$L$2000,11,0),0)-$G1839</f>
        <v>0</v>
      </c>
      <c r="I1839" s="3">
        <f>_xlfn.IFNA(VLOOKUP($A1839,[3]stockregister!$A$2:$L$2000,12,0),0)</f>
        <v>1100</v>
      </c>
      <c r="J1839" s="3">
        <f>_xlfn.IFNA(VLOOKUP($A1839,[3]stockregister!$A$1:$M$2000,12,0),0)-$I1839</f>
        <v>0</v>
      </c>
      <c r="K1839" s="3" t="s">
        <v>22</v>
      </c>
      <c r="L1839" s="3" t="s">
        <v>23</v>
      </c>
      <c r="M1839" s="3">
        <f>_xlfn.IFNA(VLOOKUP($A1839,[2]stockregister!$A$2:$H$2000,8,0),0)</f>
        <v>1200</v>
      </c>
      <c r="N1839" s="3">
        <f>_xlfn.IFNA(VLOOKUP($A1839,[2]stockregister!$A$2:$H$2000,8,0),0)-$M1839</f>
        <v>0</v>
      </c>
      <c r="O1839" s="3" t="s">
        <v>4241</v>
      </c>
      <c r="P1839" s="3" t="s">
        <v>4241</v>
      </c>
      <c r="Q1839" s="3" t="s">
        <v>3695</v>
      </c>
      <c r="R1839" s="3" t="s">
        <v>537</v>
      </c>
    </row>
    <row r="1840" spans="1:18">
      <c r="A1840" s="3">
        <v>2401</v>
      </c>
      <c r="B1840" s="3" t="b">
        <f>ISNUMBER(MATCH(A1840,[1]stockregister!$A$2:$A$2000,0))</f>
        <v>1</v>
      </c>
      <c r="C1840" s="3" t="s">
        <v>4242</v>
      </c>
      <c r="D1840" s="3" t="str">
        <f>VLOOKUP($C1840,[1]stockregister!$B$2:$B$2000,1,0)</f>
        <v>SAINT CLAIRE 750ML</v>
      </c>
      <c r="E1840" s="3" t="str">
        <f>IF(ISNA($D1840),VLOOKUP($A1840,[2]stockregister!$A$2:$B$2000,2,FALSE),"")</f>
        <v/>
      </c>
      <c r="F1840" s="3" t="s">
        <v>21</v>
      </c>
      <c r="G1840" s="3">
        <f>_xlfn.IFNA(VLOOKUP($A1840,[3]stockregister!$A$2:$L$2000,11,0),0)</f>
        <v>0</v>
      </c>
      <c r="H1840" s="3">
        <f>_xlfn.IFNA(VLOOKUP($A1840,[3]stockregister!$A$2:$L$2000,11,0),0)-$G1840</f>
        <v>0</v>
      </c>
      <c r="I1840" s="3">
        <f>_xlfn.IFNA(VLOOKUP($A1840,[3]stockregister!$A$2:$L$2000,12,0),0)</f>
        <v>782</v>
      </c>
      <c r="J1840" s="3">
        <f>_xlfn.IFNA(VLOOKUP($A1840,[3]stockregister!$A$1:$M$2000,12,0),0)-$I1840</f>
        <v>0</v>
      </c>
      <c r="K1840" s="3" t="s">
        <v>22</v>
      </c>
      <c r="L1840" s="3" t="s">
        <v>23</v>
      </c>
      <c r="M1840" s="3">
        <f>_xlfn.IFNA(VLOOKUP($A1840,[2]stockregister!$A$2:$H$2000,8,0),0)</f>
        <v>850</v>
      </c>
      <c r="N1840" s="3">
        <f>_xlfn.IFNA(VLOOKUP($A1840,[2]stockregister!$A$2:$H$2000,8,0),0)-$M1840</f>
        <v>0</v>
      </c>
      <c r="O1840" s="3" t="s">
        <v>4243</v>
      </c>
      <c r="P1840" s="3" t="s">
        <v>4243</v>
      </c>
      <c r="Q1840" s="3" t="s">
        <v>878</v>
      </c>
      <c r="R1840" s="3" t="s">
        <v>537</v>
      </c>
    </row>
    <row r="1841" spans="1:18">
      <c r="A1841" s="3">
        <v>2364</v>
      </c>
      <c r="B1841" s="3" t="b">
        <f>ISNUMBER(MATCH(A1841,[1]stockregister!$A$2:$A$2000,0))</f>
        <v>1</v>
      </c>
      <c r="C1841" s="3" t="s">
        <v>4244</v>
      </c>
      <c r="D1841" s="3" t="str">
        <f>VLOOKUP($C1841,[1]stockregister!$B$2:$B$2000,1,0)</f>
        <v>TOMMASI RIPASO 750ML</v>
      </c>
      <c r="E1841" s="3" t="str">
        <f>IF(ISNA($D1841),VLOOKUP($A1841,[2]stockregister!$A$2:$B$2000,2,FALSE),"")</f>
        <v/>
      </c>
      <c r="F1841" s="3" t="s">
        <v>21</v>
      </c>
      <c r="G1841" s="3">
        <f>_xlfn.IFNA(VLOOKUP($A1841,[3]stockregister!$A$2:$L$2000,11,0),0)</f>
        <v>0</v>
      </c>
      <c r="H1841" s="3">
        <f>_xlfn.IFNA(VLOOKUP($A1841,[3]stockregister!$A$2:$L$2000,11,0),0)-$G1841</f>
        <v>0</v>
      </c>
      <c r="I1841" s="3">
        <f>_xlfn.IFNA(VLOOKUP($A1841,[3]stockregister!$A$2:$L$2000,12,0),0)</f>
        <v>2150</v>
      </c>
      <c r="J1841" s="3">
        <f>_xlfn.IFNA(VLOOKUP($A1841,[3]stockregister!$A$1:$M$2000,12,0),0)-$I1841</f>
        <v>0</v>
      </c>
      <c r="K1841" s="3" t="s">
        <v>22</v>
      </c>
      <c r="L1841" s="3" t="s">
        <v>23</v>
      </c>
      <c r="M1841" s="3">
        <f>_xlfn.IFNA(VLOOKUP($A1841,[2]stockregister!$A$2:$H$2000,8,0),0)</f>
        <v>2300</v>
      </c>
      <c r="N1841" s="3">
        <f>_xlfn.IFNA(VLOOKUP($A1841,[2]stockregister!$A$2:$H$2000,8,0),0)-$M1841</f>
        <v>0</v>
      </c>
      <c r="O1841" s="3" t="s">
        <v>4245</v>
      </c>
      <c r="P1841" s="3" t="s">
        <v>4245</v>
      </c>
      <c r="Q1841" s="3" t="s">
        <v>1415</v>
      </c>
      <c r="R1841" s="3" t="s">
        <v>537</v>
      </c>
    </row>
    <row r="1842" spans="1:18">
      <c r="A1842" s="3">
        <v>2363</v>
      </c>
      <c r="B1842" s="3" t="b">
        <f>ISNUMBER(MATCH(A1842,[1]stockregister!$A$2:$A$2000,0))</f>
        <v>1</v>
      </c>
      <c r="C1842" s="3" t="s">
        <v>4246</v>
      </c>
      <c r="D1842" s="3" t="str">
        <f>VLOOKUP($C1842,[1]stockregister!$B$2:$B$2000,1,0)</f>
        <v>TOMMASI VALIPOLICELLA 750ML</v>
      </c>
      <c r="E1842" s="3" t="str">
        <f>IF(ISNA($D1842),VLOOKUP($A1842,[2]stockregister!$A$2:$B$2000,2,FALSE),"")</f>
        <v/>
      </c>
      <c r="F1842" s="3" t="s">
        <v>21</v>
      </c>
      <c r="G1842" s="3">
        <f>_xlfn.IFNA(VLOOKUP($A1842,[3]stockregister!$A$2:$L$2000,11,0),0)</f>
        <v>0</v>
      </c>
      <c r="H1842" s="3">
        <f>_xlfn.IFNA(VLOOKUP($A1842,[3]stockregister!$A$2:$L$2000,11,0),0)-$G1842</f>
        <v>0</v>
      </c>
      <c r="I1842" s="3">
        <f>_xlfn.IFNA(VLOOKUP($A1842,[3]stockregister!$A$2:$L$2000,12,0),0)</f>
        <v>2150</v>
      </c>
      <c r="J1842" s="3">
        <f>_xlfn.IFNA(VLOOKUP($A1842,[3]stockregister!$A$1:$M$2000,12,0),0)-$I1842</f>
        <v>0</v>
      </c>
      <c r="K1842" s="3" t="s">
        <v>22</v>
      </c>
      <c r="L1842" s="3" t="s">
        <v>23</v>
      </c>
      <c r="M1842" s="3">
        <f>_xlfn.IFNA(VLOOKUP($A1842,[2]stockregister!$A$2:$H$2000,8,0),0)</f>
        <v>2300</v>
      </c>
      <c r="N1842" s="3">
        <f>_xlfn.IFNA(VLOOKUP($A1842,[2]stockregister!$A$2:$H$2000,8,0),0)-$M1842</f>
        <v>0</v>
      </c>
      <c r="O1842" s="3" t="s">
        <v>4247</v>
      </c>
      <c r="P1842" s="3" t="s">
        <v>4247</v>
      </c>
      <c r="Q1842" s="3" t="s">
        <v>1415</v>
      </c>
      <c r="R1842" s="3" t="s">
        <v>537</v>
      </c>
    </row>
    <row r="1843" spans="1:18">
      <c r="A1843" s="3">
        <v>2558</v>
      </c>
      <c r="B1843" s="3" t="b">
        <f>ISNUMBER(MATCH(A1843,[1]stockregister!$A$2:$A$2000,0))</f>
        <v>1</v>
      </c>
      <c r="C1843" s="3" t="s">
        <v>4248</v>
      </c>
      <c r="D1843" s="3" t="str">
        <f>VLOOKUP($C1843,[1]stockregister!$B$2:$B$2000,1,0)</f>
        <v>VAN GEWURZTRAMINER 750ML</v>
      </c>
      <c r="E1843" s="3" t="str">
        <f>IF(ISNA($D1843),VLOOKUP($A1843,[2]stockregister!$A$2:$B$2000,2,FALSE),"")</f>
        <v/>
      </c>
      <c r="F1843" s="3" t="s">
        <v>21</v>
      </c>
      <c r="G1843" s="3">
        <f>_xlfn.IFNA(VLOOKUP($A1843,[3]stockregister!$A$2:$L$2000,11,0),0)</f>
        <v>0</v>
      </c>
      <c r="H1843" s="3">
        <f>_xlfn.IFNA(VLOOKUP($A1843,[3]stockregister!$A$2:$L$2000,11,0),0)-$G1843</f>
        <v>0</v>
      </c>
      <c r="I1843" s="3">
        <f>_xlfn.IFNA(VLOOKUP($A1843,[3]stockregister!$A$2:$L$2000,12,0),0)</f>
        <v>1247</v>
      </c>
      <c r="J1843" s="3">
        <f>_xlfn.IFNA(VLOOKUP($A1843,[3]stockregister!$A$1:$M$2000,12,0),0)-$I1843</f>
        <v>0</v>
      </c>
      <c r="K1843" s="3" t="s">
        <v>22</v>
      </c>
      <c r="L1843" s="3" t="s">
        <v>23</v>
      </c>
      <c r="M1843" s="3">
        <f>_xlfn.IFNA(VLOOKUP($A1843,[2]stockregister!$A$2:$H$2000,8,0),0)</f>
        <v>1400</v>
      </c>
      <c r="N1843" s="3">
        <f>_xlfn.IFNA(VLOOKUP($A1843,[2]stockregister!$A$2:$H$2000,8,0),0)-$M1843</f>
        <v>0</v>
      </c>
      <c r="O1843" s="3" t="s">
        <v>4249</v>
      </c>
      <c r="P1843" s="3" t="s">
        <v>4249</v>
      </c>
      <c r="Q1843" s="3" t="s">
        <v>3537</v>
      </c>
      <c r="R1843" s="3" t="s">
        <v>537</v>
      </c>
    </row>
    <row r="1844" spans="1:18">
      <c r="A1844" s="3">
        <v>2529</v>
      </c>
      <c r="B1844" s="3" t="b">
        <f>ISNUMBER(MATCH(A1844,[1]stockregister!$A$2:$A$2000,0))</f>
        <v>1</v>
      </c>
      <c r="C1844" s="3" t="s">
        <v>650</v>
      </c>
      <c r="D1844" s="3" t="str">
        <f>VLOOKUP($C1844,[1]stockregister!$B$2:$B$2000,1,0)</f>
        <v>VINUM IL ROSSO DABRUZZO ORGANIC 750ML</v>
      </c>
      <c r="E1844" s="3" t="str">
        <f>IF(ISNA($D1844),VLOOKUP($A1844,[2]stockregister!$A$2:$B$2000,2,FALSE),"")</f>
        <v/>
      </c>
      <c r="F1844" s="3" t="s">
        <v>21</v>
      </c>
      <c r="G1844" s="3">
        <f>_xlfn.IFNA(VLOOKUP($A1844,[3]stockregister!$A$2:$L$2000,11,0),0)</f>
        <v>0</v>
      </c>
      <c r="H1844" s="3">
        <f>_xlfn.IFNA(VLOOKUP($A1844,[3]stockregister!$A$2:$L$2000,11,0),0)-$G1844</f>
        <v>0</v>
      </c>
      <c r="I1844" s="3">
        <f>_xlfn.IFNA(VLOOKUP($A1844,[3]stockregister!$A$2:$L$2000,12,0),0)</f>
        <v>1883</v>
      </c>
      <c r="J1844" s="3">
        <f>_xlfn.IFNA(VLOOKUP($A1844,[3]stockregister!$A$1:$M$2000,12,0),0)-$I1844</f>
        <v>0</v>
      </c>
      <c r="K1844" s="3" t="s">
        <v>22</v>
      </c>
      <c r="L1844" s="3" t="s">
        <v>23</v>
      </c>
      <c r="M1844" s="3">
        <f>_xlfn.IFNA(VLOOKUP($A1844,[2]stockregister!$A$2:$H$2000,8,0),0)</f>
        <v>2100</v>
      </c>
      <c r="N1844" s="3">
        <f>_xlfn.IFNA(VLOOKUP($A1844,[2]stockregister!$A$2:$H$2000,8,0),0)-$M1844</f>
        <v>0</v>
      </c>
      <c r="O1844" s="3" t="s">
        <v>4250</v>
      </c>
      <c r="P1844" s="3" t="s">
        <v>4250</v>
      </c>
      <c r="Q1844" s="3" t="s">
        <v>3835</v>
      </c>
      <c r="R1844" s="3" t="s">
        <v>537</v>
      </c>
    </row>
    <row r="1845" spans="1:18">
      <c r="A1845" s="3">
        <v>2524</v>
      </c>
      <c r="B1845" s="3" t="b">
        <f>ISNUMBER(MATCH(A1845,[1]stockregister!$A$2:$A$2000,0))</f>
        <v>1</v>
      </c>
      <c r="C1845" s="3" t="s">
        <v>4251</v>
      </c>
      <c r="D1845" s="3" t="str">
        <f>VLOOKUP($C1845,[1]stockregister!$B$2:$B$2000,1,0)</f>
        <v>VINUM CHIANTI RESERVA 750ML</v>
      </c>
      <c r="E1845" s="3" t="str">
        <f>IF(ISNA($D1845),VLOOKUP($A1845,[2]stockregister!$A$2:$B$2000,2,FALSE),"")</f>
        <v/>
      </c>
      <c r="F1845" s="3" t="s">
        <v>21</v>
      </c>
      <c r="G1845" s="3">
        <f>_xlfn.IFNA(VLOOKUP($A1845,[3]stockregister!$A$2:$L$2000,11,0),0)</f>
        <v>0</v>
      </c>
      <c r="H1845" s="3">
        <f>_xlfn.IFNA(VLOOKUP($A1845,[3]stockregister!$A$2:$L$2000,11,0),0)-$G1845</f>
        <v>0</v>
      </c>
      <c r="I1845" s="3">
        <f>_xlfn.IFNA(VLOOKUP($A1845,[3]stockregister!$A$2:$L$2000,12,0),0)</f>
        <v>2000</v>
      </c>
      <c r="J1845" s="3">
        <f>_xlfn.IFNA(VLOOKUP($A1845,[3]stockregister!$A$1:$M$2000,12,0),0)-$I1845</f>
        <v>0</v>
      </c>
      <c r="K1845" s="3" t="s">
        <v>22</v>
      </c>
      <c r="L1845" s="3" t="s">
        <v>23</v>
      </c>
      <c r="M1845" s="3">
        <f>_xlfn.IFNA(VLOOKUP($A1845,[2]stockregister!$A$2:$H$2000,8,0),0)</f>
        <v>2200</v>
      </c>
      <c r="N1845" s="3">
        <f>_xlfn.IFNA(VLOOKUP($A1845,[2]stockregister!$A$2:$H$2000,8,0),0)-$M1845</f>
        <v>0</v>
      </c>
      <c r="O1845" s="3" t="s">
        <v>4252</v>
      </c>
      <c r="P1845" s="3" t="s">
        <v>4252</v>
      </c>
      <c r="Q1845" s="3" t="s">
        <v>3835</v>
      </c>
      <c r="R1845" s="3" t="s">
        <v>537</v>
      </c>
    </row>
    <row r="1846" spans="1:19">
      <c r="A1846" s="3">
        <v>2936</v>
      </c>
      <c r="B1846" s="3" t="b">
        <f>ISNUMBER(MATCH(A1846,[1]stockregister!$A$2:$A$2000,0))</f>
        <v>1</v>
      </c>
      <c r="C1846" s="3" t="s">
        <v>4253</v>
      </c>
      <c r="D1846" s="3" t="str">
        <f>VLOOKUP($C1846,[1]stockregister!$B$2:$B$2000,1,0)</f>
        <v>BAILEYS MINT CHOCOLATE 1L</v>
      </c>
      <c r="E1846" s="3" t="str">
        <f>IF(ISNA($D1846),VLOOKUP($A1846,[2]stockregister!$A$2:$B$2000,2,FALSE),"")</f>
        <v/>
      </c>
      <c r="F1846" s="3" t="s">
        <v>21</v>
      </c>
      <c r="G1846" s="3">
        <f>_xlfn.IFNA(VLOOKUP($A1846,[3]stockregister!$A$2:$L$2000,11,0),0)</f>
        <v>0</v>
      </c>
      <c r="H1846" s="3">
        <f>_xlfn.IFNA(VLOOKUP($A1846,[3]stockregister!$A$2:$L$2000,11,0),0)-$G1846</f>
        <v>0</v>
      </c>
      <c r="I1846" s="3">
        <f>_xlfn.IFNA(VLOOKUP($A1846,[3]stockregister!$A$2:$L$2000,12,0),0)</f>
        <v>2700</v>
      </c>
      <c r="J1846" s="3">
        <f>_xlfn.IFNA(VLOOKUP($A1846,[3]stockregister!$A$1:$M$2000,12,0),0)-$I1846</f>
        <v>0</v>
      </c>
      <c r="K1846" s="3" t="s">
        <v>22</v>
      </c>
      <c r="L1846" s="3" t="s">
        <v>23</v>
      </c>
      <c r="M1846" s="3">
        <f>_xlfn.IFNA(VLOOKUP($A1846,[2]stockregister!$A$2:$H$2000,8,0),0)</f>
        <v>3000</v>
      </c>
      <c r="N1846" s="3">
        <f>_xlfn.IFNA(VLOOKUP($A1846,[2]stockregister!$A$2:$H$2000,8,0),0)-$M1846</f>
        <v>0</v>
      </c>
      <c r="O1846" s="3" t="s">
        <v>4254</v>
      </c>
      <c r="P1846" s="3" t="s">
        <v>4254</v>
      </c>
      <c r="Q1846" s="3" t="s">
        <v>2565</v>
      </c>
      <c r="R1846" s="3" t="s">
        <v>577</v>
      </c>
      <c r="S1846" s="3" t="s">
        <v>4255</v>
      </c>
    </row>
    <row r="1847" spans="1:18">
      <c r="A1847" s="3">
        <v>2957</v>
      </c>
      <c r="B1847" s="3" t="b">
        <f>ISNUMBER(MATCH(A1847,[1]stockregister!$A$2:$A$2000,0))</f>
        <v>1</v>
      </c>
      <c r="C1847" s="3" t="s">
        <v>4256</v>
      </c>
      <c r="D1847" s="3" t="str">
        <f>VLOOKUP($C1847,[1]stockregister!$B$2:$B$2000,1,0)</f>
        <v>FIRE STARTER GIN 700ML</v>
      </c>
      <c r="E1847" s="3" t="str">
        <f>IF(ISNA($D1847),VLOOKUP($A1847,[2]stockregister!$A$2:$B$2000,2,FALSE),"")</f>
        <v/>
      </c>
      <c r="F1847" s="3" t="s">
        <v>21</v>
      </c>
      <c r="G1847" s="3">
        <f>_xlfn.IFNA(VLOOKUP($A1847,[3]stockregister!$A$2:$L$2000,11,0),0)</f>
        <v>0</v>
      </c>
      <c r="H1847" s="3">
        <f>_xlfn.IFNA(VLOOKUP($A1847,[3]stockregister!$A$2:$L$2000,11,0),0)-$G1847</f>
        <v>0</v>
      </c>
      <c r="I1847" s="3">
        <f>_xlfn.IFNA(VLOOKUP($A1847,[3]stockregister!$A$2:$L$2000,12,0),0)</f>
        <v>1650</v>
      </c>
      <c r="J1847" s="3">
        <f>_xlfn.IFNA(VLOOKUP($A1847,[3]stockregister!$A$1:$M$2000,12,0),0)-$I1847</f>
        <v>0</v>
      </c>
      <c r="K1847" s="3" t="s">
        <v>22</v>
      </c>
      <c r="L1847" s="3" t="s">
        <v>23</v>
      </c>
      <c r="M1847" s="3">
        <f>_xlfn.IFNA(VLOOKUP($A1847,[2]stockregister!$A$2:$H$2000,8,0),0)</f>
        <v>2100</v>
      </c>
      <c r="N1847" s="3">
        <f>_xlfn.IFNA(VLOOKUP($A1847,[2]stockregister!$A$2:$H$2000,8,0),0)-$M1847</f>
        <v>0</v>
      </c>
      <c r="O1847" s="3" t="s">
        <v>4257</v>
      </c>
      <c r="P1847" s="3" t="s">
        <v>4257</v>
      </c>
      <c r="Q1847" s="3" t="s">
        <v>4258</v>
      </c>
      <c r="R1847" s="3" t="s">
        <v>78</v>
      </c>
    </row>
    <row r="1848" spans="1:19">
      <c r="A1848" s="3">
        <v>2963</v>
      </c>
      <c r="B1848" s="3" t="b">
        <f>ISNUMBER(MATCH(A1848,[1]stockregister!$A$2:$A$2000,0))</f>
        <v>1</v>
      </c>
      <c r="C1848" s="3" t="s">
        <v>4259</v>
      </c>
      <c r="D1848" s="3" t="str">
        <f>VLOOKUP($C1848,[1]stockregister!$B$2:$B$2000,1,0)</f>
        <v>TANQUERAY 0.0 700ML</v>
      </c>
      <c r="E1848" s="3" t="str">
        <f>IF(ISNA($D1848),VLOOKUP($A1848,[2]stockregister!$A$2:$B$2000,2,FALSE),"")</f>
        <v/>
      </c>
      <c r="F1848" s="3" t="s">
        <v>21</v>
      </c>
      <c r="G1848" s="3">
        <f>_xlfn.IFNA(VLOOKUP($A1848,[3]stockregister!$A$2:$L$2000,11,0),0)</f>
        <v>0</v>
      </c>
      <c r="H1848" s="3">
        <f>_xlfn.IFNA(VLOOKUP($A1848,[3]stockregister!$A$2:$L$2000,11,0),0)-$G1848</f>
        <v>0</v>
      </c>
      <c r="I1848" s="3">
        <f>_xlfn.IFNA(VLOOKUP($A1848,[3]stockregister!$A$2:$L$2000,12,0),0)</f>
        <v>1800</v>
      </c>
      <c r="J1848" s="3">
        <f>_xlfn.IFNA(VLOOKUP($A1848,[3]stockregister!$A$1:$M$2000,12,0),0)-$I1848</f>
        <v>0</v>
      </c>
      <c r="K1848" s="3" t="s">
        <v>22</v>
      </c>
      <c r="L1848" s="3" t="s">
        <v>23</v>
      </c>
      <c r="M1848" s="3">
        <f>_xlfn.IFNA(VLOOKUP($A1848,[2]stockregister!$A$2:$H$2000,8,0),0)</f>
        <v>2400</v>
      </c>
      <c r="N1848" s="3">
        <f>_xlfn.IFNA(VLOOKUP($A1848,[2]stockregister!$A$2:$H$2000,8,0),0)-$M1848</f>
        <v>0</v>
      </c>
      <c r="O1848" s="3" t="s">
        <v>4260</v>
      </c>
      <c r="P1848" s="3" t="s">
        <v>4260</v>
      </c>
      <c r="Q1848" s="3" t="s">
        <v>221</v>
      </c>
      <c r="R1848" s="3" t="s">
        <v>78</v>
      </c>
      <c r="S1848" s="4" t="s">
        <v>4261</v>
      </c>
    </row>
    <row r="1849" spans="1:18">
      <c r="A1849" s="3">
        <v>2955</v>
      </c>
      <c r="B1849" s="3" t="b">
        <f>ISNUMBER(MATCH(A1849,[1]stockregister!$A$2:$A$2000,0))</f>
        <v>1</v>
      </c>
      <c r="C1849" s="3" t="s">
        <v>4262</v>
      </c>
      <c r="D1849" s="3" t="str">
        <f>VLOOKUP($C1849,[1]stockregister!$B$2:$B$2000,1,0)</f>
        <v>AMSTERDAM CANNABIS SATIVA RUM 700ML</v>
      </c>
      <c r="E1849" s="3" t="str">
        <f>IF(ISNA($D1849),VLOOKUP($A1849,[2]stockregister!$A$2:$B$2000,2,FALSE),"")</f>
        <v/>
      </c>
      <c r="F1849" s="3" t="s">
        <v>21</v>
      </c>
      <c r="G1849" s="3">
        <f>_xlfn.IFNA(VLOOKUP($A1849,[3]stockregister!$A$2:$L$2000,11,0),0)</f>
        <v>0</v>
      </c>
      <c r="H1849" s="3">
        <f>_xlfn.IFNA(VLOOKUP($A1849,[3]stockregister!$A$2:$L$2000,11,0),0)-$G1849</f>
        <v>0</v>
      </c>
      <c r="I1849" s="3">
        <f>_xlfn.IFNA(VLOOKUP($A1849,[3]stockregister!$A$2:$L$2000,12,0),0)</f>
        <v>1650</v>
      </c>
      <c r="J1849" s="3">
        <f>_xlfn.IFNA(VLOOKUP($A1849,[3]stockregister!$A$1:$M$2000,12,0),0)-$I1849</f>
        <v>0</v>
      </c>
      <c r="K1849" s="3" t="s">
        <v>22</v>
      </c>
      <c r="L1849" s="3" t="s">
        <v>23</v>
      </c>
      <c r="M1849" s="3">
        <f>_xlfn.IFNA(VLOOKUP($A1849,[2]stockregister!$A$2:$H$2000,8,0),0)</f>
        <v>2100</v>
      </c>
      <c r="N1849" s="3">
        <f>_xlfn.IFNA(VLOOKUP($A1849,[2]stockregister!$A$2:$H$2000,8,0),0)-$M1849</f>
        <v>0</v>
      </c>
      <c r="O1849" s="3" t="s">
        <v>4263</v>
      </c>
      <c r="P1849" s="3" t="s">
        <v>4263</v>
      </c>
      <c r="Q1849" s="3" t="s">
        <v>4264</v>
      </c>
      <c r="R1849" s="3" t="s">
        <v>156</v>
      </c>
    </row>
    <row r="1850" spans="1:18">
      <c r="A1850" s="3">
        <v>2959</v>
      </c>
      <c r="B1850" s="3" t="b">
        <f>ISNUMBER(MATCH(A1850,[1]stockregister!$A$2:$A$2000,0))</f>
        <v>1</v>
      </c>
      <c r="C1850" s="3" t="s">
        <v>4265</v>
      </c>
      <c r="D1850" s="3" t="str">
        <f>VLOOKUP($C1850,[1]stockregister!$B$2:$B$2000,1,0)</f>
        <v>HEERING CHERRY LIQUEUR 700ML</v>
      </c>
      <c r="E1850" s="3" t="str">
        <f>IF(ISNA($D1850),VLOOKUP($A1850,[2]stockregister!$A$2:$B$2000,2,FALSE),"")</f>
        <v/>
      </c>
      <c r="F1850" s="3" t="s">
        <v>21</v>
      </c>
      <c r="G1850" s="3">
        <f>_xlfn.IFNA(VLOOKUP($A1850,[3]stockregister!$A$2:$L$2000,11,0),0)</f>
        <v>0</v>
      </c>
      <c r="H1850" s="3">
        <f>_xlfn.IFNA(VLOOKUP($A1850,[3]stockregister!$A$2:$L$2000,11,0),0)-$G1850</f>
        <v>0</v>
      </c>
      <c r="I1850" s="3">
        <f>_xlfn.IFNA(VLOOKUP($A1850,[3]stockregister!$A$2:$L$2000,12,0),0)</f>
        <v>1900</v>
      </c>
      <c r="J1850" s="3">
        <f>_xlfn.IFNA(VLOOKUP($A1850,[3]stockregister!$A$1:$M$2000,12,0),0)-$I1850</f>
        <v>0</v>
      </c>
      <c r="K1850" s="3" t="s">
        <v>22</v>
      </c>
      <c r="L1850" s="3" t="s">
        <v>23</v>
      </c>
      <c r="M1850" s="3">
        <f>_xlfn.IFNA(VLOOKUP($A1850,[2]stockregister!$A$2:$H$2000,8,0),0)</f>
        <v>2500</v>
      </c>
      <c r="N1850" s="3">
        <f>_xlfn.IFNA(VLOOKUP($A1850,[2]stockregister!$A$2:$H$2000,8,0),0)-$M1850</f>
        <v>0</v>
      </c>
      <c r="O1850" s="3" t="s">
        <v>4266</v>
      </c>
      <c r="P1850" s="3" t="s">
        <v>4266</v>
      </c>
      <c r="Q1850" s="3" t="s">
        <v>4267</v>
      </c>
      <c r="R1850" s="3" t="s">
        <v>126</v>
      </c>
    </row>
    <row r="1851" spans="1:18">
      <c r="A1851" s="3">
        <v>2939</v>
      </c>
      <c r="B1851" s="3" t="b">
        <f>ISNUMBER(MATCH(A1851,[1]stockregister!$A$2:$A$2000,0))</f>
        <v>1</v>
      </c>
      <c r="C1851" s="3" t="s">
        <v>4268</v>
      </c>
      <c r="D1851" s="3" t="str">
        <f>VLOOKUP($C1851,[1]stockregister!$B$2:$B$2000,1,0)</f>
        <v>JAGERMEISTER ORANGE 1L</v>
      </c>
      <c r="E1851" s="3" t="str">
        <f>IF(ISNA($D1851),VLOOKUP($A1851,[2]stockregister!$A$2:$B$2000,2,FALSE),"")</f>
        <v/>
      </c>
      <c r="F1851" s="3" t="s">
        <v>21</v>
      </c>
      <c r="G1851" s="3">
        <f>_xlfn.IFNA(VLOOKUP($A1851,[3]stockregister!$A$2:$L$2000,11,0),0)</f>
        <v>0</v>
      </c>
      <c r="H1851" s="3">
        <f>_xlfn.IFNA(VLOOKUP($A1851,[3]stockregister!$A$2:$L$2000,11,0),0)-$G1851</f>
        <v>0</v>
      </c>
      <c r="I1851" s="3">
        <f>_xlfn.IFNA(VLOOKUP($A1851,[3]stockregister!$A$2:$L$2000,12,0),0)</f>
        <v>2800</v>
      </c>
      <c r="J1851" s="3">
        <f>_xlfn.IFNA(VLOOKUP($A1851,[3]stockregister!$A$1:$M$2000,12,0),0)-$I1851</f>
        <v>0</v>
      </c>
      <c r="K1851" s="3" t="s">
        <v>22</v>
      </c>
      <c r="L1851" s="3" t="s">
        <v>23</v>
      </c>
      <c r="M1851" s="3">
        <f>_xlfn.IFNA(VLOOKUP($A1851,[2]stockregister!$A$2:$H$2000,8,0),0)</f>
        <v>3100</v>
      </c>
      <c r="N1851" s="3">
        <f>_xlfn.IFNA(VLOOKUP($A1851,[2]stockregister!$A$2:$H$2000,8,0),0)-$M1851</f>
        <v>0</v>
      </c>
      <c r="O1851" s="3" t="s">
        <v>4269</v>
      </c>
      <c r="P1851" s="3" t="s">
        <v>4269</v>
      </c>
      <c r="Q1851" s="3" t="s">
        <v>151</v>
      </c>
      <c r="R1851" s="3" t="s">
        <v>126</v>
      </c>
    </row>
    <row r="1852" spans="1:18">
      <c r="A1852" s="3">
        <v>2938</v>
      </c>
      <c r="B1852" s="3" t="b">
        <f>ISNUMBER(MATCH(A1852,[1]stockregister!$A$2:$A$2000,0))</f>
        <v>1</v>
      </c>
      <c r="C1852" s="3" t="s">
        <v>4270</v>
      </c>
      <c r="D1852" s="3" t="str">
        <f>VLOOKUP($C1852,[1]stockregister!$B$2:$B$2000,1,0)</f>
        <v>JAGERMEISTER ORANGE 700ML</v>
      </c>
      <c r="E1852" s="3" t="str">
        <f>IF(ISNA($D1852),VLOOKUP($A1852,[2]stockregister!$A$2:$B$2000,2,FALSE),"")</f>
        <v/>
      </c>
      <c r="F1852" s="3" t="s">
        <v>21</v>
      </c>
      <c r="G1852" s="3">
        <f>_xlfn.IFNA(VLOOKUP($A1852,[3]stockregister!$A$2:$L$2000,11,0),0)</f>
        <v>0</v>
      </c>
      <c r="H1852" s="3">
        <f>_xlfn.IFNA(VLOOKUP($A1852,[3]stockregister!$A$2:$L$2000,11,0),0)-$G1852</f>
        <v>0</v>
      </c>
      <c r="I1852" s="3">
        <f>_xlfn.IFNA(VLOOKUP($A1852,[3]stockregister!$A$2:$L$2000,12,0),0)</f>
        <v>2200</v>
      </c>
      <c r="J1852" s="3">
        <f>_xlfn.IFNA(VLOOKUP($A1852,[3]stockregister!$A$1:$M$2000,12,0),0)-$I1852</f>
        <v>0</v>
      </c>
      <c r="K1852" s="3" t="s">
        <v>22</v>
      </c>
      <c r="L1852" s="3" t="s">
        <v>23</v>
      </c>
      <c r="M1852" s="3">
        <f>_xlfn.IFNA(VLOOKUP($A1852,[2]stockregister!$A$2:$H$2000,8,0),0)</f>
        <v>2500</v>
      </c>
      <c r="N1852" s="3">
        <f>_xlfn.IFNA(VLOOKUP($A1852,[2]stockregister!$A$2:$H$2000,8,0),0)-$M1852</f>
        <v>0</v>
      </c>
      <c r="O1852" s="3" t="s">
        <v>4271</v>
      </c>
      <c r="P1852" s="3" t="s">
        <v>4271</v>
      </c>
      <c r="Q1852" s="3" t="s">
        <v>151</v>
      </c>
      <c r="R1852" s="3" t="s">
        <v>126</v>
      </c>
    </row>
    <row r="1853" spans="1:18">
      <c r="A1853" s="3">
        <v>2910</v>
      </c>
      <c r="B1853" s="3" t="b">
        <f>ISNUMBER(MATCH(A1853,[1]stockregister!$A$2:$A$2000,0))</f>
        <v>1</v>
      </c>
      <c r="C1853" s="3" t="s">
        <v>4272</v>
      </c>
      <c r="D1853" s="3" t="str">
        <f>VLOOKUP($C1853,[1]stockregister!$B$2:$B$2000,1,0)</f>
        <v>SPORTMAN KING SIZE</v>
      </c>
      <c r="E1853" s="3" t="str">
        <f>IF(ISNA($D1853),VLOOKUP($A1853,[2]stockregister!$A$2:$B$2000,2,FALSE),"")</f>
        <v/>
      </c>
      <c r="F1853" s="3" t="s">
        <v>21</v>
      </c>
      <c r="G1853" s="3">
        <f>_xlfn.IFNA(VLOOKUP($A1853,[3]stockregister!$A$2:$L$2000,11,0),0)</f>
        <v>0</v>
      </c>
      <c r="H1853" s="3">
        <f>_xlfn.IFNA(VLOOKUP($A1853,[3]stockregister!$A$2:$L$2000,11,0),0)-$G1853</f>
        <v>0</v>
      </c>
      <c r="I1853" s="3">
        <f>_xlfn.IFNA(VLOOKUP($A1853,[3]stockregister!$A$2:$L$2000,12,0),0)</f>
        <v>348.4</v>
      </c>
      <c r="J1853" s="3">
        <f>_xlfn.IFNA(VLOOKUP($A1853,[3]stockregister!$A$1:$M$2000,12,0),0)-$I1853</f>
        <v>0</v>
      </c>
      <c r="K1853" s="3" t="s">
        <v>22</v>
      </c>
      <c r="L1853" s="3" t="s">
        <v>23</v>
      </c>
      <c r="M1853" s="3">
        <f>_xlfn.IFNA(VLOOKUP($A1853,[2]stockregister!$A$2:$H$2000,8,0),0)</f>
        <v>400</v>
      </c>
      <c r="N1853" s="3">
        <f>_xlfn.IFNA(VLOOKUP($A1853,[2]stockregister!$A$2:$H$2000,8,0),0)-$M1853</f>
        <v>0</v>
      </c>
      <c r="O1853" s="3" t="s">
        <v>4273</v>
      </c>
      <c r="P1853" s="3" t="s">
        <v>4273</v>
      </c>
      <c r="Q1853" s="3" t="s">
        <v>4274</v>
      </c>
      <c r="R1853" s="3" t="s">
        <v>31</v>
      </c>
    </row>
    <row r="1854" spans="1:19">
      <c r="A1854" s="3">
        <v>2907</v>
      </c>
      <c r="B1854" s="3" t="b">
        <f>ISNUMBER(MATCH(A1854,[1]stockregister!$A$2:$A$2000,0))</f>
        <v>1</v>
      </c>
      <c r="C1854" s="3" t="s">
        <v>4275</v>
      </c>
      <c r="D1854" s="3" t="str">
        <f>VLOOKUP($C1854,[1]stockregister!$B$2:$B$2000,1,0)</f>
        <v>VELO 3 DOT INDIGO BLUE</v>
      </c>
      <c r="E1854" s="3" t="str">
        <f>IF(ISNA($D1854),VLOOKUP($A1854,[2]stockregister!$A$2:$B$2000,2,FALSE),"")</f>
        <v/>
      </c>
      <c r="F1854" s="3" t="s">
        <v>21</v>
      </c>
      <c r="G1854" s="3">
        <f>_xlfn.IFNA(VLOOKUP($A1854,[3]stockregister!$A$2:$L$2000,11,0),0)</f>
        <v>0</v>
      </c>
      <c r="H1854" s="3">
        <f>_xlfn.IFNA(VLOOKUP($A1854,[3]stockregister!$A$2:$L$2000,11,0),0)-$G1854</f>
        <v>0</v>
      </c>
      <c r="I1854" s="3">
        <f>_xlfn.IFNA(VLOOKUP($A1854,[3]stockregister!$A$2:$L$2000,12,0),0)</f>
        <v>0</v>
      </c>
      <c r="J1854" s="3">
        <f>_xlfn.IFNA(VLOOKUP($A1854,[3]stockregister!$A$1:$M$2000,12,0),0)-$I1854</f>
        <v>0</v>
      </c>
      <c r="K1854" s="3" t="s">
        <v>22</v>
      </c>
      <c r="L1854" s="3" t="s">
        <v>23</v>
      </c>
      <c r="M1854" s="3">
        <f>_xlfn.IFNA(VLOOKUP($A1854,[2]stockregister!$A$2:$H$2000,8,0),0)</f>
        <v>0</v>
      </c>
      <c r="N1854" s="3">
        <f>_xlfn.IFNA(VLOOKUP($A1854,[2]stockregister!$A$2:$H$2000,8,0),0)-$M1854</f>
        <v>0</v>
      </c>
      <c r="O1854" s="3" t="s">
        <v>4276</v>
      </c>
      <c r="P1854" s="3" t="s">
        <v>4276</v>
      </c>
      <c r="Q1854" s="3" t="s">
        <v>4277</v>
      </c>
      <c r="R1854" s="3" t="s">
        <v>146</v>
      </c>
      <c r="S1854" s="3" t="s">
        <v>4278</v>
      </c>
    </row>
    <row r="1855" spans="1:19">
      <c r="A1855" s="3">
        <v>2048</v>
      </c>
      <c r="B1855" s="3" t="b">
        <f>ISNUMBER(MATCH(A1855,[1]stockregister!$A$2:$A$2000,0))</f>
        <v>1</v>
      </c>
      <c r="C1855" s="3" t="s">
        <v>4279</v>
      </c>
      <c r="D1855" s="3" t="str">
        <f>VLOOKUP($C1855,[1]stockregister!$B$2:$B$2000,1,0)</f>
        <v>VELO 3 DOT JADE GREEN</v>
      </c>
      <c r="E1855" s="3" t="str">
        <f>IF(ISNA($D1855),VLOOKUP($A1855,[2]stockregister!$A$2:$B$2000,2,FALSE),"")</f>
        <v/>
      </c>
      <c r="F1855" s="3" t="s">
        <v>21</v>
      </c>
      <c r="G1855" s="3">
        <f>_xlfn.IFNA(VLOOKUP($A1855,[3]stockregister!$A$2:$L$2000,11,0),0)</f>
        <v>0</v>
      </c>
      <c r="H1855" s="3">
        <f>_xlfn.IFNA(VLOOKUP($A1855,[3]stockregister!$A$2:$L$2000,11,0),0)-$G1855</f>
        <v>0</v>
      </c>
      <c r="I1855" s="3">
        <f>_xlfn.IFNA(VLOOKUP($A1855,[3]stockregister!$A$2:$L$2000,12,0),0)</f>
        <v>0</v>
      </c>
      <c r="J1855" s="3">
        <f>_xlfn.IFNA(VLOOKUP($A1855,[3]stockregister!$A$1:$M$2000,12,0),0)-$I1855</f>
        <v>0</v>
      </c>
      <c r="K1855" s="3" t="s">
        <v>22</v>
      </c>
      <c r="L1855" s="3" t="s">
        <v>23</v>
      </c>
      <c r="M1855" s="3">
        <f>_xlfn.IFNA(VLOOKUP($A1855,[2]stockregister!$A$2:$H$2000,8,0),0)</f>
        <v>0</v>
      </c>
      <c r="N1855" s="3">
        <f>_xlfn.IFNA(VLOOKUP($A1855,[2]stockregister!$A$2:$H$2000,8,0),0)-$M1855</f>
        <v>0</v>
      </c>
      <c r="O1855" s="3" t="s">
        <v>4280</v>
      </c>
      <c r="P1855" s="3" t="s">
        <v>4280</v>
      </c>
      <c r="Q1855" s="3" t="s">
        <v>4277</v>
      </c>
      <c r="R1855" s="3" t="s">
        <v>146</v>
      </c>
      <c r="S1855" s="3" t="s">
        <v>4278</v>
      </c>
    </row>
    <row r="1856" spans="1:19">
      <c r="A1856" s="3">
        <v>2908</v>
      </c>
      <c r="B1856" s="3" t="b">
        <f>ISNUMBER(MATCH(A1856,[1]stockregister!$A$2:$A$2000,0))</f>
        <v>1</v>
      </c>
      <c r="C1856" s="3" t="s">
        <v>4281</v>
      </c>
      <c r="D1856" s="3" t="str">
        <f>VLOOKUP($C1856,[1]stockregister!$B$2:$B$2000,1,0)</f>
        <v>VELO 5 DOT JADE GREEN</v>
      </c>
      <c r="E1856" s="3" t="str">
        <f>IF(ISNA($D1856),VLOOKUP($A1856,[2]stockregister!$A$2:$B$2000,2,FALSE),"")</f>
        <v/>
      </c>
      <c r="F1856" s="3" t="s">
        <v>21</v>
      </c>
      <c r="G1856" s="3">
        <f>_xlfn.IFNA(VLOOKUP($A1856,[3]stockregister!$A$2:$L$2000,11,0),0)</f>
        <v>0</v>
      </c>
      <c r="H1856" s="3">
        <f>_xlfn.IFNA(VLOOKUP($A1856,[3]stockregister!$A$2:$L$2000,11,0),0)-$G1856</f>
        <v>0</v>
      </c>
      <c r="I1856" s="3">
        <f>_xlfn.IFNA(VLOOKUP($A1856,[3]stockregister!$A$2:$L$2000,12,0),0)</f>
        <v>409</v>
      </c>
      <c r="J1856" s="3">
        <f>_xlfn.IFNA(VLOOKUP($A1856,[3]stockregister!$A$1:$M$2000,12,0),0)-$I1856</f>
        <v>0</v>
      </c>
      <c r="K1856" s="3" t="s">
        <v>22</v>
      </c>
      <c r="L1856" s="3" t="s">
        <v>23</v>
      </c>
      <c r="M1856" s="3">
        <f>_xlfn.IFNA(VLOOKUP($A1856,[2]stockregister!$A$2:$H$2000,8,0),0)</f>
        <v>500</v>
      </c>
      <c r="N1856" s="3">
        <f>_xlfn.IFNA(VLOOKUP($A1856,[2]stockregister!$A$2:$H$2000,8,0),0)-$M1856</f>
        <v>0</v>
      </c>
      <c r="O1856" s="3" t="s">
        <v>4282</v>
      </c>
      <c r="P1856" s="3" t="s">
        <v>4282</v>
      </c>
      <c r="Q1856" s="3" t="s">
        <v>4277</v>
      </c>
      <c r="R1856" s="3" t="s">
        <v>146</v>
      </c>
      <c r="S1856" s="3" t="s">
        <v>4283</v>
      </c>
    </row>
    <row r="1857" spans="1:19">
      <c r="A1857" s="3">
        <v>2961</v>
      </c>
      <c r="B1857" s="3" t="b">
        <f>ISNUMBER(MATCH(A1857,[1]stockregister!$A$2:$A$2000,0))</f>
        <v>1</v>
      </c>
      <c r="C1857" s="3" t="s">
        <v>4284</v>
      </c>
      <c r="D1857" s="3" t="str">
        <f>VLOOKUP($C1857,[1]stockregister!$B$2:$B$2000,1,0)</f>
        <v>CAPTAIN MORGAN TIKI MANGO &amp; PINEAPPLE 700ML</v>
      </c>
      <c r="E1857" s="3" t="str">
        <f>IF(ISNA($D1857),VLOOKUP($A1857,[2]stockregister!$A$2:$B$2000,2,FALSE),"")</f>
        <v/>
      </c>
      <c r="F1857" s="3" t="s">
        <v>21</v>
      </c>
      <c r="G1857" s="3">
        <f>_xlfn.IFNA(VLOOKUP($A1857,[3]stockregister!$A$2:$L$2000,11,0),0)</f>
        <v>0</v>
      </c>
      <c r="H1857" s="3">
        <f>_xlfn.IFNA(VLOOKUP($A1857,[3]stockregister!$A$2:$L$2000,11,0),0)-$G1857</f>
        <v>0</v>
      </c>
      <c r="I1857" s="3">
        <f>_xlfn.IFNA(VLOOKUP($A1857,[3]stockregister!$A$2:$L$2000,12,0),0)</f>
        <v>1470</v>
      </c>
      <c r="J1857" s="3">
        <f>_xlfn.IFNA(VLOOKUP($A1857,[3]stockregister!$A$1:$M$2000,12,0),0)-$I1857</f>
        <v>0</v>
      </c>
      <c r="K1857" s="3" t="s">
        <v>22</v>
      </c>
      <c r="L1857" s="3" t="s">
        <v>23</v>
      </c>
      <c r="M1857" s="3">
        <f>_xlfn.IFNA(VLOOKUP($A1857,[2]stockregister!$A$2:$H$2000,8,0),0)</f>
        <v>1800</v>
      </c>
      <c r="N1857" s="3">
        <f>_xlfn.IFNA(VLOOKUP($A1857,[2]stockregister!$A$2:$H$2000,8,0),0)-$M1857</f>
        <v>0</v>
      </c>
      <c r="O1857" s="3" t="s">
        <v>4285</v>
      </c>
      <c r="P1857" s="3" t="s">
        <v>4285</v>
      </c>
      <c r="Q1857" s="3" t="s">
        <v>201</v>
      </c>
      <c r="R1857" s="3" t="s">
        <v>126</v>
      </c>
      <c r="S1857" s="3" t="s">
        <v>4286</v>
      </c>
    </row>
    <row r="1858" spans="1:19">
      <c r="A1858" s="3">
        <v>3004</v>
      </c>
      <c r="B1858" s="3" t="b">
        <f>ISNUMBER(MATCH(A1858,[1]stockregister!$A$2:$A$2000,0))</f>
        <v>1</v>
      </c>
      <c r="C1858" s="3" t="s">
        <v>4287</v>
      </c>
      <c r="D1858" s="3" t="str">
        <f>VLOOKUP($C1858,[1]stockregister!$B$2:$B$2000,1,0)</f>
        <v>CHARGED ELECTRIC PINEAPPLE ENERGY DRINK 330ML</v>
      </c>
      <c r="E1858" s="3" t="str">
        <f>IF(ISNA($D1858),VLOOKUP($A1858,[2]stockregister!$A$2:$B$2000,2,FALSE),"")</f>
        <v/>
      </c>
      <c r="F1858" s="3" t="s">
        <v>21</v>
      </c>
      <c r="G1858" s="3">
        <f>_xlfn.IFNA(VLOOKUP($A1858,[3]stockregister!$A$2:$L$2000,11,0),0)</f>
        <v>12</v>
      </c>
      <c r="H1858" s="3">
        <f>_xlfn.IFNA(VLOOKUP($A1858,[3]stockregister!$A$2:$L$2000,11,0),0)-$G1858</f>
        <v>0</v>
      </c>
      <c r="I1858" s="3">
        <f>_xlfn.IFNA(VLOOKUP($A1858,[3]stockregister!$A$2:$L$2000,12,0),0)</f>
        <v>41.67</v>
      </c>
      <c r="J1858" s="3">
        <f>_xlfn.IFNA(VLOOKUP($A1858,[3]stockregister!$A$1:$M$2000,12,0),0)-$I1858</f>
        <v>0</v>
      </c>
      <c r="K1858" s="3" t="s">
        <v>22</v>
      </c>
      <c r="L1858" s="3" t="s">
        <v>23</v>
      </c>
      <c r="M1858" s="3">
        <f>_xlfn.IFNA(VLOOKUP($A1858,[2]stockregister!$A$2:$H$2000,8,0),0)</f>
        <v>50</v>
      </c>
      <c r="N1858" s="3">
        <f>_xlfn.IFNA(VLOOKUP($A1858,[2]stockregister!$A$2:$H$2000,8,0),0)-$M1858</f>
        <v>0</v>
      </c>
      <c r="O1858" s="3" t="s">
        <v>4288</v>
      </c>
      <c r="P1858" s="3" t="s">
        <v>4288</v>
      </c>
      <c r="Q1858" s="3" t="s">
        <v>4289</v>
      </c>
      <c r="R1858" s="3" t="s">
        <v>26</v>
      </c>
      <c r="S1858" s="3" t="s">
        <v>4290</v>
      </c>
    </row>
    <row r="1859" spans="1:19">
      <c r="A1859" s="3">
        <v>3005</v>
      </c>
      <c r="B1859" s="3" t="b">
        <f>ISNUMBER(MATCH(A1859,[1]stockregister!$A$2:$A$2000,0))</f>
        <v>1</v>
      </c>
      <c r="C1859" s="3" t="s">
        <v>4291</v>
      </c>
      <c r="D1859" s="3" t="str">
        <f>VLOOKUP($C1859,[1]stockregister!$B$2:$B$2000,1,0)</f>
        <v>CHARGED LEMON BURST ENERGY DRINK 330ML</v>
      </c>
      <c r="E1859" s="3" t="str">
        <f>IF(ISNA($D1859),VLOOKUP($A1859,[2]stockregister!$A$2:$B$2000,2,FALSE),"")</f>
        <v/>
      </c>
      <c r="F1859" s="3" t="s">
        <v>21</v>
      </c>
      <c r="G1859" s="3">
        <f>_xlfn.IFNA(VLOOKUP($A1859,[3]stockregister!$A$2:$L$2000,11,0),0)</f>
        <v>36</v>
      </c>
      <c r="H1859" s="3">
        <f>_xlfn.IFNA(VLOOKUP($A1859,[3]stockregister!$A$2:$L$2000,11,0),0)-$G1859</f>
        <v>0</v>
      </c>
      <c r="I1859" s="3">
        <f>_xlfn.IFNA(VLOOKUP($A1859,[3]stockregister!$A$2:$L$2000,12,0),0)</f>
        <v>41.67</v>
      </c>
      <c r="J1859" s="3">
        <f>_xlfn.IFNA(VLOOKUP($A1859,[3]stockregister!$A$1:$M$2000,12,0),0)-$I1859</f>
        <v>0</v>
      </c>
      <c r="K1859" s="3" t="s">
        <v>22</v>
      </c>
      <c r="L1859" s="3" t="s">
        <v>23</v>
      </c>
      <c r="M1859" s="3">
        <f>_xlfn.IFNA(VLOOKUP($A1859,[2]stockregister!$A$2:$H$2000,8,0),0)</f>
        <v>50</v>
      </c>
      <c r="N1859" s="3">
        <f>_xlfn.IFNA(VLOOKUP($A1859,[2]stockregister!$A$2:$H$2000,8,0),0)-$M1859</f>
        <v>0</v>
      </c>
      <c r="O1859" s="3" t="s">
        <v>4292</v>
      </c>
      <c r="P1859" s="3" t="s">
        <v>4292</v>
      </c>
      <c r="Q1859" s="3" t="s">
        <v>4289</v>
      </c>
      <c r="R1859" s="3" t="s">
        <v>26</v>
      </c>
      <c r="S1859" s="3" t="s">
        <v>393</v>
      </c>
    </row>
    <row r="1860" spans="1:19">
      <c r="A1860" s="3">
        <v>2946</v>
      </c>
      <c r="B1860" s="3" t="b">
        <f>ISNUMBER(MATCH(A1860,[1]stockregister!$A$2:$A$2000,0))</f>
        <v>1</v>
      </c>
      <c r="C1860" s="3" t="s">
        <v>4293</v>
      </c>
      <c r="D1860" s="3" t="str">
        <f>VLOOKUP($C1860,[1]stockregister!$B$2:$B$2000,1,0)</f>
        <v>DAWA GINGER DRINK 1L</v>
      </c>
      <c r="E1860" s="3" t="str">
        <f>IF(ISNA($D1860),VLOOKUP($A1860,[2]stockregister!$A$2:$B$2000,2,FALSE),"")</f>
        <v/>
      </c>
      <c r="F1860" s="3" t="s">
        <v>21</v>
      </c>
      <c r="G1860" s="3">
        <f>_xlfn.IFNA(VLOOKUP($A1860,[3]stockregister!$A$2:$L$2000,11,0),0)</f>
        <v>0</v>
      </c>
      <c r="H1860" s="3">
        <f>_xlfn.IFNA(VLOOKUP($A1860,[3]stockregister!$A$2:$L$2000,11,0),0)-$G1860</f>
        <v>0</v>
      </c>
      <c r="I1860" s="3">
        <f>_xlfn.IFNA(VLOOKUP($A1860,[3]stockregister!$A$2:$L$2000,12,0),0)</f>
        <v>303</v>
      </c>
      <c r="J1860" s="3">
        <f>_xlfn.IFNA(VLOOKUP($A1860,[3]stockregister!$A$1:$M$2000,12,0),0)-$I1860</f>
        <v>0</v>
      </c>
      <c r="K1860" s="3" t="s">
        <v>22</v>
      </c>
      <c r="L1860" s="3" t="s">
        <v>23</v>
      </c>
      <c r="M1860" s="3">
        <f>_xlfn.IFNA(VLOOKUP($A1860,[2]stockregister!$A$2:$H$2000,8,0),0)</f>
        <v>380</v>
      </c>
      <c r="N1860" s="3">
        <f>_xlfn.IFNA(VLOOKUP($A1860,[2]stockregister!$A$2:$H$2000,8,0),0)-$M1860</f>
        <v>0</v>
      </c>
      <c r="O1860" s="3" t="s">
        <v>4294</v>
      </c>
      <c r="P1860" s="3" t="s">
        <v>4294</v>
      </c>
      <c r="Q1860" s="3" t="s">
        <v>4295</v>
      </c>
      <c r="R1860" s="3" t="s">
        <v>26</v>
      </c>
      <c r="S1860" s="3" t="s">
        <v>1063</v>
      </c>
    </row>
    <row r="1861" spans="1:19">
      <c r="A1861" s="3">
        <v>3006</v>
      </c>
      <c r="B1861" s="3" t="b">
        <f>ISNUMBER(MATCH(A1861,[1]stockregister!$A$2:$A$2000,0))</f>
        <v>1</v>
      </c>
      <c r="C1861" s="3" t="s">
        <v>4296</v>
      </c>
      <c r="D1861" s="3" t="str">
        <f>VLOOKUP($C1861,[1]stockregister!$B$2:$B$2000,1,0)</f>
        <v>FANTA BLACKCURRANT 1L</v>
      </c>
      <c r="E1861" s="3" t="str">
        <f>IF(ISNA($D1861),VLOOKUP($A1861,[2]stockregister!$A$2:$B$2000,2,FALSE),"")</f>
        <v/>
      </c>
      <c r="F1861" s="3" t="s">
        <v>21</v>
      </c>
      <c r="G1861" s="3">
        <f>_xlfn.IFNA(VLOOKUP($A1861,[3]stockregister!$A$2:$L$2000,11,0),0)</f>
        <v>0</v>
      </c>
      <c r="H1861" s="3">
        <f>_xlfn.IFNA(VLOOKUP($A1861,[3]stockregister!$A$2:$L$2000,11,0),0)-$G1861</f>
        <v>0</v>
      </c>
      <c r="I1861" s="3">
        <f>_xlfn.IFNA(VLOOKUP($A1861,[3]stockregister!$A$2:$L$2000,12,0),0)</f>
        <v>88</v>
      </c>
      <c r="J1861" s="3">
        <f>_xlfn.IFNA(VLOOKUP($A1861,[3]stockregister!$A$1:$M$2000,12,0),0)-$I1861</f>
        <v>0</v>
      </c>
      <c r="K1861" s="3" t="s">
        <v>22</v>
      </c>
      <c r="L1861" s="3" t="s">
        <v>23</v>
      </c>
      <c r="M1861" s="3">
        <f>_xlfn.IFNA(VLOOKUP($A1861,[2]stockregister!$A$2:$H$2000,8,0),0)</f>
        <v>130</v>
      </c>
      <c r="N1861" s="3">
        <f>_xlfn.IFNA(VLOOKUP($A1861,[2]stockregister!$A$2:$H$2000,8,0),0)-$M1861</f>
        <v>0</v>
      </c>
      <c r="O1861" s="3" t="s">
        <v>4297</v>
      </c>
      <c r="P1861" s="3" t="s">
        <v>4297</v>
      </c>
      <c r="Q1861" s="3" t="s">
        <v>4298</v>
      </c>
      <c r="R1861" s="3" t="s">
        <v>26</v>
      </c>
      <c r="S1861" s="3" t="s">
        <v>4299</v>
      </c>
    </row>
    <row r="1862" spans="1:19">
      <c r="A1862" s="3">
        <v>2974</v>
      </c>
      <c r="B1862" s="3" t="b">
        <f>ISNUMBER(MATCH(A1862,[1]stockregister!$A$2:$A$2000,0))</f>
        <v>1</v>
      </c>
      <c r="C1862" s="3" t="s">
        <v>4300</v>
      </c>
      <c r="D1862" s="3" t="str">
        <f>VLOOKUP($C1862,[1]stockregister!$B$2:$B$2000,1,0)</f>
        <v>ALTA AZUL TEQUILA BLANCO 1LTR</v>
      </c>
      <c r="E1862" s="3" t="str">
        <f>IF(ISNA($D1862),VLOOKUP($A1862,[2]stockregister!$A$2:$B$2000,2,FALSE),"")</f>
        <v/>
      </c>
      <c r="F1862" s="3" t="s">
        <v>21</v>
      </c>
      <c r="G1862" s="3">
        <f>_xlfn.IFNA(VLOOKUP($A1862,[3]stockregister!$A$2:$L$2000,11,0),0)</f>
        <v>0</v>
      </c>
      <c r="H1862" s="3">
        <f>_xlfn.IFNA(VLOOKUP($A1862,[3]stockregister!$A$2:$L$2000,11,0),0)-$G1862</f>
        <v>0</v>
      </c>
      <c r="I1862" s="3">
        <f>_xlfn.IFNA(VLOOKUP($A1862,[3]stockregister!$A$2:$L$2000,12,0),0)</f>
        <v>3500</v>
      </c>
      <c r="J1862" s="3">
        <f>_xlfn.IFNA(VLOOKUP($A1862,[3]stockregister!$A$1:$M$2000,12,0),0)-$I1862</f>
        <v>0</v>
      </c>
      <c r="K1862" s="3" t="s">
        <v>22</v>
      </c>
      <c r="L1862" s="3" t="s">
        <v>23</v>
      </c>
      <c r="M1862" s="3">
        <f>_xlfn.IFNA(VLOOKUP($A1862,[2]stockregister!$A$2:$H$2000,8,0),0)</f>
        <v>4500</v>
      </c>
      <c r="N1862" s="3">
        <f>_xlfn.IFNA(VLOOKUP($A1862,[2]stockregister!$A$2:$H$2000,8,0),0)-$M1862</f>
        <v>0</v>
      </c>
      <c r="O1862" s="3" t="s">
        <v>4301</v>
      </c>
      <c r="P1862" s="3" t="s">
        <v>4301</v>
      </c>
      <c r="Q1862" s="3" t="s">
        <v>4302</v>
      </c>
      <c r="R1862" s="3" t="s">
        <v>73</v>
      </c>
      <c r="S1862" s="3" t="s">
        <v>294</v>
      </c>
    </row>
    <row r="1863" spans="1:19">
      <c r="A1863" s="3">
        <v>2973</v>
      </c>
      <c r="B1863" s="3" t="b">
        <f>ISNUMBER(MATCH(A1863,[1]stockregister!$A$2:$A$2000,0))</f>
        <v>1</v>
      </c>
      <c r="C1863" s="3" t="s">
        <v>4303</v>
      </c>
      <c r="D1863" s="3" t="str">
        <f>VLOOKUP($C1863,[1]stockregister!$B$2:$B$2000,1,0)</f>
        <v>ALTA AZUL TEQUILA REPOSADO 1LTR</v>
      </c>
      <c r="E1863" s="3" t="str">
        <f>IF(ISNA($D1863),VLOOKUP($A1863,[2]stockregister!$A$2:$B$2000,2,FALSE),"")</f>
        <v/>
      </c>
      <c r="F1863" s="3" t="s">
        <v>21</v>
      </c>
      <c r="G1863" s="3">
        <f>_xlfn.IFNA(VLOOKUP($A1863,[3]stockregister!$A$2:$L$2000,11,0),0)</f>
        <v>0</v>
      </c>
      <c r="H1863" s="3">
        <f>_xlfn.IFNA(VLOOKUP($A1863,[3]stockregister!$A$2:$L$2000,11,0),0)-$G1863</f>
        <v>0</v>
      </c>
      <c r="I1863" s="3">
        <f>_xlfn.IFNA(VLOOKUP($A1863,[3]stockregister!$A$2:$L$2000,12,0),0)</f>
        <v>3500</v>
      </c>
      <c r="J1863" s="3">
        <f>_xlfn.IFNA(VLOOKUP($A1863,[3]stockregister!$A$1:$M$2000,12,0),0)-$I1863</f>
        <v>0</v>
      </c>
      <c r="K1863" s="3" t="s">
        <v>22</v>
      </c>
      <c r="L1863" s="3" t="s">
        <v>23</v>
      </c>
      <c r="M1863" s="3">
        <f>_xlfn.IFNA(VLOOKUP($A1863,[2]stockregister!$A$2:$H$2000,8,0),0)</f>
        <v>4500</v>
      </c>
      <c r="N1863" s="3">
        <f>_xlfn.IFNA(VLOOKUP($A1863,[2]stockregister!$A$2:$H$2000,8,0),0)-$M1863</f>
        <v>0</v>
      </c>
      <c r="O1863" s="3" t="s">
        <v>4304</v>
      </c>
      <c r="P1863" s="3" t="s">
        <v>4304</v>
      </c>
      <c r="Q1863" s="3" t="s">
        <v>4302</v>
      </c>
      <c r="R1863" s="3" t="s">
        <v>73</v>
      </c>
      <c r="S1863" s="3" t="s">
        <v>260</v>
      </c>
    </row>
    <row r="1864" spans="1:18">
      <c r="A1864" s="3">
        <v>2952</v>
      </c>
      <c r="B1864" s="3" t="b">
        <f>ISNUMBER(MATCH(A1864,[1]stockregister!$A$2:$A$2000,0))</f>
        <v>1</v>
      </c>
      <c r="C1864" s="3" t="s">
        <v>4305</v>
      </c>
      <c r="D1864" s="3" t="str">
        <f>VLOOKUP($C1864,[1]stockregister!$B$2:$B$2000,1,0)</f>
        <v>DON JULIO 70 CRISTALINO 700ML</v>
      </c>
      <c r="E1864" s="3" t="str">
        <f>IF(ISNA($D1864),VLOOKUP($A1864,[2]stockregister!$A$2:$B$2000,2,FALSE),"")</f>
        <v/>
      </c>
      <c r="F1864" s="3" t="s">
        <v>21</v>
      </c>
      <c r="G1864" s="3">
        <f>_xlfn.IFNA(VLOOKUP($A1864,[3]stockregister!$A$2:$L$2000,11,0),0)</f>
        <v>0</v>
      </c>
      <c r="H1864" s="3">
        <f>_xlfn.IFNA(VLOOKUP($A1864,[3]stockregister!$A$2:$L$2000,11,0),0)-$G1864</f>
        <v>0</v>
      </c>
      <c r="I1864" s="3">
        <f>_xlfn.IFNA(VLOOKUP($A1864,[3]stockregister!$A$2:$L$2000,12,0),0)</f>
        <v>7000</v>
      </c>
      <c r="J1864" s="3">
        <f>_xlfn.IFNA(VLOOKUP($A1864,[3]stockregister!$A$1:$M$2000,12,0),0)-$I1864</f>
        <v>0</v>
      </c>
      <c r="K1864" s="3" t="s">
        <v>22</v>
      </c>
      <c r="L1864" s="3" t="s">
        <v>23</v>
      </c>
      <c r="M1864" s="3">
        <f>_xlfn.IFNA(VLOOKUP($A1864,[2]stockregister!$A$2:$H$2000,8,0),0)</f>
        <v>7600</v>
      </c>
      <c r="N1864" s="3">
        <f>_xlfn.IFNA(VLOOKUP($A1864,[2]stockregister!$A$2:$H$2000,8,0),0)-$M1864</f>
        <v>0</v>
      </c>
      <c r="O1864" s="3" t="s">
        <v>4306</v>
      </c>
      <c r="P1864" s="3" t="s">
        <v>4306</v>
      </c>
      <c r="Q1864" s="3" t="s">
        <v>474</v>
      </c>
      <c r="R1864" s="3" t="s">
        <v>73</v>
      </c>
    </row>
    <row r="1865" spans="1:20">
      <c r="A1865" s="3">
        <v>942</v>
      </c>
      <c r="B1865" s="3" t="b">
        <f>ISNUMBER(MATCH(A1865,[1]stockregister!$A$2:$A$2000,0))</f>
        <v>1</v>
      </c>
      <c r="C1865" s="3" t="s">
        <v>4307</v>
      </c>
      <c r="D1865" s="3" t="str">
        <f>VLOOKUP($C1865,[1]stockregister!$B$2:$B$2000,1,0)</f>
        <v>HAVANA CLUB ANEJO 3YRS TEQUILA 700ML</v>
      </c>
      <c r="E1865" s="3" t="str">
        <f>IF(ISNA($D1865),VLOOKUP($A1865,[2]stockregister!$A$2:$B$2000,2,FALSE),"")</f>
        <v/>
      </c>
      <c r="F1865" s="3" t="s">
        <v>21</v>
      </c>
      <c r="G1865" s="3">
        <f>_xlfn.IFNA(VLOOKUP($A1865,[3]stockregister!$A$2:$L$2000,11,0),0)</f>
        <v>0</v>
      </c>
      <c r="H1865" s="3">
        <f>_xlfn.IFNA(VLOOKUP($A1865,[3]stockregister!$A$2:$L$2000,11,0),0)-$G1865</f>
        <v>0</v>
      </c>
      <c r="I1865" s="3">
        <f>_xlfn.IFNA(VLOOKUP($A1865,[3]stockregister!$A$2:$L$2000,12,0),0)</f>
        <v>1334</v>
      </c>
      <c r="J1865" s="3">
        <f>_xlfn.IFNA(VLOOKUP($A1865,[3]stockregister!$A$1:$M$2000,12,0),0)-$I1865</f>
        <v>0</v>
      </c>
      <c r="K1865" s="3" t="s">
        <v>22</v>
      </c>
      <c r="L1865" s="3" t="s">
        <v>23</v>
      </c>
      <c r="M1865" s="3">
        <f>_xlfn.IFNA(VLOOKUP($A1865,[2]stockregister!$A$2:$H$2000,8,0),0)</f>
        <v>1450</v>
      </c>
      <c r="N1865" s="3">
        <f>_xlfn.IFNA(VLOOKUP($A1865,[2]stockregister!$A$2:$H$2000,8,0),0)-$M1865</f>
        <v>0</v>
      </c>
      <c r="O1865" s="3" t="s">
        <v>4308</v>
      </c>
      <c r="P1865" s="3" t="s">
        <v>4308</v>
      </c>
      <c r="Q1865" s="3" t="s">
        <v>4309</v>
      </c>
      <c r="R1865" s="3" t="s">
        <v>73</v>
      </c>
      <c r="S1865" s="3" t="s">
        <v>818</v>
      </c>
      <c r="T1865" s="3">
        <v>3</v>
      </c>
    </row>
    <row r="1866" spans="1:18">
      <c r="A1866" s="3">
        <v>2944</v>
      </c>
      <c r="B1866" s="3" t="b">
        <f>ISNUMBER(MATCH(A1866,[1]stockregister!$A$2:$A$2000,0))</f>
        <v>1</v>
      </c>
      <c r="C1866" s="3" t="s">
        <v>4310</v>
      </c>
      <c r="D1866" s="3" t="str">
        <f>VLOOKUP($C1866,[1]stockregister!$B$2:$B$2000,1,0)</f>
        <v>EROS BATTERY</v>
      </c>
      <c r="E1866" s="3" t="str">
        <f>IF(ISNA($D1866),VLOOKUP($A1866,[2]stockregister!$A$2:$B$2000,2,FALSE),"")</f>
        <v/>
      </c>
      <c r="F1866" s="3" t="s">
        <v>21</v>
      </c>
      <c r="G1866" s="3">
        <f>_xlfn.IFNA(VLOOKUP($A1866,[3]stockregister!$A$2:$L$2000,11,0),0)</f>
        <v>0</v>
      </c>
      <c r="H1866" s="3">
        <f>_xlfn.IFNA(VLOOKUP($A1866,[3]stockregister!$A$2:$L$2000,11,0),0)-$G1866</f>
        <v>0</v>
      </c>
      <c r="I1866" s="3">
        <f>_xlfn.IFNA(VLOOKUP($A1866,[3]stockregister!$A$2:$L$2000,12,0),0)</f>
        <v>700</v>
      </c>
      <c r="J1866" s="3">
        <f>_xlfn.IFNA(VLOOKUP($A1866,[3]stockregister!$A$1:$M$2000,12,0),0)-$I1866</f>
        <v>0</v>
      </c>
      <c r="K1866" s="3" t="s">
        <v>22</v>
      </c>
      <c r="L1866" s="3" t="s">
        <v>23</v>
      </c>
      <c r="M1866" s="3">
        <f>_xlfn.IFNA(VLOOKUP($A1866,[2]stockregister!$A$2:$H$2000,8,0),0)</f>
        <v>900</v>
      </c>
      <c r="N1866" s="3">
        <f>_xlfn.IFNA(VLOOKUP($A1866,[2]stockregister!$A$2:$H$2000,8,0),0)-$M1866</f>
        <v>0</v>
      </c>
      <c r="O1866" s="3" t="s">
        <v>4311</v>
      </c>
      <c r="P1866" s="3" t="s">
        <v>4311</v>
      </c>
      <c r="Q1866" s="3" t="s">
        <v>882</v>
      </c>
      <c r="R1866" s="3" t="s">
        <v>39</v>
      </c>
    </row>
    <row r="1867" spans="1:19">
      <c r="A1867" s="3">
        <v>2930</v>
      </c>
      <c r="B1867" s="3" t="b">
        <f>ISNUMBER(MATCH(A1867,[1]stockregister!$A$2:$A$2000,0))</f>
        <v>1</v>
      </c>
      <c r="C1867" s="3" t="s">
        <v>4312</v>
      </c>
      <c r="D1867" s="3" t="str">
        <f>VLOOKUP($C1867,[1]stockregister!$B$2:$B$2000,1,0)</f>
        <v>EROS KIT PEACH MANGO ICE</v>
      </c>
      <c r="E1867" s="3" t="str">
        <f>IF(ISNA($D1867),VLOOKUP($A1867,[2]stockregister!$A$2:$B$2000,2,FALSE),"")</f>
        <v/>
      </c>
      <c r="F1867" s="3" t="s">
        <v>21</v>
      </c>
      <c r="G1867" s="3">
        <f>_xlfn.IFNA(VLOOKUP($A1867,[3]stockregister!$A$2:$L$2000,11,0),0)</f>
        <v>0</v>
      </c>
      <c r="H1867" s="3">
        <f>_xlfn.IFNA(VLOOKUP($A1867,[3]stockregister!$A$2:$L$2000,11,0),0)-$G1867</f>
        <v>0</v>
      </c>
      <c r="I1867" s="3">
        <f>_xlfn.IFNA(VLOOKUP($A1867,[3]stockregister!$A$2:$L$2000,12,0),0)</f>
        <v>1900</v>
      </c>
      <c r="J1867" s="3">
        <f>_xlfn.IFNA(VLOOKUP($A1867,[3]stockregister!$A$1:$M$2000,12,0),0)-$I1867</f>
        <v>0</v>
      </c>
      <c r="K1867" s="3" t="s">
        <v>22</v>
      </c>
      <c r="L1867" s="3" t="s">
        <v>23</v>
      </c>
      <c r="M1867" s="3">
        <f>_xlfn.IFNA(VLOOKUP($A1867,[2]stockregister!$A$2:$H$2000,8,0),0)</f>
        <v>2100</v>
      </c>
      <c r="N1867" s="3">
        <f>_xlfn.IFNA(VLOOKUP($A1867,[2]stockregister!$A$2:$H$2000,8,0),0)-$M1867</f>
        <v>0</v>
      </c>
      <c r="O1867" s="3" t="s">
        <v>4313</v>
      </c>
      <c r="P1867" s="3" t="s">
        <v>4313</v>
      </c>
      <c r="Q1867" s="3" t="s">
        <v>882</v>
      </c>
      <c r="R1867" s="3" t="s">
        <v>39</v>
      </c>
      <c r="S1867" s="3" t="s">
        <v>4314</v>
      </c>
    </row>
    <row r="1868" spans="1:18">
      <c r="A1868" s="3">
        <v>2971</v>
      </c>
      <c r="B1868" s="3" t="b">
        <f>ISNUMBER(MATCH(A1868,[1]stockregister!$A$2:$A$2000,0))</f>
        <v>1</v>
      </c>
      <c r="C1868" s="3" t="s">
        <v>4315</v>
      </c>
      <c r="D1868" s="3" t="str">
        <f>VLOOKUP($C1868,[1]stockregister!$B$2:$B$2000,1,0)</f>
        <v>AMSTERDAM CANNABIS SATIVA VODKA 700ML</v>
      </c>
      <c r="E1868" s="3" t="str">
        <f>IF(ISNA($D1868),VLOOKUP($A1868,[2]stockregister!$A$2:$B$2000,2,FALSE),"")</f>
        <v/>
      </c>
      <c r="F1868" s="3" t="s">
        <v>21</v>
      </c>
      <c r="G1868" s="3">
        <f>_xlfn.IFNA(VLOOKUP($A1868,[3]stockregister!$A$2:$L$2000,11,0),0)</f>
        <v>0</v>
      </c>
      <c r="H1868" s="3">
        <f>_xlfn.IFNA(VLOOKUP($A1868,[3]stockregister!$A$2:$L$2000,11,0),0)-$G1868</f>
        <v>0</v>
      </c>
      <c r="I1868" s="3">
        <f>_xlfn.IFNA(VLOOKUP($A1868,[3]stockregister!$A$2:$L$2000,12,0),0)</f>
        <v>1650</v>
      </c>
      <c r="J1868" s="3">
        <f>_xlfn.IFNA(VLOOKUP($A1868,[3]stockregister!$A$1:$M$2000,12,0),0)-$I1868</f>
        <v>0</v>
      </c>
      <c r="K1868" s="3" t="s">
        <v>22</v>
      </c>
      <c r="L1868" s="3" t="s">
        <v>23</v>
      </c>
      <c r="M1868" s="3">
        <f>_xlfn.IFNA(VLOOKUP($A1868,[2]stockregister!$A$2:$H$2000,8,0),0)</f>
        <v>2100</v>
      </c>
      <c r="N1868" s="3">
        <f>_xlfn.IFNA(VLOOKUP($A1868,[2]stockregister!$A$2:$H$2000,8,0),0)-$M1868</f>
        <v>0</v>
      </c>
      <c r="O1868" s="3" t="s">
        <v>4316</v>
      </c>
      <c r="P1868" s="3" t="s">
        <v>4316</v>
      </c>
      <c r="Q1868" s="3" t="s">
        <v>4264</v>
      </c>
      <c r="R1868" s="3" t="s">
        <v>318</v>
      </c>
    </row>
    <row r="1869" spans="1:18">
      <c r="A1869" s="3">
        <v>2962</v>
      </c>
      <c r="B1869" s="3" t="b">
        <f>ISNUMBER(MATCH(A1869,[1]stockregister!$A$2:$A$2000,0))</f>
        <v>1</v>
      </c>
      <c r="C1869" s="3" t="s">
        <v>4317</v>
      </c>
      <c r="D1869" s="3" t="str">
        <f>VLOOKUP($C1869,[1]stockregister!$B$2:$B$2000,1,0)</f>
        <v>FIRE STARTER VODKA 700ML</v>
      </c>
      <c r="E1869" s="3" t="str">
        <f>IF(ISNA($D1869),VLOOKUP($A1869,[2]stockregister!$A$2:$B$2000,2,FALSE),"")</f>
        <v/>
      </c>
      <c r="F1869" s="3" t="s">
        <v>21</v>
      </c>
      <c r="G1869" s="3">
        <f>_xlfn.IFNA(VLOOKUP($A1869,[3]stockregister!$A$2:$L$2000,11,0),0)</f>
        <v>0</v>
      </c>
      <c r="H1869" s="3">
        <f>_xlfn.IFNA(VLOOKUP($A1869,[3]stockregister!$A$2:$L$2000,11,0),0)-$G1869</f>
        <v>0</v>
      </c>
      <c r="I1869" s="3">
        <f>_xlfn.IFNA(VLOOKUP($A1869,[3]stockregister!$A$2:$L$2000,12,0),0)</f>
        <v>1650</v>
      </c>
      <c r="J1869" s="3">
        <f>_xlfn.IFNA(VLOOKUP($A1869,[3]stockregister!$A$1:$M$2000,12,0),0)-$I1869</f>
        <v>0</v>
      </c>
      <c r="K1869" s="3" t="s">
        <v>22</v>
      </c>
      <c r="L1869" s="3" t="s">
        <v>23</v>
      </c>
      <c r="M1869" s="3">
        <f>_xlfn.IFNA(VLOOKUP($A1869,[2]stockregister!$A$2:$H$2000,8,0),0)</f>
        <v>2100</v>
      </c>
      <c r="N1869" s="3">
        <f>_xlfn.IFNA(VLOOKUP($A1869,[2]stockregister!$A$2:$H$2000,8,0),0)-$M1869</f>
        <v>0</v>
      </c>
      <c r="O1869" s="3" t="s">
        <v>4318</v>
      </c>
      <c r="P1869" s="3" t="s">
        <v>4318</v>
      </c>
      <c r="Q1869" s="3" t="s">
        <v>4258</v>
      </c>
      <c r="R1869" s="3" t="s">
        <v>318</v>
      </c>
    </row>
    <row r="1870" spans="1:18">
      <c r="A1870" s="3">
        <v>2970</v>
      </c>
      <c r="B1870" s="3" t="b">
        <f>ISNUMBER(MATCH(A1870,[1]stockregister!$A$2:$A$2000,0))</f>
        <v>1</v>
      </c>
      <c r="C1870" s="3" t="s">
        <v>4319</v>
      </c>
      <c r="D1870" s="3" t="str">
        <f>VLOOKUP($C1870,[1]stockregister!$B$2:$B$2000,1,0)</f>
        <v>M-16 RIFLE ABSOLUTE STANDARD PREMIUM VODKA 700ML</v>
      </c>
      <c r="E1870" s="3" t="str">
        <f>IF(ISNA($D1870),VLOOKUP($A1870,[2]stockregister!$A$2:$B$2000,2,FALSE),"")</f>
        <v/>
      </c>
      <c r="F1870" s="3" t="s">
        <v>21</v>
      </c>
      <c r="G1870" s="3">
        <f>_xlfn.IFNA(VLOOKUP($A1870,[3]stockregister!$A$2:$L$2000,11,0),0)</f>
        <v>0</v>
      </c>
      <c r="H1870" s="3">
        <f>_xlfn.IFNA(VLOOKUP($A1870,[3]stockregister!$A$2:$L$2000,11,0),0)-$G1870</f>
        <v>0</v>
      </c>
      <c r="I1870" s="3">
        <f>_xlfn.IFNA(VLOOKUP($A1870,[3]stockregister!$A$2:$L$2000,12,0),0)</f>
        <v>3500</v>
      </c>
      <c r="J1870" s="3">
        <f>_xlfn.IFNA(VLOOKUP($A1870,[3]stockregister!$A$1:$M$2000,12,0),0)-$I1870</f>
        <v>0</v>
      </c>
      <c r="K1870" s="3" t="s">
        <v>22</v>
      </c>
      <c r="L1870" s="3" t="s">
        <v>23</v>
      </c>
      <c r="M1870" s="3">
        <f>_xlfn.IFNA(VLOOKUP($A1870,[2]stockregister!$A$2:$H$2000,8,0),0)</f>
        <v>7500</v>
      </c>
      <c r="N1870" s="3">
        <f>_xlfn.IFNA(VLOOKUP($A1870,[2]stockregister!$A$2:$H$2000,8,0),0)-$M1870</f>
        <v>0</v>
      </c>
      <c r="O1870" s="3" t="s">
        <v>4320</v>
      </c>
      <c r="P1870" s="3" t="s">
        <v>4320</v>
      </c>
      <c r="Q1870" s="3" t="s">
        <v>2045</v>
      </c>
      <c r="R1870" s="3" t="s">
        <v>318</v>
      </c>
    </row>
    <row r="1871" spans="1:18">
      <c r="A1871" s="3">
        <v>911</v>
      </c>
      <c r="B1871" s="3" t="b">
        <f>ISNUMBER(MATCH(A1871,[1]stockregister!$A$2:$A$2000,0))</f>
        <v>1</v>
      </c>
      <c r="C1871" s="3" t="s">
        <v>4321</v>
      </c>
      <c r="D1871" s="3" t="str">
        <f>VLOOKUP($C1871,[1]stockregister!$B$2:$B$2000,1,0)</f>
        <v>GRANTS SELECT WHISKY 750ML</v>
      </c>
      <c r="E1871" s="3" t="str">
        <f>IF(ISNA($D1871),VLOOKUP($A1871,[2]stockregister!$A$2:$B$2000,2,FALSE),"")</f>
        <v/>
      </c>
      <c r="F1871" s="3" t="s">
        <v>21</v>
      </c>
      <c r="G1871" s="3">
        <f>_xlfn.IFNA(VLOOKUP($A1871,[3]stockregister!$A$2:$L$2000,11,0),0)</f>
        <v>0</v>
      </c>
      <c r="H1871" s="3">
        <f>_xlfn.IFNA(VLOOKUP($A1871,[3]stockregister!$A$2:$L$2000,11,0),0)-$G1871</f>
        <v>0</v>
      </c>
      <c r="I1871" s="3">
        <f>_xlfn.IFNA(VLOOKUP($A1871,[3]stockregister!$A$2:$L$2000,12,0),0)</f>
        <v>1840</v>
      </c>
      <c r="J1871" s="3">
        <f>_xlfn.IFNA(VLOOKUP($A1871,[3]stockregister!$A$1:$M$2000,12,0),0)-$I1871</f>
        <v>0</v>
      </c>
      <c r="K1871" s="3" t="s">
        <v>22</v>
      </c>
      <c r="L1871" s="3" t="s">
        <v>23</v>
      </c>
      <c r="M1871" s="3">
        <f>_xlfn.IFNA(VLOOKUP($A1871,[2]stockregister!$A$2:$H$2000,8,0),0)</f>
        <v>2000</v>
      </c>
      <c r="N1871" s="3">
        <f>_xlfn.IFNA(VLOOKUP($A1871,[2]stockregister!$A$2:$H$2000,8,0),0)-$M1871</f>
        <v>0</v>
      </c>
      <c r="O1871" s="3" t="s">
        <v>4322</v>
      </c>
      <c r="P1871" s="3" t="s">
        <v>4322</v>
      </c>
      <c r="Q1871" s="3" t="s">
        <v>1535</v>
      </c>
      <c r="R1871" s="3" t="s">
        <v>92</v>
      </c>
    </row>
    <row r="1872" spans="1:19">
      <c r="A1872" s="3">
        <v>2935</v>
      </c>
      <c r="B1872" s="3" t="b">
        <f>ISNUMBER(MATCH(A1872,[1]stockregister!$A$2:$A$2000,0))</f>
        <v>1</v>
      </c>
      <c r="C1872" s="3" t="s">
        <v>4323</v>
      </c>
      <c r="D1872" s="3" t="str">
        <f>VLOOKUP($C1872,[1]stockregister!$B$2:$B$2000,1,0)</f>
        <v>JAMESON BLACK BARREL 1L</v>
      </c>
      <c r="E1872" s="3" t="str">
        <f>IF(ISNA($D1872),VLOOKUP($A1872,[2]stockregister!$A$2:$B$2000,2,FALSE),"")</f>
        <v/>
      </c>
      <c r="F1872" s="3" t="s">
        <v>21</v>
      </c>
      <c r="G1872" s="3">
        <f>_xlfn.IFNA(VLOOKUP($A1872,[3]stockregister!$A$2:$L$2000,11,0),0)</f>
        <v>0</v>
      </c>
      <c r="H1872" s="3">
        <f>_xlfn.IFNA(VLOOKUP($A1872,[3]stockregister!$A$2:$L$2000,11,0),0)-$G1872</f>
        <v>0</v>
      </c>
      <c r="I1872" s="3">
        <f>_xlfn.IFNA(VLOOKUP($A1872,[3]stockregister!$A$2:$L$2000,12,0),0)</f>
        <v>4176</v>
      </c>
      <c r="J1872" s="3">
        <f>_xlfn.IFNA(VLOOKUP($A1872,[3]stockregister!$A$1:$M$2000,12,0),0)-$I1872</f>
        <v>0</v>
      </c>
      <c r="K1872" s="3" t="s">
        <v>22</v>
      </c>
      <c r="L1872" s="3" t="s">
        <v>23</v>
      </c>
      <c r="M1872" s="3">
        <f>_xlfn.IFNA(VLOOKUP($A1872,[2]stockregister!$A$2:$H$2000,8,0),0)</f>
        <v>4400</v>
      </c>
      <c r="N1872" s="3">
        <f>_xlfn.IFNA(VLOOKUP($A1872,[2]stockregister!$A$2:$H$2000,8,0),0)-$M1872</f>
        <v>0</v>
      </c>
      <c r="O1872" s="3" t="s">
        <v>4324</v>
      </c>
      <c r="P1872" s="3" t="s">
        <v>4324</v>
      </c>
      <c r="Q1872" s="3" t="s">
        <v>269</v>
      </c>
      <c r="R1872" s="3" t="s">
        <v>92</v>
      </c>
      <c r="S1872" s="3" t="s">
        <v>4325</v>
      </c>
    </row>
    <row r="1873" spans="1:18">
      <c r="A1873" s="3">
        <v>2956</v>
      </c>
      <c r="B1873" s="3" t="b">
        <f>ISNUMBER(MATCH(A1873,[1]stockregister!$A$2:$A$2000,0))</f>
        <v>1</v>
      </c>
      <c r="C1873" s="3" t="s">
        <v>4326</v>
      </c>
      <c r="D1873" s="3" t="str">
        <f>VLOOKUP($C1873,[1]stockregister!$B$2:$B$2000,1,0)</f>
        <v>SINGLETON ARTISAN 1L</v>
      </c>
      <c r="E1873" s="3" t="str">
        <f>IF(ISNA($D1873),VLOOKUP($A1873,[2]stockregister!$A$2:$B$2000,2,FALSE),"")</f>
        <v/>
      </c>
      <c r="F1873" s="3" t="s">
        <v>21</v>
      </c>
      <c r="G1873" s="3">
        <f>_xlfn.IFNA(VLOOKUP($A1873,[3]stockregister!$A$2:$L$2000,11,0),0)</f>
        <v>0</v>
      </c>
      <c r="H1873" s="3">
        <f>_xlfn.IFNA(VLOOKUP($A1873,[3]stockregister!$A$2:$L$2000,11,0),0)-$G1873</f>
        <v>0</v>
      </c>
      <c r="I1873" s="3">
        <f>_xlfn.IFNA(VLOOKUP($A1873,[3]stockregister!$A$2:$L$2000,12,0),0)</f>
        <v>7500</v>
      </c>
      <c r="J1873" s="3">
        <f>_xlfn.IFNA(VLOOKUP($A1873,[3]stockregister!$A$1:$M$2000,12,0),0)-$I1873</f>
        <v>0</v>
      </c>
      <c r="K1873" s="3" t="s">
        <v>22</v>
      </c>
      <c r="L1873" s="3" t="s">
        <v>23</v>
      </c>
      <c r="M1873" s="3">
        <f>_xlfn.IFNA(VLOOKUP($A1873,[2]stockregister!$A$2:$H$2000,8,0),0)</f>
        <v>10500</v>
      </c>
      <c r="N1873" s="3">
        <f>_xlfn.IFNA(VLOOKUP($A1873,[2]stockregister!$A$2:$H$2000,8,0),0)-$M1873</f>
        <v>0</v>
      </c>
      <c r="O1873" s="3" t="s">
        <v>4327</v>
      </c>
      <c r="P1873" s="3" t="s">
        <v>4327</v>
      </c>
      <c r="Q1873" s="3" t="s">
        <v>635</v>
      </c>
      <c r="R1873" s="3" t="s">
        <v>92</v>
      </c>
    </row>
    <row r="1874" spans="1:19">
      <c r="A1874" s="3">
        <v>2945</v>
      </c>
      <c r="B1874" s="3" t="b">
        <f>ISNUMBER(MATCH(A1874,[1]stockregister!$A$2:$A$2000,0))</f>
        <v>1</v>
      </c>
      <c r="C1874" s="3" t="s">
        <v>4328</v>
      </c>
      <c r="D1874" s="3" t="str">
        <f>VLOOKUP($C1874,[1]stockregister!$B$2:$B$2000,1,0)</f>
        <v>LA CONSULTA MALBEC </v>
      </c>
      <c r="E1874" s="3" t="str">
        <f>IF(ISNA($D1874),VLOOKUP($A1874,[2]stockregister!$A$2:$B$2000,2,FALSE),"")</f>
        <v/>
      </c>
      <c r="F1874" s="3" t="s">
        <v>21</v>
      </c>
      <c r="G1874" s="3">
        <f>_xlfn.IFNA(VLOOKUP($A1874,[3]stockregister!$A$2:$L$2000,11,0),0)</f>
        <v>0</v>
      </c>
      <c r="H1874" s="3">
        <f>_xlfn.IFNA(VLOOKUP($A1874,[3]stockregister!$A$2:$L$2000,11,0),0)-$G1874</f>
        <v>0</v>
      </c>
      <c r="I1874" s="3">
        <f>_xlfn.IFNA(VLOOKUP($A1874,[3]stockregister!$A$2:$L$2000,12,0),0)</f>
        <v>800</v>
      </c>
      <c r="J1874" s="3">
        <f>_xlfn.IFNA(VLOOKUP($A1874,[3]stockregister!$A$1:$M$2000,12,0),0)-$I1874</f>
        <v>0</v>
      </c>
      <c r="K1874" s="3" t="s">
        <v>22</v>
      </c>
      <c r="L1874" s="3" t="s">
        <v>23</v>
      </c>
      <c r="M1874" s="3">
        <f>_xlfn.IFNA(VLOOKUP($A1874,[2]stockregister!$A$2:$H$2000,8,0),0)</f>
        <v>950</v>
      </c>
      <c r="N1874" s="3">
        <f>_xlfn.IFNA(VLOOKUP($A1874,[2]stockregister!$A$2:$H$2000,8,0),0)-$M1874</f>
        <v>0</v>
      </c>
      <c r="O1874" s="3" t="s">
        <v>4329</v>
      </c>
      <c r="P1874" s="3" t="s">
        <v>4329</v>
      </c>
      <c r="Q1874" s="3" t="s">
        <v>4330</v>
      </c>
      <c r="R1874" s="3" t="s">
        <v>68</v>
      </c>
      <c r="S1874" s="3" t="s">
        <v>1310</v>
      </c>
    </row>
    <row r="1875" spans="1:19">
      <c r="A1875" s="3">
        <v>2933</v>
      </c>
      <c r="B1875" s="3" t="b">
        <f>ISNUMBER(MATCH(A1875,[1]stockregister!$A$2:$A$2000,0))</f>
        <v>1</v>
      </c>
      <c r="C1875" s="3" t="s">
        <v>4331</v>
      </c>
      <c r="D1875" s="3" t="str">
        <f>VLOOKUP($C1875,[1]stockregister!$B$2:$B$2000,1,0)</f>
        <v>TWINS DRY RED TINTO 5L</v>
      </c>
      <c r="E1875" s="3" t="str">
        <f>IF(ISNA($D1875),VLOOKUP($A1875,[2]stockregister!$A$2:$B$2000,2,FALSE),"")</f>
        <v/>
      </c>
      <c r="F1875" s="3" t="s">
        <v>21</v>
      </c>
      <c r="G1875" s="3">
        <f>_xlfn.IFNA(VLOOKUP($A1875,[3]stockregister!$A$2:$L$2000,11,0),0)</f>
        <v>0</v>
      </c>
      <c r="H1875" s="3">
        <f>_xlfn.IFNA(VLOOKUP($A1875,[3]stockregister!$A$2:$L$2000,11,0),0)-$G1875</f>
        <v>0</v>
      </c>
      <c r="I1875" s="3">
        <f>_xlfn.IFNA(VLOOKUP($A1875,[3]stockregister!$A$2:$L$2000,12,0),0)</f>
        <v>3812</v>
      </c>
      <c r="J1875" s="3">
        <f>_xlfn.IFNA(VLOOKUP($A1875,[3]stockregister!$A$1:$M$2000,12,0),0)-$I1875</f>
        <v>0</v>
      </c>
      <c r="K1875" s="3" t="s">
        <v>22</v>
      </c>
      <c r="L1875" s="3" t="s">
        <v>23</v>
      </c>
      <c r="M1875" s="3">
        <f>_xlfn.IFNA(VLOOKUP($A1875,[2]stockregister!$A$2:$H$2000,8,0),0)</f>
        <v>4000</v>
      </c>
      <c r="N1875" s="3">
        <f>_xlfn.IFNA(VLOOKUP($A1875,[2]stockregister!$A$2:$H$2000,8,0),0)-$M1875</f>
        <v>0</v>
      </c>
      <c r="O1875" s="3" t="s">
        <v>4332</v>
      </c>
      <c r="P1875" s="3" t="s">
        <v>4332</v>
      </c>
      <c r="Q1875" s="3" t="s">
        <v>4333</v>
      </c>
      <c r="R1875" s="3" t="s">
        <v>68</v>
      </c>
      <c r="S1875" s="3" t="s">
        <v>82</v>
      </c>
    </row>
    <row r="1876" spans="1:19">
      <c r="A1876" s="3">
        <v>2934</v>
      </c>
      <c r="B1876" s="3" t="b">
        <f>ISNUMBER(MATCH(A1876,[1]stockregister!$A$2:$A$2000,0))</f>
        <v>1</v>
      </c>
      <c r="C1876" s="3" t="s">
        <v>4334</v>
      </c>
      <c r="D1876" s="3" t="str">
        <f>VLOOKUP($C1876,[1]stockregister!$B$2:$B$2000,1,0)</f>
        <v>TWINS DRY WHITE BLANCO 5L</v>
      </c>
      <c r="E1876" s="3" t="str">
        <f>IF(ISNA($D1876),VLOOKUP($A1876,[2]stockregister!$A$2:$B$2000,2,FALSE),"")</f>
        <v/>
      </c>
      <c r="F1876" s="3" t="s">
        <v>21</v>
      </c>
      <c r="G1876" s="3">
        <f>_xlfn.IFNA(VLOOKUP($A1876,[3]stockregister!$A$2:$L$2000,11,0),0)</f>
        <v>0</v>
      </c>
      <c r="H1876" s="3">
        <f>_xlfn.IFNA(VLOOKUP($A1876,[3]stockregister!$A$2:$L$2000,11,0),0)-$G1876</f>
        <v>0</v>
      </c>
      <c r="I1876" s="3">
        <f>_xlfn.IFNA(VLOOKUP($A1876,[3]stockregister!$A$2:$L$2000,12,0),0)</f>
        <v>3580</v>
      </c>
      <c r="J1876" s="3">
        <f>_xlfn.IFNA(VLOOKUP($A1876,[3]stockregister!$A$1:$M$2000,12,0),0)-$I1876</f>
        <v>0</v>
      </c>
      <c r="K1876" s="3" t="s">
        <v>22</v>
      </c>
      <c r="L1876" s="3" t="s">
        <v>23</v>
      </c>
      <c r="M1876" s="3">
        <f>_xlfn.IFNA(VLOOKUP($A1876,[2]stockregister!$A$2:$H$2000,8,0),0)</f>
        <v>3780</v>
      </c>
      <c r="N1876" s="3">
        <f>_xlfn.IFNA(VLOOKUP($A1876,[2]stockregister!$A$2:$H$2000,8,0),0)-$M1876</f>
        <v>0</v>
      </c>
      <c r="O1876" s="3" t="s">
        <v>4335</v>
      </c>
      <c r="P1876" s="3" t="s">
        <v>4335</v>
      </c>
      <c r="Q1876" s="3" t="s">
        <v>4333</v>
      </c>
      <c r="R1876" s="3" t="s">
        <v>68</v>
      </c>
      <c r="S1876" s="3" t="s">
        <v>549</v>
      </c>
    </row>
  </sheetData>
  <autoFilter ref="A1:T1876">
    <extLst/>
  </autoFilter>
  <sortState ref="A2:T1876">
    <sortCondition ref="B2:B187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 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2026-09-11T21:28:00Z</dcterms:created>
  <dcterms:modified xsi:type="dcterms:W3CDTF">2026-10-06T21:14:40Z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